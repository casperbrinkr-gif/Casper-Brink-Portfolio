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tables/table1.xml" ContentType="application/vnd.openxmlformats-officedocument.spreadsheetml.table+xml"/>
  <Override PartName="/xl/queryTables/queryTable1.xml" ContentType="application/vnd.openxmlformats-officedocument.spreadsheetml.queryTable+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3.xml" ContentType="application/vnd.openxmlformats-officedocument.drawing+xml"/>
  <Override PartName="/xl/comments3.xml" ContentType="application/vnd.openxmlformats-officedocument.spreadsheetml.comments+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4.xml" ContentType="application/vnd.openxmlformats-officedocument.drawing+xml"/>
  <Override PartName="/xl/comments4.xml" ContentType="application/vnd.openxmlformats-officedocument.spreadsheetml.comments+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5.xml" ContentType="application/vnd.openxmlformats-officedocument.drawing+xml"/>
  <Override PartName="/xl/comments5.xml" ContentType="application/vnd.openxmlformats-officedocument.spreadsheetml.comments+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6.xml" ContentType="application/vnd.openxmlformats-officedocument.drawing+xml"/>
  <Override PartName="/xl/comments6.xml" ContentType="application/vnd.openxmlformats-officedocument.spreadsheetml.comments+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7.xml" ContentType="application/vnd.openxmlformats-officedocument.drawing+xml"/>
  <Override PartName="/xl/comments7.xml" ContentType="application/vnd.openxmlformats-officedocument.spreadsheetml.comments+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drawings/drawing8.xml" ContentType="application/vnd.openxmlformats-officedocument.drawing+xml"/>
  <Override PartName="/xl/comments8.xml" ContentType="application/vnd.openxmlformats-officedocument.spreadsheetml.comments+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drawings/drawing9.xml" ContentType="application/vnd.openxmlformats-officedocument.drawing+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drawings/drawing10.xml" ContentType="application/vnd.openxmlformats-officedocument.drawing+xml"/>
  <Override PartName="/xl/comments9.xml" ContentType="application/vnd.openxmlformats-officedocument.spreadsheetml.comments+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workbookPr defaultThemeVersion="202300"/>
  <mc:AlternateContent xmlns:mc="http://schemas.openxmlformats.org/markup-compatibility/2006">
    <mc:Choice Requires="x15">
      <x15ac:absPath xmlns:x15ac="http://schemas.microsoft.com/office/spreadsheetml/2010/11/ac" url="https://d.docs.live.net/a2cfa997e39fd00e/Skrivebord/Casper/Liquid Investments/MAG7 Valuation/"/>
    </mc:Choice>
  </mc:AlternateContent>
  <xr:revisionPtr revIDLastSave="29548" documentId="8_{F5DFF4C1-88AB-41B0-8DC7-27A6F616A190}" xr6:coauthVersionLast="47" xr6:coauthVersionMax="47" xr10:uidLastSave="{A111D059-89D2-4447-B491-374B2258E5EC}"/>
  <bookViews>
    <workbookView xWindow="-21720" yWindow="-120" windowWidth="21840" windowHeight="37920" tabRatio="1000" xr2:uid="{A7794AD8-25E6-4173-95DE-BA0BCEFB1A4A}"/>
  </bookViews>
  <sheets>
    <sheet name="Valuation Dashboard" sheetId="97" r:id="rId1"/>
    <sheet name="Summary 1-page" sheetId="105" r:id="rId2"/>
    <sheet name="Introduction" sheetId="89" r:id="rId3"/>
    <sheet name="Checks &amp; Methodology --&gt;&gt;" sheetId="101" r:id="rId4"/>
    <sheet name="Ch 11 Checks" sheetId="98" r:id="rId5"/>
    <sheet name="Methodology Checklist" sheetId="100" r:id="rId6"/>
    <sheet name="Raw Data --&gt;&gt;" sheetId="90" r:id="rId7"/>
    <sheet name="Ticker Sheet" sheetId="1" r:id="rId8"/>
    <sheet name="peer_fundamentals" sheetId="92" r:id="rId9"/>
    <sheet name="peer_capital_structure" sheetId="87" r:id="rId10"/>
    <sheet name="peer_prices_monthly" sheetId="88" r:id="rId11"/>
    <sheet name="mag7_leases_fy2019_fy2026" sheetId="96" r:id="rId12"/>
    <sheet name="Financial Statement Data --&gt;&gt;" sheetId="91" r:id="rId13"/>
    <sheet name="AAPL - Income Statement FY" sheetId="2" r:id="rId14"/>
    <sheet name="AAPL - Balance Sheet FY" sheetId="3" r:id="rId15"/>
    <sheet name="AAPL - Cash Flow FY" sheetId="4" r:id="rId16"/>
    <sheet name="AAPL - Key Metrics FY" sheetId="5" r:id="rId17"/>
    <sheet name="AAPL - Financial Growth FY" sheetId="6" r:id="rId18"/>
    <sheet name="MSFT - Income Statement FY" sheetId="17" r:id="rId19"/>
    <sheet name="MSFT - Balance Sheet FY" sheetId="18" r:id="rId20"/>
    <sheet name="MSFT - Cash Flow FY" sheetId="19" r:id="rId21"/>
    <sheet name="MSFT - Key Metrics FY" sheetId="20" r:id="rId22"/>
    <sheet name="MSFT - Financial Growth FY" sheetId="21" r:id="rId23"/>
    <sheet name="GOOGL - Income Statement FY" sheetId="37" r:id="rId24"/>
    <sheet name="GOOGL - Balance Sheet FY" sheetId="38" r:id="rId25"/>
    <sheet name="GOOGL - Cash Flow FY" sheetId="39" r:id="rId26"/>
    <sheet name="GOOGL - Key Metrics FY" sheetId="40" r:id="rId27"/>
    <sheet name="GOOGL - Financial Growth FY" sheetId="41" r:id="rId28"/>
    <sheet name="AMZN - Income Statement FY" sheetId="12" r:id="rId29"/>
    <sheet name="AMZN - Balance Sheet FY" sheetId="13" r:id="rId30"/>
    <sheet name="AMZN - Cash Flow FY" sheetId="14" r:id="rId31"/>
    <sheet name="AMZN - Key Metrics FY" sheetId="15" r:id="rId32"/>
    <sheet name="AMZN - Financial Growth FY" sheetId="16" r:id="rId33"/>
    <sheet name="NVDA - Income Statement FY" sheetId="42" r:id="rId34"/>
    <sheet name="NVDA - Balance Sheet FY" sheetId="43" r:id="rId35"/>
    <sheet name="NVDA - Cash Flow FY" sheetId="44" r:id="rId36"/>
    <sheet name="NVDA - Key Metrics FY" sheetId="45" r:id="rId37"/>
    <sheet name="NVDA - Financial Growth FY" sheetId="46" r:id="rId38"/>
    <sheet name="META - Income Statement FY" sheetId="47" r:id="rId39"/>
    <sheet name="META - Balance Sheet FY" sheetId="48" r:id="rId40"/>
    <sheet name="META - Cash Flow FY" sheetId="49" r:id="rId41"/>
    <sheet name="META - Key Metrics FY" sheetId="50" r:id="rId42"/>
    <sheet name="META - Financial Growth FY" sheetId="51" r:id="rId43"/>
    <sheet name="TSLA - Income Statement FY" sheetId="7" r:id="rId44"/>
    <sheet name="TSLA - Balance Sheet FY" sheetId="8" r:id="rId45"/>
    <sheet name="TSLA - Cash Flow FY" sheetId="9" r:id="rId46"/>
    <sheet name="TSLA - Key Metrics FY" sheetId="10" r:id="rId47"/>
    <sheet name="TSLA - Financial Growth FY" sheetId="11" r:id="rId48"/>
    <sheet name="Reorganised Statements --&gt;&gt;" sheetId="102" r:id="rId49"/>
    <sheet name="AAPL - Reconciliation FY" sheetId="53" r:id="rId50"/>
    <sheet name="MSFT - Reconciliation FY" sheetId="52" r:id="rId51"/>
    <sheet name="GOOGL - Reconciliation FY" sheetId="56" r:id="rId52"/>
    <sheet name="AMZN - Reconciliation FY" sheetId="55" r:id="rId53"/>
    <sheet name="NVDA - Reconciliation FY" sheetId="57" r:id="rId54"/>
    <sheet name="META - Reconciliation FY" sheetId="58" r:id="rId55"/>
    <sheet name="TSLA - Reconciliation FY" sheetId="54" r:id="rId56"/>
    <sheet name="Cost of Capital --&gt;&gt;" sheetId="103" r:id="rId57"/>
    <sheet name="Peer Betas" sheetId="93" r:id="rId58"/>
    <sheet name="WACC" sheetId="61" r:id="rId59"/>
    <sheet name="Debt Schedule" sheetId="62" r:id="rId60"/>
    <sheet name="Revenue Drivers &amp; Forecast" sheetId="63" r:id="rId61"/>
    <sheet name="AAPL Rev Drivers &amp; Forecast" sheetId="64" r:id="rId62"/>
    <sheet name="MSFT Rev Drivers &amp; Forecast" sheetId="65" r:id="rId63"/>
    <sheet name="GOOGL Rev Drivers &amp; Forecast" sheetId="66" r:id="rId64"/>
    <sheet name="AMZN Rev Drivers &amp; Forecast" sheetId="67" r:id="rId65"/>
    <sheet name="NVDA Rev Drivers &amp; Forecast" sheetId="68" r:id="rId66"/>
    <sheet name="META Rev Drivers &amp; Forecast" sheetId="69" r:id="rId67"/>
    <sheet name="TSLA Rev Drivers &amp; Forecast" sheetId="70" r:id="rId68"/>
    <sheet name="Financial Forecast" sheetId="71" r:id="rId69"/>
    <sheet name="AAPL Forecast" sheetId="72" r:id="rId70"/>
    <sheet name="MSFT Forecast" sheetId="73" r:id="rId71"/>
    <sheet name="GOOGL Forecast" sheetId="74" r:id="rId72"/>
    <sheet name="AMZN Forecast" sheetId="75" r:id="rId73"/>
    <sheet name="NVDA Forecast" sheetId="76" r:id="rId74"/>
    <sheet name="META Forecast" sheetId="77" r:id="rId75"/>
    <sheet name="TSLA Forecast" sheetId="78" r:id="rId76"/>
    <sheet name="DCF Valuation" sheetId="79" r:id="rId77"/>
    <sheet name="AAPL DCF" sheetId="80" r:id="rId78"/>
    <sheet name="MSFT DCF" sheetId="81" r:id="rId79"/>
    <sheet name="GOOGL DCF" sheetId="82" r:id="rId80"/>
    <sheet name="AMZN DCF" sheetId="83" r:id="rId81"/>
    <sheet name="NVDA DCF" sheetId="84" r:id="rId82"/>
    <sheet name="META DCF" sheetId="85" r:id="rId83"/>
    <sheet name="TSLA DCF" sheetId="86" r:id="rId84"/>
    <sheet name="Multiples &amp; Special --&gt;&gt;" sheetId="104" r:id="rId85"/>
    <sheet name="Multiples" sheetId="94" r:id="rId86"/>
    <sheet name="NVDA High-Growth Ch23" sheetId="99" r:id="rId87"/>
    <sheet name="TSLA Flexibility" sheetId="95" r:id="rId88"/>
  </sheets>
  <definedNames>
    <definedName name="_xleta.ROWS" hidden="1" xlm="1">#NAME?</definedName>
    <definedName name="ExternalData_1" localSheetId="8" hidden="1">peer_fundamentals!$A$1:$AB$39</definedName>
    <definedName name="_xlnm.Print_Area" localSheetId="1">'Summary 1-page'!$A$1:$H$40</definedName>
    <definedName name="_xlnm.Print_Titles" localSheetId="1">'Summary 1-page'!$1:$2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2"/>
    </ext>
  </extLst>
</workbook>
</file>

<file path=xl/calcChain.xml><?xml version="1.0" encoding="utf-8"?>
<calcChain xmlns="http://schemas.openxmlformats.org/spreadsheetml/2006/main">
  <c r="B59" i="98" l="1" a="1"/>
  <c r="B59" i="98" s="1"/>
  <c r="B58" i="98" a="1"/>
  <c r="B58" i="98" s="1"/>
  <c r="B57" i="98" a="1"/>
  <c r="B57" i="98" s="1"/>
  <c r="H42" i="61"/>
  <c r="G42" i="61"/>
  <c r="F42" i="61"/>
  <c r="E42" i="61"/>
  <c r="D42" i="61"/>
  <c r="C42" i="61"/>
  <c r="C63" i="62"/>
  <c r="B62" i="62"/>
  <c r="C55" i="62"/>
  <c r="B54" i="62"/>
  <c r="C44" i="62"/>
  <c r="B43" i="62"/>
  <c r="C33" i="62"/>
  <c r="B32" i="62"/>
  <c r="C25" i="62"/>
  <c r="B24" i="62"/>
  <c r="C8" i="62"/>
  <c r="B7" i="62"/>
  <c r="H235" i="97"/>
  <c r="H232" i="97"/>
  <c r="G235" i="97"/>
  <c r="G232" i="97"/>
  <c r="F235" i="97"/>
  <c r="F232" i="97"/>
  <c r="E235" i="97"/>
  <c r="E232" i="97"/>
  <c r="D235" i="97"/>
  <c r="D232" i="97"/>
  <c r="C235" i="97"/>
  <c r="C232" i="97"/>
  <c r="B235" i="97"/>
  <c r="B232" i="97"/>
  <c r="H225" i="97"/>
  <c r="D7" i="86" s="1"/>
  <c r="H224" i="97"/>
  <c r="C7" i="86" s="1"/>
  <c r="H227" i="97" a="1"/>
  <c r="H227" i="97" s="1"/>
  <c r="H226" i="97" a="1"/>
  <c r="H226" i="97" s="1"/>
  <c r="G227" i="97" a="1"/>
  <c r="G227" i="97" s="1"/>
  <c r="G225" i="97" s="1"/>
  <c r="D7" i="85" s="1"/>
  <c r="G226" i="97" a="1"/>
  <c r="G226" i="97" s="1"/>
  <c r="F227" i="97" a="1"/>
  <c r="F227" i="97" s="1"/>
  <c r="F225" i="97" s="1"/>
  <c r="D7" i="84" s="1"/>
  <c r="F226" i="97" a="1"/>
  <c r="F226" i="97" s="1"/>
  <c r="E224" i="97"/>
  <c r="C7" i="83" s="1"/>
  <c r="E227" i="97" a="1"/>
  <c r="E227" i="97" s="1"/>
  <c r="E225" i="97" s="1"/>
  <c r="D7" i="83" s="1"/>
  <c r="E226" i="97" a="1"/>
  <c r="E226" i="97" s="1"/>
  <c r="D227" i="97" a="1"/>
  <c r="D227" i="97" s="1"/>
  <c r="D225" i="97" s="1"/>
  <c r="D7" i="82" s="1"/>
  <c r="D226" i="97" a="1"/>
  <c r="D226" i="97" s="1"/>
  <c r="D224" i="97" s="1"/>
  <c r="C7" i="82" s="1"/>
  <c r="C227" i="97" a="1"/>
  <c r="C227" i="97" s="1"/>
  <c r="C225" i="97" s="1"/>
  <c r="D7" i="81" s="1"/>
  <c r="C226" i="97" a="1"/>
  <c r="C226" i="97" s="1"/>
  <c r="B227" i="97" a="1"/>
  <c r="B227" i="97"/>
  <c r="B225" i="97" s="1"/>
  <c r="D7" i="80" s="1"/>
  <c r="B226" i="97" a="1"/>
  <c r="B226" i="97" s="1"/>
  <c r="H223" i="97" a="1"/>
  <c r="H223" i="97" s="1"/>
  <c r="H222" i="97" a="1"/>
  <c r="H222" i="97" s="1"/>
  <c r="H221" i="97"/>
  <c r="G223" i="97" a="1"/>
  <c r="G223" i="97" s="1"/>
  <c r="G224" i="97" s="1"/>
  <c r="C7" i="85" s="1"/>
  <c r="G222" i="97" a="1"/>
  <c r="G222" i="97" s="1"/>
  <c r="G221" i="97"/>
  <c r="F223" i="97" a="1"/>
  <c r="F223" i="97" s="1"/>
  <c r="F222" i="97" a="1"/>
  <c r="F222" i="97" s="1"/>
  <c r="F221" i="97"/>
  <c r="E223" i="97" a="1"/>
  <c r="E223" i="97" s="1"/>
  <c r="E222" i="97" a="1"/>
  <c r="E222" i="97" s="1"/>
  <c r="E221" i="97"/>
  <c r="D223" i="97" a="1"/>
  <c r="D223" i="97" s="1"/>
  <c r="D222" i="97" a="1"/>
  <c r="D222" i="97" s="1"/>
  <c r="D221" i="97"/>
  <c r="C223" i="97" a="1"/>
  <c r="C223" i="97" s="1"/>
  <c r="C222" i="97" a="1"/>
  <c r="C222" i="97" s="1"/>
  <c r="C221" i="97"/>
  <c r="C224" i="97" s="1"/>
  <c r="C7" i="81" s="1"/>
  <c r="B223" i="97" a="1"/>
  <c r="B223" i="97" s="1"/>
  <c r="B222" i="97" a="1"/>
  <c r="B222" i="97" s="1"/>
  <c r="B221" i="97"/>
  <c r="B224" i="97" s="1"/>
  <c r="C7" i="80" s="1"/>
  <c r="C6" i="86"/>
  <c r="C6" i="85"/>
  <c r="C6" i="84"/>
  <c r="C6" i="83"/>
  <c r="C6" i="82"/>
  <c r="C6" i="81"/>
  <c r="C6" i="80"/>
  <c r="H130" i="97"/>
  <c r="H128" i="97"/>
  <c r="G130" i="97"/>
  <c r="G128" i="97"/>
  <c r="F130" i="97"/>
  <c r="F128" i="97"/>
  <c r="E130" i="97"/>
  <c r="E128" i="97"/>
  <c r="D130" i="97"/>
  <c r="D128" i="97"/>
  <c r="C130" i="97"/>
  <c r="C128" i="97"/>
  <c r="B130" i="97"/>
  <c r="B128" i="97"/>
  <c r="I9" i="100"/>
  <c r="I8" i="100"/>
  <c r="I7" i="100"/>
  <c r="I6" i="100"/>
  <c r="I5" i="100"/>
  <c r="B10" i="86"/>
  <c r="B10" i="85"/>
  <c r="B10" i="84"/>
  <c r="B10" i="83"/>
  <c r="B10" i="82"/>
  <c r="B10" i="81"/>
  <c r="B10" i="80"/>
  <c r="H24" i="97"/>
  <c r="G24" i="97"/>
  <c r="F24" i="97"/>
  <c r="E24" i="97"/>
  <c r="D24" i="97"/>
  <c r="C24" i="97"/>
  <c r="B24" i="97"/>
  <c r="H10" i="105"/>
  <c r="G10" i="105"/>
  <c r="F10" i="105"/>
  <c r="E10" i="105"/>
  <c r="D10" i="105"/>
  <c r="C10" i="105"/>
  <c r="B10" i="105"/>
  <c r="D6" i="105"/>
  <c r="F5" i="105"/>
  <c r="B5" i="105"/>
  <c r="A2" i="105"/>
  <c r="I42" i="61"/>
  <c r="C149" i="58"/>
  <c r="C156" i="58" s="1"/>
  <c r="D153" i="58"/>
  <c r="D153" i="55"/>
  <c r="D153" i="56"/>
  <c r="S44" i="96"/>
  <c r="H40" i="98"/>
  <c r="G40" i="98"/>
  <c r="F40" i="98"/>
  <c r="E40" i="98"/>
  <c r="D40" i="98"/>
  <c r="C40" i="98"/>
  <c r="B40" i="98"/>
  <c r="B148" i="97"/>
  <c r="F21" i="89"/>
  <c r="F20" i="89"/>
  <c r="F19" i="89"/>
  <c r="F17" i="89"/>
  <c r="F16" i="89"/>
  <c r="H146" i="54"/>
  <c r="H144" i="54"/>
  <c r="H142" i="54"/>
  <c r="H141" i="54"/>
  <c r="H139" i="54"/>
  <c r="H138" i="54"/>
  <c r="G146" i="54"/>
  <c r="G144" i="54"/>
  <c r="G142" i="54"/>
  <c r="G141" i="54"/>
  <c r="G139" i="54"/>
  <c r="G138" i="54"/>
  <c r="F146" i="54"/>
  <c r="F144" i="54"/>
  <c r="F142" i="54"/>
  <c r="F141" i="54"/>
  <c r="F139" i="54"/>
  <c r="F138" i="54"/>
  <c r="E146" i="54"/>
  <c r="E144" i="54"/>
  <c r="E142" i="54"/>
  <c r="E141" i="54"/>
  <c r="E139" i="54"/>
  <c r="E138" i="54"/>
  <c r="D146" i="54"/>
  <c r="D142" i="54"/>
  <c r="D141" i="54"/>
  <c r="D139" i="54"/>
  <c r="H137" i="54"/>
  <c r="G137" i="54"/>
  <c r="F137" i="54"/>
  <c r="E137" i="54"/>
  <c r="D137" i="54"/>
  <c r="C137" i="54"/>
  <c r="B137" i="54"/>
  <c r="H146" i="58"/>
  <c r="H144" i="58"/>
  <c r="H142" i="58"/>
  <c r="H141" i="58"/>
  <c r="H139" i="58"/>
  <c r="H138" i="58"/>
  <c r="G146" i="58"/>
  <c r="G144" i="58"/>
  <c r="G142" i="58"/>
  <c r="G141" i="58"/>
  <c r="G139" i="58"/>
  <c r="G138" i="58"/>
  <c r="F146" i="58"/>
  <c r="F144" i="58"/>
  <c r="F142" i="58"/>
  <c r="F141" i="58"/>
  <c r="F139" i="58"/>
  <c r="F138" i="58"/>
  <c r="E146" i="58"/>
  <c r="E144" i="58"/>
  <c r="E142" i="58"/>
  <c r="E141" i="58"/>
  <c r="E139" i="58"/>
  <c r="E138" i="58"/>
  <c r="D146" i="58"/>
  <c r="D142" i="58"/>
  <c r="D141" i="58"/>
  <c r="D139" i="58"/>
  <c r="H137" i="58"/>
  <c r="G137" i="58"/>
  <c r="F137" i="58"/>
  <c r="E137" i="58"/>
  <c r="D137" i="58"/>
  <c r="C137" i="58"/>
  <c r="B137" i="58"/>
  <c r="H146" i="57"/>
  <c r="H144" i="57"/>
  <c r="H142" i="57"/>
  <c r="H141" i="57"/>
  <c r="H139" i="57"/>
  <c r="H138" i="57"/>
  <c r="G146" i="57"/>
  <c r="G144" i="57"/>
  <c r="G142" i="57"/>
  <c r="G141" i="57"/>
  <c r="G139" i="57"/>
  <c r="G138" i="57"/>
  <c r="F146" i="57"/>
  <c r="F144" i="57"/>
  <c r="F142" i="57"/>
  <c r="F141" i="57"/>
  <c r="F139" i="57"/>
  <c r="F138" i="57"/>
  <c r="E146" i="57"/>
  <c r="E144" i="57"/>
  <c r="E142" i="57"/>
  <c r="E141" i="57"/>
  <c r="E139" i="57"/>
  <c r="E138" i="57"/>
  <c r="D146" i="57"/>
  <c r="D142" i="57"/>
  <c r="D141" i="57"/>
  <c r="D139" i="57"/>
  <c r="H137" i="57"/>
  <c r="G137" i="57"/>
  <c r="F137" i="57"/>
  <c r="E137" i="57"/>
  <c r="D137" i="57"/>
  <c r="C137" i="57"/>
  <c r="B137" i="57"/>
  <c r="H146" i="55"/>
  <c r="H144" i="55"/>
  <c r="H142" i="55"/>
  <c r="H141" i="55"/>
  <c r="H139" i="55"/>
  <c r="H138" i="55"/>
  <c r="G146" i="55"/>
  <c r="G144" i="55"/>
  <c r="G142" i="55"/>
  <c r="G141" i="55"/>
  <c r="G139" i="55"/>
  <c r="G138" i="55"/>
  <c r="F146" i="55"/>
  <c r="F144" i="55"/>
  <c r="F142" i="55"/>
  <c r="F141" i="55"/>
  <c r="F139" i="55"/>
  <c r="F138" i="55"/>
  <c r="E146" i="55"/>
  <c r="E144" i="55"/>
  <c r="E142" i="55"/>
  <c r="E141" i="55"/>
  <c r="E139" i="55"/>
  <c r="E138" i="55"/>
  <c r="D146" i="55"/>
  <c r="D142" i="55"/>
  <c r="D141" i="55"/>
  <c r="D139" i="55"/>
  <c r="H137" i="55"/>
  <c r="G137" i="55"/>
  <c r="F137" i="55"/>
  <c r="E137" i="55"/>
  <c r="D137" i="55"/>
  <c r="C137" i="55"/>
  <c r="B137" i="55"/>
  <c r="H146" i="56"/>
  <c r="H144" i="56"/>
  <c r="H142" i="56"/>
  <c r="H141" i="56"/>
  <c r="H139" i="56"/>
  <c r="H138" i="56"/>
  <c r="G146" i="56"/>
  <c r="G144" i="56"/>
  <c r="G142" i="56"/>
  <c r="G141" i="56"/>
  <c r="G139" i="56"/>
  <c r="G138" i="56"/>
  <c r="F146" i="56"/>
  <c r="F144" i="56"/>
  <c r="F142" i="56"/>
  <c r="F141" i="56"/>
  <c r="F139" i="56"/>
  <c r="F138" i="56"/>
  <c r="E146" i="56"/>
  <c r="E144" i="56"/>
  <c r="E142" i="56"/>
  <c r="E141" i="56"/>
  <c r="E139" i="56"/>
  <c r="E138" i="56"/>
  <c r="D146" i="56"/>
  <c r="D142" i="56"/>
  <c r="D141" i="56"/>
  <c r="D139" i="56"/>
  <c r="H137" i="56"/>
  <c r="G137" i="56"/>
  <c r="F137" i="56"/>
  <c r="E137" i="56"/>
  <c r="D137" i="56"/>
  <c r="C137" i="56"/>
  <c r="B137" i="56"/>
  <c r="H146" i="52"/>
  <c r="H144" i="52"/>
  <c r="H142" i="52"/>
  <c r="H141" i="52"/>
  <c r="H139" i="52"/>
  <c r="H138" i="52"/>
  <c r="G146" i="52"/>
  <c r="G144" i="52"/>
  <c r="G142" i="52"/>
  <c r="G141" i="52"/>
  <c r="G139" i="52"/>
  <c r="G138" i="52"/>
  <c r="F146" i="52"/>
  <c r="F144" i="52"/>
  <c r="F142" i="52"/>
  <c r="F141" i="52"/>
  <c r="F139" i="52"/>
  <c r="F138" i="52"/>
  <c r="E146" i="52"/>
  <c r="E144" i="52"/>
  <c r="E142" i="52"/>
  <c r="E141" i="52"/>
  <c r="E139" i="52"/>
  <c r="E138" i="52"/>
  <c r="D146" i="52"/>
  <c r="D142" i="52"/>
  <c r="D141" i="52"/>
  <c r="D139" i="52"/>
  <c r="H137" i="52"/>
  <c r="G137" i="52"/>
  <c r="F137" i="52"/>
  <c r="E137" i="52"/>
  <c r="D137" i="52"/>
  <c r="C137" i="52"/>
  <c r="B137" i="52"/>
  <c r="H146" i="53"/>
  <c r="H144" i="53"/>
  <c r="H142" i="53"/>
  <c r="H141" i="53"/>
  <c r="H139" i="53"/>
  <c r="H138" i="53"/>
  <c r="G146" i="53"/>
  <c r="G144" i="53"/>
  <c r="G142" i="53"/>
  <c r="G141" i="53"/>
  <c r="G139" i="53"/>
  <c r="G138" i="53"/>
  <c r="F146" i="53"/>
  <c r="F144" i="53"/>
  <c r="F142" i="53"/>
  <c r="F141" i="53"/>
  <c r="F139" i="53"/>
  <c r="F138" i="53"/>
  <c r="E146" i="53"/>
  <c r="E144" i="53"/>
  <c r="E142" i="53"/>
  <c r="E141" i="53"/>
  <c r="E139" i="53"/>
  <c r="E138" i="53"/>
  <c r="D146" i="53"/>
  <c r="D142" i="53"/>
  <c r="D141" i="53"/>
  <c r="D139" i="53"/>
  <c r="H137" i="53"/>
  <c r="G137" i="53"/>
  <c r="F137" i="53"/>
  <c r="E137" i="53"/>
  <c r="D137" i="53"/>
  <c r="C137" i="53"/>
  <c r="B137" i="53"/>
  <c r="B7" i="86"/>
  <c r="B9" i="54"/>
  <c r="B98" i="54" s="1"/>
  <c r="B2" i="78"/>
  <c r="B16" i="95" s="1"/>
  <c r="B7" i="85"/>
  <c r="B9" i="58"/>
  <c r="G98" i="58" s="1"/>
  <c r="B2" i="77"/>
  <c r="B7" i="84"/>
  <c r="B9" i="57"/>
  <c r="D98" i="57" s="1"/>
  <c r="B2" i="76"/>
  <c r="B7" i="83"/>
  <c r="B9" i="55"/>
  <c r="H98" i="55" s="1"/>
  <c r="B2" i="75"/>
  <c r="B7" i="82"/>
  <c r="B9" i="56"/>
  <c r="F98" i="56" s="1"/>
  <c r="B2" i="74"/>
  <c r="B7" i="81"/>
  <c r="B9" i="52"/>
  <c r="B2" i="73"/>
  <c r="B7" i="80"/>
  <c r="B9" i="53"/>
  <c r="G98" i="53" s="1"/>
  <c r="B2" i="72"/>
  <c r="E102" i="99"/>
  <c r="E99" i="99"/>
  <c r="D102" i="99"/>
  <c r="D99" i="99"/>
  <c r="C102" i="99"/>
  <c r="C99" i="99"/>
  <c r="B102" i="99"/>
  <c r="B99" i="99"/>
  <c r="B87" i="99"/>
  <c r="C87" i="99"/>
  <c r="D87" i="99"/>
  <c r="E87" i="99"/>
  <c r="B28" i="99"/>
  <c r="C28" i="99" s="1"/>
  <c r="E22" i="99"/>
  <c r="D22" i="99"/>
  <c r="C22" i="99"/>
  <c r="B22" i="99"/>
  <c r="B12" i="99"/>
  <c r="D26" i="99" s="1"/>
  <c r="B6" i="99"/>
  <c r="B5" i="99"/>
  <c r="B150" i="99" s="1"/>
  <c r="B151" i="99" s="1"/>
  <c r="H136" i="97"/>
  <c r="H135" i="97"/>
  <c r="H134" i="97"/>
  <c r="G136" i="97"/>
  <c r="G135" i="97"/>
  <c r="G134" i="97"/>
  <c r="F136" i="97"/>
  <c r="F135" i="97"/>
  <c r="F134" i="97"/>
  <c r="E136" i="97"/>
  <c r="E135" i="97"/>
  <c r="E134" i="97"/>
  <c r="D136" i="97"/>
  <c r="D135" i="97"/>
  <c r="D134" i="97"/>
  <c r="C136" i="97"/>
  <c r="C135" i="97"/>
  <c r="C134" i="97"/>
  <c r="B136" i="97"/>
  <c r="B135" i="97"/>
  <c r="B134" i="97"/>
  <c r="H101" i="97"/>
  <c r="G101" i="97"/>
  <c r="F101" i="97"/>
  <c r="E101" i="97"/>
  <c r="D101" i="97"/>
  <c r="C101" i="97"/>
  <c r="B101" i="97"/>
  <c r="H55" i="97"/>
  <c r="G55" i="97"/>
  <c r="F55" i="97"/>
  <c r="E55" i="97"/>
  <c r="D55" i="97"/>
  <c r="C55" i="97"/>
  <c r="B55" i="97"/>
  <c r="B4" i="86"/>
  <c r="C4" i="86" s="1"/>
  <c r="B4" i="85"/>
  <c r="C4" i="85" s="1"/>
  <c r="B4" i="84"/>
  <c r="B4" i="83"/>
  <c r="B4" i="82"/>
  <c r="B4" i="81"/>
  <c r="B4" i="80"/>
  <c r="B6" i="86"/>
  <c r="D6" i="86" s="1"/>
  <c r="B6" i="85"/>
  <c r="D6" i="85" s="1"/>
  <c r="B6" i="84"/>
  <c r="D6" i="84" s="1"/>
  <c r="B6" i="83"/>
  <c r="D6" i="83" s="1"/>
  <c r="B6" i="82"/>
  <c r="D6" i="82" s="1"/>
  <c r="B6" i="81"/>
  <c r="D6" i="81" s="1"/>
  <c r="B6" i="80"/>
  <c r="D6" i="80" s="1"/>
  <c r="B49" i="61"/>
  <c r="H43" i="61" s="1"/>
  <c r="B14" i="61"/>
  <c r="B12" i="61"/>
  <c r="B11" i="61"/>
  <c r="B10" i="61"/>
  <c r="B4" i="61"/>
  <c r="C26" i="61" s="1"/>
  <c r="B10" i="97"/>
  <c r="B11" i="97" s="1"/>
  <c r="E37" i="100" s="1"/>
  <c r="B48" i="86"/>
  <c r="B54" i="86"/>
  <c r="B48" i="85"/>
  <c r="B54" i="85"/>
  <c r="B48" i="84"/>
  <c r="B54" i="84"/>
  <c r="B48" i="83"/>
  <c r="B54" i="83"/>
  <c r="B48" i="82"/>
  <c r="B54" i="82"/>
  <c r="B48" i="81"/>
  <c r="B54" i="81"/>
  <c r="B48" i="80"/>
  <c r="B54" i="80"/>
  <c r="S3" i="96"/>
  <c r="S4" i="96"/>
  <c r="S5" i="96"/>
  <c r="S6" i="96"/>
  <c r="S7" i="96"/>
  <c r="S8" i="96"/>
  <c r="C36" i="61" s="1"/>
  <c r="B35" i="80" s="1"/>
  <c r="C52" i="80" s="1"/>
  <c r="S9" i="96"/>
  <c r="S10" i="96"/>
  <c r="S11" i="96"/>
  <c r="S12" i="96"/>
  <c r="S13" i="96"/>
  <c r="S14" i="96"/>
  <c r="S15" i="96"/>
  <c r="F36" i="61" s="1"/>
  <c r="B35" i="83" s="1"/>
  <c r="C52" i="83" s="1"/>
  <c r="S16" i="96"/>
  <c r="S17" i="96"/>
  <c r="S18" i="96"/>
  <c r="S19" i="96"/>
  <c r="S20" i="96"/>
  <c r="S21" i="96"/>
  <c r="S22" i="96"/>
  <c r="E36" i="61" s="1"/>
  <c r="B35" i="82" s="1"/>
  <c r="C52" i="82" s="1"/>
  <c r="S23" i="96"/>
  <c r="S24" i="96"/>
  <c r="S25" i="96"/>
  <c r="S26" i="96"/>
  <c r="S27" i="96"/>
  <c r="S28" i="96"/>
  <c r="S29" i="96"/>
  <c r="H36" i="61" s="1"/>
  <c r="B35" i="85" s="1"/>
  <c r="C52" i="85" s="1"/>
  <c r="S30" i="96"/>
  <c r="S31" i="96"/>
  <c r="S32" i="96"/>
  <c r="S33" i="96"/>
  <c r="S34" i="96"/>
  <c r="S35" i="96"/>
  <c r="S36" i="96"/>
  <c r="D36" i="61" s="1"/>
  <c r="B35" i="81" s="1"/>
  <c r="C52" i="81" s="1"/>
  <c r="S37" i="96"/>
  <c r="S38" i="96"/>
  <c r="S39" i="96"/>
  <c r="S40" i="96"/>
  <c r="S41" i="96"/>
  <c r="S42" i="96"/>
  <c r="S43" i="96"/>
  <c r="S45" i="96"/>
  <c r="S46" i="96"/>
  <c r="S47" i="96"/>
  <c r="S48" i="96"/>
  <c r="S49" i="96"/>
  <c r="S50" i="96"/>
  <c r="S51" i="96"/>
  <c r="I36" i="61" s="1"/>
  <c r="B35" i="86" s="1"/>
  <c r="C52" i="86" s="1"/>
  <c r="S2" i="96"/>
  <c r="B6" i="61"/>
  <c r="B5" i="61"/>
  <c r="B23" i="95"/>
  <c r="H57" i="94"/>
  <c r="H55" i="94"/>
  <c r="H90" i="97" s="1"/>
  <c r="G57" i="94"/>
  <c r="G55" i="94"/>
  <c r="G90" i="97" s="1"/>
  <c r="F57" i="94"/>
  <c r="F55" i="94"/>
  <c r="F90" i="97" s="1"/>
  <c r="E57" i="94"/>
  <c r="E55" i="94"/>
  <c r="E90" i="97" s="1"/>
  <c r="D57" i="94"/>
  <c r="D55" i="94"/>
  <c r="D90" i="97" s="1"/>
  <c r="C57" i="94"/>
  <c r="C55" i="94"/>
  <c r="C90" i="97" s="1"/>
  <c r="B57" i="94"/>
  <c r="B55" i="94"/>
  <c r="B90" i="97" s="1"/>
  <c r="J42" i="94"/>
  <c r="I42" i="94"/>
  <c r="H42" i="94"/>
  <c r="G42" i="94"/>
  <c r="E42" i="94"/>
  <c r="C42" i="94"/>
  <c r="B42" i="94"/>
  <c r="A42" i="94"/>
  <c r="J41" i="94"/>
  <c r="I41" i="94"/>
  <c r="H41" i="94"/>
  <c r="G41" i="94"/>
  <c r="E41" i="94"/>
  <c r="C41" i="94"/>
  <c r="B41" i="94"/>
  <c r="A41" i="94"/>
  <c r="J40" i="94"/>
  <c r="I40" i="94"/>
  <c r="H40" i="94"/>
  <c r="G40" i="94"/>
  <c r="E40" i="94"/>
  <c r="C40" i="94"/>
  <c r="B40" i="94"/>
  <c r="A40" i="94"/>
  <c r="J39" i="94"/>
  <c r="I39" i="94"/>
  <c r="H39" i="94"/>
  <c r="G39" i="94"/>
  <c r="E39" i="94"/>
  <c r="C39" i="94"/>
  <c r="B39" i="94"/>
  <c r="A39" i="94"/>
  <c r="J38" i="94"/>
  <c r="I38" i="94"/>
  <c r="H38" i="94"/>
  <c r="G38" i="94"/>
  <c r="E38" i="94"/>
  <c r="C38" i="94"/>
  <c r="B38" i="94"/>
  <c r="A38" i="94"/>
  <c r="J37" i="94"/>
  <c r="I37" i="94"/>
  <c r="H37" i="94"/>
  <c r="G37" i="94"/>
  <c r="E37" i="94"/>
  <c r="C37" i="94"/>
  <c r="B37" i="94"/>
  <c r="A37" i="94"/>
  <c r="J36" i="94"/>
  <c r="I36" i="94"/>
  <c r="H36" i="94"/>
  <c r="G36" i="94"/>
  <c r="E36" i="94"/>
  <c r="C36" i="94"/>
  <c r="B36" i="94"/>
  <c r="A36" i="94"/>
  <c r="J35" i="94"/>
  <c r="I35" i="94"/>
  <c r="H35" i="94"/>
  <c r="G35" i="94"/>
  <c r="E35" i="94"/>
  <c r="C35" i="94"/>
  <c r="B35" i="94"/>
  <c r="A35" i="94"/>
  <c r="J34" i="94"/>
  <c r="I34" i="94"/>
  <c r="H34" i="94"/>
  <c r="G34" i="94"/>
  <c r="E34" i="94"/>
  <c r="C34" i="94"/>
  <c r="B34" i="94"/>
  <c r="A34" i="94"/>
  <c r="J33" i="94"/>
  <c r="I33" i="94"/>
  <c r="H33" i="94"/>
  <c r="G33" i="94"/>
  <c r="E33" i="94"/>
  <c r="C33" i="94"/>
  <c r="B33" i="94"/>
  <c r="A33" i="94"/>
  <c r="J32" i="94"/>
  <c r="I32" i="94"/>
  <c r="H32" i="94"/>
  <c r="G32" i="94"/>
  <c r="E32" i="94"/>
  <c r="C32" i="94"/>
  <c r="B32" i="94"/>
  <c r="A32" i="94"/>
  <c r="J31" i="94"/>
  <c r="I31" i="94"/>
  <c r="H31" i="94"/>
  <c r="G31" i="94"/>
  <c r="E31" i="94"/>
  <c r="C31" i="94"/>
  <c r="B31" i="94"/>
  <c r="A31" i="94"/>
  <c r="J30" i="94"/>
  <c r="I30" i="94"/>
  <c r="H30" i="94"/>
  <c r="G30" i="94"/>
  <c r="E30" i="94"/>
  <c r="C30" i="94"/>
  <c r="B30" i="94"/>
  <c r="A30" i="94"/>
  <c r="J29" i="94"/>
  <c r="I29" i="94"/>
  <c r="H29" i="94"/>
  <c r="G29" i="94"/>
  <c r="E29" i="94"/>
  <c r="C29" i="94"/>
  <c r="B29" i="94"/>
  <c r="A29" i="94"/>
  <c r="J28" i="94"/>
  <c r="I28" i="94"/>
  <c r="H28" i="94"/>
  <c r="G28" i="94"/>
  <c r="E28" i="94"/>
  <c r="C28" i="94"/>
  <c r="B28" i="94"/>
  <c r="A28" i="94"/>
  <c r="J27" i="94"/>
  <c r="I27" i="94"/>
  <c r="H27" i="94"/>
  <c r="G27" i="94"/>
  <c r="E27" i="94"/>
  <c r="C27" i="94"/>
  <c r="B27" i="94"/>
  <c r="A27" i="94"/>
  <c r="J26" i="94"/>
  <c r="I26" i="94"/>
  <c r="H26" i="94"/>
  <c r="G26" i="94"/>
  <c r="E26" i="94"/>
  <c r="C26" i="94"/>
  <c r="B26" i="94"/>
  <c r="A26" i="94"/>
  <c r="J25" i="94"/>
  <c r="I25" i="94"/>
  <c r="H25" i="94"/>
  <c r="G25" i="94"/>
  <c r="E25" i="94"/>
  <c r="C25" i="94"/>
  <c r="B25" i="94"/>
  <c r="A25" i="94"/>
  <c r="J24" i="94"/>
  <c r="I24" i="94"/>
  <c r="H24" i="94"/>
  <c r="G24" i="94"/>
  <c r="E24" i="94"/>
  <c r="C24" i="94"/>
  <c r="B24" i="94"/>
  <c r="A24" i="94"/>
  <c r="J23" i="94"/>
  <c r="I23" i="94"/>
  <c r="H23" i="94"/>
  <c r="G23" i="94"/>
  <c r="E23" i="94"/>
  <c r="C23" i="94"/>
  <c r="B23" i="94"/>
  <c r="A23" i="94"/>
  <c r="J22" i="94"/>
  <c r="I22" i="94"/>
  <c r="H22" i="94"/>
  <c r="G22" i="94"/>
  <c r="E22" i="94"/>
  <c r="C22" i="94"/>
  <c r="B22" i="94"/>
  <c r="A22" i="94"/>
  <c r="J21" i="94"/>
  <c r="I21" i="94"/>
  <c r="H21" i="94"/>
  <c r="G21" i="94"/>
  <c r="E21" i="94"/>
  <c r="C21" i="94"/>
  <c r="B21" i="94"/>
  <c r="A21" i="94"/>
  <c r="J20" i="94"/>
  <c r="I20" i="94"/>
  <c r="H20" i="94"/>
  <c r="G20" i="94"/>
  <c r="E20" i="94"/>
  <c r="C20" i="94"/>
  <c r="B20" i="94"/>
  <c r="A20" i="94"/>
  <c r="J19" i="94"/>
  <c r="I19" i="94"/>
  <c r="H19" i="94"/>
  <c r="G19" i="94"/>
  <c r="E19" i="94"/>
  <c r="C19" i="94"/>
  <c r="B19" i="94"/>
  <c r="A19" i="94"/>
  <c r="J18" i="94"/>
  <c r="I18" i="94"/>
  <c r="H18" i="94"/>
  <c r="G18" i="94"/>
  <c r="E18" i="94"/>
  <c r="C18" i="94"/>
  <c r="B18" i="94"/>
  <c r="A18" i="94"/>
  <c r="J17" i="94"/>
  <c r="I17" i="94"/>
  <c r="H17" i="94"/>
  <c r="G17" i="94"/>
  <c r="E17" i="94"/>
  <c r="C17" i="94"/>
  <c r="B17" i="94"/>
  <c r="A17" i="94"/>
  <c r="J16" i="94"/>
  <c r="I16" i="94"/>
  <c r="H16" i="94"/>
  <c r="G16" i="94"/>
  <c r="E16" i="94"/>
  <c r="C16" i="94"/>
  <c r="B16" i="94"/>
  <c r="A16" i="94"/>
  <c r="J15" i="94"/>
  <c r="I15" i="94"/>
  <c r="H15" i="94"/>
  <c r="G15" i="94"/>
  <c r="E15" i="94"/>
  <c r="C15" i="94"/>
  <c r="B15" i="94"/>
  <c r="A15" i="94"/>
  <c r="J14" i="94"/>
  <c r="I14" i="94"/>
  <c r="H14" i="94"/>
  <c r="G14" i="94"/>
  <c r="E14" i="94"/>
  <c r="C14" i="94"/>
  <c r="B14" i="94"/>
  <c r="A14" i="94"/>
  <c r="J13" i="94"/>
  <c r="I13" i="94"/>
  <c r="H13" i="94"/>
  <c r="G13" i="94"/>
  <c r="E13" i="94"/>
  <c r="C13" i="94"/>
  <c r="B13" i="94"/>
  <c r="A13" i="94"/>
  <c r="J12" i="94"/>
  <c r="I12" i="94"/>
  <c r="H12" i="94"/>
  <c r="G12" i="94"/>
  <c r="E12" i="94"/>
  <c r="C12" i="94"/>
  <c r="B12" i="94"/>
  <c r="A12" i="94"/>
  <c r="J11" i="94"/>
  <c r="I11" i="94"/>
  <c r="H11" i="94"/>
  <c r="G11" i="94"/>
  <c r="E11" i="94"/>
  <c r="C11" i="94"/>
  <c r="B11" i="94"/>
  <c r="A11" i="94"/>
  <c r="J10" i="94"/>
  <c r="I10" i="94"/>
  <c r="H10" i="94"/>
  <c r="G10" i="94"/>
  <c r="E10" i="94"/>
  <c r="C10" i="94"/>
  <c r="B10" i="94"/>
  <c r="A10" i="94"/>
  <c r="J9" i="94"/>
  <c r="I9" i="94"/>
  <c r="H9" i="94"/>
  <c r="G9" i="94"/>
  <c r="E9" i="94"/>
  <c r="C9" i="94"/>
  <c r="B9" i="94"/>
  <c r="A9" i="94"/>
  <c r="J8" i="94"/>
  <c r="I8" i="94"/>
  <c r="H8" i="94"/>
  <c r="G8" i="94"/>
  <c r="E8" i="94"/>
  <c r="C8" i="94"/>
  <c r="B8" i="94"/>
  <c r="A8" i="94"/>
  <c r="J7" i="94"/>
  <c r="I7" i="94"/>
  <c r="H7" i="94"/>
  <c r="G7" i="94"/>
  <c r="E7" i="94"/>
  <c r="C7" i="94"/>
  <c r="B7" i="94"/>
  <c r="A7" i="94"/>
  <c r="J6" i="94"/>
  <c r="I6" i="94"/>
  <c r="H6" i="94"/>
  <c r="G6" i="94"/>
  <c r="E6" i="94"/>
  <c r="C6" i="94"/>
  <c r="B6" i="94"/>
  <c r="A6" i="94"/>
  <c r="J5" i="94"/>
  <c r="I5" i="94"/>
  <c r="H5" i="94"/>
  <c r="G5" i="94"/>
  <c r="E5" i="94"/>
  <c r="C5" i="94"/>
  <c r="B5" i="94"/>
  <c r="A5" i="94"/>
  <c r="D141" i="93"/>
  <c r="AN79" i="93"/>
  <c r="AM79" i="93"/>
  <c r="AL79" i="93"/>
  <c r="AK79" i="93"/>
  <c r="AJ79" i="93"/>
  <c r="AI79" i="93"/>
  <c r="AH79" i="93"/>
  <c r="AG79" i="93"/>
  <c r="AF79" i="93"/>
  <c r="AE79" i="93"/>
  <c r="AD79" i="93"/>
  <c r="AC79" i="93"/>
  <c r="AB79" i="93"/>
  <c r="AA79" i="93"/>
  <c r="Z79" i="93"/>
  <c r="Y79" i="93"/>
  <c r="X79" i="93"/>
  <c r="W79" i="93"/>
  <c r="V79" i="93"/>
  <c r="U79" i="93"/>
  <c r="T79" i="93"/>
  <c r="S79" i="93"/>
  <c r="R79" i="93"/>
  <c r="Q79" i="93"/>
  <c r="P79" i="93"/>
  <c r="O79" i="93"/>
  <c r="N79" i="93"/>
  <c r="M79" i="93"/>
  <c r="L79" i="93"/>
  <c r="K79" i="93"/>
  <c r="J79" i="93"/>
  <c r="I79" i="93"/>
  <c r="H79" i="93"/>
  <c r="G79" i="93"/>
  <c r="F79" i="93"/>
  <c r="E79" i="93"/>
  <c r="D79" i="93"/>
  <c r="C79" i="93"/>
  <c r="B79" i="93"/>
  <c r="A79" i="93"/>
  <c r="AN78" i="93"/>
  <c r="AM78" i="93"/>
  <c r="AL78" i="93"/>
  <c r="AK78" i="93"/>
  <c r="AJ78" i="93"/>
  <c r="AI78" i="93"/>
  <c r="AH78" i="93"/>
  <c r="AG78" i="93"/>
  <c r="AF78" i="93"/>
  <c r="AE78" i="93"/>
  <c r="AD78" i="93"/>
  <c r="AC78" i="93"/>
  <c r="AB78" i="93"/>
  <c r="AA78" i="93"/>
  <c r="Z78" i="93"/>
  <c r="Y78" i="93"/>
  <c r="X78" i="93"/>
  <c r="W78" i="93"/>
  <c r="V78" i="93"/>
  <c r="U78" i="93"/>
  <c r="T78" i="93"/>
  <c r="S78" i="93"/>
  <c r="R78" i="93"/>
  <c r="Q78" i="93"/>
  <c r="P78" i="93"/>
  <c r="O78" i="93"/>
  <c r="N78" i="93"/>
  <c r="M78" i="93"/>
  <c r="L78" i="93"/>
  <c r="K78" i="93"/>
  <c r="J78" i="93"/>
  <c r="I78" i="93"/>
  <c r="H78" i="93"/>
  <c r="G78" i="93"/>
  <c r="F78" i="93"/>
  <c r="E78" i="93"/>
  <c r="D78" i="93"/>
  <c r="C78" i="93"/>
  <c r="B78" i="93"/>
  <c r="A78" i="93"/>
  <c r="AN77" i="93"/>
  <c r="AM77" i="93"/>
  <c r="AL77" i="93"/>
  <c r="AK77" i="93"/>
  <c r="AJ77" i="93"/>
  <c r="AI77" i="93"/>
  <c r="AH77" i="93"/>
  <c r="AG77" i="93"/>
  <c r="AF77" i="93"/>
  <c r="AE77" i="93"/>
  <c r="AD77" i="93"/>
  <c r="AC77" i="93"/>
  <c r="AB77" i="93"/>
  <c r="AA77" i="93"/>
  <c r="Z77" i="93"/>
  <c r="Y77" i="93"/>
  <c r="X77" i="93"/>
  <c r="W77" i="93"/>
  <c r="V77" i="93"/>
  <c r="U77" i="93"/>
  <c r="T77" i="93"/>
  <c r="S77" i="93"/>
  <c r="R77" i="93"/>
  <c r="Q77" i="93"/>
  <c r="P77" i="93"/>
  <c r="O77" i="93"/>
  <c r="N77" i="93"/>
  <c r="M77" i="93"/>
  <c r="L77" i="93"/>
  <c r="K77" i="93"/>
  <c r="J77" i="93"/>
  <c r="I77" i="93"/>
  <c r="H77" i="93"/>
  <c r="G77" i="93"/>
  <c r="F77" i="93"/>
  <c r="E77" i="93"/>
  <c r="D77" i="93"/>
  <c r="C77" i="93"/>
  <c r="B77" i="93"/>
  <c r="A77" i="93"/>
  <c r="AN76" i="93"/>
  <c r="AM76" i="93"/>
  <c r="AL76" i="93"/>
  <c r="AK76" i="93"/>
  <c r="AJ76" i="93"/>
  <c r="AI76" i="93"/>
  <c r="AH76" i="93"/>
  <c r="AG76" i="93"/>
  <c r="AF76" i="93"/>
  <c r="AE76" i="93"/>
  <c r="AD76" i="93"/>
  <c r="AC76" i="93"/>
  <c r="AB76" i="93"/>
  <c r="AA76" i="93"/>
  <c r="Z76" i="93"/>
  <c r="Y76" i="93"/>
  <c r="X76" i="93"/>
  <c r="W76" i="93"/>
  <c r="V76" i="93"/>
  <c r="U76" i="93"/>
  <c r="T76" i="93"/>
  <c r="S76" i="93"/>
  <c r="R76" i="93"/>
  <c r="Q76" i="93"/>
  <c r="P76" i="93"/>
  <c r="O76" i="93"/>
  <c r="N76" i="93"/>
  <c r="M76" i="93"/>
  <c r="L76" i="93"/>
  <c r="K76" i="93"/>
  <c r="J76" i="93"/>
  <c r="I76" i="93"/>
  <c r="H76" i="93"/>
  <c r="G76" i="93"/>
  <c r="F76" i="93"/>
  <c r="E76" i="93"/>
  <c r="D76" i="93"/>
  <c r="C76" i="93"/>
  <c r="B76" i="93"/>
  <c r="A76" i="93"/>
  <c r="AN75" i="93"/>
  <c r="AM75" i="93"/>
  <c r="AL75" i="93"/>
  <c r="AK75" i="93"/>
  <c r="AJ75" i="93"/>
  <c r="AI75" i="93"/>
  <c r="AH75" i="93"/>
  <c r="AG75" i="93"/>
  <c r="AF75" i="93"/>
  <c r="AE75" i="93"/>
  <c r="AD75" i="93"/>
  <c r="AC75" i="93"/>
  <c r="AB75" i="93"/>
  <c r="AA75" i="93"/>
  <c r="Z75" i="93"/>
  <c r="Y75" i="93"/>
  <c r="X75" i="93"/>
  <c r="W75" i="93"/>
  <c r="V75" i="93"/>
  <c r="U75" i="93"/>
  <c r="T75" i="93"/>
  <c r="S75" i="93"/>
  <c r="R75" i="93"/>
  <c r="Q75" i="93"/>
  <c r="P75" i="93"/>
  <c r="O75" i="93"/>
  <c r="N75" i="93"/>
  <c r="M75" i="93"/>
  <c r="L75" i="93"/>
  <c r="K75" i="93"/>
  <c r="J75" i="93"/>
  <c r="I75" i="93"/>
  <c r="H75" i="93"/>
  <c r="G75" i="93"/>
  <c r="F75" i="93"/>
  <c r="E75" i="93"/>
  <c r="D75" i="93"/>
  <c r="C75" i="93"/>
  <c r="B75" i="93"/>
  <c r="A75" i="93"/>
  <c r="AN74" i="93"/>
  <c r="AM74" i="93"/>
  <c r="AL74" i="93"/>
  <c r="AK74" i="93"/>
  <c r="AJ74" i="93"/>
  <c r="AI74" i="93"/>
  <c r="AH74" i="93"/>
  <c r="AG74" i="93"/>
  <c r="AF74" i="93"/>
  <c r="AE74" i="93"/>
  <c r="AD74" i="93"/>
  <c r="AC74" i="93"/>
  <c r="AB74" i="93"/>
  <c r="AA74" i="93"/>
  <c r="Z74" i="93"/>
  <c r="Y74" i="93"/>
  <c r="X74" i="93"/>
  <c r="W74" i="93"/>
  <c r="V74" i="93"/>
  <c r="U74" i="93"/>
  <c r="T74" i="93"/>
  <c r="S74" i="93"/>
  <c r="R74" i="93"/>
  <c r="Q74" i="93"/>
  <c r="P74" i="93"/>
  <c r="O74" i="93"/>
  <c r="N74" i="93"/>
  <c r="M74" i="93"/>
  <c r="L74" i="93"/>
  <c r="K74" i="93"/>
  <c r="J74" i="93"/>
  <c r="I74" i="93"/>
  <c r="H74" i="93"/>
  <c r="G74" i="93"/>
  <c r="F74" i="93"/>
  <c r="E74" i="93"/>
  <c r="D74" i="93"/>
  <c r="C74" i="93"/>
  <c r="B74" i="93"/>
  <c r="A74" i="93"/>
  <c r="AN73" i="93"/>
  <c r="AM73" i="93"/>
  <c r="AL73" i="93"/>
  <c r="AK73" i="93"/>
  <c r="AJ73" i="93"/>
  <c r="AI73" i="93"/>
  <c r="AH73" i="93"/>
  <c r="AG73" i="93"/>
  <c r="AF73" i="93"/>
  <c r="AE73" i="93"/>
  <c r="AD73" i="93"/>
  <c r="AC73" i="93"/>
  <c r="AB73" i="93"/>
  <c r="AA73" i="93"/>
  <c r="Z73" i="93"/>
  <c r="Y73" i="93"/>
  <c r="X73" i="93"/>
  <c r="W73" i="93"/>
  <c r="V73" i="93"/>
  <c r="U73" i="93"/>
  <c r="T73" i="93"/>
  <c r="S73" i="93"/>
  <c r="R73" i="93"/>
  <c r="Q73" i="93"/>
  <c r="P73" i="93"/>
  <c r="O73" i="93"/>
  <c r="N73" i="93"/>
  <c r="M73" i="93"/>
  <c r="L73" i="93"/>
  <c r="K73" i="93"/>
  <c r="J73" i="93"/>
  <c r="I73" i="93"/>
  <c r="H73" i="93"/>
  <c r="G73" i="93"/>
  <c r="F73" i="93"/>
  <c r="E73" i="93"/>
  <c r="D73" i="93"/>
  <c r="C73" i="93"/>
  <c r="B73" i="93"/>
  <c r="A73" i="93"/>
  <c r="AN72" i="93"/>
  <c r="AM72" i="93"/>
  <c r="AL72" i="93"/>
  <c r="AK72" i="93"/>
  <c r="AJ72" i="93"/>
  <c r="AI72" i="93"/>
  <c r="AH72" i="93"/>
  <c r="AG72" i="93"/>
  <c r="AF72" i="93"/>
  <c r="AE72" i="93"/>
  <c r="AD72" i="93"/>
  <c r="AC72" i="93"/>
  <c r="AB72" i="93"/>
  <c r="AA72" i="93"/>
  <c r="Z72" i="93"/>
  <c r="Y72" i="93"/>
  <c r="X72" i="93"/>
  <c r="W72" i="93"/>
  <c r="V72" i="93"/>
  <c r="U72" i="93"/>
  <c r="T72" i="93"/>
  <c r="S72" i="93"/>
  <c r="R72" i="93"/>
  <c r="Q72" i="93"/>
  <c r="P72" i="93"/>
  <c r="O72" i="93"/>
  <c r="N72" i="93"/>
  <c r="M72" i="93"/>
  <c r="L72" i="93"/>
  <c r="K72" i="93"/>
  <c r="J72" i="93"/>
  <c r="I72" i="93"/>
  <c r="H72" i="93"/>
  <c r="G72" i="93"/>
  <c r="F72" i="93"/>
  <c r="E72" i="93"/>
  <c r="D72" i="93"/>
  <c r="C72" i="93"/>
  <c r="B72" i="93"/>
  <c r="A72" i="93"/>
  <c r="AN71" i="93"/>
  <c r="AM71" i="93"/>
  <c r="AL71" i="93"/>
  <c r="AK71" i="93"/>
  <c r="AJ71" i="93"/>
  <c r="AI71" i="93"/>
  <c r="AH71" i="93"/>
  <c r="AG71" i="93"/>
  <c r="AF71" i="93"/>
  <c r="AE71" i="93"/>
  <c r="AD71" i="93"/>
  <c r="AC71" i="93"/>
  <c r="AB71" i="93"/>
  <c r="AA71" i="93"/>
  <c r="Z71" i="93"/>
  <c r="Y71" i="93"/>
  <c r="X71" i="93"/>
  <c r="W71" i="93"/>
  <c r="V71" i="93"/>
  <c r="U71" i="93"/>
  <c r="T71" i="93"/>
  <c r="S71" i="93"/>
  <c r="R71" i="93"/>
  <c r="Q71" i="93"/>
  <c r="P71" i="93"/>
  <c r="O71" i="93"/>
  <c r="N71" i="93"/>
  <c r="M71" i="93"/>
  <c r="L71" i="93"/>
  <c r="K71" i="93"/>
  <c r="J71" i="93"/>
  <c r="I71" i="93"/>
  <c r="H71" i="93"/>
  <c r="G71" i="93"/>
  <c r="F71" i="93"/>
  <c r="E71" i="93"/>
  <c r="D71" i="93"/>
  <c r="C71" i="93"/>
  <c r="B71" i="93"/>
  <c r="A71" i="93"/>
  <c r="AN70" i="93"/>
  <c r="AM70" i="93"/>
  <c r="AL70" i="93"/>
  <c r="AK70" i="93"/>
  <c r="AJ70" i="93"/>
  <c r="AI70" i="93"/>
  <c r="AH70" i="93"/>
  <c r="AG70" i="93"/>
  <c r="AF70" i="93"/>
  <c r="AE70" i="93"/>
  <c r="AD70" i="93"/>
  <c r="AC70" i="93"/>
  <c r="AB70" i="93"/>
  <c r="AA70" i="93"/>
  <c r="Z70" i="93"/>
  <c r="Y70" i="93"/>
  <c r="X70" i="93"/>
  <c r="W70" i="93"/>
  <c r="V70" i="93"/>
  <c r="U70" i="93"/>
  <c r="T70" i="93"/>
  <c r="S70" i="93"/>
  <c r="R70" i="93"/>
  <c r="Q70" i="93"/>
  <c r="P70" i="93"/>
  <c r="O70" i="93"/>
  <c r="N70" i="93"/>
  <c r="M70" i="93"/>
  <c r="L70" i="93"/>
  <c r="K70" i="93"/>
  <c r="J70" i="93"/>
  <c r="I70" i="93"/>
  <c r="H70" i="93"/>
  <c r="G70" i="93"/>
  <c r="F70" i="93"/>
  <c r="E70" i="93"/>
  <c r="D70" i="93"/>
  <c r="C70" i="93"/>
  <c r="B70" i="93"/>
  <c r="A70" i="93"/>
  <c r="AN69" i="93"/>
  <c r="AM69" i="93"/>
  <c r="AL69" i="93"/>
  <c r="AK69" i="93"/>
  <c r="AJ69" i="93"/>
  <c r="AI69" i="93"/>
  <c r="AH69" i="93"/>
  <c r="AG69" i="93"/>
  <c r="AF69" i="93"/>
  <c r="AE69" i="93"/>
  <c r="AD69" i="93"/>
  <c r="AC69" i="93"/>
  <c r="AB69" i="93"/>
  <c r="AA69" i="93"/>
  <c r="Z69" i="93"/>
  <c r="Y69" i="93"/>
  <c r="X69" i="93"/>
  <c r="W69" i="93"/>
  <c r="V69" i="93"/>
  <c r="U69" i="93"/>
  <c r="T69" i="93"/>
  <c r="S69" i="93"/>
  <c r="R69" i="93"/>
  <c r="Q69" i="93"/>
  <c r="P69" i="93"/>
  <c r="O69" i="93"/>
  <c r="N69" i="93"/>
  <c r="M69" i="93"/>
  <c r="L69" i="93"/>
  <c r="K69" i="93"/>
  <c r="J69" i="93"/>
  <c r="I69" i="93"/>
  <c r="H69" i="93"/>
  <c r="G69" i="93"/>
  <c r="F69" i="93"/>
  <c r="E69" i="93"/>
  <c r="D69" i="93"/>
  <c r="C69" i="93"/>
  <c r="B69" i="93"/>
  <c r="A69" i="93"/>
  <c r="AN68" i="93"/>
  <c r="AM68" i="93"/>
  <c r="AL68" i="93"/>
  <c r="AK68" i="93"/>
  <c r="AJ68" i="93"/>
  <c r="AI68" i="93"/>
  <c r="AH68" i="93"/>
  <c r="AG68" i="93"/>
  <c r="AF68" i="93"/>
  <c r="AE68" i="93"/>
  <c r="AD68" i="93"/>
  <c r="AC68" i="93"/>
  <c r="AB68" i="93"/>
  <c r="AA68" i="93"/>
  <c r="Z68" i="93"/>
  <c r="Y68" i="93"/>
  <c r="X68" i="93"/>
  <c r="W68" i="93"/>
  <c r="V68" i="93"/>
  <c r="U68" i="93"/>
  <c r="T68" i="93"/>
  <c r="S68" i="93"/>
  <c r="R68" i="93"/>
  <c r="Q68" i="93"/>
  <c r="P68" i="93"/>
  <c r="O68" i="93"/>
  <c r="N68" i="93"/>
  <c r="M68" i="93"/>
  <c r="L68" i="93"/>
  <c r="K68" i="93"/>
  <c r="J68" i="93"/>
  <c r="I68" i="93"/>
  <c r="H68" i="93"/>
  <c r="G68" i="93"/>
  <c r="F68" i="93"/>
  <c r="E68" i="93"/>
  <c r="D68" i="93"/>
  <c r="C68" i="93"/>
  <c r="B68" i="93"/>
  <c r="A68" i="93"/>
  <c r="AN67" i="93"/>
  <c r="AM67" i="93"/>
  <c r="AL67" i="93"/>
  <c r="AK67" i="93"/>
  <c r="AJ67" i="93"/>
  <c r="AI67" i="93"/>
  <c r="AH67" i="93"/>
  <c r="AG67" i="93"/>
  <c r="AF67" i="93"/>
  <c r="AE67" i="93"/>
  <c r="AD67" i="93"/>
  <c r="AC67" i="93"/>
  <c r="AB67" i="93"/>
  <c r="AA67" i="93"/>
  <c r="Z67" i="93"/>
  <c r="Y67" i="93"/>
  <c r="X67" i="93"/>
  <c r="W67" i="93"/>
  <c r="V67" i="93"/>
  <c r="U67" i="93"/>
  <c r="T67" i="93"/>
  <c r="S67" i="93"/>
  <c r="R67" i="93"/>
  <c r="Q67" i="93"/>
  <c r="P67" i="93"/>
  <c r="O67" i="93"/>
  <c r="N67" i="93"/>
  <c r="M67" i="93"/>
  <c r="L67" i="93"/>
  <c r="K67" i="93"/>
  <c r="J67" i="93"/>
  <c r="I67" i="93"/>
  <c r="H67" i="93"/>
  <c r="G67" i="93"/>
  <c r="F67" i="93"/>
  <c r="E67" i="93"/>
  <c r="D67" i="93"/>
  <c r="C67" i="93"/>
  <c r="B67" i="93"/>
  <c r="A67" i="93"/>
  <c r="AN66" i="93"/>
  <c r="AM66" i="93"/>
  <c r="AL66" i="93"/>
  <c r="AK66" i="93"/>
  <c r="AJ66" i="93"/>
  <c r="AI66" i="93"/>
  <c r="AH66" i="93"/>
  <c r="AG66" i="93"/>
  <c r="AF66" i="93"/>
  <c r="AE66" i="93"/>
  <c r="AD66" i="93"/>
  <c r="AC66" i="93"/>
  <c r="AB66" i="93"/>
  <c r="AA66" i="93"/>
  <c r="Z66" i="93"/>
  <c r="Y66" i="93"/>
  <c r="X66" i="93"/>
  <c r="W66" i="93"/>
  <c r="V66" i="93"/>
  <c r="U66" i="93"/>
  <c r="T66" i="93"/>
  <c r="S66" i="93"/>
  <c r="R66" i="93"/>
  <c r="Q66" i="93"/>
  <c r="P66" i="93"/>
  <c r="O66" i="93"/>
  <c r="N66" i="93"/>
  <c r="M66" i="93"/>
  <c r="L66" i="93"/>
  <c r="K66" i="93"/>
  <c r="J66" i="93"/>
  <c r="I66" i="93"/>
  <c r="H66" i="93"/>
  <c r="G66" i="93"/>
  <c r="F66" i="93"/>
  <c r="E66" i="93"/>
  <c r="D66" i="93"/>
  <c r="C66" i="93"/>
  <c r="B66" i="93"/>
  <c r="A66" i="93"/>
  <c r="AN65" i="93"/>
  <c r="AM65" i="93"/>
  <c r="AL65" i="93"/>
  <c r="AK65" i="93"/>
  <c r="AJ65" i="93"/>
  <c r="AI65" i="93"/>
  <c r="AH65" i="93"/>
  <c r="AG65" i="93"/>
  <c r="AF65" i="93"/>
  <c r="AE65" i="93"/>
  <c r="AD65" i="93"/>
  <c r="AC65" i="93"/>
  <c r="AB65" i="93"/>
  <c r="AA65" i="93"/>
  <c r="Z65" i="93"/>
  <c r="Y65" i="93"/>
  <c r="X65" i="93"/>
  <c r="W65" i="93"/>
  <c r="V65" i="93"/>
  <c r="U65" i="93"/>
  <c r="T65" i="93"/>
  <c r="S65" i="93"/>
  <c r="R65" i="93"/>
  <c r="Q65" i="93"/>
  <c r="P65" i="93"/>
  <c r="O65" i="93"/>
  <c r="N65" i="93"/>
  <c r="M65" i="93"/>
  <c r="L65" i="93"/>
  <c r="K65" i="93"/>
  <c r="J65" i="93"/>
  <c r="I65" i="93"/>
  <c r="H65" i="93"/>
  <c r="G65" i="93"/>
  <c r="F65" i="93"/>
  <c r="E65" i="93"/>
  <c r="D65" i="93"/>
  <c r="C65" i="93"/>
  <c r="B65" i="93"/>
  <c r="A65" i="93"/>
  <c r="AN64" i="93"/>
  <c r="AM64" i="93"/>
  <c r="AL64" i="93"/>
  <c r="AK64" i="93"/>
  <c r="AJ64" i="93"/>
  <c r="AI64" i="93"/>
  <c r="AH64" i="93"/>
  <c r="AG64" i="93"/>
  <c r="AF64" i="93"/>
  <c r="AE64" i="93"/>
  <c r="AD64" i="93"/>
  <c r="AC64" i="93"/>
  <c r="AB64" i="93"/>
  <c r="AA64" i="93"/>
  <c r="Z64" i="93"/>
  <c r="Y64" i="93"/>
  <c r="X64" i="93"/>
  <c r="W64" i="93"/>
  <c r="V64" i="93"/>
  <c r="U64" i="93"/>
  <c r="T64" i="93"/>
  <c r="S64" i="93"/>
  <c r="R64" i="93"/>
  <c r="Q64" i="93"/>
  <c r="P64" i="93"/>
  <c r="O64" i="93"/>
  <c r="N64" i="93"/>
  <c r="M64" i="93"/>
  <c r="L64" i="93"/>
  <c r="K64" i="93"/>
  <c r="J64" i="93"/>
  <c r="I64" i="93"/>
  <c r="H64" i="93"/>
  <c r="G64" i="93"/>
  <c r="F64" i="93"/>
  <c r="E64" i="93"/>
  <c r="D64" i="93"/>
  <c r="C64" i="93"/>
  <c r="B64" i="93"/>
  <c r="A64" i="93"/>
  <c r="AN63" i="93"/>
  <c r="AM63" i="93"/>
  <c r="AL63" i="93"/>
  <c r="AK63" i="93"/>
  <c r="AJ63" i="93"/>
  <c r="AI63" i="93"/>
  <c r="AH63" i="93"/>
  <c r="AG63" i="93"/>
  <c r="AF63" i="93"/>
  <c r="AE63" i="93"/>
  <c r="AD63" i="93"/>
  <c r="AC63" i="93"/>
  <c r="AB63" i="93"/>
  <c r="AA63" i="93"/>
  <c r="Z63" i="93"/>
  <c r="Y63" i="93"/>
  <c r="X63" i="93"/>
  <c r="W63" i="93"/>
  <c r="V63" i="93"/>
  <c r="U63" i="93"/>
  <c r="T63" i="93"/>
  <c r="S63" i="93"/>
  <c r="R63" i="93"/>
  <c r="Q63" i="93"/>
  <c r="P63" i="93"/>
  <c r="O63" i="93"/>
  <c r="N63" i="93"/>
  <c r="M63" i="93"/>
  <c r="L63" i="93"/>
  <c r="K63" i="93"/>
  <c r="J63" i="93"/>
  <c r="I63" i="93"/>
  <c r="H63" i="93"/>
  <c r="G63" i="93"/>
  <c r="F63" i="93"/>
  <c r="E63" i="93"/>
  <c r="D63" i="93"/>
  <c r="C63" i="93"/>
  <c r="B63" i="93"/>
  <c r="A63" i="93"/>
  <c r="AN62" i="93"/>
  <c r="AM62" i="93"/>
  <c r="AL62" i="93"/>
  <c r="AK62" i="93"/>
  <c r="AJ62" i="93"/>
  <c r="AI62" i="93"/>
  <c r="AH62" i="93"/>
  <c r="AG62" i="93"/>
  <c r="AF62" i="93"/>
  <c r="AE62" i="93"/>
  <c r="AD62" i="93"/>
  <c r="AC62" i="93"/>
  <c r="AB62" i="93"/>
  <c r="AA62" i="93"/>
  <c r="Z62" i="93"/>
  <c r="Y62" i="93"/>
  <c r="X62" i="93"/>
  <c r="W62" i="93"/>
  <c r="V62" i="93"/>
  <c r="U62" i="93"/>
  <c r="T62" i="93"/>
  <c r="S62" i="93"/>
  <c r="R62" i="93"/>
  <c r="Q62" i="93"/>
  <c r="P62" i="93"/>
  <c r="O62" i="93"/>
  <c r="N62" i="93"/>
  <c r="M62" i="93"/>
  <c r="L62" i="93"/>
  <c r="K62" i="93"/>
  <c r="J62" i="93"/>
  <c r="I62" i="93"/>
  <c r="H62" i="93"/>
  <c r="G62" i="93"/>
  <c r="F62" i="93"/>
  <c r="E62" i="93"/>
  <c r="D62" i="93"/>
  <c r="C62" i="93"/>
  <c r="B62" i="93"/>
  <c r="A62" i="93"/>
  <c r="AN61" i="93"/>
  <c r="AM61" i="93"/>
  <c r="AL61" i="93"/>
  <c r="AK61" i="93"/>
  <c r="AJ61" i="93"/>
  <c r="AI61" i="93"/>
  <c r="AH61" i="93"/>
  <c r="AG61" i="93"/>
  <c r="AF61" i="93"/>
  <c r="AE61" i="93"/>
  <c r="AD61" i="93"/>
  <c r="AC61" i="93"/>
  <c r="AB61" i="93"/>
  <c r="AA61" i="93"/>
  <c r="Z61" i="93"/>
  <c r="Y61" i="93"/>
  <c r="X61" i="93"/>
  <c r="W61" i="93"/>
  <c r="V61" i="93"/>
  <c r="U61" i="93"/>
  <c r="T61" i="93"/>
  <c r="S61" i="93"/>
  <c r="R61" i="93"/>
  <c r="Q61" i="93"/>
  <c r="P61" i="93"/>
  <c r="O61" i="93"/>
  <c r="N61" i="93"/>
  <c r="M61" i="93"/>
  <c r="L61" i="93"/>
  <c r="K61" i="93"/>
  <c r="J61" i="93"/>
  <c r="I61" i="93"/>
  <c r="H61" i="93"/>
  <c r="G61" i="93"/>
  <c r="F61" i="93"/>
  <c r="E61" i="93"/>
  <c r="D61" i="93"/>
  <c r="C61" i="93"/>
  <c r="B61" i="93"/>
  <c r="A61" i="93"/>
  <c r="AN60" i="93"/>
  <c r="AM60" i="93"/>
  <c r="AL60" i="93"/>
  <c r="AK60" i="93"/>
  <c r="AJ60" i="93"/>
  <c r="AI60" i="93"/>
  <c r="AH60" i="93"/>
  <c r="AG60" i="93"/>
  <c r="AF60" i="93"/>
  <c r="AE60" i="93"/>
  <c r="AD60" i="93"/>
  <c r="AC60" i="93"/>
  <c r="AB60" i="93"/>
  <c r="AA60" i="93"/>
  <c r="Z60" i="93"/>
  <c r="Y60" i="93"/>
  <c r="X60" i="93"/>
  <c r="W60" i="93"/>
  <c r="V60" i="93"/>
  <c r="U60" i="93"/>
  <c r="T60" i="93"/>
  <c r="S60" i="93"/>
  <c r="R60" i="93"/>
  <c r="Q60" i="93"/>
  <c r="P60" i="93"/>
  <c r="O60" i="93"/>
  <c r="N60" i="93"/>
  <c r="M60" i="93"/>
  <c r="L60" i="93"/>
  <c r="K60" i="93"/>
  <c r="J60" i="93"/>
  <c r="I60" i="93"/>
  <c r="H60" i="93"/>
  <c r="G60" i="93"/>
  <c r="F60" i="93"/>
  <c r="E60" i="93"/>
  <c r="D60" i="93"/>
  <c r="C60" i="93"/>
  <c r="B60" i="93"/>
  <c r="A60" i="93"/>
  <c r="AN59" i="93"/>
  <c r="AM59" i="93"/>
  <c r="AL59" i="93"/>
  <c r="AK59" i="93"/>
  <c r="AJ59" i="93"/>
  <c r="AI59" i="93"/>
  <c r="AH59" i="93"/>
  <c r="AG59" i="93"/>
  <c r="AF59" i="93"/>
  <c r="AE59" i="93"/>
  <c r="AD59" i="93"/>
  <c r="AC59" i="93"/>
  <c r="AB59" i="93"/>
  <c r="AA59" i="93"/>
  <c r="Z59" i="93"/>
  <c r="Y59" i="93"/>
  <c r="X59" i="93"/>
  <c r="W59" i="93"/>
  <c r="V59" i="93"/>
  <c r="U59" i="93"/>
  <c r="T59" i="93"/>
  <c r="S59" i="93"/>
  <c r="R59" i="93"/>
  <c r="Q59" i="93"/>
  <c r="P59" i="93"/>
  <c r="O59" i="93"/>
  <c r="N59" i="93"/>
  <c r="M59" i="93"/>
  <c r="L59" i="93"/>
  <c r="K59" i="93"/>
  <c r="J59" i="93"/>
  <c r="I59" i="93"/>
  <c r="H59" i="93"/>
  <c r="G59" i="93"/>
  <c r="F59" i="93"/>
  <c r="E59" i="93"/>
  <c r="D59" i="93"/>
  <c r="C59" i="93"/>
  <c r="B59" i="93"/>
  <c r="A59" i="93"/>
  <c r="AN58" i="93"/>
  <c r="AM58" i="93"/>
  <c r="AL58" i="93"/>
  <c r="AK58" i="93"/>
  <c r="AJ58" i="93"/>
  <c r="AI58" i="93"/>
  <c r="AH58" i="93"/>
  <c r="AG58" i="93"/>
  <c r="AF58" i="93"/>
  <c r="AE58" i="93"/>
  <c r="AD58" i="93"/>
  <c r="AC58" i="93"/>
  <c r="AB58" i="93"/>
  <c r="AA58" i="93"/>
  <c r="Z58" i="93"/>
  <c r="Y58" i="93"/>
  <c r="X58" i="93"/>
  <c r="W58" i="93"/>
  <c r="V58" i="93"/>
  <c r="U58" i="93"/>
  <c r="T58" i="93"/>
  <c r="S58" i="93"/>
  <c r="R58" i="93"/>
  <c r="Q58" i="93"/>
  <c r="P58" i="93"/>
  <c r="O58" i="93"/>
  <c r="N58" i="93"/>
  <c r="M58" i="93"/>
  <c r="L58" i="93"/>
  <c r="K58" i="93"/>
  <c r="J58" i="93"/>
  <c r="I58" i="93"/>
  <c r="H58" i="93"/>
  <c r="G58" i="93"/>
  <c r="F58" i="93"/>
  <c r="E58" i="93"/>
  <c r="D58" i="93"/>
  <c r="C58" i="93"/>
  <c r="B58" i="93"/>
  <c r="A58" i="93"/>
  <c r="AN57" i="93"/>
  <c r="AM57" i="93"/>
  <c r="AL57" i="93"/>
  <c r="AK57" i="93"/>
  <c r="AJ57" i="93"/>
  <c r="AI57" i="93"/>
  <c r="AH57" i="93"/>
  <c r="AG57" i="93"/>
  <c r="AF57" i="93"/>
  <c r="AE57" i="93"/>
  <c r="AD57" i="93"/>
  <c r="AC57" i="93"/>
  <c r="AB57" i="93"/>
  <c r="AA57" i="93"/>
  <c r="Z57" i="93"/>
  <c r="Y57" i="93"/>
  <c r="X57" i="93"/>
  <c r="W57" i="93"/>
  <c r="V57" i="93"/>
  <c r="U57" i="93"/>
  <c r="T57" i="93"/>
  <c r="S57" i="93"/>
  <c r="R57" i="93"/>
  <c r="Q57" i="93"/>
  <c r="P57" i="93"/>
  <c r="O57" i="93"/>
  <c r="N57" i="93"/>
  <c r="M57" i="93"/>
  <c r="L57" i="93"/>
  <c r="K57" i="93"/>
  <c r="J57" i="93"/>
  <c r="I57" i="93"/>
  <c r="H57" i="93"/>
  <c r="G57" i="93"/>
  <c r="F57" i="93"/>
  <c r="E57" i="93"/>
  <c r="D57" i="93"/>
  <c r="C57" i="93"/>
  <c r="B57" i="93"/>
  <c r="A57" i="93"/>
  <c r="AN56" i="93"/>
  <c r="AM56" i="93"/>
  <c r="AL56" i="93"/>
  <c r="AK56" i="93"/>
  <c r="AJ56" i="93"/>
  <c r="AI56" i="93"/>
  <c r="AH56" i="93"/>
  <c r="AG56" i="93"/>
  <c r="AF56" i="93"/>
  <c r="AE56" i="93"/>
  <c r="AD56" i="93"/>
  <c r="AC56" i="93"/>
  <c r="AB56" i="93"/>
  <c r="AA56" i="93"/>
  <c r="Z56" i="93"/>
  <c r="Y56" i="93"/>
  <c r="X56" i="93"/>
  <c r="W56" i="93"/>
  <c r="V56" i="93"/>
  <c r="U56" i="93"/>
  <c r="T56" i="93"/>
  <c r="S56" i="93"/>
  <c r="R56" i="93"/>
  <c r="Q56" i="93"/>
  <c r="P56" i="93"/>
  <c r="O56" i="93"/>
  <c r="N56" i="93"/>
  <c r="M56" i="93"/>
  <c r="L56" i="93"/>
  <c r="K56" i="93"/>
  <c r="J56" i="93"/>
  <c r="I56" i="93"/>
  <c r="H56" i="93"/>
  <c r="G56" i="93"/>
  <c r="F56" i="93"/>
  <c r="E56" i="93"/>
  <c r="D56" i="93"/>
  <c r="C56" i="93"/>
  <c r="B56" i="93"/>
  <c r="A56" i="93"/>
  <c r="AN55" i="93"/>
  <c r="AM55" i="93"/>
  <c r="AL55" i="93"/>
  <c r="AK55" i="93"/>
  <c r="AJ55" i="93"/>
  <c r="AI55" i="93"/>
  <c r="AH55" i="93"/>
  <c r="AG55" i="93"/>
  <c r="AF55" i="93"/>
  <c r="AE55" i="93"/>
  <c r="AD55" i="93"/>
  <c r="AC55" i="93"/>
  <c r="AB55" i="93"/>
  <c r="AA55" i="93"/>
  <c r="Z55" i="93"/>
  <c r="Y55" i="93"/>
  <c r="X55" i="93"/>
  <c r="W55" i="93"/>
  <c r="V55" i="93"/>
  <c r="U55" i="93"/>
  <c r="T55" i="93"/>
  <c r="S55" i="93"/>
  <c r="R55" i="93"/>
  <c r="Q55" i="93"/>
  <c r="P55" i="93"/>
  <c r="O55" i="93"/>
  <c r="N55" i="93"/>
  <c r="M55" i="93"/>
  <c r="L55" i="93"/>
  <c r="K55" i="93"/>
  <c r="J55" i="93"/>
  <c r="I55" i="93"/>
  <c r="H55" i="93"/>
  <c r="G55" i="93"/>
  <c r="F55" i="93"/>
  <c r="E55" i="93"/>
  <c r="D55" i="93"/>
  <c r="C55" i="93"/>
  <c r="B55" i="93"/>
  <c r="A55" i="93"/>
  <c r="AN54" i="93"/>
  <c r="AM54" i="93"/>
  <c r="AL54" i="93"/>
  <c r="AK54" i="93"/>
  <c r="AJ54" i="93"/>
  <c r="AI54" i="93"/>
  <c r="AH54" i="93"/>
  <c r="AG54" i="93"/>
  <c r="AF54" i="93"/>
  <c r="AE54" i="93"/>
  <c r="AD54" i="93"/>
  <c r="AC54" i="93"/>
  <c r="AB54" i="93"/>
  <c r="AA54" i="93"/>
  <c r="Z54" i="93"/>
  <c r="Y54" i="93"/>
  <c r="X54" i="93"/>
  <c r="W54" i="93"/>
  <c r="V54" i="93"/>
  <c r="U54" i="93"/>
  <c r="T54" i="93"/>
  <c r="S54" i="93"/>
  <c r="R54" i="93"/>
  <c r="Q54" i="93"/>
  <c r="P54" i="93"/>
  <c r="O54" i="93"/>
  <c r="N54" i="93"/>
  <c r="M54" i="93"/>
  <c r="L54" i="93"/>
  <c r="K54" i="93"/>
  <c r="J54" i="93"/>
  <c r="I54" i="93"/>
  <c r="H54" i="93"/>
  <c r="G54" i="93"/>
  <c r="F54" i="93"/>
  <c r="E54" i="93"/>
  <c r="D54" i="93"/>
  <c r="C54" i="93"/>
  <c r="B54" i="93"/>
  <c r="A54" i="93"/>
  <c r="AN53" i="93"/>
  <c r="AM53" i="93"/>
  <c r="AL53" i="93"/>
  <c r="AK53" i="93"/>
  <c r="AJ53" i="93"/>
  <c r="AI53" i="93"/>
  <c r="AH53" i="93"/>
  <c r="AG53" i="93"/>
  <c r="AF53" i="93"/>
  <c r="AE53" i="93"/>
  <c r="AD53" i="93"/>
  <c r="AC53" i="93"/>
  <c r="AB53" i="93"/>
  <c r="AA53" i="93"/>
  <c r="Z53" i="93"/>
  <c r="Y53" i="93"/>
  <c r="X53" i="93"/>
  <c r="W53" i="93"/>
  <c r="V53" i="93"/>
  <c r="U53" i="93"/>
  <c r="T53" i="93"/>
  <c r="S53" i="93"/>
  <c r="R53" i="93"/>
  <c r="Q53" i="93"/>
  <c r="P53" i="93"/>
  <c r="O53" i="93"/>
  <c r="N53" i="93"/>
  <c r="M53" i="93"/>
  <c r="L53" i="93"/>
  <c r="K53" i="93"/>
  <c r="J53" i="93"/>
  <c r="I53" i="93"/>
  <c r="H53" i="93"/>
  <c r="G53" i="93"/>
  <c r="F53" i="93"/>
  <c r="E53" i="93"/>
  <c r="D53" i="93"/>
  <c r="C53" i="93"/>
  <c r="B53" i="93"/>
  <c r="A53" i="93"/>
  <c r="AN52" i="93"/>
  <c r="AM52" i="93"/>
  <c r="AL52" i="93"/>
  <c r="AK52" i="93"/>
  <c r="AJ52" i="93"/>
  <c r="AI52" i="93"/>
  <c r="AH52" i="93"/>
  <c r="AG52" i="93"/>
  <c r="AF52" i="93"/>
  <c r="AE52" i="93"/>
  <c r="AD52" i="93"/>
  <c r="AC52" i="93"/>
  <c r="AB52" i="93"/>
  <c r="AA52" i="93"/>
  <c r="Z52" i="93"/>
  <c r="Y52" i="93"/>
  <c r="X52" i="93"/>
  <c r="W52" i="93"/>
  <c r="V52" i="93"/>
  <c r="U52" i="93"/>
  <c r="T52" i="93"/>
  <c r="S52" i="93"/>
  <c r="R52" i="93"/>
  <c r="Q52" i="93"/>
  <c r="P52" i="93"/>
  <c r="O52" i="93"/>
  <c r="N52" i="93"/>
  <c r="M52" i="93"/>
  <c r="L52" i="93"/>
  <c r="K52" i="93"/>
  <c r="J52" i="93"/>
  <c r="I52" i="93"/>
  <c r="H52" i="93"/>
  <c r="G52" i="93"/>
  <c r="F52" i="93"/>
  <c r="E52" i="93"/>
  <c r="D52" i="93"/>
  <c r="C52" i="93"/>
  <c r="B52" i="93"/>
  <c r="A52" i="93"/>
  <c r="AN51" i="93"/>
  <c r="AM51" i="93"/>
  <c r="AL51" i="93"/>
  <c r="AK51" i="93"/>
  <c r="AJ51" i="93"/>
  <c r="AI51" i="93"/>
  <c r="AH51" i="93"/>
  <c r="AG51" i="93"/>
  <c r="AF51" i="93"/>
  <c r="AE51" i="93"/>
  <c r="AD51" i="93"/>
  <c r="AC51" i="93"/>
  <c r="AB51" i="93"/>
  <c r="AA51" i="93"/>
  <c r="Z51" i="93"/>
  <c r="Y51" i="93"/>
  <c r="X51" i="93"/>
  <c r="W51" i="93"/>
  <c r="V51" i="93"/>
  <c r="U51" i="93"/>
  <c r="T51" i="93"/>
  <c r="S51" i="93"/>
  <c r="R51" i="93"/>
  <c r="Q51" i="93"/>
  <c r="P51" i="93"/>
  <c r="O51" i="93"/>
  <c r="N51" i="93"/>
  <c r="M51" i="93"/>
  <c r="L51" i="93"/>
  <c r="K51" i="93"/>
  <c r="J51" i="93"/>
  <c r="I51" i="93"/>
  <c r="H51" i="93"/>
  <c r="G51" i="93"/>
  <c r="F51" i="93"/>
  <c r="E51" i="93"/>
  <c r="D51" i="93"/>
  <c r="C51" i="93"/>
  <c r="B51" i="93"/>
  <c r="A51" i="93"/>
  <c r="AN50" i="93"/>
  <c r="AM50" i="93"/>
  <c r="AL50" i="93"/>
  <c r="AK50" i="93"/>
  <c r="AJ50" i="93"/>
  <c r="AI50" i="93"/>
  <c r="AH50" i="93"/>
  <c r="AG50" i="93"/>
  <c r="AF50" i="93"/>
  <c r="AE50" i="93"/>
  <c r="AD50" i="93"/>
  <c r="AC50" i="93"/>
  <c r="AB50" i="93"/>
  <c r="AA50" i="93"/>
  <c r="Z50" i="93"/>
  <c r="Y50" i="93"/>
  <c r="X50" i="93"/>
  <c r="W50" i="93"/>
  <c r="V50" i="93"/>
  <c r="U50" i="93"/>
  <c r="T50" i="93"/>
  <c r="S50" i="93"/>
  <c r="R50" i="93"/>
  <c r="Q50" i="93"/>
  <c r="P50" i="93"/>
  <c r="O50" i="93"/>
  <c r="N50" i="93"/>
  <c r="M50" i="93"/>
  <c r="L50" i="93"/>
  <c r="K50" i="93"/>
  <c r="J50" i="93"/>
  <c r="I50" i="93"/>
  <c r="H50" i="93"/>
  <c r="G50" i="93"/>
  <c r="F50" i="93"/>
  <c r="E50" i="93"/>
  <c r="D50" i="93"/>
  <c r="C50" i="93"/>
  <c r="B50" i="93"/>
  <c r="A50" i="93"/>
  <c r="AN49" i="93"/>
  <c r="AM49" i="93"/>
  <c r="AL49" i="93"/>
  <c r="AK49" i="93"/>
  <c r="AJ49" i="93"/>
  <c r="AI49" i="93"/>
  <c r="AH49" i="93"/>
  <c r="AG49" i="93"/>
  <c r="AF49" i="93"/>
  <c r="AE49" i="93"/>
  <c r="AD49" i="93"/>
  <c r="AC49" i="93"/>
  <c r="AB49" i="93"/>
  <c r="AA49" i="93"/>
  <c r="Z49" i="93"/>
  <c r="Y49" i="93"/>
  <c r="X49" i="93"/>
  <c r="W49" i="93"/>
  <c r="V49" i="93"/>
  <c r="U49" i="93"/>
  <c r="T49" i="93"/>
  <c r="S49" i="93"/>
  <c r="R49" i="93"/>
  <c r="Q49" i="93"/>
  <c r="P49" i="93"/>
  <c r="O49" i="93"/>
  <c r="N49" i="93"/>
  <c r="M49" i="93"/>
  <c r="L49" i="93"/>
  <c r="K49" i="93"/>
  <c r="J49" i="93"/>
  <c r="I49" i="93"/>
  <c r="H49" i="93"/>
  <c r="G49" i="93"/>
  <c r="F49" i="93"/>
  <c r="E49" i="93"/>
  <c r="D49" i="93"/>
  <c r="C49" i="93"/>
  <c r="B49" i="93"/>
  <c r="A49" i="93"/>
  <c r="AN48" i="93"/>
  <c r="AM48" i="93"/>
  <c r="AL48" i="93"/>
  <c r="AK48" i="93"/>
  <c r="AJ48" i="93"/>
  <c r="AI48" i="93"/>
  <c r="AH48" i="93"/>
  <c r="AG48" i="93"/>
  <c r="AF48" i="93"/>
  <c r="AE48" i="93"/>
  <c r="AD48" i="93"/>
  <c r="AC48" i="93"/>
  <c r="AB48" i="93"/>
  <c r="AA48" i="93"/>
  <c r="Z48" i="93"/>
  <c r="Y48" i="93"/>
  <c r="X48" i="93"/>
  <c r="W48" i="93"/>
  <c r="V48" i="93"/>
  <c r="U48" i="93"/>
  <c r="T48" i="93"/>
  <c r="S48" i="93"/>
  <c r="R48" i="93"/>
  <c r="Q48" i="93"/>
  <c r="P48" i="93"/>
  <c r="O48" i="93"/>
  <c r="N48" i="93"/>
  <c r="M48" i="93"/>
  <c r="L48" i="93"/>
  <c r="K48" i="93"/>
  <c r="J48" i="93"/>
  <c r="I48" i="93"/>
  <c r="H48" i="93"/>
  <c r="G48" i="93"/>
  <c r="F48" i="93"/>
  <c r="E48" i="93"/>
  <c r="D48" i="93"/>
  <c r="C48" i="93"/>
  <c r="B48" i="93"/>
  <c r="A48" i="93"/>
  <c r="AN47" i="93"/>
  <c r="AM47" i="93"/>
  <c r="AL47" i="93"/>
  <c r="AK47" i="93"/>
  <c r="AJ47" i="93"/>
  <c r="AI47" i="93"/>
  <c r="AH47" i="93"/>
  <c r="AG47" i="93"/>
  <c r="AF47" i="93"/>
  <c r="AE47" i="93"/>
  <c r="AD47" i="93"/>
  <c r="AC47" i="93"/>
  <c r="AB47" i="93"/>
  <c r="AA47" i="93"/>
  <c r="Z47" i="93"/>
  <c r="Y47" i="93"/>
  <c r="X47" i="93"/>
  <c r="W47" i="93"/>
  <c r="V47" i="93"/>
  <c r="U47" i="93"/>
  <c r="T47" i="93"/>
  <c r="S47" i="93"/>
  <c r="R47" i="93"/>
  <c r="Q47" i="93"/>
  <c r="P47" i="93"/>
  <c r="O47" i="93"/>
  <c r="N47" i="93"/>
  <c r="M47" i="93"/>
  <c r="L47" i="93"/>
  <c r="K47" i="93"/>
  <c r="J47" i="93"/>
  <c r="I47" i="93"/>
  <c r="H47" i="93"/>
  <c r="G47" i="93"/>
  <c r="F47" i="93"/>
  <c r="E47" i="93"/>
  <c r="D47" i="93"/>
  <c r="C47" i="93"/>
  <c r="B47" i="93"/>
  <c r="A47" i="93"/>
  <c r="AN46" i="93"/>
  <c r="AM46" i="93"/>
  <c r="AL46" i="93"/>
  <c r="AK46" i="93"/>
  <c r="AJ46" i="93"/>
  <c r="AI46" i="93"/>
  <c r="AH46" i="93"/>
  <c r="AG46" i="93"/>
  <c r="AF46" i="93"/>
  <c r="AE46" i="93"/>
  <c r="AD46" i="93"/>
  <c r="AC46" i="93"/>
  <c r="AB46" i="93"/>
  <c r="AA46" i="93"/>
  <c r="Z46" i="93"/>
  <c r="Y46" i="93"/>
  <c r="X46" i="93"/>
  <c r="W46" i="93"/>
  <c r="V46" i="93"/>
  <c r="U46" i="93"/>
  <c r="T46" i="93"/>
  <c r="S46" i="93"/>
  <c r="R46" i="93"/>
  <c r="Q46" i="93"/>
  <c r="P46" i="93"/>
  <c r="O46" i="93"/>
  <c r="N46" i="93"/>
  <c r="M46" i="93"/>
  <c r="L46" i="93"/>
  <c r="K46" i="93"/>
  <c r="J46" i="93"/>
  <c r="I46" i="93"/>
  <c r="H46" i="93"/>
  <c r="G46" i="93"/>
  <c r="F46" i="93"/>
  <c r="E46" i="93"/>
  <c r="D46" i="93"/>
  <c r="C46" i="93"/>
  <c r="B46" i="93"/>
  <c r="A46" i="93"/>
  <c r="AN45" i="93"/>
  <c r="AM45" i="93"/>
  <c r="AL45" i="93"/>
  <c r="AK45" i="93"/>
  <c r="AJ45" i="93"/>
  <c r="AI45" i="93"/>
  <c r="AH45" i="93"/>
  <c r="AG45" i="93"/>
  <c r="AF45" i="93"/>
  <c r="AE45" i="93"/>
  <c r="AD45" i="93"/>
  <c r="AC45" i="93"/>
  <c r="AB45" i="93"/>
  <c r="AA45" i="93"/>
  <c r="Z45" i="93"/>
  <c r="Y45" i="93"/>
  <c r="X45" i="93"/>
  <c r="W45" i="93"/>
  <c r="V45" i="93"/>
  <c r="U45" i="93"/>
  <c r="T45" i="93"/>
  <c r="S45" i="93"/>
  <c r="R45" i="93"/>
  <c r="Q45" i="93"/>
  <c r="P45" i="93"/>
  <c r="O45" i="93"/>
  <c r="N45" i="93"/>
  <c r="M45" i="93"/>
  <c r="L45" i="93"/>
  <c r="K45" i="93"/>
  <c r="J45" i="93"/>
  <c r="I45" i="93"/>
  <c r="H45" i="93"/>
  <c r="G45" i="93"/>
  <c r="F45" i="93"/>
  <c r="E45" i="93"/>
  <c r="D45" i="93"/>
  <c r="C45" i="93"/>
  <c r="B45" i="93"/>
  <c r="A45" i="93"/>
  <c r="AN44" i="93"/>
  <c r="AM44" i="93"/>
  <c r="AL44" i="93"/>
  <c r="AK44" i="93"/>
  <c r="AJ44" i="93"/>
  <c r="AI44" i="93"/>
  <c r="AH44" i="93"/>
  <c r="AG44" i="93"/>
  <c r="AF44" i="93"/>
  <c r="AE44" i="93"/>
  <c r="AD44" i="93"/>
  <c r="AC44" i="93"/>
  <c r="AB44" i="93"/>
  <c r="AA44" i="93"/>
  <c r="Z44" i="93"/>
  <c r="Y44" i="93"/>
  <c r="X44" i="93"/>
  <c r="W44" i="93"/>
  <c r="V44" i="93"/>
  <c r="U44" i="93"/>
  <c r="T44" i="93"/>
  <c r="S44" i="93"/>
  <c r="R44" i="93"/>
  <c r="Q44" i="93"/>
  <c r="P44" i="93"/>
  <c r="O44" i="93"/>
  <c r="N44" i="93"/>
  <c r="M44" i="93"/>
  <c r="L44" i="93"/>
  <c r="K44" i="93"/>
  <c r="J44" i="93"/>
  <c r="I44" i="93"/>
  <c r="H44" i="93"/>
  <c r="G44" i="93"/>
  <c r="F44" i="93"/>
  <c r="E44" i="93"/>
  <c r="D44" i="93"/>
  <c r="C44" i="93"/>
  <c r="B44" i="93"/>
  <c r="A44" i="93"/>
  <c r="AN43" i="93"/>
  <c r="AM43" i="93"/>
  <c r="AL43" i="93"/>
  <c r="AK43" i="93"/>
  <c r="AJ43" i="93"/>
  <c r="AI43" i="93"/>
  <c r="AH43" i="93"/>
  <c r="AG43" i="93"/>
  <c r="AF43" i="93"/>
  <c r="AE43" i="93"/>
  <c r="AD43" i="93"/>
  <c r="AC43" i="93"/>
  <c r="AB43" i="93"/>
  <c r="AA43" i="93"/>
  <c r="Z43" i="93"/>
  <c r="Y43" i="93"/>
  <c r="X43" i="93"/>
  <c r="W43" i="93"/>
  <c r="V43" i="93"/>
  <c r="U43" i="93"/>
  <c r="T43" i="93"/>
  <c r="S43" i="93"/>
  <c r="R43" i="93"/>
  <c r="Q43" i="93"/>
  <c r="P43" i="93"/>
  <c r="O43" i="93"/>
  <c r="N43" i="93"/>
  <c r="M43" i="93"/>
  <c r="L43" i="93"/>
  <c r="K43" i="93"/>
  <c r="J43" i="93"/>
  <c r="I43" i="93"/>
  <c r="H43" i="93"/>
  <c r="G43" i="93"/>
  <c r="F43" i="93"/>
  <c r="E43" i="93"/>
  <c r="D43" i="93"/>
  <c r="C43" i="93"/>
  <c r="B43" i="93"/>
  <c r="A43" i="93"/>
  <c r="AN42" i="93"/>
  <c r="AM42" i="93"/>
  <c r="AL42" i="93"/>
  <c r="AK42" i="93"/>
  <c r="AJ42" i="93"/>
  <c r="AI42" i="93"/>
  <c r="AH42" i="93"/>
  <c r="AG42" i="93"/>
  <c r="AF42" i="93"/>
  <c r="AE42" i="93"/>
  <c r="AD42" i="93"/>
  <c r="AC42" i="93"/>
  <c r="AB42" i="93"/>
  <c r="AA42" i="93"/>
  <c r="Z42" i="93"/>
  <c r="Y42" i="93"/>
  <c r="X42" i="93"/>
  <c r="W42" i="93"/>
  <c r="V42" i="93"/>
  <c r="U42" i="93"/>
  <c r="T42" i="93"/>
  <c r="S42" i="93"/>
  <c r="R42" i="93"/>
  <c r="Q42" i="93"/>
  <c r="P42" i="93"/>
  <c r="O42" i="93"/>
  <c r="N42" i="93"/>
  <c r="M42" i="93"/>
  <c r="L42" i="93"/>
  <c r="K42" i="93"/>
  <c r="J42" i="93"/>
  <c r="I42" i="93"/>
  <c r="H42" i="93"/>
  <c r="G42" i="93"/>
  <c r="F42" i="93"/>
  <c r="E42" i="93"/>
  <c r="D42" i="93"/>
  <c r="C42" i="93"/>
  <c r="B42" i="93"/>
  <c r="A42" i="93"/>
  <c r="AN41" i="93"/>
  <c r="AM41" i="93"/>
  <c r="AL41" i="93"/>
  <c r="AK41" i="93"/>
  <c r="AJ41" i="93"/>
  <c r="AI41" i="93"/>
  <c r="AH41" i="93"/>
  <c r="AG41" i="93"/>
  <c r="AF41" i="93"/>
  <c r="AE41" i="93"/>
  <c r="AD41" i="93"/>
  <c r="AC41" i="93"/>
  <c r="AB41" i="93"/>
  <c r="AA41" i="93"/>
  <c r="Z41" i="93"/>
  <c r="Y41" i="93"/>
  <c r="X41" i="93"/>
  <c r="W41" i="93"/>
  <c r="V41" i="93"/>
  <c r="U41" i="93"/>
  <c r="T41" i="93"/>
  <c r="S41" i="93"/>
  <c r="R41" i="93"/>
  <c r="Q41" i="93"/>
  <c r="P41" i="93"/>
  <c r="O41" i="93"/>
  <c r="N41" i="93"/>
  <c r="M41" i="93"/>
  <c r="L41" i="93"/>
  <c r="K41" i="93"/>
  <c r="J41" i="93"/>
  <c r="I41" i="93"/>
  <c r="H41" i="93"/>
  <c r="G41" i="93"/>
  <c r="F41" i="93"/>
  <c r="E41" i="93"/>
  <c r="D41" i="93"/>
  <c r="C41" i="93"/>
  <c r="B41" i="93"/>
  <c r="A41" i="93"/>
  <c r="AN40" i="93"/>
  <c r="AM40" i="93"/>
  <c r="AL40" i="93"/>
  <c r="AK40" i="93"/>
  <c r="AJ40" i="93"/>
  <c r="AI40" i="93"/>
  <c r="AH40" i="93"/>
  <c r="AG40" i="93"/>
  <c r="AF40" i="93"/>
  <c r="AE40" i="93"/>
  <c r="AD40" i="93"/>
  <c r="AC40" i="93"/>
  <c r="AB40" i="93"/>
  <c r="AA40" i="93"/>
  <c r="Z40" i="93"/>
  <c r="Y40" i="93"/>
  <c r="X40" i="93"/>
  <c r="W40" i="93"/>
  <c r="V40" i="93"/>
  <c r="U40" i="93"/>
  <c r="T40" i="93"/>
  <c r="S40" i="93"/>
  <c r="R40" i="93"/>
  <c r="Q40" i="93"/>
  <c r="P40" i="93"/>
  <c r="O40" i="93"/>
  <c r="N40" i="93"/>
  <c r="M40" i="93"/>
  <c r="L40" i="93"/>
  <c r="K40" i="93"/>
  <c r="J40" i="93"/>
  <c r="I40" i="93"/>
  <c r="H40" i="93"/>
  <c r="G40" i="93"/>
  <c r="F40" i="93"/>
  <c r="E40" i="93"/>
  <c r="D40" i="93"/>
  <c r="C40" i="93"/>
  <c r="B40" i="93"/>
  <c r="A40" i="93"/>
  <c r="AN39" i="93"/>
  <c r="AM39" i="93"/>
  <c r="AL39" i="93"/>
  <c r="AK39" i="93"/>
  <c r="AJ39" i="93"/>
  <c r="AI39" i="93"/>
  <c r="AH39" i="93"/>
  <c r="AG39" i="93"/>
  <c r="AF39" i="93"/>
  <c r="AE39" i="93"/>
  <c r="AD39" i="93"/>
  <c r="AC39" i="93"/>
  <c r="AB39" i="93"/>
  <c r="AA39" i="93"/>
  <c r="Z39" i="93"/>
  <c r="Y39" i="93"/>
  <c r="X39" i="93"/>
  <c r="W39" i="93"/>
  <c r="V39" i="93"/>
  <c r="U39" i="93"/>
  <c r="T39" i="93"/>
  <c r="S39" i="93"/>
  <c r="R39" i="93"/>
  <c r="Q39" i="93"/>
  <c r="P39" i="93"/>
  <c r="O39" i="93"/>
  <c r="N39" i="93"/>
  <c r="M39" i="93"/>
  <c r="L39" i="93"/>
  <c r="K39" i="93"/>
  <c r="J39" i="93"/>
  <c r="I39" i="93"/>
  <c r="H39" i="93"/>
  <c r="G39" i="93"/>
  <c r="F39" i="93"/>
  <c r="E39" i="93"/>
  <c r="D39" i="93"/>
  <c r="C39" i="93"/>
  <c r="B39" i="93"/>
  <c r="A39" i="93"/>
  <c r="AN38" i="93"/>
  <c r="AM38" i="93"/>
  <c r="AL38" i="93"/>
  <c r="AK38" i="93"/>
  <c r="AJ38" i="93"/>
  <c r="AI38" i="93"/>
  <c r="AH38" i="93"/>
  <c r="AG38" i="93"/>
  <c r="AF38" i="93"/>
  <c r="AE38" i="93"/>
  <c r="AD38" i="93"/>
  <c r="AC38" i="93"/>
  <c r="AB38" i="93"/>
  <c r="AA38" i="93"/>
  <c r="Z38" i="93"/>
  <c r="Y38" i="93"/>
  <c r="X38" i="93"/>
  <c r="W38" i="93"/>
  <c r="V38" i="93"/>
  <c r="U38" i="93"/>
  <c r="T38" i="93"/>
  <c r="S38" i="93"/>
  <c r="R38" i="93"/>
  <c r="Q38" i="93"/>
  <c r="P38" i="93"/>
  <c r="O38" i="93"/>
  <c r="N38" i="93"/>
  <c r="M38" i="93"/>
  <c r="L38" i="93"/>
  <c r="K38" i="93"/>
  <c r="J38" i="93"/>
  <c r="I38" i="93"/>
  <c r="H38" i="93"/>
  <c r="G38" i="93"/>
  <c r="F38" i="93"/>
  <c r="E38" i="93"/>
  <c r="D38" i="93"/>
  <c r="C38" i="93"/>
  <c r="B38" i="93"/>
  <c r="A38" i="93"/>
  <c r="AN37" i="93"/>
  <c r="AM37" i="93"/>
  <c r="AL37" i="93"/>
  <c r="AK37" i="93"/>
  <c r="AJ37" i="93"/>
  <c r="AI37" i="93"/>
  <c r="AH37" i="93"/>
  <c r="AG37" i="93"/>
  <c r="AF37" i="93"/>
  <c r="AE37" i="93"/>
  <c r="AD37" i="93"/>
  <c r="AC37" i="93"/>
  <c r="AB37" i="93"/>
  <c r="AA37" i="93"/>
  <c r="Z37" i="93"/>
  <c r="Y37" i="93"/>
  <c r="X37" i="93"/>
  <c r="W37" i="93"/>
  <c r="V37" i="93"/>
  <c r="U37" i="93"/>
  <c r="T37" i="93"/>
  <c r="S37" i="93"/>
  <c r="R37" i="93"/>
  <c r="Q37" i="93"/>
  <c r="P37" i="93"/>
  <c r="O37" i="93"/>
  <c r="N37" i="93"/>
  <c r="M37" i="93"/>
  <c r="L37" i="93"/>
  <c r="K37" i="93"/>
  <c r="J37" i="93"/>
  <c r="I37" i="93"/>
  <c r="H37" i="93"/>
  <c r="G37" i="93"/>
  <c r="F37" i="93"/>
  <c r="E37" i="93"/>
  <c r="D37" i="93"/>
  <c r="C37" i="93"/>
  <c r="B37" i="93"/>
  <c r="A37" i="93"/>
  <c r="AN36" i="93"/>
  <c r="AM36" i="93"/>
  <c r="AL36" i="93"/>
  <c r="AK36" i="93"/>
  <c r="AJ36" i="93"/>
  <c r="AI36" i="93"/>
  <c r="AH36" i="93"/>
  <c r="AG36" i="93"/>
  <c r="AF36" i="93"/>
  <c r="AE36" i="93"/>
  <c r="AD36" i="93"/>
  <c r="AC36" i="93"/>
  <c r="AB36" i="93"/>
  <c r="AA36" i="93"/>
  <c r="Z36" i="93"/>
  <c r="Y36" i="93"/>
  <c r="X36" i="93"/>
  <c r="W36" i="93"/>
  <c r="V36" i="93"/>
  <c r="U36" i="93"/>
  <c r="T36" i="93"/>
  <c r="S36" i="93"/>
  <c r="R36" i="93"/>
  <c r="Q36" i="93"/>
  <c r="P36" i="93"/>
  <c r="O36" i="93"/>
  <c r="N36" i="93"/>
  <c r="M36" i="93"/>
  <c r="L36" i="93"/>
  <c r="K36" i="93"/>
  <c r="J36" i="93"/>
  <c r="I36" i="93"/>
  <c r="H36" i="93"/>
  <c r="G36" i="93"/>
  <c r="F36" i="93"/>
  <c r="E36" i="93"/>
  <c r="D36" i="93"/>
  <c r="C36" i="93"/>
  <c r="B36" i="93"/>
  <c r="A36" i="93"/>
  <c r="AN35" i="93"/>
  <c r="AM35" i="93"/>
  <c r="AL35" i="93"/>
  <c r="AK35" i="93"/>
  <c r="AJ35" i="93"/>
  <c r="AI35" i="93"/>
  <c r="AH35" i="93"/>
  <c r="AG35" i="93"/>
  <c r="AF35" i="93"/>
  <c r="AE35" i="93"/>
  <c r="AD35" i="93"/>
  <c r="AC35" i="93"/>
  <c r="AB35" i="93"/>
  <c r="AA35" i="93"/>
  <c r="Z35" i="93"/>
  <c r="Y35" i="93"/>
  <c r="X35" i="93"/>
  <c r="W35" i="93"/>
  <c r="V35" i="93"/>
  <c r="U35" i="93"/>
  <c r="T35" i="93"/>
  <c r="S35" i="93"/>
  <c r="R35" i="93"/>
  <c r="Q35" i="93"/>
  <c r="P35" i="93"/>
  <c r="O35" i="93"/>
  <c r="N35" i="93"/>
  <c r="M35" i="93"/>
  <c r="L35" i="93"/>
  <c r="K35" i="93"/>
  <c r="J35" i="93"/>
  <c r="I35" i="93"/>
  <c r="H35" i="93"/>
  <c r="G35" i="93"/>
  <c r="F35" i="93"/>
  <c r="E35" i="93"/>
  <c r="D35" i="93"/>
  <c r="C35" i="93"/>
  <c r="B35" i="93"/>
  <c r="A35" i="93"/>
  <c r="AN34" i="93"/>
  <c r="AM34" i="93"/>
  <c r="AL34" i="93"/>
  <c r="AK34" i="93"/>
  <c r="AJ34" i="93"/>
  <c r="AI34" i="93"/>
  <c r="AH34" i="93"/>
  <c r="AG34" i="93"/>
  <c r="AF34" i="93"/>
  <c r="AE34" i="93"/>
  <c r="AD34" i="93"/>
  <c r="AC34" i="93"/>
  <c r="AB34" i="93"/>
  <c r="AA34" i="93"/>
  <c r="Z34" i="93"/>
  <c r="Y34" i="93"/>
  <c r="X34" i="93"/>
  <c r="W34" i="93"/>
  <c r="V34" i="93"/>
  <c r="U34" i="93"/>
  <c r="T34" i="93"/>
  <c r="S34" i="93"/>
  <c r="R34" i="93"/>
  <c r="Q34" i="93"/>
  <c r="P34" i="93"/>
  <c r="O34" i="93"/>
  <c r="N34" i="93"/>
  <c r="M34" i="93"/>
  <c r="L34" i="93"/>
  <c r="K34" i="93"/>
  <c r="J34" i="93"/>
  <c r="I34" i="93"/>
  <c r="H34" i="93"/>
  <c r="G34" i="93"/>
  <c r="F34" i="93"/>
  <c r="E34" i="93"/>
  <c r="D34" i="93"/>
  <c r="C34" i="93"/>
  <c r="B34" i="93"/>
  <c r="A34" i="93"/>
  <c r="AN33" i="93"/>
  <c r="AM33" i="93"/>
  <c r="AL33" i="93"/>
  <c r="AK33" i="93"/>
  <c r="AJ33" i="93"/>
  <c r="AI33" i="93"/>
  <c r="AH33" i="93"/>
  <c r="AG33" i="93"/>
  <c r="AF33" i="93"/>
  <c r="AE33" i="93"/>
  <c r="AD33" i="93"/>
  <c r="AC33" i="93"/>
  <c r="AB33" i="93"/>
  <c r="AA33" i="93"/>
  <c r="Z33" i="93"/>
  <c r="Y33" i="93"/>
  <c r="X33" i="93"/>
  <c r="W33" i="93"/>
  <c r="V33" i="93"/>
  <c r="U33" i="93"/>
  <c r="T33" i="93"/>
  <c r="S33" i="93"/>
  <c r="R33" i="93"/>
  <c r="Q33" i="93"/>
  <c r="P33" i="93"/>
  <c r="O33" i="93"/>
  <c r="N33" i="93"/>
  <c r="M33" i="93"/>
  <c r="L33" i="93"/>
  <c r="K33" i="93"/>
  <c r="J33" i="93"/>
  <c r="I33" i="93"/>
  <c r="H33" i="93"/>
  <c r="G33" i="93"/>
  <c r="F33" i="93"/>
  <c r="E33" i="93"/>
  <c r="D33" i="93"/>
  <c r="C33" i="93"/>
  <c r="B33" i="93"/>
  <c r="A33" i="93"/>
  <c r="AN32" i="93"/>
  <c r="AM32" i="93"/>
  <c r="AL32" i="93"/>
  <c r="AK32" i="93"/>
  <c r="AJ32" i="93"/>
  <c r="AI32" i="93"/>
  <c r="AH32" i="93"/>
  <c r="AG32" i="93"/>
  <c r="AF32" i="93"/>
  <c r="AE32" i="93"/>
  <c r="AD32" i="93"/>
  <c r="AC32" i="93"/>
  <c r="AB32" i="93"/>
  <c r="AA32" i="93"/>
  <c r="Z32" i="93"/>
  <c r="Y32" i="93"/>
  <c r="X32" i="93"/>
  <c r="W32" i="93"/>
  <c r="V32" i="93"/>
  <c r="U32" i="93"/>
  <c r="T32" i="93"/>
  <c r="S32" i="93"/>
  <c r="R32" i="93"/>
  <c r="Q32" i="93"/>
  <c r="P32" i="93"/>
  <c r="O32" i="93"/>
  <c r="N32" i="93"/>
  <c r="M32" i="93"/>
  <c r="L32" i="93"/>
  <c r="K32" i="93"/>
  <c r="J32" i="93"/>
  <c r="I32" i="93"/>
  <c r="H32" i="93"/>
  <c r="G32" i="93"/>
  <c r="F32" i="93"/>
  <c r="E32" i="93"/>
  <c r="D32" i="93"/>
  <c r="C32" i="93"/>
  <c r="B32" i="93"/>
  <c r="A32" i="93"/>
  <c r="AN31" i="93"/>
  <c r="AM31" i="93"/>
  <c r="AL31" i="93"/>
  <c r="AK31" i="93"/>
  <c r="AJ31" i="93"/>
  <c r="AI31" i="93"/>
  <c r="AH31" i="93"/>
  <c r="AG31" i="93"/>
  <c r="AF31" i="93"/>
  <c r="AE31" i="93"/>
  <c r="AD31" i="93"/>
  <c r="AC31" i="93"/>
  <c r="AB31" i="93"/>
  <c r="AA31" i="93"/>
  <c r="Z31" i="93"/>
  <c r="Y31" i="93"/>
  <c r="X31" i="93"/>
  <c r="W31" i="93"/>
  <c r="V31" i="93"/>
  <c r="U31" i="93"/>
  <c r="T31" i="93"/>
  <c r="S31" i="93"/>
  <c r="R31" i="93"/>
  <c r="Q31" i="93"/>
  <c r="P31" i="93"/>
  <c r="O31" i="93"/>
  <c r="N31" i="93"/>
  <c r="M31" i="93"/>
  <c r="L31" i="93"/>
  <c r="K31" i="93"/>
  <c r="J31" i="93"/>
  <c r="I31" i="93"/>
  <c r="H31" i="93"/>
  <c r="G31" i="93"/>
  <c r="F31" i="93"/>
  <c r="E31" i="93"/>
  <c r="D31" i="93"/>
  <c r="C31" i="93"/>
  <c r="B31" i="93"/>
  <c r="A31" i="93"/>
  <c r="AN30" i="93"/>
  <c r="AM30" i="93"/>
  <c r="AL30" i="93"/>
  <c r="AK30" i="93"/>
  <c r="AJ30" i="93"/>
  <c r="AI30" i="93"/>
  <c r="AH30" i="93"/>
  <c r="AG30" i="93"/>
  <c r="AF30" i="93"/>
  <c r="AE30" i="93"/>
  <c r="AD30" i="93"/>
  <c r="AC30" i="93"/>
  <c r="AB30" i="93"/>
  <c r="AA30" i="93"/>
  <c r="Z30" i="93"/>
  <c r="Y30" i="93"/>
  <c r="X30" i="93"/>
  <c r="W30" i="93"/>
  <c r="V30" i="93"/>
  <c r="U30" i="93"/>
  <c r="T30" i="93"/>
  <c r="S30" i="93"/>
  <c r="R30" i="93"/>
  <c r="Q30" i="93"/>
  <c r="P30" i="93"/>
  <c r="O30" i="93"/>
  <c r="N30" i="93"/>
  <c r="M30" i="93"/>
  <c r="L30" i="93"/>
  <c r="K30" i="93"/>
  <c r="J30" i="93"/>
  <c r="I30" i="93"/>
  <c r="H30" i="93"/>
  <c r="G30" i="93"/>
  <c r="F30" i="93"/>
  <c r="E30" i="93"/>
  <c r="D30" i="93"/>
  <c r="C30" i="93"/>
  <c r="B30" i="93"/>
  <c r="A30" i="93"/>
  <c r="AN29" i="93"/>
  <c r="AM29" i="93"/>
  <c r="AL29" i="93"/>
  <c r="AK29" i="93"/>
  <c r="AJ29" i="93"/>
  <c r="AI29" i="93"/>
  <c r="AH29" i="93"/>
  <c r="AG29" i="93"/>
  <c r="AF29" i="93"/>
  <c r="AE29" i="93"/>
  <c r="AD29" i="93"/>
  <c r="AC29" i="93"/>
  <c r="AB29" i="93"/>
  <c r="AA29" i="93"/>
  <c r="Z29" i="93"/>
  <c r="Y29" i="93"/>
  <c r="X29" i="93"/>
  <c r="W29" i="93"/>
  <c r="V29" i="93"/>
  <c r="U29" i="93"/>
  <c r="T29" i="93"/>
  <c r="S29" i="93"/>
  <c r="R29" i="93"/>
  <c r="Q29" i="93"/>
  <c r="P29" i="93"/>
  <c r="O29" i="93"/>
  <c r="N29" i="93"/>
  <c r="M29" i="93"/>
  <c r="L29" i="93"/>
  <c r="K29" i="93"/>
  <c r="J29" i="93"/>
  <c r="I29" i="93"/>
  <c r="H29" i="93"/>
  <c r="G29" i="93"/>
  <c r="F29" i="93"/>
  <c r="E29" i="93"/>
  <c r="D29" i="93"/>
  <c r="C29" i="93"/>
  <c r="B29" i="93"/>
  <c r="A29" i="93"/>
  <c r="AN28" i="93"/>
  <c r="AM28" i="93"/>
  <c r="AL28" i="93"/>
  <c r="AK28" i="93"/>
  <c r="AJ28" i="93"/>
  <c r="AI28" i="93"/>
  <c r="AH28" i="93"/>
  <c r="AG28" i="93"/>
  <c r="AF28" i="93"/>
  <c r="AE28" i="93"/>
  <c r="AD28" i="93"/>
  <c r="AC28" i="93"/>
  <c r="AB28" i="93"/>
  <c r="AA28" i="93"/>
  <c r="Z28" i="93"/>
  <c r="Y28" i="93"/>
  <c r="X28" i="93"/>
  <c r="W28" i="93"/>
  <c r="V28" i="93"/>
  <c r="U28" i="93"/>
  <c r="T28" i="93"/>
  <c r="S28" i="93"/>
  <c r="R28" i="93"/>
  <c r="Q28" i="93"/>
  <c r="P28" i="93"/>
  <c r="O28" i="93"/>
  <c r="N28" i="93"/>
  <c r="M28" i="93"/>
  <c r="L28" i="93"/>
  <c r="K28" i="93"/>
  <c r="J28" i="93"/>
  <c r="I28" i="93"/>
  <c r="H28" i="93"/>
  <c r="G28" i="93"/>
  <c r="F28" i="93"/>
  <c r="E28" i="93"/>
  <c r="D28" i="93"/>
  <c r="C28" i="93"/>
  <c r="B28" i="93"/>
  <c r="A28" i="93"/>
  <c r="AN27" i="93"/>
  <c r="AM27" i="93"/>
  <c r="AL27" i="93"/>
  <c r="AK27" i="93"/>
  <c r="AJ27" i="93"/>
  <c r="AI27" i="93"/>
  <c r="AH27" i="93"/>
  <c r="AG27" i="93"/>
  <c r="AF27" i="93"/>
  <c r="AE27" i="93"/>
  <c r="AD27" i="93"/>
  <c r="AC27" i="93"/>
  <c r="AB27" i="93"/>
  <c r="AA27" i="93"/>
  <c r="Z27" i="93"/>
  <c r="Y27" i="93"/>
  <c r="X27" i="93"/>
  <c r="W27" i="93"/>
  <c r="V27" i="93"/>
  <c r="U27" i="93"/>
  <c r="T27" i="93"/>
  <c r="S27" i="93"/>
  <c r="R27" i="93"/>
  <c r="Q27" i="93"/>
  <c r="P27" i="93"/>
  <c r="O27" i="93"/>
  <c r="N27" i="93"/>
  <c r="M27" i="93"/>
  <c r="L27" i="93"/>
  <c r="K27" i="93"/>
  <c r="J27" i="93"/>
  <c r="I27" i="93"/>
  <c r="H27" i="93"/>
  <c r="G27" i="93"/>
  <c r="F27" i="93"/>
  <c r="E27" i="93"/>
  <c r="D27" i="93"/>
  <c r="C27" i="93"/>
  <c r="B27" i="93"/>
  <c r="A27" i="93"/>
  <c r="AN26" i="93"/>
  <c r="AM26" i="93"/>
  <c r="AL26" i="93"/>
  <c r="AK26" i="93"/>
  <c r="AJ26" i="93"/>
  <c r="AI26" i="93"/>
  <c r="AH26" i="93"/>
  <c r="AG26" i="93"/>
  <c r="AF26" i="93"/>
  <c r="AE26" i="93"/>
  <c r="AD26" i="93"/>
  <c r="AC26" i="93"/>
  <c r="AB26" i="93"/>
  <c r="AA26" i="93"/>
  <c r="Z26" i="93"/>
  <c r="Y26" i="93"/>
  <c r="X26" i="93"/>
  <c r="W26" i="93"/>
  <c r="V26" i="93"/>
  <c r="U26" i="93"/>
  <c r="T26" i="93"/>
  <c r="S26" i="93"/>
  <c r="R26" i="93"/>
  <c r="Q26" i="93"/>
  <c r="P26" i="93"/>
  <c r="O26" i="93"/>
  <c r="N26" i="93"/>
  <c r="M26" i="93"/>
  <c r="L26" i="93"/>
  <c r="K26" i="93"/>
  <c r="J26" i="93"/>
  <c r="I26" i="93"/>
  <c r="H26" i="93"/>
  <c r="G26" i="93"/>
  <c r="F26" i="93"/>
  <c r="E26" i="93"/>
  <c r="D26" i="93"/>
  <c r="C26" i="93"/>
  <c r="B26" i="93"/>
  <c r="A26" i="93"/>
  <c r="AN25" i="93"/>
  <c r="AM25" i="93"/>
  <c r="AL25" i="93"/>
  <c r="AK25" i="93"/>
  <c r="AJ25" i="93"/>
  <c r="AI25" i="93"/>
  <c r="AH25" i="93"/>
  <c r="AG25" i="93"/>
  <c r="AF25" i="93"/>
  <c r="AE25" i="93"/>
  <c r="AD25" i="93"/>
  <c r="AC25" i="93"/>
  <c r="AB25" i="93"/>
  <c r="AA25" i="93"/>
  <c r="Z25" i="93"/>
  <c r="Y25" i="93"/>
  <c r="X25" i="93"/>
  <c r="W25" i="93"/>
  <c r="V25" i="93"/>
  <c r="U25" i="93"/>
  <c r="T25" i="93"/>
  <c r="S25" i="93"/>
  <c r="R25" i="93"/>
  <c r="Q25" i="93"/>
  <c r="P25" i="93"/>
  <c r="O25" i="93"/>
  <c r="N25" i="93"/>
  <c r="M25" i="93"/>
  <c r="L25" i="93"/>
  <c r="K25" i="93"/>
  <c r="J25" i="93"/>
  <c r="I25" i="93"/>
  <c r="H25" i="93"/>
  <c r="G25" i="93"/>
  <c r="F25" i="93"/>
  <c r="E25" i="93"/>
  <c r="D25" i="93"/>
  <c r="C25" i="93"/>
  <c r="B25" i="93"/>
  <c r="A25" i="93"/>
  <c r="AN24" i="93"/>
  <c r="AM24" i="93"/>
  <c r="AL24" i="93"/>
  <c r="AK24" i="93"/>
  <c r="AJ24" i="93"/>
  <c r="AI24" i="93"/>
  <c r="AH24" i="93"/>
  <c r="AG24" i="93"/>
  <c r="AF24" i="93"/>
  <c r="AE24" i="93"/>
  <c r="AD24" i="93"/>
  <c r="AC24" i="93"/>
  <c r="AB24" i="93"/>
  <c r="AA24" i="93"/>
  <c r="Z24" i="93"/>
  <c r="Y24" i="93"/>
  <c r="X24" i="93"/>
  <c r="W24" i="93"/>
  <c r="V24" i="93"/>
  <c r="U24" i="93"/>
  <c r="T24" i="93"/>
  <c r="S24" i="93"/>
  <c r="R24" i="93"/>
  <c r="Q24" i="93"/>
  <c r="P24" i="93"/>
  <c r="O24" i="93"/>
  <c r="N24" i="93"/>
  <c r="M24" i="93"/>
  <c r="L24" i="93"/>
  <c r="K24" i="93"/>
  <c r="J24" i="93"/>
  <c r="I24" i="93"/>
  <c r="H24" i="93"/>
  <c r="G24" i="93"/>
  <c r="F24" i="93"/>
  <c r="E24" i="93"/>
  <c r="D24" i="93"/>
  <c r="C24" i="93"/>
  <c r="B24" i="93"/>
  <c r="A24" i="93"/>
  <c r="AN23" i="93"/>
  <c r="AM23" i="93"/>
  <c r="AL23" i="93"/>
  <c r="AK23" i="93"/>
  <c r="AJ23" i="93"/>
  <c r="AI23" i="93"/>
  <c r="AH23" i="93"/>
  <c r="AG23" i="93"/>
  <c r="AF23" i="93"/>
  <c r="AE23" i="93"/>
  <c r="AD23" i="93"/>
  <c r="AC23" i="93"/>
  <c r="AB23" i="93"/>
  <c r="AA23" i="93"/>
  <c r="Z23" i="93"/>
  <c r="Y23" i="93"/>
  <c r="X23" i="93"/>
  <c r="W23" i="93"/>
  <c r="V23" i="93"/>
  <c r="U23" i="93"/>
  <c r="T23" i="93"/>
  <c r="S23" i="93"/>
  <c r="R23" i="93"/>
  <c r="Q23" i="93"/>
  <c r="P23" i="93"/>
  <c r="O23" i="93"/>
  <c r="N23" i="93"/>
  <c r="M23" i="93"/>
  <c r="L23" i="93"/>
  <c r="K23" i="93"/>
  <c r="J23" i="93"/>
  <c r="I23" i="93"/>
  <c r="H23" i="93"/>
  <c r="G23" i="93"/>
  <c r="F23" i="93"/>
  <c r="E23" i="93"/>
  <c r="D23" i="93"/>
  <c r="C23" i="93"/>
  <c r="B23" i="93"/>
  <c r="A23" i="93"/>
  <c r="AN22" i="93"/>
  <c r="AM22" i="93"/>
  <c r="AL22" i="93"/>
  <c r="AK22" i="93"/>
  <c r="AJ22" i="93"/>
  <c r="AI22" i="93"/>
  <c r="AH22" i="93"/>
  <c r="AG22" i="93"/>
  <c r="AF22" i="93"/>
  <c r="AE22" i="93"/>
  <c r="AD22" i="93"/>
  <c r="AC22" i="93"/>
  <c r="AB22" i="93"/>
  <c r="AA22" i="93"/>
  <c r="Z22" i="93"/>
  <c r="Y22" i="93"/>
  <c r="X22" i="93"/>
  <c r="W22" i="93"/>
  <c r="V22" i="93"/>
  <c r="U22" i="93"/>
  <c r="T22" i="93"/>
  <c r="S22" i="93"/>
  <c r="R22" i="93"/>
  <c r="Q22" i="93"/>
  <c r="P22" i="93"/>
  <c r="O22" i="93"/>
  <c r="N22" i="93"/>
  <c r="M22" i="93"/>
  <c r="L22" i="93"/>
  <c r="K22" i="93"/>
  <c r="J22" i="93"/>
  <c r="I22" i="93"/>
  <c r="H22" i="93"/>
  <c r="G22" i="93"/>
  <c r="F22" i="93"/>
  <c r="E22" i="93"/>
  <c r="D22" i="93"/>
  <c r="C22" i="93"/>
  <c r="B22" i="93"/>
  <c r="A22" i="93"/>
  <c r="AN21" i="93"/>
  <c r="AM21" i="93"/>
  <c r="AL21" i="93"/>
  <c r="AK21" i="93"/>
  <c r="AJ21" i="93"/>
  <c r="AI21" i="93"/>
  <c r="AH21" i="93"/>
  <c r="AG21" i="93"/>
  <c r="AF21" i="93"/>
  <c r="AE21" i="93"/>
  <c r="AD21" i="93"/>
  <c r="AC21" i="93"/>
  <c r="AB21" i="93"/>
  <c r="AA21" i="93"/>
  <c r="Z21" i="93"/>
  <c r="Y21" i="93"/>
  <c r="X21" i="93"/>
  <c r="W21" i="93"/>
  <c r="V21" i="93"/>
  <c r="U21" i="93"/>
  <c r="T21" i="93"/>
  <c r="S21" i="93"/>
  <c r="R21" i="93"/>
  <c r="Q21" i="93"/>
  <c r="P21" i="93"/>
  <c r="O21" i="93"/>
  <c r="N21" i="93"/>
  <c r="M21" i="93"/>
  <c r="L21" i="93"/>
  <c r="K21" i="93"/>
  <c r="J21" i="93"/>
  <c r="I21" i="93"/>
  <c r="H21" i="93"/>
  <c r="G21" i="93"/>
  <c r="F21" i="93"/>
  <c r="E21" i="93"/>
  <c r="D21" i="93"/>
  <c r="C21" i="93"/>
  <c r="B21" i="93"/>
  <c r="A21" i="93"/>
  <c r="AN20" i="93"/>
  <c r="AM20" i="93"/>
  <c r="AL20" i="93"/>
  <c r="AK20" i="93"/>
  <c r="AJ20" i="93"/>
  <c r="AI20" i="93"/>
  <c r="AH20" i="93"/>
  <c r="AG20" i="93"/>
  <c r="AF20" i="93"/>
  <c r="AE20" i="93"/>
  <c r="AD20" i="93"/>
  <c r="AC20" i="93"/>
  <c r="AB20" i="93"/>
  <c r="AA20" i="93"/>
  <c r="Z20" i="93"/>
  <c r="Y20" i="93"/>
  <c r="X20" i="93"/>
  <c r="W20" i="93"/>
  <c r="V20" i="93"/>
  <c r="U20" i="93"/>
  <c r="T20" i="93"/>
  <c r="S20" i="93"/>
  <c r="R20" i="93"/>
  <c r="Q20" i="93"/>
  <c r="P20" i="93"/>
  <c r="O20" i="93"/>
  <c r="N20" i="93"/>
  <c r="M20" i="93"/>
  <c r="L20" i="93"/>
  <c r="K20" i="93"/>
  <c r="J20" i="93"/>
  <c r="I20" i="93"/>
  <c r="H20" i="93"/>
  <c r="G20" i="93"/>
  <c r="F20" i="93"/>
  <c r="E20" i="93"/>
  <c r="D20" i="93"/>
  <c r="C20" i="93"/>
  <c r="B20" i="93"/>
  <c r="A20" i="93"/>
  <c r="AM9" i="93"/>
  <c r="AM8" i="93"/>
  <c r="AL9" i="93"/>
  <c r="AL8" i="93"/>
  <c r="AK9" i="93"/>
  <c r="AK8" i="93"/>
  <c r="AJ9" i="93"/>
  <c r="AJ8" i="93"/>
  <c r="AI9" i="93"/>
  <c r="AI8" i="93"/>
  <c r="AH9" i="93"/>
  <c r="AH8" i="93"/>
  <c r="AG9" i="93"/>
  <c r="AG8" i="93"/>
  <c r="AF9" i="93"/>
  <c r="AF8" i="93"/>
  <c r="AE9" i="93"/>
  <c r="AE8" i="93"/>
  <c r="AD9" i="93"/>
  <c r="AD8" i="93"/>
  <c r="AC9" i="93"/>
  <c r="AC8" i="93"/>
  <c r="AB9" i="93"/>
  <c r="AB8" i="93"/>
  <c r="AA9" i="93"/>
  <c r="AA8" i="93"/>
  <c r="Z9" i="93"/>
  <c r="Z8" i="93"/>
  <c r="Y9" i="93"/>
  <c r="Y8" i="93"/>
  <c r="X9" i="93"/>
  <c r="X8" i="93"/>
  <c r="W9" i="93"/>
  <c r="W8" i="93"/>
  <c r="V9" i="93"/>
  <c r="V8" i="93"/>
  <c r="U9" i="93"/>
  <c r="U8" i="93"/>
  <c r="T9" i="93"/>
  <c r="T8" i="93"/>
  <c r="S9" i="93"/>
  <c r="S8" i="93"/>
  <c r="R9" i="93"/>
  <c r="R8" i="93"/>
  <c r="Q9" i="93"/>
  <c r="Q8" i="93"/>
  <c r="P9" i="93"/>
  <c r="P8" i="93"/>
  <c r="O9" i="93"/>
  <c r="O8" i="93"/>
  <c r="N9" i="93"/>
  <c r="N8" i="93"/>
  <c r="N10" i="93" s="1"/>
  <c r="M9" i="93"/>
  <c r="M8" i="93"/>
  <c r="L9" i="93"/>
  <c r="L8" i="93"/>
  <c r="K9" i="93"/>
  <c r="K8" i="93"/>
  <c r="J9" i="93"/>
  <c r="J8" i="93"/>
  <c r="I9" i="93"/>
  <c r="I8" i="93"/>
  <c r="H9" i="93"/>
  <c r="H8" i="93"/>
  <c r="G9" i="93"/>
  <c r="G8" i="93"/>
  <c r="F9" i="93"/>
  <c r="F8" i="93"/>
  <c r="E9" i="93"/>
  <c r="E8" i="93"/>
  <c r="D9" i="93"/>
  <c r="D8" i="93"/>
  <c r="C9" i="93"/>
  <c r="C8" i="93"/>
  <c r="B9" i="93"/>
  <c r="B8" i="93"/>
  <c r="B37" i="86"/>
  <c r="E2" i="1" a="1"/>
  <c r="E2" i="1" s="1"/>
  <c r="E3" i="1" a="1"/>
  <c r="E3" i="1" s="1"/>
  <c r="E4" i="1" a="1"/>
  <c r="E4" i="1" s="1"/>
  <c r="E5" i="1" a="1"/>
  <c r="E5" i="1" s="1"/>
  <c r="E6" i="1" a="1"/>
  <c r="E6" i="1" s="1"/>
  <c r="E7" i="1" a="1"/>
  <c r="E7" i="1" s="1"/>
  <c r="E1" i="1" a="1"/>
  <c r="E1" i="1" s="1"/>
  <c r="B2" i="1" a="1"/>
  <c r="B2" i="1" s="1"/>
  <c r="D32" i="61" s="1"/>
  <c r="B41" i="81" s="1"/>
  <c r="C64" i="94" s="1"/>
  <c r="D72" i="94" s="1"/>
  <c r="B3" i="1" a="1"/>
  <c r="B3" i="1" s="1"/>
  <c r="E32" i="61" s="1"/>
  <c r="B41" i="82" s="1"/>
  <c r="D64" i="94" s="1"/>
  <c r="D73" i="94" s="1"/>
  <c r="B4" i="1" a="1"/>
  <c r="B4" i="1" s="1"/>
  <c r="F32" i="61" s="1"/>
  <c r="B41" i="83" s="1"/>
  <c r="E64" i="94" s="1"/>
  <c r="D74" i="94" s="1"/>
  <c r="B5" i="1" a="1"/>
  <c r="B5" i="1" s="1"/>
  <c r="G32" i="61" s="1"/>
  <c r="B41" i="84" s="1"/>
  <c r="F64" i="94" s="1"/>
  <c r="D75" i="94" s="1"/>
  <c r="B6" i="1" a="1"/>
  <c r="B6" i="1" s="1"/>
  <c r="H32" i="61" s="1"/>
  <c r="B7" i="1" a="1"/>
  <c r="B7" i="1" s="1"/>
  <c r="I32" i="61" s="1"/>
  <c r="B41" i="86" s="1"/>
  <c r="H64" i="94" s="1"/>
  <c r="D77" i="94" s="1"/>
  <c r="B1" i="1" a="1"/>
  <c r="B1" i="1" s="1"/>
  <c r="C32" i="61" s="1"/>
  <c r="B41" i="80" s="1"/>
  <c r="B64" i="94" s="1"/>
  <c r="D71" i="94" s="1"/>
  <c r="C2" i="1" a="1"/>
  <c r="C2" i="1" s="1"/>
  <c r="B44" i="81" s="1"/>
  <c r="D2" i="1" a="1"/>
  <c r="D2" i="1" s="1"/>
  <c r="D33" i="61" s="1"/>
  <c r="C3" i="1" a="1"/>
  <c r="C3" i="1" s="1"/>
  <c r="B44" i="82" s="1"/>
  <c r="D3" i="1" a="1"/>
  <c r="D3" i="1" s="1"/>
  <c r="E33" i="61" s="1"/>
  <c r="C4" i="1" a="1"/>
  <c r="C4" i="1" s="1"/>
  <c r="B44" i="83" s="1"/>
  <c r="D4" i="1" a="1"/>
  <c r="D4" i="1" s="1"/>
  <c r="F33" i="61" s="1"/>
  <c r="C5" i="1" a="1"/>
  <c r="C5" i="1" s="1"/>
  <c r="B44" i="84" s="1"/>
  <c r="D5" i="1" a="1"/>
  <c r="D5" i="1" s="1"/>
  <c r="G33" i="61" s="1"/>
  <c r="B13" i="99" s="1"/>
  <c r="C6" i="1" a="1"/>
  <c r="C6" i="1" s="1"/>
  <c r="B44" i="85" s="1"/>
  <c r="D6" i="1" a="1"/>
  <c r="D6" i="1" s="1"/>
  <c r="H33" i="61" s="1"/>
  <c r="B39" i="85" s="1"/>
  <c r="C7" i="1" a="1"/>
  <c r="C7" i="1" s="1"/>
  <c r="B44" i="86" s="1"/>
  <c r="D7" i="1" a="1"/>
  <c r="D7" i="1" s="1"/>
  <c r="I33" i="61" s="1"/>
  <c r="D1" i="1" a="1"/>
  <c r="D1" i="1" s="1"/>
  <c r="C33" i="61" s="1"/>
  <c r="C1" i="1" a="1"/>
  <c r="C1" i="1" s="1"/>
  <c r="B44" i="80" s="1"/>
  <c r="H44" i="78"/>
  <c r="G44" i="78"/>
  <c r="F44" i="78"/>
  <c r="E44" i="78"/>
  <c r="D44" i="78"/>
  <c r="C44" i="78"/>
  <c r="B44" i="78"/>
  <c r="H44" i="77"/>
  <c r="G44" i="77"/>
  <c r="F44" i="77"/>
  <c r="E44" i="77"/>
  <c r="D44" i="77"/>
  <c r="C44" i="77"/>
  <c r="B44" i="77"/>
  <c r="H44" i="76"/>
  <c r="G44" i="76"/>
  <c r="F44" i="76"/>
  <c r="E44" i="76"/>
  <c r="D44" i="76"/>
  <c r="C44" i="76"/>
  <c r="B44" i="76"/>
  <c r="H44" i="75"/>
  <c r="G44" i="75"/>
  <c r="F44" i="75"/>
  <c r="E44" i="75"/>
  <c r="D44" i="75"/>
  <c r="C44" i="75"/>
  <c r="B44" i="75"/>
  <c r="H44" i="74"/>
  <c r="G44" i="74"/>
  <c r="F44" i="74"/>
  <c r="E44" i="74"/>
  <c r="D44" i="74"/>
  <c r="C44" i="74"/>
  <c r="B44" i="74"/>
  <c r="H44" i="73"/>
  <c r="G44" i="73"/>
  <c r="F44" i="73"/>
  <c r="E44" i="73"/>
  <c r="D44" i="73"/>
  <c r="C44" i="73"/>
  <c r="B44" i="73"/>
  <c r="H44" i="72"/>
  <c r="G44" i="72"/>
  <c r="F44" i="72"/>
  <c r="E44" i="72"/>
  <c r="D44" i="72"/>
  <c r="C44" i="72"/>
  <c r="B44" i="72"/>
  <c r="B24" i="78"/>
  <c r="B97" i="78" s="1"/>
  <c r="H12" i="78"/>
  <c r="H11" i="78"/>
  <c r="H10" i="78"/>
  <c r="H9" i="78"/>
  <c r="H8" i="78"/>
  <c r="H7" i="78"/>
  <c r="H6" i="78"/>
  <c r="H5" i="78"/>
  <c r="G12" i="78"/>
  <c r="G11" i="78"/>
  <c r="G10" i="78"/>
  <c r="G9" i="78"/>
  <c r="G8" i="78"/>
  <c r="G7" i="78"/>
  <c r="G6" i="78"/>
  <c r="G5" i="78"/>
  <c r="F12" i="78"/>
  <c r="F11" i="78"/>
  <c r="F10" i="78"/>
  <c r="F9" i="78"/>
  <c r="F8" i="78"/>
  <c r="F7" i="78"/>
  <c r="F6" i="78"/>
  <c r="F5" i="78"/>
  <c r="E12" i="78"/>
  <c r="E11" i="78"/>
  <c r="E10" i="78"/>
  <c r="E9" i="78"/>
  <c r="E8" i="78"/>
  <c r="E7" i="78"/>
  <c r="E6" i="78"/>
  <c r="E5" i="78"/>
  <c r="D12" i="78"/>
  <c r="D11" i="78"/>
  <c r="D10" i="78"/>
  <c r="D9" i="78"/>
  <c r="D8" i="78"/>
  <c r="D7" i="78"/>
  <c r="D6" i="78"/>
  <c r="D5" i="78"/>
  <c r="C12" i="78"/>
  <c r="C11" i="78"/>
  <c r="C10" i="78"/>
  <c r="C9" i="78"/>
  <c r="C8" i="78"/>
  <c r="C7" i="78"/>
  <c r="C6" i="78"/>
  <c r="C5" i="78"/>
  <c r="B12" i="78"/>
  <c r="B11" i="78"/>
  <c r="B10" i="78"/>
  <c r="B9" i="78"/>
  <c r="B8" i="78"/>
  <c r="B7" i="78"/>
  <c r="B6" i="78"/>
  <c r="B5" i="78"/>
  <c r="B24" i="77"/>
  <c r="B88" i="77" s="1"/>
  <c r="H12" i="77"/>
  <c r="H10" i="77"/>
  <c r="H9" i="77"/>
  <c r="H7" i="77"/>
  <c r="H6" i="77"/>
  <c r="H5" i="77"/>
  <c r="G12" i="77"/>
  <c r="G10" i="77"/>
  <c r="G9" i="77"/>
  <c r="G7" i="77"/>
  <c r="G6" i="77"/>
  <c r="G5" i="77"/>
  <c r="F12" i="77"/>
  <c r="F10" i="77"/>
  <c r="F9" i="77"/>
  <c r="F7" i="77"/>
  <c r="F6" i="77"/>
  <c r="F5" i="77"/>
  <c r="E12" i="77"/>
  <c r="E10" i="77"/>
  <c r="E9" i="77"/>
  <c r="E7" i="77"/>
  <c r="E6" i="77"/>
  <c r="E5" i="77"/>
  <c r="D12" i="77"/>
  <c r="D10" i="77"/>
  <c r="D9" i="77"/>
  <c r="D7" i="77"/>
  <c r="D6" i="77"/>
  <c r="D5" i="77"/>
  <c r="C12" i="77"/>
  <c r="C10" i="77"/>
  <c r="C9" i="77"/>
  <c r="C7" i="77"/>
  <c r="C6" i="77"/>
  <c r="C5" i="77"/>
  <c r="B12" i="77"/>
  <c r="B10" i="77"/>
  <c r="B9" i="77"/>
  <c r="B7" i="77"/>
  <c r="B6" i="77"/>
  <c r="B5" i="77"/>
  <c r="B24" i="76"/>
  <c r="B88" i="76" s="1"/>
  <c r="H12" i="76"/>
  <c r="H10" i="76"/>
  <c r="H9" i="76"/>
  <c r="H8" i="76"/>
  <c r="H7" i="76"/>
  <c r="H6" i="76"/>
  <c r="H5" i="76"/>
  <c r="G12" i="76"/>
  <c r="G10" i="76"/>
  <c r="G9" i="76"/>
  <c r="G8" i="76"/>
  <c r="G7" i="76"/>
  <c r="G6" i="76"/>
  <c r="G5" i="76"/>
  <c r="F12" i="76"/>
  <c r="F10" i="76"/>
  <c r="F9" i="76"/>
  <c r="F8" i="76"/>
  <c r="F7" i="76"/>
  <c r="F6" i="76"/>
  <c r="F5" i="76"/>
  <c r="E12" i="76"/>
  <c r="E10" i="76"/>
  <c r="E9" i="76"/>
  <c r="E8" i="76"/>
  <c r="E7" i="76"/>
  <c r="E6" i="76"/>
  <c r="E5" i="76"/>
  <c r="D12" i="76"/>
  <c r="D10" i="76"/>
  <c r="D9" i="76"/>
  <c r="D8" i="76"/>
  <c r="D7" i="76"/>
  <c r="D6" i="76"/>
  <c r="D5" i="76"/>
  <c r="C12" i="76"/>
  <c r="C10" i="76"/>
  <c r="C9" i="76"/>
  <c r="C8" i="76"/>
  <c r="C7" i="76"/>
  <c r="C6" i="76"/>
  <c r="C5" i="76"/>
  <c r="B12" i="76"/>
  <c r="B10" i="76"/>
  <c r="B9" i="76"/>
  <c r="B8" i="76"/>
  <c r="B7" i="76"/>
  <c r="B6" i="76"/>
  <c r="B5" i="76"/>
  <c r="B24" i="75"/>
  <c r="B97" i="75" s="1"/>
  <c r="H12" i="75"/>
  <c r="H11" i="75"/>
  <c r="H10" i="75"/>
  <c r="H9" i="75"/>
  <c r="H8" i="75"/>
  <c r="H7" i="75"/>
  <c r="H6" i="75"/>
  <c r="H5" i="75"/>
  <c r="G12" i="75"/>
  <c r="G11" i="75"/>
  <c r="G10" i="75"/>
  <c r="G9" i="75"/>
  <c r="G8" i="75"/>
  <c r="G7" i="75"/>
  <c r="G6" i="75"/>
  <c r="G5" i="75"/>
  <c r="F12" i="75"/>
  <c r="F11" i="75"/>
  <c r="F10" i="75"/>
  <c r="F9" i="75"/>
  <c r="F8" i="75"/>
  <c r="F7" i="75"/>
  <c r="F6" i="75"/>
  <c r="F5" i="75"/>
  <c r="E12" i="75"/>
  <c r="E11" i="75"/>
  <c r="E10" i="75"/>
  <c r="E9" i="75"/>
  <c r="E8" i="75"/>
  <c r="E7" i="75"/>
  <c r="E6" i="75"/>
  <c r="E5" i="75"/>
  <c r="D12" i="75"/>
  <c r="D11" i="75"/>
  <c r="D10" i="75"/>
  <c r="D9" i="75"/>
  <c r="D8" i="75"/>
  <c r="D7" i="75"/>
  <c r="D6" i="75"/>
  <c r="D5" i="75"/>
  <c r="C12" i="75"/>
  <c r="C11" i="75"/>
  <c r="C10" i="75"/>
  <c r="C9" i="75"/>
  <c r="C8" i="75"/>
  <c r="C7" i="75"/>
  <c r="C6" i="75"/>
  <c r="C5" i="75"/>
  <c r="B12" i="75"/>
  <c r="B11" i="75"/>
  <c r="B10" i="75"/>
  <c r="B9" i="75"/>
  <c r="B8" i="75"/>
  <c r="B7" i="75"/>
  <c r="B6" i="75"/>
  <c r="B5" i="75"/>
  <c r="B24" i="74"/>
  <c r="B15" i="82" s="1"/>
  <c r="B79" i="82" s="1"/>
  <c r="H12" i="74"/>
  <c r="H10" i="74"/>
  <c r="H9" i="74"/>
  <c r="H7" i="74"/>
  <c r="H6" i="74"/>
  <c r="H5" i="74"/>
  <c r="G12" i="74"/>
  <c r="G10" i="74"/>
  <c r="G9" i="74"/>
  <c r="G7" i="74"/>
  <c r="G6" i="74"/>
  <c r="G5" i="74"/>
  <c r="F12" i="74"/>
  <c r="F10" i="74"/>
  <c r="F9" i="74"/>
  <c r="F7" i="74"/>
  <c r="F6" i="74"/>
  <c r="F5" i="74"/>
  <c r="E12" i="74"/>
  <c r="E10" i="74"/>
  <c r="E9" i="74"/>
  <c r="E7" i="74"/>
  <c r="E6" i="74"/>
  <c r="E5" i="74"/>
  <c r="D12" i="74"/>
  <c r="D10" i="74"/>
  <c r="D9" i="74"/>
  <c r="D7" i="74"/>
  <c r="D6" i="74"/>
  <c r="D5" i="74"/>
  <c r="C12" i="74"/>
  <c r="C10" i="74"/>
  <c r="C9" i="74"/>
  <c r="C7" i="74"/>
  <c r="C6" i="74"/>
  <c r="C5" i="74"/>
  <c r="B12" i="74"/>
  <c r="B10" i="74"/>
  <c r="B9" i="74"/>
  <c r="B7" i="74"/>
  <c r="B6" i="74"/>
  <c r="B5" i="74"/>
  <c r="B24" i="73"/>
  <c r="B15" i="81" s="1"/>
  <c r="B79" i="81" s="1"/>
  <c r="H12" i="73"/>
  <c r="H10" i="73"/>
  <c r="H9" i="73"/>
  <c r="H7" i="73"/>
  <c r="H6" i="73"/>
  <c r="H5" i="73"/>
  <c r="G12" i="73"/>
  <c r="G10" i="73"/>
  <c r="G9" i="73"/>
  <c r="G7" i="73"/>
  <c r="G6" i="73"/>
  <c r="G5" i="73"/>
  <c r="F12" i="73"/>
  <c r="F10" i="73"/>
  <c r="F9" i="73"/>
  <c r="F7" i="73"/>
  <c r="F6" i="73"/>
  <c r="F5" i="73"/>
  <c r="E12" i="73"/>
  <c r="E10" i="73"/>
  <c r="E9" i="73"/>
  <c r="E7" i="73"/>
  <c r="E6" i="73"/>
  <c r="E5" i="73"/>
  <c r="D12" i="73"/>
  <c r="D10" i="73"/>
  <c r="D9" i="73"/>
  <c r="D7" i="73"/>
  <c r="D6" i="73"/>
  <c r="D5" i="73"/>
  <c r="C12" i="73"/>
  <c r="C10" i="73"/>
  <c r="C9" i="73"/>
  <c r="C7" i="73"/>
  <c r="C6" i="73"/>
  <c r="C5" i="73"/>
  <c r="B12" i="73"/>
  <c r="B10" i="73"/>
  <c r="B9" i="73"/>
  <c r="B7" i="73"/>
  <c r="B6" i="73"/>
  <c r="B5" i="73"/>
  <c r="B24" i="72"/>
  <c r="B76" i="72" s="1"/>
  <c r="H12" i="72"/>
  <c r="H11" i="72"/>
  <c r="H10" i="72"/>
  <c r="H9" i="72"/>
  <c r="H8" i="72"/>
  <c r="H7" i="72"/>
  <c r="H6" i="72"/>
  <c r="H5" i="72"/>
  <c r="G12" i="72"/>
  <c r="G11" i="72"/>
  <c r="G10" i="72"/>
  <c r="G9" i="72"/>
  <c r="G8" i="72"/>
  <c r="G7" i="72"/>
  <c r="G6" i="72"/>
  <c r="G5" i="72"/>
  <c r="F12" i="72"/>
  <c r="F11" i="72"/>
  <c r="F10" i="72"/>
  <c r="F9" i="72"/>
  <c r="F8" i="72"/>
  <c r="F7" i="72"/>
  <c r="F6" i="72"/>
  <c r="F5" i="72"/>
  <c r="E12" i="72"/>
  <c r="E11" i="72"/>
  <c r="E10" i="72"/>
  <c r="E9" i="72"/>
  <c r="E8" i="72"/>
  <c r="E7" i="72"/>
  <c r="E6" i="72"/>
  <c r="E5" i="72"/>
  <c r="D12" i="72"/>
  <c r="D11" i="72"/>
  <c r="D10" i="72"/>
  <c r="D9" i="72"/>
  <c r="D8" i="72"/>
  <c r="D7" i="72"/>
  <c r="D6" i="72"/>
  <c r="D5" i="72"/>
  <c r="C12" i="72"/>
  <c r="C11" i="72"/>
  <c r="C10" i="72"/>
  <c r="C9" i="72"/>
  <c r="C8" i="72"/>
  <c r="C7" i="72"/>
  <c r="C6" i="72"/>
  <c r="C5" i="72"/>
  <c r="B12" i="72"/>
  <c r="B11" i="72"/>
  <c r="B10" i="72"/>
  <c r="B9" i="72"/>
  <c r="B8" i="72"/>
  <c r="B7" i="72"/>
  <c r="B6" i="72"/>
  <c r="B5" i="72"/>
  <c r="B33" i="70"/>
  <c r="C33" i="70" s="1"/>
  <c r="D33" i="70" s="1"/>
  <c r="E33" i="70" s="1"/>
  <c r="F33" i="70" s="1"/>
  <c r="B23" i="69"/>
  <c r="C23" i="69" s="1"/>
  <c r="D23" i="69" s="1"/>
  <c r="E23" i="69" s="1"/>
  <c r="F23" i="69" s="1"/>
  <c r="B23" i="68"/>
  <c r="C23" i="68" s="1"/>
  <c r="D23" i="68" s="1"/>
  <c r="E23" i="68" s="1"/>
  <c r="F23" i="68" s="1"/>
  <c r="B33" i="67"/>
  <c r="C33" i="67" s="1"/>
  <c r="D33" i="67" s="1"/>
  <c r="E33" i="67" s="1"/>
  <c r="F33" i="67" s="1"/>
  <c r="B33" i="66"/>
  <c r="C33" i="66" s="1"/>
  <c r="D33" i="66" s="1"/>
  <c r="E33" i="66" s="1"/>
  <c r="F33" i="66" s="1"/>
  <c r="B39" i="65"/>
  <c r="C39" i="65" s="1"/>
  <c r="D39" i="65" s="1"/>
  <c r="E39" i="65" s="1"/>
  <c r="F39" i="65" s="1"/>
  <c r="B29" i="64"/>
  <c r="C29" i="64" s="1"/>
  <c r="D29" i="64" s="1"/>
  <c r="E29" i="64" s="1"/>
  <c r="F29" i="64" s="1"/>
  <c r="H20" i="69"/>
  <c r="H19" i="69"/>
  <c r="H16" i="69"/>
  <c r="H15" i="69"/>
  <c r="H12" i="69"/>
  <c r="G20" i="69"/>
  <c r="G19" i="69"/>
  <c r="G16" i="69"/>
  <c r="G15" i="69"/>
  <c r="G12" i="69"/>
  <c r="F20" i="69"/>
  <c r="F19" i="69"/>
  <c r="F16" i="69"/>
  <c r="F15" i="69"/>
  <c r="F12" i="69"/>
  <c r="E20" i="69"/>
  <c r="E19" i="69"/>
  <c r="E16" i="69"/>
  <c r="E15" i="69"/>
  <c r="E12" i="69"/>
  <c r="D20" i="69"/>
  <c r="D19" i="69"/>
  <c r="D16" i="69"/>
  <c r="D15" i="69"/>
  <c r="D12" i="69"/>
  <c r="C15" i="69"/>
  <c r="C19" i="69" s="1"/>
  <c r="C12" i="69"/>
  <c r="B15" i="69"/>
  <c r="B12" i="69"/>
  <c r="B5" i="69"/>
  <c r="H20" i="68"/>
  <c r="H19" i="68"/>
  <c r="H16" i="68"/>
  <c r="H15" i="68"/>
  <c r="H12" i="68"/>
  <c r="G20" i="68"/>
  <c r="G19" i="68"/>
  <c r="G16" i="68"/>
  <c r="G15" i="68"/>
  <c r="G12" i="68"/>
  <c r="F20" i="68"/>
  <c r="F19" i="68"/>
  <c r="F16" i="68"/>
  <c r="F15" i="68"/>
  <c r="F12" i="68"/>
  <c r="E20" i="68"/>
  <c r="E19" i="68"/>
  <c r="E16" i="68"/>
  <c r="E15" i="68"/>
  <c r="E12" i="68"/>
  <c r="D20" i="68"/>
  <c r="D19" i="68"/>
  <c r="D16" i="68"/>
  <c r="D15" i="68"/>
  <c r="D12" i="68"/>
  <c r="C15" i="68"/>
  <c r="C19" i="68" s="1"/>
  <c r="C12" i="68"/>
  <c r="B15" i="68"/>
  <c r="B20" i="68" s="1"/>
  <c r="C128" i="93" s="1"/>
  <c r="B12" i="68"/>
  <c r="B5" i="68"/>
  <c r="H30" i="67"/>
  <c r="H29" i="67"/>
  <c r="H28" i="67"/>
  <c r="H27" i="67"/>
  <c r="H26" i="67"/>
  <c r="H25" i="67"/>
  <c r="H24" i="67"/>
  <c r="H21" i="67"/>
  <c r="H20" i="67"/>
  <c r="H12" i="67"/>
  <c r="G30" i="67"/>
  <c r="G29" i="67"/>
  <c r="G28" i="67"/>
  <c r="G27" i="67"/>
  <c r="G26" i="67"/>
  <c r="G25" i="67"/>
  <c r="G24" i="67"/>
  <c r="G21" i="67"/>
  <c r="G20" i="67"/>
  <c r="G12" i="67"/>
  <c r="F30" i="67"/>
  <c r="F29" i="67"/>
  <c r="F28" i="67"/>
  <c r="F27" i="67"/>
  <c r="F26" i="67"/>
  <c r="F25" i="67"/>
  <c r="F24" i="67"/>
  <c r="F21" i="67"/>
  <c r="F20" i="67"/>
  <c r="F12" i="67"/>
  <c r="E30" i="67"/>
  <c r="E29" i="67"/>
  <c r="E28" i="67"/>
  <c r="E27" i="67"/>
  <c r="E26" i="67"/>
  <c r="E25" i="67"/>
  <c r="E24" i="67"/>
  <c r="E21" i="67"/>
  <c r="E20" i="67"/>
  <c r="E12" i="67"/>
  <c r="D20" i="67"/>
  <c r="D25" i="67" s="1"/>
  <c r="D12" i="67"/>
  <c r="C20" i="67"/>
  <c r="C30" i="67" s="1"/>
  <c r="C12" i="67"/>
  <c r="B20" i="67"/>
  <c r="B29" i="67" s="1"/>
  <c r="C122" i="93" s="1"/>
  <c r="B12" i="67"/>
  <c r="B5" i="67"/>
  <c r="H30" i="66"/>
  <c r="H29" i="66"/>
  <c r="H28" i="66"/>
  <c r="H27" i="66"/>
  <c r="H26" i="66"/>
  <c r="H25" i="66"/>
  <c r="H24" i="66"/>
  <c r="H21" i="66"/>
  <c r="H20" i="66"/>
  <c r="H12" i="66"/>
  <c r="G30" i="66"/>
  <c r="G29" i="66"/>
  <c r="G28" i="66"/>
  <c r="G27" i="66"/>
  <c r="G26" i="66"/>
  <c r="G25" i="66"/>
  <c r="G24" i="66"/>
  <c r="G21" i="66"/>
  <c r="G20" i="66"/>
  <c r="G12" i="66"/>
  <c r="F30" i="66"/>
  <c r="F29" i="66"/>
  <c r="F28" i="66"/>
  <c r="F27" i="66"/>
  <c r="F26" i="66"/>
  <c r="F25" i="66"/>
  <c r="F24" i="66"/>
  <c r="F21" i="66"/>
  <c r="F20" i="66"/>
  <c r="F12" i="66"/>
  <c r="E30" i="66"/>
  <c r="E29" i="66"/>
  <c r="E28" i="66"/>
  <c r="E27" i="66"/>
  <c r="E26" i="66"/>
  <c r="E25" i="66"/>
  <c r="E24" i="66"/>
  <c r="E21" i="66"/>
  <c r="E20" i="66"/>
  <c r="E12" i="66"/>
  <c r="D30" i="66"/>
  <c r="D29" i="66"/>
  <c r="D28" i="66"/>
  <c r="D27" i="66"/>
  <c r="D26" i="66"/>
  <c r="D25" i="66"/>
  <c r="D24" i="66"/>
  <c r="D21" i="66"/>
  <c r="D20" i="66"/>
  <c r="D12" i="66"/>
  <c r="C20" i="66"/>
  <c r="C21" i="66" s="1"/>
  <c r="C12" i="66"/>
  <c r="B20" i="66"/>
  <c r="B24" i="66" s="1"/>
  <c r="C107" i="93" s="1"/>
  <c r="B12" i="66"/>
  <c r="B5" i="66"/>
  <c r="H36" i="65"/>
  <c r="H35" i="65"/>
  <c r="H34" i="65"/>
  <c r="H33" i="65"/>
  <c r="H32" i="65"/>
  <c r="H31" i="65"/>
  <c r="H30" i="65"/>
  <c r="H29" i="65"/>
  <c r="H28" i="65"/>
  <c r="H27" i="65"/>
  <c r="H24" i="65"/>
  <c r="H23" i="65"/>
  <c r="H12" i="65"/>
  <c r="G36" i="65"/>
  <c r="G35" i="65"/>
  <c r="G34" i="65"/>
  <c r="G33" i="65"/>
  <c r="G32" i="65"/>
  <c r="G31" i="65"/>
  <c r="G30" i="65"/>
  <c r="G29" i="65"/>
  <c r="G28" i="65"/>
  <c r="G27" i="65"/>
  <c r="G24" i="65"/>
  <c r="G23" i="65"/>
  <c r="G12" i="65"/>
  <c r="F36" i="65"/>
  <c r="F35" i="65"/>
  <c r="F34" i="65"/>
  <c r="F33" i="65"/>
  <c r="F32" i="65"/>
  <c r="F31" i="65"/>
  <c r="F30" i="65"/>
  <c r="F29" i="65"/>
  <c r="F28" i="65"/>
  <c r="F27" i="65"/>
  <c r="F24" i="65"/>
  <c r="F23" i="65"/>
  <c r="F12" i="65"/>
  <c r="E36" i="65"/>
  <c r="E35" i="65"/>
  <c r="E34" i="65"/>
  <c r="E33" i="65"/>
  <c r="E32" i="65"/>
  <c r="E31" i="65"/>
  <c r="E30" i="65"/>
  <c r="E29" i="65"/>
  <c r="E28" i="65"/>
  <c r="E27" i="65"/>
  <c r="E24" i="65"/>
  <c r="E23" i="65"/>
  <c r="E12" i="65"/>
  <c r="D23" i="65"/>
  <c r="D12" i="65"/>
  <c r="C23" i="65"/>
  <c r="C33" i="65" s="1"/>
  <c r="C12" i="65"/>
  <c r="B23" i="65"/>
  <c r="B24" i="65" s="1"/>
  <c r="B12" i="65"/>
  <c r="B5" i="65"/>
  <c r="H26" i="64"/>
  <c r="H25" i="64"/>
  <c r="H24" i="64"/>
  <c r="H23" i="64"/>
  <c r="H22" i="64"/>
  <c r="H19" i="64"/>
  <c r="H18" i="64"/>
  <c r="H12" i="64"/>
  <c r="G26" i="64"/>
  <c r="G25" i="64"/>
  <c r="G24" i="64"/>
  <c r="G23" i="64"/>
  <c r="G22" i="64"/>
  <c r="G19" i="64"/>
  <c r="G18" i="64"/>
  <c r="G12" i="64"/>
  <c r="F26" i="64"/>
  <c r="F25" i="64"/>
  <c r="F24" i="64"/>
  <c r="F23" i="64"/>
  <c r="F22" i="64"/>
  <c r="F19" i="64"/>
  <c r="F18" i="64"/>
  <c r="F12" i="64"/>
  <c r="E26" i="64"/>
  <c r="E25" i="64"/>
  <c r="E24" i="64"/>
  <c r="E23" i="64"/>
  <c r="E22" i="64"/>
  <c r="E19" i="64"/>
  <c r="E18" i="64"/>
  <c r="E12" i="64"/>
  <c r="D18" i="64"/>
  <c r="D22" i="64" s="1"/>
  <c r="D12" i="64"/>
  <c r="C18" i="64"/>
  <c r="C25" i="64" s="1"/>
  <c r="C12" i="64"/>
  <c r="B18" i="64"/>
  <c r="B24" i="64" s="1"/>
  <c r="C88" i="93" s="1"/>
  <c r="B12" i="64"/>
  <c r="B5" i="64"/>
  <c r="H26" i="70"/>
  <c r="H25" i="70"/>
  <c r="H24" i="70"/>
  <c r="H23" i="70"/>
  <c r="H22" i="70"/>
  <c r="H19" i="70"/>
  <c r="H18" i="70"/>
  <c r="H12" i="70"/>
  <c r="G26" i="70"/>
  <c r="G25" i="70"/>
  <c r="G24" i="70"/>
  <c r="G23" i="70"/>
  <c r="G22" i="70"/>
  <c r="G19" i="70"/>
  <c r="G18" i="70"/>
  <c r="G12" i="70"/>
  <c r="F26" i="70"/>
  <c r="F25" i="70"/>
  <c r="F24" i="70"/>
  <c r="F23" i="70"/>
  <c r="F22" i="70"/>
  <c r="F19" i="70"/>
  <c r="F18" i="70"/>
  <c r="F12" i="70"/>
  <c r="E26" i="70"/>
  <c r="E25" i="70"/>
  <c r="E24" i="70"/>
  <c r="E23" i="70"/>
  <c r="E22" i="70"/>
  <c r="E19" i="70"/>
  <c r="E18" i="70"/>
  <c r="E12" i="70"/>
  <c r="D18" i="70"/>
  <c r="D24" i="70" s="1"/>
  <c r="D12" i="70"/>
  <c r="C18" i="70"/>
  <c r="C23" i="70" s="1"/>
  <c r="C12" i="70"/>
  <c r="B18" i="70"/>
  <c r="B19" i="70" s="1"/>
  <c r="B12" i="70"/>
  <c r="B5" i="70"/>
  <c r="I59" i="61"/>
  <c r="H59" i="61"/>
  <c r="G59" i="61"/>
  <c r="F59" i="61"/>
  <c r="E59" i="61"/>
  <c r="D59" i="61"/>
  <c r="C59" i="61"/>
  <c r="H122" i="54"/>
  <c r="H118" i="54"/>
  <c r="H121" i="54" s="1"/>
  <c r="H111" i="54"/>
  <c r="H116" i="54" s="1"/>
  <c r="H110" i="54"/>
  <c r="H109" i="54"/>
  <c r="H108" i="54"/>
  <c r="H115" i="54" s="1"/>
  <c r="G122" i="54"/>
  <c r="G118" i="54"/>
  <c r="G121" i="54" s="1"/>
  <c r="G111" i="54"/>
  <c r="G116" i="54" s="1"/>
  <c r="G110" i="54"/>
  <c r="G109" i="54"/>
  <c r="G108" i="54"/>
  <c r="G115" i="54" s="1"/>
  <c r="F122" i="54"/>
  <c r="F118" i="54"/>
  <c r="F121" i="54" s="1"/>
  <c r="F111" i="54"/>
  <c r="F116" i="54" s="1"/>
  <c r="F110" i="54"/>
  <c r="F109" i="54"/>
  <c r="F108" i="54"/>
  <c r="E122" i="54"/>
  <c r="E118" i="54"/>
  <c r="E121" i="54" s="1"/>
  <c r="E111" i="54"/>
  <c r="E116" i="54" s="1"/>
  <c r="E110" i="54"/>
  <c r="E109" i="54"/>
  <c r="E108" i="54"/>
  <c r="D122" i="54"/>
  <c r="D118" i="54"/>
  <c r="D121" i="54" s="1"/>
  <c r="D111" i="54"/>
  <c r="D116" i="54" s="1"/>
  <c r="D110" i="54"/>
  <c r="D109" i="54"/>
  <c r="D108" i="54"/>
  <c r="D115" i="54" s="1"/>
  <c r="C122" i="54"/>
  <c r="C118" i="54"/>
  <c r="C121" i="54" s="1"/>
  <c r="C111" i="54"/>
  <c r="C116" i="54" s="1"/>
  <c r="C110" i="54"/>
  <c r="C109" i="54"/>
  <c r="C108" i="54"/>
  <c r="C115" i="54" s="1"/>
  <c r="B122" i="54"/>
  <c r="B118" i="54"/>
  <c r="B121" i="54" s="1"/>
  <c r="B111" i="54"/>
  <c r="B110" i="54"/>
  <c r="B109" i="54"/>
  <c r="B108" i="54"/>
  <c r="B115" i="54" s="1"/>
  <c r="H122" i="58"/>
  <c r="H121" i="58"/>
  <c r="H111" i="58"/>
  <c r="H110" i="58"/>
  <c r="G122" i="58"/>
  <c r="G121" i="58"/>
  <c r="G111" i="58"/>
  <c r="G116" i="58" s="1"/>
  <c r="G110" i="58"/>
  <c r="F122" i="58"/>
  <c r="F121" i="58"/>
  <c r="F111" i="58"/>
  <c r="F116" i="58" s="1"/>
  <c r="F110" i="58"/>
  <c r="E122" i="58"/>
  <c r="E121" i="58"/>
  <c r="E111" i="58"/>
  <c r="E116" i="58" s="1"/>
  <c r="E110" i="58"/>
  <c r="D122" i="58"/>
  <c r="D121" i="58"/>
  <c r="D111" i="58"/>
  <c r="D110" i="58"/>
  <c r="C122" i="58"/>
  <c r="C121" i="58"/>
  <c r="C111" i="58"/>
  <c r="C110" i="58"/>
  <c r="B122" i="58"/>
  <c r="B121" i="58"/>
  <c r="B111" i="58"/>
  <c r="B116" i="58" s="1"/>
  <c r="B110" i="58"/>
  <c r="H122" i="57"/>
  <c r="H111" i="57"/>
  <c r="H116" i="57" s="1"/>
  <c r="H110" i="57"/>
  <c r="G122" i="57"/>
  <c r="G111" i="57"/>
  <c r="G110" i="57"/>
  <c r="F122" i="57"/>
  <c r="F111" i="57"/>
  <c r="F116" i="57" s="1"/>
  <c r="F110" i="57"/>
  <c r="E122" i="57"/>
  <c r="E111" i="57"/>
  <c r="E116" i="57" s="1"/>
  <c r="E110" i="57"/>
  <c r="D122" i="57"/>
  <c r="D111" i="57"/>
  <c r="D116" i="57" s="1"/>
  <c r="D110" i="57"/>
  <c r="C122" i="57"/>
  <c r="C111" i="57"/>
  <c r="C116" i="57" s="1"/>
  <c r="C110" i="57"/>
  <c r="B122" i="57"/>
  <c r="B111" i="57"/>
  <c r="B116" i="57" s="1"/>
  <c r="B110" i="57"/>
  <c r="H122" i="55"/>
  <c r="H118" i="55"/>
  <c r="H121" i="55" s="1"/>
  <c r="H111" i="55"/>
  <c r="H110" i="55"/>
  <c r="H109" i="55"/>
  <c r="H108" i="55"/>
  <c r="H115" i="55" s="1"/>
  <c r="G122" i="55"/>
  <c r="G118" i="55"/>
  <c r="G121" i="55" s="1"/>
  <c r="G111" i="55"/>
  <c r="G116" i="55" s="1"/>
  <c r="G110" i="55"/>
  <c r="G109" i="55"/>
  <c r="G108" i="55"/>
  <c r="F122" i="55"/>
  <c r="F118" i="55"/>
  <c r="F121" i="55" s="1"/>
  <c r="F111" i="55"/>
  <c r="F110" i="55"/>
  <c r="F109" i="55"/>
  <c r="F108" i="55"/>
  <c r="F115" i="55" s="1"/>
  <c r="E122" i="55"/>
  <c r="E118" i="55"/>
  <c r="E121" i="55" s="1"/>
  <c r="E111" i="55"/>
  <c r="E116" i="55" s="1"/>
  <c r="E110" i="55"/>
  <c r="E109" i="55"/>
  <c r="E108" i="55"/>
  <c r="D122" i="55"/>
  <c r="D118" i="55"/>
  <c r="D121" i="55" s="1"/>
  <c r="D111" i="55"/>
  <c r="D116" i="55" s="1"/>
  <c r="D110" i="55"/>
  <c r="D109" i="55"/>
  <c r="D108" i="55"/>
  <c r="C122" i="55"/>
  <c r="C118" i="55"/>
  <c r="C121" i="55" s="1"/>
  <c r="C111" i="55"/>
  <c r="C110" i="55"/>
  <c r="C109" i="55"/>
  <c r="C108" i="55"/>
  <c r="B122" i="55"/>
  <c r="B118" i="55"/>
  <c r="B111" i="55"/>
  <c r="B116" i="55" s="1"/>
  <c r="B110" i="55"/>
  <c r="B109" i="55"/>
  <c r="B108" i="55"/>
  <c r="H122" i="56"/>
  <c r="H121" i="56"/>
  <c r="H111" i="56"/>
  <c r="H116" i="56" s="1"/>
  <c r="H110" i="56"/>
  <c r="G122" i="56"/>
  <c r="G121" i="56"/>
  <c r="G111" i="56"/>
  <c r="G116" i="56" s="1"/>
  <c r="G110" i="56"/>
  <c r="F122" i="56"/>
  <c r="F121" i="56"/>
  <c r="F111" i="56"/>
  <c r="F110" i="56"/>
  <c r="E122" i="56"/>
  <c r="E121" i="56"/>
  <c r="E111" i="56"/>
  <c r="E116" i="56" s="1"/>
  <c r="E110" i="56"/>
  <c r="D122" i="56"/>
  <c r="D121" i="56"/>
  <c r="D111" i="56"/>
  <c r="D116" i="56" s="1"/>
  <c r="D110" i="56"/>
  <c r="C122" i="56"/>
  <c r="C121" i="56"/>
  <c r="C111" i="56"/>
  <c r="C110" i="56"/>
  <c r="B122" i="56"/>
  <c r="B121" i="56"/>
  <c r="B111" i="56"/>
  <c r="B116" i="56" s="1"/>
  <c r="B110" i="56"/>
  <c r="H122" i="52"/>
  <c r="H121" i="52"/>
  <c r="H111" i="52"/>
  <c r="H116" i="52" s="1"/>
  <c r="H110" i="52"/>
  <c r="G122" i="52"/>
  <c r="G121" i="52"/>
  <c r="G111" i="52"/>
  <c r="G116" i="52" s="1"/>
  <c r="G110" i="52"/>
  <c r="F122" i="52"/>
  <c r="F121" i="52"/>
  <c r="F111" i="52"/>
  <c r="F116" i="52" s="1"/>
  <c r="F110" i="52"/>
  <c r="E122" i="52"/>
  <c r="E121" i="52"/>
  <c r="E111" i="52"/>
  <c r="E116" i="52" s="1"/>
  <c r="E110" i="52"/>
  <c r="D122" i="52"/>
  <c r="D121" i="52"/>
  <c r="D111" i="52"/>
  <c r="D116" i="52" s="1"/>
  <c r="D110" i="52"/>
  <c r="C122" i="52"/>
  <c r="C121" i="52"/>
  <c r="C111" i="52"/>
  <c r="C116" i="52" s="1"/>
  <c r="C110" i="52"/>
  <c r="B122" i="52"/>
  <c r="B121" i="52"/>
  <c r="B111" i="52"/>
  <c r="B116" i="52" s="1"/>
  <c r="B110" i="52"/>
  <c r="H122" i="53"/>
  <c r="H118" i="53"/>
  <c r="H121" i="53" s="1"/>
  <c r="H111" i="53"/>
  <c r="H116" i="53" s="1"/>
  <c r="H110" i="53"/>
  <c r="H109" i="53"/>
  <c r="H108" i="53"/>
  <c r="H115" i="53" s="1"/>
  <c r="G122" i="53"/>
  <c r="G118" i="53"/>
  <c r="G121" i="53" s="1"/>
  <c r="G111" i="53"/>
  <c r="G110" i="53"/>
  <c r="G109" i="53"/>
  <c r="G108" i="53"/>
  <c r="F122" i="53"/>
  <c r="F118" i="53"/>
  <c r="F121" i="53" s="1"/>
  <c r="F111" i="53"/>
  <c r="F116" i="53" s="1"/>
  <c r="F110" i="53"/>
  <c r="F109" i="53"/>
  <c r="F108" i="53"/>
  <c r="F115" i="53" s="1"/>
  <c r="E122" i="53"/>
  <c r="E118" i="53"/>
  <c r="E111" i="53"/>
  <c r="E116" i="53" s="1"/>
  <c r="E110" i="53"/>
  <c r="E109" i="53"/>
  <c r="E108" i="53"/>
  <c r="D122" i="53"/>
  <c r="D118" i="53"/>
  <c r="D121" i="53" s="1"/>
  <c r="D111" i="53"/>
  <c r="D116" i="53" s="1"/>
  <c r="D110" i="53"/>
  <c r="D109" i="53"/>
  <c r="D108" i="53"/>
  <c r="C122" i="53"/>
  <c r="C121" i="53"/>
  <c r="C118" i="53"/>
  <c r="C111" i="53"/>
  <c r="C116" i="53" s="1"/>
  <c r="C110" i="53"/>
  <c r="C109" i="53"/>
  <c r="C108" i="53"/>
  <c r="C115" i="53" s="1"/>
  <c r="B122" i="53"/>
  <c r="B121" i="53"/>
  <c r="B118" i="53"/>
  <c r="B111" i="53"/>
  <c r="B116" i="53" s="1"/>
  <c r="B110" i="53"/>
  <c r="B109" i="53"/>
  <c r="B108" i="53"/>
  <c r="B115" i="53" s="1"/>
  <c r="I51" i="61"/>
  <c r="H51" i="61"/>
  <c r="G51" i="61"/>
  <c r="F51" i="61"/>
  <c r="E51" i="61"/>
  <c r="D51" i="61"/>
  <c r="C51" i="61"/>
  <c r="I35" i="61"/>
  <c r="F35" i="61"/>
  <c r="C35" i="61"/>
  <c r="H97" i="54"/>
  <c r="H96" i="54"/>
  <c r="H95" i="54"/>
  <c r="H94" i="54"/>
  <c r="G97" i="54"/>
  <c r="G96" i="54"/>
  <c r="G95" i="54"/>
  <c r="G94" i="54"/>
  <c r="F97" i="54"/>
  <c r="F96" i="54"/>
  <c r="F95" i="54"/>
  <c r="F94" i="54"/>
  <c r="E97" i="54"/>
  <c r="E96" i="54"/>
  <c r="E95" i="54"/>
  <c r="E94" i="54"/>
  <c r="D97" i="54"/>
  <c r="D96" i="54"/>
  <c r="D95" i="54"/>
  <c r="D94" i="54"/>
  <c r="C97" i="54"/>
  <c r="C96" i="54"/>
  <c r="C95" i="54"/>
  <c r="C94" i="54"/>
  <c r="B97" i="54"/>
  <c r="B96" i="54"/>
  <c r="B95" i="54"/>
  <c r="B94" i="54"/>
  <c r="H97" i="58"/>
  <c r="H95" i="58"/>
  <c r="G97" i="58"/>
  <c r="G95" i="58"/>
  <c r="F97" i="58"/>
  <c r="F95" i="58"/>
  <c r="E98" i="58"/>
  <c r="E97" i="58"/>
  <c r="E95" i="58"/>
  <c r="D97" i="58"/>
  <c r="D95" i="58"/>
  <c r="C97" i="58"/>
  <c r="C95" i="58"/>
  <c r="B98" i="58"/>
  <c r="B97" i="58"/>
  <c r="B95" i="58"/>
  <c r="H97" i="57"/>
  <c r="H96" i="57"/>
  <c r="H95" i="57"/>
  <c r="G97" i="57"/>
  <c r="G96" i="57"/>
  <c r="G95" i="57"/>
  <c r="F97" i="57"/>
  <c r="F96" i="57"/>
  <c r="F95" i="57"/>
  <c r="E97" i="57"/>
  <c r="E96" i="57"/>
  <c r="E95" i="57"/>
  <c r="D97" i="57"/>
  <c r="D96" i="57"/>
  <c r="D95" i="57"/>
  <c r="C97" i="57"/>
  <c r="C96" i="57"/>
  <c r="C95" i="57"/>
  <c r="B97" i="57"/>
  <c r="B96" i="57"/>
  <c r="B95" i="57"/>
  <c r="H97" i="55"/>
  <c r="H96" i="55"/>
  <c r="H95" i="55"/>
  <c r="H94" i="55"/>
  <c r="G97" i="55"/>
  <c r="G96" i="55"/>
  <c r="G95" i="55"/>
  <c r="G94" i="55"/>
  <c r="F97" i="55"/>
  <c r="F96" i="55"/>
  <c r="F95" i="55"/>
  <c r="F94" i="55"/>
  <c r="E97" i="55"/>
  <c r="E96" i="55"/>
  <c r="E95" i="55"/>
  <c r="E94" i="55"/>
  <c r="D97" i="55"/>
  <c r="D96" i="55"/>
  <c r="D95" i="55"/>
  <c r="D94" i="55"/>
  <c r="C97" i="55"/>
  <c r="C96" i="55"/>
  <c r="C95" i="55"/>
  <c r="C94" i="55"/>
  <c r="B97" i="55"/>
  <c r="B96" i="55"/>
  <c r="B95" i="55"/>
  <c r="B94" i="55"/>
  <c r="H98" i="56"/>
  <c r="H97" i="56"/>
  <c r="H95" i="56"/>
  <c r="G98" i="56"/>
  <c r="G97" i="56"/>
  <c r="G95" i="56"/>
  <c r="F97" i="56"/>
  <c r="F95" i="56"/>
  <c r="E97" i="56"/>
  <c r="E95" i="56"/>
  <c r="D98" i="56"/>
  <c r="D97" i="56"/>
  <c r="D95" i="56"/>
  <c r="C98" i="56"/>
  <c r="C97" i="56"/>
  <c r="C95" i="56"/>
  <c r="B98" i="56"/>
  <c r="B97" i="56"/>
  <c r="B95" i="56"/>
  <c r="H98" i="52"/>
  <c r="H97" i="52"/>
  <c r="H95" i="52"/>
  <c r="G98" i="52"/>
  <c r="G97" i="52"/>
  <c r="G95" i="52"/>
  <c r="F98" i="52"/>
  <c r="F97" i="52"/>
  <c r="F95" i="52"/>
  <c r="E98" i="52"/>
  <c r="E97" i="52"/>
  <c r="E95" i="52"/>
  <c r="D98" i="52"/>
  <c r="D97" i="52"/>
  <c r="D95" i="52"/>
  <c r="C98" i="52"/>
  <c r="C97" i="52"/>
  <c r="C95" i="52"/>
  <c r="B98" i="52"/>
  <c r="B97" i="52"/>
  <c r="B95" i="52"/>
  <c r="H97" i="53"/>
  <c r="H96" i="53"/>
  <c r="H95" i="53"/>
  <c r="H94" i="53"/>
  <c r="G97" i="53"/>
  <c r="G96" i="53"/>
  <c r="G95" i="53"/>
  <c r="G94" i="53"/>
  <c r="F97" i="53"/>
  <c r="F96" i="53"/>
  <c r="F95" i="53"/>
  <c r="F94" i="53"/>
  <c r="E97" i="53"/>
  <c r="E96" i="53"/>
  <c r="E95" i="53"/>
  <c r="E94" i="53"/>
  <c r="D98" i="53"/>
  <c r="D97" i="53"/>
  <c r="D96" i="53"/>
  <c r="D95" i="53"/>
  <c r="D94" i="53"/>
  <c r="C97" i="53"/>
  <c r="C96" i="53"/>
  <c r="C95" i="53"/>
  <c r="C94" i="53"/>
  <c r="B97" i="53"/>
  <c r="B96" i="53"/>
  <c r="B95" i="53"/>
  <c r="B94" i="53"/>
  <c r="H12" i="38"/>
  <c r="H15" i="56" s="1"/>
  <c r="G12" i="38"/>
  <c r="G15" i="56" s="1"/>
  <c r="F12" i="38"/>
  <c r="F15" i="56" s="1"/>
  <c r="E12" i="38"/>
  <c r="E15" i="56" s="1"/>
  <c r="D12" i="38"/>
  <c r="D15" i="56" s="1"/>
  <c r="C12" i="38"/>
  <c r="C15" i="56" s="1"/>
  <c r="B12" i="38"/>
  <c r="B15" i="56" s="1"/>
  <c r="H70" i="58"/>
  <c r="H67" i="58"/>
  <c r="H61" i="58"/>
  <c r="H54" i="58"/>
  <c r="H153" i="58" s="1"/>
  <c r="H49" i="58"/>
  <c r="H48" i="58"/>
  <c r="H46" i="58"/>
  <c r="H45" i="58"/>
  <c r="H39" i="58"/>
  <c r="H38" i="58"/>
  <c r="H37" i="58"/>
  <c r="H36" i="58"/>
  <c r="H29" i="58"/>
  <c r="H28" i="58"/>
  <c r="H26" i="58"/>
  <c r="H25" i="58"/>
  <c r="H24" i="58"/>
  <c r="H19" i="58"/>
  <c r="H18" i="58"/>
  <c r="H17" i="58"/>
  <c r="H15" i="58"/>
  <c r="H14" i="58"/>
  <c r="H13" i="58"/>
  <c r="H12" i="58"/>
  <c r="H35" i="58" s="1"/>
  <c r="H5" i="58"/>
  <c r="H149" i="58" s="1"/>
  <c r="H156" i="58" s="1"/>
  <c r="H4" i="58"/>
  <c r="G70" i="58"/>
  <c r="G67" i="58"/>
  <c r="G61" i="58"/>
  <c r="G54" i="58"/>
  <c r="G140" i="58" s="1"/>
  <c r="G49" i="58"/>
  <c r="G48" i="58"/>
  <c r="G46" i="58"/>
  <c r="G45" i="58"/>
  <c r="G39" i="58"/>
  <c r="G38" i="58"/>
  <c r="G37" i="58"/>
  <c r="G36" i="58"/>
  <c r="G29" i="58"/>
  <c r="G28" i="58"/>
  <c r="G26" i="58"/>
  <c r="G25" i="58"/>
  <c r="G24" i="58"/>
  <c r="G46" i="77" s="1"/>
  <c r="G19" i="58"/>
  <c r="G18" i="58"/>
  <c r="G17" i="58"/>
  <c r="G15" i="58"/>
  <c r="G14" i="58"/>
  <c r="G13" i="58"/>
  <c r="G12" i="58"/>
  <c r="G35" i="58" s="1"/>
  <c r="G5" i="58"/>
  <c r="G149" i="58" s="1"/>
  <c r="G4" i="58"/>
  <c r="F70" i="58"/>
  <c r="F67" i="58"/>
  <c r="F61" i="58"/>
  <c r="F54" i="58"/>
  <c r="F153" i="58" s="1"/>
  <c r="F49" i="58"/>
  <c r="F48" i="58"/>
  <c r="F46" i="58"/>
  <c r="F45" i="58"/>
  <c r="F39" i="58"/>
  <c r="F38" i="58"/>
  <c r="F37" i="58"/>
  <c r="F36" i="58"/>
  <c r="F29" i="58"/>
  <c r="F28" i="58"/>
  <c r="F26" i="58"/>
  <c r="F25" i="58"/>
  <c r="F24" i="58"/>
  <c r="F19" i="58"/>
  <c r="F18" i="58"/>
  <c r="F17" i="58"/>
  <c r="F15" i="58"/>
  <c r="F14" i="58"/>
  <c r="F13" i="58"/>
  <c r="F12" i="58"/>
  <c r="F35" i="58" s="1"/>
  <c r="F5" i="58"/>
  <c r="F149" i="58" s="1"/>
  <c r="F4" i="58"/>
  <c r="E70" i="58"/>
  <c r="E67" i="58"/>
  <c r="E61" i="58"/>
  <c r="E54" i="58"/>
  <c r="E140" i="58" s="1"/>
  <c r="E49" i="58"/>
  <c r="E48" i="58"/>
  <c r="E46" i="58"/>
  <c r="E45" i="58"/>
  <c r="E39" i="58"/>
  <c r="E38" i="58"/>
  <c r="E37" i="58"/>
  <c r="E36" i="58"/>
  <c r="E29" i="58"/>
  <c r="E28" i="58"/>
  <c r="E26" i="58"/>
  <c r="E25" i="58"/>
  <c r="E24" i="58"/>
  <c r="E19" i="58"/>
  <c r="E18" i="58"/>
  <c r="E17" i="58"/>
  <c r="E15" i="58"/>
  <c r="E14" i="58"/>
  <c r="E13" i="58"/>
  <c r="E12" i="58"/>
  <c r="E35" i="58" s="1"/>
  <c r="E5" i="58"/>
  <c r="E149" i="58" s="1"/>
  <c r="E156" i="58" s="1"/>
  <c r="E4" i="58"/>
  <c r="D70" i="58"/>
  <c r="D67" i="58"/>
  <c r="D61" i="58"/>
  <c r="D54" i="58"/>
  <c r="D49" i="58"/>
  <c r="D48" i="58"/>
  <c r="D46" i="58"/>
  <c r="D45" i="58"/>
  <c r="D39" i="58"/>
  <c r="D38" i="58"/>
  <c r="D37" i="58"/>
  <c r="D36" i="58"/>
  <c r="D29" i="58"/>
  <c r="D28" i="58"/>
  <c r="D26" i="58"/>
  <c r="D25" i="58"/>
  <c r="D24" i="58"/>
  <c r="D46" i="77" s="1"/>
  <c r="D19" i="58"/>
  <c r="D18" i="58"/>
  <c r="D17" i="58"/>
  <c r="D15" i="58"/>
  <c r="D14" i="58"/>
  <c r="D13" i="58"/>
  <c r="D12" i="58"/>
  <c r="D35" i="58" s="1"/>
  <c r="D5" i="58"/>
  <c r="D149" i="58" s="1"/>
  <c r="D4" i="58"/>
  <c r="C70" i="58"/>
  <c r="C67" i="58"/>
  <c r="C61" i="58"/>
  <c r="C54" i="58"/>
  <c r="C140" i="58" s="1"/>
  <c r="C49" i="58"/>
  <c r="C48" i="58"/>
  <c r="C46" i="58"/>
  <c r="C45" i="58"/>
  <c r="C39" i="58"/>
  <c r="C38" i="58"/>
  <c r="C37" i="58"/>
  <c r="C36" i="58"/>
  <c r="C29" i="58"/>
  <c r="C28" i="58"/>
  <c r="C26" i="58"/>
  <c r="C25" i="58"/>
  <c r="C24" i="58"/>
  <c r="C46" i="77" s="1"/>
  <c r="C19" i="58"/>
  <c r="C18" i="58"/>
  <c r="C17" i="58"/>
  <c r="C15" i="58"/>
  <c r="C14" i="58"/>
  <c r="C13" i="58"/>
  <c r="C12" i="58"/>
  <c r="C35" i="58" s="1"/>
  <c r="C5" i="58"/>
  <c r="C4" i="58"/>
  <c r="B70" i="58"/>
  <c r="B67" i="58"/>
  <c r="B61" i="58"/>
  <c r="B54" i="58"/>
  <c r="B153" i="58" s="1"/>
  <c r="B49" i="58"/>
  <c r="B36" i="85" s="1"/>
  <c r="C53" i="85" s="1"/>
  <c r="B48" i="58"/>
  <c r="B46" i="58"/>
  <c r="B45" i="58"/>
  <c r="B39" i="58"/>
  <c r="B38" i="58"/>
  <c r="B37" i="58"/>
  <c r="B36" i="58"/>
  <c r="B29" i="58"/>
  <c r="B28" i="58"/>
  <c r="B26" i="58"/>
  <c r="B25" i="58"/>
  <c r="B24" i="58"/>
  <c r="B19" i="58"/>
  <c r="B18" i="58"/>
  <c r="B17" i="58"/>
  <c r="B15" i="58"/>
  <c r="B14" i="58"/>
  <c r="B13" i="58"/>
  <c r="B12" i="58"/>
  <c r="B35" i="58" s="1"/>
  <c r="B32" i="85" s="1"/>
  <c r="B5" i="58"/>
  <c r="B149" i="58" s="1"/>
  <c r="B156" i="58" s="1"/>
  <c r="G41" i="98" s="1"/>
  <c r="B4" i="58"/>
  <c r="B3" i="58"/>
  <c r="B2" i="58"/>
  <c r="H70" i="57"/>
  <c r="H67" i="57"/>
  <c r="H61" i="57"/>
  <c r="H54" i="57"/>
  <c r="H140" i="57" s="1"/>
  <c r="H49" i="57"/>
  <c r="H48" i="57"/>
  <c r="H46" i="57"/>
  <c r="H45" i="57"/>
  <c r="H39" i="57"/>
  <c r="H38" i="57"/>
  <c r="H37" i="57"/>
  <c r="H36" i="57"/>
  <c r="H29" i="57"/>
  <c r="H28" i="57"/>
  <c r="H26" i="57"/>
  <c r="H25" i="57"/>
  <c r="H24" i="57"/>
  <c r="H46" i="76" s="1"/>
  <c r="H19" i="57"/>
  <c r="H18" i="57"/>
  <c r="H17" i="57"/>
  <c r="H15" i="57"/>
  <c r="H14" i="57"/>
  <c r="H13" i="57"/>
  <c r="H12" i="57"/>
  <c r="H35" i="57" s="1"/>
  <c r="H5" i="57"/>
  <c r="H149" i="57" s="1"/>
  <c r="H156" i="57" s="1"/>
  <c r="H4" i="57"/>
  <c r="G70" i="57"/>
  <c r="G67" i="57"/>
  <c r="G61" i="57"/>
  <c r="G54" i="57"/>
  <c r="G153" i="57" s="1"/>
  <c r="G49" i="57"/>
  <c r="G48" i="57"/>
  <c r="G46" i="57"/>
  <c r="G45" i="57"/>
  <c r="G39" i="57"/>
  <c r="G38" i="57"/>
  <c r="G37" i="57"/>
  <c r="G36" i="57"/>
  <c r="G29" i="57"/>
  <c r="G28" i="57"/>
  <c r="G26" i="57"/>
  <c r="G25" i="57"/>
  <c r="G24" i="57"/>
  <c r="G19" i="57"/>
  <c r="G18" i="57"/>
  <c r="G17" i="57"/>
  <c r="G15" i="57"/>
  <c r="G14" i="57"/>
  <c r="G13" i="57"/>
  <c r="G12" i="57"/>
  <c r="G35" i="57" s="1"/>
  <c r="G5" i="57"/>
  <c r="G149" i="57" s="1"/>
  <c r="G156" i="57" s="1"/>
  <c r="G4" i="57"/>
  <c r="F70" i="57"/>
  <c r="F67" i="57"/>
  <c r="F61" i="57"/>
  <c r="F54" i="57"/>
  <c r="F140" i="57" s="1"/>
  <c r="F49" i="57"/>
  <c r="F48" i="57"/>
  <c r="F46" i="57"/>
  <c r="F45" i="57"/>
  <c r="F39" i="57"/>
  <c r="F38" i="57"/>
  <c r="F37" i="57"/>
  <c r="F36" i="57"/>
  <c r="F29" i="57"/>
  <c r="F28" i="57"/>
  <c r="F26" i="57"/>
  <c r="F25" i="57"/>
  <c r="F24" i="57"/>
  <c r="F103" i="57" s="1"/>
  <c r="F19" i="57"/>
  <c r="F18" i="57"/>
  <c r="F17" i="57"/>
  <c r="F15" i="57"/>
  <c r="F14" i="57"/>
  <c r="F13" i="57"/>
  <c r="F12" i="57"/>
  <c r="F35" i="57" s="1"/>
  <c r="F5" i="57"/>
  <c r="F149" i="57" s="1"/>
  <c r="F156" i="57" s="1"/>
  <c r="F4" i="57"/>
  <c r="E70" i="57"/>
  <c r="E67" i="57"/>
  <c r="E61" i="57"/>
  <c r="E54" i="57"/>
  <c r="E140" i="57" s="1"/>
  <c r="E49" i="57"/>
  <c r="E48" i="57"/>
  <c r="E46" i="57"/>
  <c r="E45" i="57"/>
  <c r="E39" i="57"/>
  <c r="E38" i="57"/>
  <c r="E37" i="57"/>
  <c r="E36" i="57"/>
  <c r="E29" i="57"/>
  <c r="E28" i="57"/>
  <c r="E26" i="57"/>
  <c r="E25" i="57"/>
  <c r="E24" i="57"/>
  <c r="E46" i="76" s="1"/>
  <c r="E19" i="57"/>
  <c r="E18" i="57"/>
  <c r="E17" i="57"/>
  <c r="E15" i="57"/>
  <c r="E14" i="57"/>
  <c r="E13" i="57"/>
  <c r="E12" i="57"/>
  <c r="E35" i="57" s="1"/>
  <c r="E5" i="57"/>
  <c r="E149" i="57" s="1"/>
  <c r="E4" i="57"/>
  <c r="D70" i="57"/>
  <c r="D67" i="57"/>
  <c r="D61" i="57"/>
  <c r="D54" i="57"/>
  <c r="D140" i="57" s="1"/>
  <c r="D49" i="57"/>
  <c r="D48" i="57"/>
  <c r="D46" i="57"/>
  <c r="D45" i="57"/>
  <c r="D39" i="57"/>
  <c r="D38" i="57"/>
  <c r="D37" i="57"/>
  <c r="D36" i="57"/>
  <c r="D29" i="57"/>
  <c r="D28" i="57"/>
  <c r="D26" i="57"/>
  <c r="D25" i="57"/>
  <c r="D24" i="57"/>
  <c r="D46" i="76" s="1"/>
  <c r="D19" i="57"/>
  <c r="D18" i="57"/>
  <c r="D17" i="57"/>
  <c r="D15" i="57"/>
  <c r="D14" i="57"/>
  <c r="D13" i="57"/>
  <c r="D12" i="57"/>
  <c r="D35" i="57" s="1"/>
  <c r="D5" i="57"/>
  <c r="D149" i="57" s="1"/>
  <c r="D4" i="57"/>
  <c r="C70" i="57"/>
  <c r="C67" i="57"/>
  <c r="C61" i="57"/>
  <c r="C54" i="57"/>
  <c r="C140" i="57" s="1"/>
  <c r="C49" i="57"/>
  <c r="C48" i="57"/>
  <c r="C46" i="57"/>
  <c r="C45" i="57"/>
  <c r="C39" i="57"/>
  <c r="C38" i="57"/>
  <c r="C37" i="57"/>
  <c r="C36" i="57"/>
  <c r="C29" i="57"/>
  <c r="C28" i="57"/>
  <c r="C26" i="57"/>
  <c r="C25" i="57"/>
  <c r="C24" i="57"/>
  <c r="C46" i="76" s="1"/>
  <c r="C19" i="57"/>
  <c r="C18" i="57"/>
  <c r="C17" i="57"/>
  <c r="C15" i="57"/>
  <c r="C14" i="57"/>
  <c r="C13" i="57"/>
  <c r="C12" i="57"/>
  <c r="C35" i="57" s="1"/>
  <c r="C5" i="57"/>
  <c r="C149" i="57" s="1"/>
  <c r="C4" i="57"/>
  <c r="B70" i="57"/>
  <c r="B67" i="57"/>
  <c r="B61" i="57"/>
  <c r="B54" i="57"/>
  <c r="B140" i="57" s="1"/>
  <c r="B49" i="57"/>
  <c r="B36" i="84" s="1"/>
  <c r="B48" i="57"/>
  <c r="B46" i="57"/>
  <c r="B45" i="57"/>
  <c r="B39" i="57"/>
  <c r="B38" i="57"/>
  <c r="B37" i="57"/>
  <c r="B36" i="57"/>
  <c r="B29" i="57"/>
  <c r="B28" i="57"/>
  <c r="B26" i="57"/>
  <c r="B25" i="57"/>
  <c r="B24" i="57"/>
  <c r="B46" i="76" s="1"/>
  <c r="B19" i="57"/>
  <c r="B18" i="57"/>
  <c r="B17" i="57"/>
  <c r="B15" i="57"/>
  <c r="B14" i="57"/>
  <c r="B13" i="57"/>
  <c r="B12" i="57"/>
  <c r="B35" i="57" s="1"/>
  <c r="B32" i="84" s="1"/>
  <c r="B5" i="57"/>
  <c r="B149" i="57" s="1"/>
  <c r="B156" i="57" s="1"/>
  <c r="F41" i="98" s="1"/>
  <c r="B4" i="57"/>
  <c r="B3" i="57"/>
  <c r="B2" i="57"/>
  <c r="H70" i="56"/>
  <c r="H67" i="56"/>
  <c r="H61" i="56"/>
  <c r="H54" i="56"/>
  <c r="H140" i="56" s="1"/>
  <c r="H49" i="56"/>
  <c r="H48" i="56"/>
  <c r="H46" i="56"/>
  <c r="H45" i="56"/>
  <c r="H39" i="56"/>
  <c r="H38" i="56"/>
  <c r="H37" i="56"/>
  <c r="H36" i="56"/>
  <c r="H29" i="56"/>
  <c r="H28" i="56"/>
  <c r="H26" i="56"/>
  <c r="H25" i="56"/>
  <c r="H24" i="56"/>
  <c r="H19" i="56"/>
  <c r="H18" i="56"/>
  <c r="H17" i="56"/>
  <c r="H14" i="56"/>
  <c r="H13" i="56"/>
  <c r="H12" i="56"/>
  <c r="H35" i="56" s="1"/>
  <c r="H5" i="56"/>
  <c r="H149" i="56" s="1"/>
  <c r="H156" i="56" s="1"/>
  <c r="H4" i="56"/>
  <c r="G70" i="56"/>
  <c r="G67" i="56"/>
  <c r="G61" i="56"/>
  <c r="G54" i="56"/>
  <c r="G153" i="56" s="1"/>
  <c r="G49" i="56"/>
  <c r="G48" i="56"/>
  <c r="G46" i="56"/>
  <c r="G45" i="56"/>
  <c r="G39" i="56"/>
  <c r="G38" i="56"/>
  <c r="G37" i="56"/>
  <c r="G36" i="56"/>
  <c r="G29" i="56"/>
  <c r="G28" i="56"/>
  <c r="G26" i="56"/>
  <c r="G25" i="56"/>
  <c r="G24" i="56"/>
  <c r="G46" i="74" s="1"/>
  <c r="G19" i="56"/>
  <c r="G18" i="56"/>
  <c r="G17" i="56"/>
  <c r="G14" i="56"/>
  <c r="G13" i="56"/>
  <c r="G12" i="56"/>
  <c r="G35" i="56" s="1"/>
  <c r="G5" i="56"/>
  <c r="G149" i="56" s="1"/>
  <c r="G156" i="56" s="1"/>
  <c r="G4" i="56"/>
  <c r="F70" i="56"/>
  <c r="F67" i="56"/>
  <c r="F61" i="56"/>
  <c r="F54" i="56"/>
  <c r="F140" i="56" s="1"/>
  <c r="F49" i="56"/>
  <c r="F48" i="56"/>
  <c r="F46" i="56"/>
  <c r="F45" i="56"/>
  <c r="F39" i="56"/>
  <c r="F38" i="56"/>
  <c r="F37" i="56"/>
  <c r="F36" i="56"/>
  <c r="F29" i="56"/>
  <c r="F28" i="56"/>
  <c r="F26" i="56"/>
  <c r="F25" i="56"/>
  <c r="F24" i="56"/>
  <c r="F19" i="56"/>
  <c r="F18" i="56"/>
  <c r="F17" i="56"/>
  <c r="F14" i="56"/>
  <c r="F13" i="56"/>
  <c r="F12" i="56"/>
  <c r="F35" i="56" s="1"/>
  <c r="F5" i="56"/>
  <c r="F149" i="56" s="1"/>
  <c r="F156" i="56" s="1"/>
  <c r="F4" i="56"/>
  <c r="E70" i="56"/>
  <c r="E67" i="56"/>
  <c r="E61" i="56"/>
  <c r="E54" i="56"/>
  <c r="E153" i="56" s="1"/>
  <c r="E49" i="56"/>
  <c r="E48" i="56"/>
  <c r="E46" i="56"/>
  <c r="E45" i="56"/>
  <c r="E39" i="56"/>
  <c r="E38" i="56"/>
  <c r="E37" i="56"/>
  <c r="E36" i="56"/>
  <c r="E29" i="56"/>
  <c r="E28" i="56"/>
  <c r="E26" i="56"/>
  <c r="E25" i="56"/>
  <c r="E24" i="56"/>
  <c r="E19" i="56"/>
  <c r="E18" i="56"/>
  <c r="E17" i="56"/>
  <c r="E14" i="56"/>
  <c r="E13" i="56"/>
  <c r="E12" i="56"/>
  <c r="E35" i="56" s="1"/>
  <c r="E5" i="56"/>
  <c r="E149" i="56" s="1"/>
  <c r="E156" i="56" s="1"/>
  <c r="E4" i="56"/>
  <c r="D70" i="56"/>
  <c r="D67" i="56"/>
  <c r="D61" i="56"/>
  <c r="D54" i="56"/>
  <c r="D140" i="56" s="1"/>
  <c r="D49" i="56"/>
  <c r="D48" i="56"/>
  <c r="D46" i="56"/>
  <c r="D45" i="56"/>
  <c r="D39" i="56"/>
  <c r="D38" i="56"/>
  <c r="D37" i="56"/>
  <c r="D36" i="56"/>
  <c r="D29" i="56"/>
  <c r="D28" i="56"/>
  <c r="D26" i="56"/>
  <c r="D25" i="56"/>
  <c r="D24" i="56"/>
  <c r="D46" i="74" s="1"/>
  <c r="D19" i="56"/>
  <c r="D18" i="56"/>
  <c r="D17" i="56"/>
  <c r="D14" i="56"/>
  <c r="D13" i="56"/>
  <c r="D12" i="56"/>
  <c r="D35" i="56" s="1"/>
  <c r="D5" i="56"/>
  <c r="D149" i="56" s="1"/>
  <c r="D156" i="56" s="1"/>
  <c r="D4" i="56"/>
  <c r="C70" i="56"/>
  <c r="C67" i="56"/>
  <c r="C61" i="56"/>
  <c r="C54" i="56"/>
  <c r="C153" i="56" s="1"/>
  <c r="C49" i="56"/>
  <c r="C48" i="56"/>
  <c r="C46" i="56"/>
  <c r="C45" i="56"/>
  <c r="C39" i="56"/>
  <c r="C38" i="56"/>
  <c r="C37" i="56"/>
  <c r="C36" i="56"/>
  <c r="C29" i="56"/>
  <c r="C28" i="56"/>
  <c r="C26" i="56"/>
  <c r="C25" i="56"/>
  <c r="C24" i="56"/>
  <c r="C46" i="74" s="1"/>
  <c r="C19" i="56"/>
  <c r="C18" i="56"/>
  <c r="C17" i="56"/>
  <c r="C14" i="56"/>
  <c r="C13" i="56"/>
  <c r="C12" i="56"/>
  <c r="C35" i="56" s="1"/>
  <c r="C5" i="56"/>
  <c r="C149" i="56" s="1"/>
  <c r="C4" i="56"/>
  <c r="B70" i="56"/>
  <c r="B67" i="56"/>
  <c r="B61" i="56"/>
  <c r="B54" i="56"/>
  <c r="B140" i="56" s="1"/>
  <c r="B49" i="56"/>
  <c r="B36" i="82" s="1"/>
  <c r="C53" i="82" s="1"/>
  <c r="B48" i="56"/>
  <c r="B46" i="56"/>
  <c r="B45" i="56"/>
  <c r="B39" i="56"/>
  <c r="B38" i="56"/>
  <c r="B37" i="56"/>
  <c r="B36" i="56"/>
  <c r="B29" i="56"/>
  <c r="B28" i="56"/>
  <c r="B26" i="56"/>
  <c r="B25" i="56"/>
  <c r="B24" i="56"/>
  <c r="B46" i="74" s="1"/>
  <c r="B19" i="56"/>
  <c r="B18" i="56"/>
  <c r="B17" i="56"/>
  <c r="B14" i="56"/>
  <c r="B13" i="56"/>
  <c r="B12" i="56"/>
  <c r="B35" i="56" s="1"/>
  <c r="B32" i="82" s="1"/>
  <c r="B5" i="56"/>
  <c r="B149" i="56" s="1"/>
  <c r="B156" i="56" s="1"/>
  <c r="D41" i="98" s="1"/>
  <c r="B4" i="56"/>
  <c r="B3" i="56"/>
  <c r="B2" i="56"/>
  <c r="H49" i="55"/>
  <c r="G49" i="55"/>
  <c r="F49" i="55"/>
  <c r="E49" i="55"/>
  <c r="D49" i="55"/>
  <c r="C49" i="55"/>
  <c r="B49" i="55"/>
  <c r="B36" i="83" s="1"/>
  <c r="C53" i="83" s="1"/>
  <c r="H49" i="54"/>
  <c r="G49" i="54"/>
  <c r="F49" i="54"/>
  <c r="E49" i="54"/>
  <c r="D49" i="54"/>
  <c r="C49" i="54"/>
  <c r="B49" i="54"/>
  <c r="B36" i="86" s="1"/>
  <c r="H49" i="53"/>
  <c r="G49" i="53"/>
  <c r="F49" i="53"/>
  <c r="E49" i="53"/>
  <c r="D49" i="53"/>
  <c r="C49" i="53"/>
  <c r="B49" i="53"/>
  <c r="B36" i="80" s="1"/>
  <c r="C53" i="80" s="1"/>
  <c r="H49" i="52"/>
  <c r="G49" i="52"/>
  <c r="F49" i="52"/>
  <c r="E49" i="52"/>
  <c r="D49" i="52"/>
  <c r="C49" i="52"/>
  <c r="B49" i="52"/>
  <c r="B36" i="81" s="1"/>
  <c r="C53" i="81" s="1"/>
  <c r="H72" i="55"/>
  <c r="H70" i="55"/>
  <c r="H67" i="55"/>
  <c r="H61" i="55"/>
  <c r="H59" i="55"/>
  <c r="H54" i="55"/>
  <c r="H153" i="55" s="1"/>
  <c r="H48" i="55"/>
  <c r="H46" i="55"/>
  <c r="H45" i="55"/>
  <c r="H39" i="55"/>
  <c r="H38" i="55"/>
  <c r="H37" i="55"/>
  <c r="H36" i="55"/>
  <c r="H29" i="55"/>
  <c r="H28" i="55"/>
  <c r="H27" i="55"/>
  <c r="H26" i="55"/>
  <c r="H25" i="55"/>
  <c r="H24" i="55"/>
  <c r="H20" i="55"/>
  <c r="H19" i="55"/>
  <c r="H18" i="55"/>
  <c r="H17" i="55"/>
  <c r="H15" i="55"/>
  <c r="H14" i="55"/>
  <c r="H13" i="55"/>
  <c r="H12" i="55"/>
  <c r="H35" i="55" s="1"/>
  <c r="H5" i="55"/>
  <c r="H149" i="55" s="1"/>
  <c r="H156" i="55" s="1"/>
  <c r="H4" i="55"/>
  <c r="G72" i="55"/>
  <c r="G70" i="55"/>
  <c r="G67" i="55"/>
  <c r="G61" i="55"/>
  <c r="G59" i="55"/>
  <c r="G54" i="55"/>
  <c r="G153" i="55" s="1"/>
  <c r="G48" i="55"/>
  <c r="G46" i="55"/>
  <c r="G45" i="55"/>
  <c r="G39" i="55"/>
  <c r="G38" i="55"/>
  <c r="G37" i="55"/>
  <c r="G36" i="55"/>
  <c r="G29" i="55"/>
  <c r="G28" i="55"/>
  <c r="G27" i="55"/>
  <c r="G26" i="55"/>
  <c r="G25" i="55"/>
  <c r="G24" i="55"/>
  <c r="G20" i="55"/>
  <c r="G19" i="55"/>
  <c r="G18" i="55"/>
  <c r="G17" i="55"/>
  <c r="G15" i="55"/>
  <c r="G14" i="55"/>
  <c r="G13" i="55"/>
  <c r="G12" i="55"/>
  <c r="G35" i="55" s="1"/>
  <c r="G5" i="55"/>
  <c r="G149" i="55" s="1"/>
  <c r="G4" i="55"/>
  <c r="F72" i="55"/>
  <c r="F70" i="55"/>
  <c r="F67" i="55"/>
  <c r="F61" i="55"/>
  <c r="F59" i="55"/>
  <c r="F54" i="55"/>
  <c r="F153" i="55" s="1"/>
  <c r="F48" i="55"/>
  <c r="F46" i="55"/>
  <c r="F45" i="55"/>
  <c r="F39" i="55"/>
  <c r="F38" i="55"/>
  <c r="F37" i="55"/>
  <c r="F36" i="55"/>
  <c r="F29" i="55"/>
  <c r="F28" i="55"/>
  <c r="F27" i="55"/>
  <c r="F26" i="55"/>
  <c r="F25" i="55"/>
  <c r="F24" i="55"/>
  <c r="F20" i="55"/>
  <c r="F19" i="55"/>
  <c r="F18" i="55"/>
  <c r="F17" i="55"/>
  <c r="F15" i="55"/>
  <c r="F14" i="55"/>
  <c r="F13" i="55"/>
  <c r="F12" i="55"/>
  <c r="F35" i="55" s="1"/>
  <c r="F5" i="55"/>
  <c r="F149" i="55" s="1"/>
  <c r="F156" i="55" s="1"/>
  <c r="F4" i="55"/>
  <c r="E72" i="55"/>
  <c r="E70" i="55"/>
  <c r="E67" i="55"/>
  <c r="E61" i="55"/>
  <c r="E59" i="55"/>
  <c r="E54" i="55"/>
  <c r="E153" i="55" s="1"/>
  <c r="E48" i="55"/>
  <c r="E46" i="55"/>
  <c r="E45" i="55"/>
  <c r="E39" i="55"/>
  <c r="E38" i="55"/>
  <c r="E37" i="55"/>
  <c r="E36" i="55"/>
  <c r="E29" i="55"/>
  <c r="E28" i="55"/>
  <c r="E27" i="55"/>
  <c r="E26" i="55"/>
  <c r="E25" i="55"/>
  <c r="E24" i="55"/>
  <c r="E20" i="55"/>
  <c r="E19" i="55"/>
  <c r="E18" i="55"/>
  <c r="E17" i="55"/>
  <c r="E15" i="55"/>
  <c r="E14" i="55"/>
  <c r="E13" i="55"/>
  <c r="E12" i="55"/>
  <c r="E35" i="55" s="1"/>
  <c r="E5" i="55"/>
  <c r="E149" i="55" s="1"/>
  <c r="E156" i="55" s="1"/>
  <c r="E4" i="55"/>
  <c r="D72" i="55"/>
  <c r="D70" i="55"/>
  <c r="D67" i="55"/>
  <c r="D61" i="55"/>
  <c r="D59" i="55"/>
  <c r="D54" i="55"/>
  <c r="D140" i="55" s="1"/>
  <c r="D48" i="55"/>
  <c r="D46" i="55"/>
  <c r="D45" i="55"/>
  <c r="D39" i="55"/>
  <c r="D38" i="55"/>
  <c r="D37" i="55"/>
  <c r="D36" i="55"/>
  <c r="D29" i="55"/>
  <c r="D28" i="55"/>
  <c r="D27" i="55"/>
  <c r="D26" i="55"/>
  <c r="D25" i="55"/>
  <c r="D24" i="55"/>
  <c r="D46" i="75" s="1"/>
  <c r="D20" i="55"/>
  <c r="D19" i="55"/>
  <c r="D18" i="55"/>
  <c r="D17" i="55"/>
  <c r="D15" i="55"/>
  <c r="D14" i="55"/>
  <c r="D13" i="55"/>
  <c r="D12" i="55"/>
  <c r="D35" i="55" s="1"/>
  <c r="D5" i="55"/>
  <c r="D149" i="55" s="1"/>
  <c r="D4" i="55"/>
  <c r="C72" i="55"/>
  <c r="C70" i="55"/>
  <c r="C67" i="55"/>
  <c r="C61" i="55"/>
  <c r="C59" i="55"/>
  <c r="C54" i="55"/>
  <c r="C153" i="55" s="1"/>
  <c r="C48" i="55"/>
  <c r="C46" i="55"/>
  <c r="C45" i="55"/>
  <c r="C39" i="55"/>
  <c r="C38" i="55"/>
  <c r="C37" i="55"/>
  <c r="C36" i="55"/>
  <c r="C29" i="55"/>
  <c r="C28" i="55"/>
  <c r="C27" i="55"/>
  <c r="C26" i="55"/>
  <c r="C25" i="55"/>
  <c r="C24" i="55"/>
  <c r="C46" i="75" s="1"/>
  <c r="C20" i="55"/>
  <c r="C19" i="55"/>
  <c r="C18" i="55"/>
  <c r="C17" i="55"/>
  <c r="C15" i="55"/>
  <c r="C14" i="55"/>
  <c r="C13" i="55"/>
  <c r="C12" i="55"/>
  <c r="C35" i="55" s="1"/>
  <c r="C5" i="55"/>
  <c r="C149" i="55" s="1"/>
  <c r="C156" i="55" s="1"/>
  <c r="C4" i="55"/>
  <c r="B72" i="55"/>
  <c r="B70" i="55"/>
  <c r="B67" i="55"/>
  <c r="B61" i="55"/>
  <c r="B59" i="55"/>
  <c r="B54" i="55"/>
  <c r="B140" i="55" s="1"/>
  <c r="B48" i="55"/>
  <c r="B46" i="55"/>
  <c r="B45" i="55"/>
  <c r="B39" i="55"/>
  <c r="B38" i="55"/>
  <c r="B37" i="55"/>
  <c r="B36" i="55"/>
  <c r="B29" i="55"/>
  <c r="B28" i="55"/>
  <c r="B27" i="55"/>
  <c r="B26" i="55"/>
  <c r="B25" i="55"/>
  <c r="B24" i="55"/>
  <c r="B46" i="75" s="1"/>
  <c r="B20" i="55"/>
  <c r="B19" i="55"/>
  <c r="B18" i="55"/>
  <c r="B17" i="55"/>
  <c r="B15" i="55"/>
  <c r="B14" i="55"/>
  <c r="B13" i="55"/>
  <c r="B12" i="55"/>
  <c r="B5" i="55"/>
  <c r="B149" i="55" s="1"/>
  <c r="B4" i="55"/>
  <c r="B3" i="55"/>
  <c r="B2" i="55"/>
  <c r="H72" i="54"/>
  <c r="H70" i="54"/>
  <c r="H67" i="54"/>
  <c r="H61" i="54"/>
  <c r="H59" i="54"/>
  <c r="H54" i="54"/>
  <c r="H140" i="54" s="1"/>
  <c r="H48" i="54"/>
  <c r="H46" i="54"/>
  <c r="H45" i="54"/>
  <c r="H39" i="54"/>
  <c r="H38" i="54"/>
  <c r="H37" i="54"/>
  <c r="H36" i="54"/>
  <c r="H29" i="54"/>
  <c r="H28" i="54"/>
  <c r="H27" i="54"/>
  <c r="H26" i="54"/>
  <c r="H25" i="54"/>
  <c r="H24" i="54"/>
  <c r="H20" i="54"/>
  <c r="H19" i="54"/>
  <c r="H18" i="54"/>
  <c r="H17" i="54"/>
  <c r="H15" i="54"/>
  <c r="H14" i="54"/>
  <c r="H13" i="54"/>
  <c r="H12" i="54"/>
  <c r="H35" i="54" s="1"/>
  <c r="H5" i="54"/>
  <c r="H149" i="54" s="1"/>
  <c r="H156" i="54" s="1"/>
  <c r="H4" i="54"/>
  <c r="G72" i="54"/>
  <c r="G70" i="54"/>
  <c r="G67" i="54"/>
  <c r="G61" i="54"/>
  <c r="G59" i="54"/>
  <c r="G54" i="54"/>
  <c r="G153" i="54" s="1"/>
  <c r="G48" i="54"/>
  <c r="G46" i="54"/>
  <c r="G45" i="54"/>
  <c r="G39" i="54"/>
  <c r="G38" i="54"/>
  <c r="G37" i="54"/>
  <c r="G36" i="54"/>
  <c r="G29" i="54"/>
  <c r="G28" i="54"/>
  <c r="G27" i="54"/>
  <c r="G26" i="54"/>
  <c r="G25" i="54"/>
  <c r="G24" i="54"/>
  <c r="G46" i="78" s="1"/>
  <c r="G20" i="54"/>
  <c r="G19" i="54"/>
  <c r="G18" i="54"/>
  <c r="G17" i="54"/>
  <c r="G15" i="54"/>
  <c r="G14" i="54"/>
  <c r="G13" i="54"/>
  <c r="G12" i="54"/>
  <c r="G35" i="54" s="1"/>
  <c r="G5" i="54"/>
  <c r="G149" i="54" s="1"/>
  <c r="G156" i="54" s="1"/>
  <c r="G4" i="54"/>
  <c r="F72" i="54"/>
  <c r="F70" i="54"/>
  <c r="F67" i="54"/>
  <c r="F61" i="54"/>
  <c r="F59" i="54"/>
  <c r="F54" i="54"/>
  <c r="F153" i="54" s="1"/>
  <c r="F48" i="54"/>
  <c r="F46" i="54"/>
  <c r="F45" i="54"/>
  <c r="F39" i="54"/>
  <c r="F38" i="54"/>
  <c r="F37" i="54"/>
  <c r="F36" i="54"/>
  <c r="F29" i="54"/>
  <c r="F28" i="54"/>
  <c r="F27" i="54"/>
  <c r="F26" i="54"/>
  <c r="F25" i="54"/>
  <c r="F24" i="54"/>
  <c r="F20" i="54"/>
  <c r="F19" i="54"/>
  <c r="F18" i="54"/>
  <c r="F17" i="54"/>
  <c r="F15" i="54"/>
  <c r="F14" i="54"/>
  <c r="F13" i="54"/>
  <c r="F12" i="54"/>
  <c r="F35" i="54" s="1"/>
  <c r="F5" i="54"/>
  <c r="F149" i="54" s="1"/>
  <c r="F156" i="54" s="1"/>
  <c r="F4" i="54"/>
  <c r="E72" i="54"/>
  <c r="E70" i="54"/>
  <c r="E67" i="54"/>
  <c r="E61" i="54"/>
  <c r="E59" i="54"/>
  <c r="E54" i="54"/>
  <c r="E140" i="54" s="1"/>
  <c r="E48" i="54"/>
  <c r="E46" i="54"/>
  <c r="E45" i="54"/>
  <c r="E39" i="54"/>
  <c r="E38" i="54"/>
  <c r="E37" i="54"/>
  <c r="E36" i="54"/>
  <c r="E29" i="54"/>
  <c r="E28" i="54"/>
  <c r="E27" i="54"/>
  <c r="E26" i="54"/>
  <c r="E25" i="54"/>
  <c r="E24" i="54"/>
  <c r="E20" i="54"/>
  <c r="E19" i="54"/>
  <c r="E18" i="54"/>
  <c r="E17" i="54"/>
  <c r="E15" i="54"/>
  <c r="E14" i="54"/>
  <c r="E13" i="54"/>
  <c r="E12" i="54"/>
  <c r="E35" i="54" s="1"/>
  <c r="E5" i="54"/>
  <c r="E149" i="54" s="1"/>
  <c r="E4" i="54"/>
  <c r="D72" i="54"/>
  <c r="D70" i="54"/>
  <c r="D67" i="54"/>
  <c r="D61" i="54"/>
  <c r="D59" i="54"/>
  <c r="D54" i="54"/>
  <c r="D153" i="54" s="1"/>
  <c r="D48" i="54"/>
  <c r="D46" i="54"/>
  <c r="D45" i="54"/>
  <c r="D39" i="54"/>
  <c r="D38" i="54"/>
  <c r="D37" i="54"/>
  <c r="D36" i="54"/>
  <c r="D29" i="54"/>
  <c r="D28" i="54"/>
  <c r="D27" i="54"/>
  <c r="D26" i="54"/>
  <c r="D25" i="54"/>
  <c r="D24" i="54"/>
  <c r="D46" i="78" s="1"/>
  <c r="D20" i="54"/>
  <c r="D19" i="54"/>
  <c r="D18" i="54"/>
  <c r="D17" i="54"/>
  <c r="D15" i="54"/>
  <c r="D14" i="54"/>
  <c r="D13" i="54"/>
  <c r="D12" i="54"/>
  <c r="D35" i="54" s="1"/>
  <c r="D5" i="54"/>
  <c r="D149" i="54" s="1"/>
  <c r="D156" i="54" s="1"/>
  <c r="D4" i="54"/>
  <c r="C72" i="54"/>
  <c r="C70" i="54"/>
  <c r="C67" i="54"/>
  <c r="C61" i="54"/>
  <c r="C59" i="54"/>
  <c r="C54" i="54"/>
  <c r="C153" i="54" s="1"/>
  <c r="C48" i="54"/>
  <c r="C46" i="54"/>
  <c r="C45" i="54"/>
  <c r="C39" i="54"/>
  <c r="C38" i="54"/>
  <c r="C37" i="54"/>
  <c r="C36" i="54"/>
  <c r="C29" i="54"/>
  <c r="C28" i="54"/>
  <c r="C27" i="54"/>
  <c r="C26" i="54"/>
  <c r="C25" i="54"/>
  <c r="C24" i="54"/>
  <c r="C20" i="54"/>
  <c r="C19" i="54"/>
  <c r="C18" i="54"/>
  <c r="C17" i="54"/>
  <c r="C15" i="54"/>
  <c r="C14" i="54"/>
  <c r="C13" i="54"/>
  <c r="C12" i="54"/>
  <c r="C35" i="54" s="1"/>
  <c r="C5" i="54"/>
  <c r="C149" i="54" s="1"/>
  <c r="C4" i="54"/>
  <c r="B72" i="54"/>
  <c r="B70" i="54"/>
  <c r="B67" i="54"/>
  <c r="B61" i="54"/>
  <c r="B59" i="54"/>
  <c r="B54" i="54"/>
  <c r="B140" i="54" s="1"/>
  <c r="B48" i="54"/>
  <c r="B46" i="54"/>
  <c r="B45" i="54"/>
  <c r="B39" i="54"/>
  <c r="B38" i="54"/>
  <c r="B37" i="54"/>
  <c r="B36" i="54"/>
  <c r="B29" i="54"/>
  <c r="B28" i="54"/>
  <c r="B27" i="54"/>
  <c r="B26" i="54"/>
  <c r="B25" i="54"/>
  <c r="B24" i="54"/>
  <c r="B20" i="54"/>
  <c r="B19" i="54"/>
  <c r="B18" i="54"/>
  <c r="B17" i="54"/>
  <c r="B15" i="54"/>
  <c r="B14" i="54"/>
  <c r="B13" i="54"/>
  <c r="B12" i="54"/>
  <c r="B5" i="54"/>
  <c r="B149" i="54" s="1"/>
  <c r="B156" i="54" s="1"/>
  <c r="H41" i="98" s="1"/>
  <c r="B4" i="54"/>
  <c r="B3" i="54"/>
  <c r="B2" i="54"/>
  <c r="H72" i="53"/>
  <c r="H70" i="53"/>
  <c r="H67" i="53"/>
  <c r="H61" i="53"/>
  <c r="H59" i="53"/>
  <c r="H54" i="53"/>
  <c r="H153" i="53" s="1"/>
  <c r="H48" i="53"/>
  <c r="H46" i="53"/>
  <c r="H45" i="53"/>
  <c r="H39" i="53"/>
  <c r="H38" i="53"/>
  <c r="H37" i="53"/>
  <c r="H36" i="53"/>
  <c r="H29" i="53"/>
  <c r="H28" i="53"/>
  <c r="H27" i="53"/>
  <c r="H26" i="53"/>
  <c r="H25" i="53"/>
  <c r="H24" i="53"/>
  <c r="H20" i="53"/>
  <c r="H19" i="53"/>
  <c r="H18" i="53"/>
  <c r="H17" i="53"/>
  <c r="H15" i="53"/>
  <c r="H14" i="53"/>
  <c r="H13" i="53"/>
  <c r="H12" i="53"/>
  <c r="H35" i="53" s="1"/>
  <c r="H5" i="53"/>
  <c r="H149" i="53" s="1"/>
  <c r="H156" i="53" s="1"/>
  <c r="H4" i="53"/>
  <c r="G72" i="53"/>
  <c r="G70" i="53"/>
  <c r="G67" i="53"/>
  <c r="G61" i="53"/>
  <c r="G59" i="53"/>
  <c r="G54" i="53"/>
  <c r="G153" i="53" s="1"/>
  <c r="G48" i="53"/>
  <c r="G46" i="53"/>
  <c r="G45" i="53"/>
  <c r="G39" i="53"/>
  <c r="G38" i="53"/>
  <c r="G37" i="53"/>
  <c r="G36" i="53"/>
  <c r="G29" i="53"/>
  <c r="G28" i="53"/>
  <c r="G27" i="53"/>
  <c r="G26" i="53"/>
  <c r="G25" i="53"/>
  <c r="G24" i="53"/>
  <c r="G20" i="53"/>
  <c r="G19" i="53"/>
  <c r="G18" i="53"/>
  <c r="G17" i="53"/>
  <c r="G15" i="53"/>
  <c r="G14" i="53"/>
  <c r="G13" i="53"/>
  <c r="G12" i="53"/>
  <c r="G35" i="53" s="1"/>
  <c r="G5" i="53"/>
  <c r="G149" i="53" s="1"/>
  <c r="G156" i="53" s="1"/>
  <c r="G4" i="53"/>
  <c r="F72" i="53"/>
  <c r="F70" i="53"/>
  <c r="F67" i="53"/>
  <c r="F61" i="53"/>
  <c r="F59" i="53"/>
  <c r="F54" i="53"/>
  <c r="F153" i="53" s="1"/>
  <c r="F48" i="53"/>
  <c r="F46" i="53"/>
  <c r="F45" i="53"/>
  <c r="F39" i="53"/>
  <c r="F38" i="53"/>
  <c r="F37" i="53"/>
  <c r="F36" i="53"/>
  <c r="F29" i="53"/>
  <c r="F28" i="53"/>
  <c r="F27" i="53"/>
  <c r="F26" i="53"/>
  <c r="F25" i="53"/>
  <c r="F24" i="53"/>
  <c r="F20" i="53"/>
  <c r="F19" i="53"/>
  <c r="F18" i="53"/>
  <c r="F17" i="53"/>
  <c r="F15" i="53"/>
  <c r="F14" i="53"/>
  <c r="F13" i="53"/>
  <c r="F12" i="53"/>
  <c r="F5" i="53"/>
  <c r="F149" i="53" s="1"/>
  <c r="F156" i="53" s="1"/>
  <c r="F4" i="53"/>
  <c r="E72" i="53"/>
  <c r="E70" i="53"/>
  <c r="E67" i="53"/>
  <c r="E61" i="53"/>
  <c r="E59" i="53"/>
  <c r="E54" i="53"/>
  <c r="E140" i="53" s="1"/>
  <c r="E48" i="53"/>
  <c r="E46" i="53"/>
  <c r="E45" i="53"/>
  <c r="E39" i="53"/>
  <c r="E38" i="53"/>
  <c r="E37" i="53"/>
  <c r="E36" i="53"/>
  <c r="E29" i="53"/>
  <c r="E28" i="53"/>
  <c r="E27" i="53"/>
  <c r="E26" i="53"/>
  <c r="E25" i="53"/>
  <c r="E24" i="53"/>
  <c r="E46" i="72" s="1"/>
  <c r="E20" i="53"/>
  <c r="E19" i="53"/>
  <c r="E18" i="53"/>
  <c r="E17" i="53"/>
  <c r="E15" i="53"/>
  <c r="E14" i="53"/>
  <c r="E13" i="53"/>
  <c r="E12" i="53"/>
  <c r="E5" i="53"/>
  <c r="E149" i="53" s="1"/>
  <c r="E151" i="53" s="1"/>
  <c r="E4" i="53"/>
  <c r="D72" i="53"/>
  <c r="D70" i="53"/>
  <c r="D67" i="53"/>
  <c r="D61" i="53"/>
  <c r="D59" i="53"/>
  <c r="D54" i="53"/>
  <c r="D153" i="53" s="1"/>
  <c r="D48" i="53"/>
  <c r="D46" i="53"/>
  <c r="D45" i="53"/>
  <c r="D39" i="53"/>
  <c r="D38" i="53"/>
  <c r="D37" i="53"/>
  <c r="D36" i="53"/>
  <c r="D29" i="53"/>
  <c r="D28" i="53"/>
  <c r="D27" i="53"/>
  <c r="D26" i="53"/>
  <c r="D25" i="53"/>
  <c r="D24" i="53"/>
  <c r="D46" i="72" s="1"/>
  <c r="D20" i="53"/>
  <c r="D19" i="53"/>
  <c r="D18" i="53"/>
  <c r="D17" i="53"/>
  <c r="D15" i="53"/>
  <c r="D14" i="53"/>
  <c r="D13" i="53"/>
  <c r="D12" i="53"/>
  <c r="D5" i="53"/>
  <c r="D149" i="53" s="1"/>
  <c r="D156" i="53" s="1"/>
  <c r="D4" i="53"/>
  <c r="C72" i="53"/>
  <c r="C70" i="53"/>
  <c r="C67" i="53"/>
  <c r="C61" i="53"/>
  <c r="C59" i="53"/>
  <c r="C54" i="53"/>
  <c r="C153" i="53" s="1"/>
  <c r="C48" i="53"/>
  <c r="C46" i="53"/>
  <c r="C45" i="53"/>
  <c r="C39" i="53"/>
  <c r="C38" i="53"/>
  <c r="C37" i="53"/>
  <c r="C36" i="53"/>
  <c r="C29" i="53"/>
  <c r="C28" i="53"/>
  <c r="C27" i="53"/>
  <c r="C26" i="53"/>
  <c r="C25" i="53"/>
  <c r="C24" i="53"/>
  <c r="C20" i="53"/>
  <c r="C19" i="53"/>
  <c r="C18" i="53"/>
  <c r="C17" i="53"/>
  <c r="C15" i="53"/>
  <c r="C14" i="53"/>
  <c r="C13" i="53"/>
  <c r="C12" i="53"/>
  <c r="C5" i="53"/>
  <c r="C149" i="53" s="1"/>
  <c r="C156" i="53" s="1"/>
  <c r="C4" i="53"/>
  <c r="B72" i="53"/>
  <c r="B70" i="53"/>
  <c r="B67" i="53"/>
  <c r="B61" i="53"/>
  <c r="B59" i="53"/>
  <c r="B54" i="53"/>
  <c r="B140" i="53" s="1"/>
  <c r="B48" i="53"/>
  <c r="B46" i="53"/>
  <c r="B45" i="53"/>
  <c r="B39" i="53"/>
  <c r="B38" i="53"/>
  <c r="B37" i="53"/>
  <c r="B36" i="53"/>
  <c r="B29" i="53"/>
  <c r="B28" i="53"/>
  <c r="B27" i="53"/>
  <c r="B26" i="53"/>
  <c r="B25" i="53"/>
  <c r="B24" i="53"/>
  <c r="B20" i="53"/>
  <c r="B19" i="53"/>
  <c r="B18" i="53"/>
  <c r="B17" i="53"/>
  <c r="B15" i="53"/>
  <c r="B14" i="53"/>
  <c r="B13" i="53"/>
  <c r="B12" i="53"/>
  <c r="B35" i="53" s="1"/>
  <c r="B5" i="53"/>
  <c r="B149" i="53" s="1"/>
  <c r="B156" i="53" s="1"/>
  <c r="B41" i="98" s="1"/>
  <c r="B4" i="53"/>
  <c r="B3" i="53"/>
  <c r="B2" i="53"/>
  <c r="E55" i="53"/>
  <c r="E60" i="53" s="1"/>
  <c r="H70" i="52"/>
  <c r="H67" i="52"/>
  <c r="H61" i="52"/>
  <c r="H54" i="52"/>
  <c r="H140" i="52" s="1"/>
  <c r="H48" i="52"/>
  <c r="H46" i="52"/>
  <c r="H45" i="52"/>
  <c r="H39" i="52"/>
  <c r="H38" i="52"/>
  <c r="H37" i="52"/>
  <c r="H36" i="52"/>
  <c r="H29" i="52"/>
  <c r="H28" i="52"/>
  <c r="H27" i="52"/>
  <c r="H26" i="52"/>
  <c r="H25" i="52"/>
  <c r="H24" i="52"/>
  <c r="H20" i="52"/>
  <c r="H19" i="52"/>
  <c r="H18" i="52"/>
  <c r="H17" i="52"/>
  <c r="H15" i="52"/>
  <c r="H14" i="52"/>
  <c r="H13" i="52"/>
  <c r="H12" i="52"/>
  <c r="H35" i="52" s="1"/>
  <c r="H5" i="52"/>
  <c r="H149" i="52" s="1"/>
  <c r="H4" i="52"/>
  <c r="G70" i="52"/>
  <c r="G67" i="52"/>
  <c r="G61" i="52"/>
  <c r="G54" i="52"/>
  <c r="G153" i="52" s="1"/>
  <c r="G48" i="52"/>
  <c r="G46" i="52"/>
  <c r="G45" i="52"/>
  <c r="G39" i="52"/>
  <c r="G38" i="52"/>
  <c r="G37" i="52"/>
  <c r="G36" i="52"/>
  <c r="G29" i="52"/>
  <c r="G28" i="52"/>
  <c r="G27" i="52"/>
  <c r="G26" i="52"/>
  <c r="G25" i="52"/>
  <c r="G24" i="52"/>
  <c r="G46" i="73" s="1"/>
  <c r="G20" i="52"/>
  <c r="G19" i="52"/>
  <c r="G18" i="52"/>
  <c r="G17" i="52"/>
  <c r="G15" i="52"/>
  <c r="G14" i="52"/>
  <c r="G13" i="52"/>
  <c r="G12" i="52"/>
  <c r="G5" i="52"/>
  <c r="G149" i="52" s="1"/>
  <c r="G4" i="52"/>
  <c r="F70" i="52"/>
  <c r="F67" i="52"/>
  <c r="F61" i="52"/>
  <c r="F54" i="52"/>
  <c r="F140" i="52" s="1"/>
  <c r="F48" i="52"/>
  <c r="F46" i="52"/>
  <c r="F45" i="52"/>
  <c r="F39" i="52"/>
  <c r="F38" i="52"/>
  <c r="F37" i="52"/>
  <c r="F36" i="52"/>
  <c r="F29" i="52"/>
  <c r="F28" i="52"/>
  <c r="F27" i="52"/>
  <c r="F26" i="52"/>
  <c r="F25" i="52"/>
  <c r="F24" i="52"/>
  <c r="F20" i="52"/>
  <c r="F19" i="52"/>
  <c r="F18" i="52"/>
  <c r="F17" i="52"/>
  <c r="F15" i="52"/>
  <c r="F14" i="52"/>
  <c r="F13" i="52"/>
  <c r="F12" i="52"/>
  <c r="F5" i="52"/>
  <c r="F149" i="52" s="1"/>
  <c r="F156" i="52" s="1"/>
  <c r="F4" i="52"/>
  <c r="E70" i="52"/>
  <c r="E67" i="52"/>
  <c r="E61" i="52"/>
  <c r="E54" i="52"/>
  <c r="E140" i="52" s="1"/>
  <c r="E48" i="52"/>
  <c r="E46" i="52"/>
  <c r="E45" i="52"/>
  <c r="E39" i="52"/>
  <c r="E38" i="52"/>
  <c r="E37" i="52"/>
  <c r="E36" i="52"/>
  <c r="E29" i="52"/>
  <c r="E28" i="52"/>
  <c r="E27" i="52"/>
  <c r="E26" i="52"/>
  <c r="E25" i="52"/>
  <c r="E24" i="52"/>
  <c r="E20" i="52"/>
  <c r="E19" i="52"/>
  <c r="E18" i="52"/>
  <c r="E17" i="52"/>
  <c r="E15" i="52"/>
  <c r="E14" i="52"/>
  <c r="E13" i="52"/>
  <c r="E12" i="52"/>
  <c r="E35" i="52" s="1"/>
  <c r="E5" i="52"/>
  <c r="E149" i="52" s="1"/>
  <c r="E4" i="52"/>
  <c r="D70" i="52"/>
  <c r="D67" i="52"/>
  <c r="D61" i="52"/>
  <c r="D54" i="52"/>
  <c r="D140" i="52" s="1"/>
  <c r="D48" i="52"/>
  <c r="D46" i="52"/>
  <c r="D45" i="52"/>
  <c r="D39" i="52"/>
  <c r="D38" i="52"/>
  <c r="D37" i="52"/>
  <c r="D36" i="52"/>
  <c r="D29" i="52"/>
  <c r="D28" i="52"/>
  <c r="D27" i="52"/>
  <c r="D26" i="52"/>
  <c r="D25" i="52"/>
  <c r="D24" i="52"/>
  <c r="D20" i="52"/>
  <c r="D19" i="52"/>
  <c r="D18" i="52"/>
  <c r="D17" i="52"/>
  <c r="D15" i="52"/>
  <c r="D14" i="52"/>
  <c r="D13" i="52"/>
  <c r="D12" i="52"/>
  <c r="D35" i="52" s="1"/>
  <c r="D5" i="52"/>
  <c r="D149" i="52" s="1"/>
  <c r="D4" i="52"/>
  <c r="C70" i="52"/>
  <c r="C67" i="52"/>
  <c r="C61" i="52"/>
  <c r="C54" i="52"/>
  <c r="C140" i="52" s="1"/>
  <c r="C48" i="52"/>
  <c r="C46" i="52"/>
  <c r="C45" i="52"/>
  <c r="C39" i="52"/>
  <c r="C38" i="52"/>
  <c r="C37" i="52"/>
  <c r="C36" i="52"/>
  <c r="C29" i="52"/>
  <c r="C28" i="52"/>
  <c r="C27" i="52"/>
  <c r="C26" i="52"/>
  <c r="C25" i="52"/>
  <c r="C24" i="52"/>
  <c r="C20" i="52"/>
  <c r="C19" i="52"/>
  <c r="C18" i="52"/>
  <c r="C17" i="52"/>
  <c r="C15" i="52"/>
  <c r="C14" i="52"/>
  <c r="C13" i="52"/>
  <c r="C12" i="52"/>
  <c r="C5" i="52"/>
  <c r="C149" i="52" s="1"/>
  <c r="C4" i="52"/>
  <c r="B70" i="52"/>
  <c r="B67" i="52"/>
  <c r="B61" i="52"/>
  <c r="B54" i="52"/>
  <c r="B140" i="52" s="1"/>
  <c r="B48" i="52"/>
  <c r="B46" i="52"/>
  <c r="B45" i="52"/>
  <c r="B39" i="52"/>
  <c r="B38" i="52"/>
  <c r="B37" i="52"/>
  <c r="B36" i="52"/>
  <c r="B29" i="52"/>
  <c r="B28" i="52"/>
  <c r="B27" i="52"/>
  <c r="B26" i="52"/>
  <c r="B25" i="52"/>
  <c r="B24" i="52"/>
  <c r="B46" i="73" s="1"/>
  <c r="B20" i="52"/>
  <c r="B19" i="52"/>
  <c r="B18" i="52"/>
  <c r="B17" i="52"/>
  <c r="B15" i="52"/>
  <c r="B14" i="52"/>
  <c r="B13" i="52"/>
  <c r="B12" i="52"/>
  <c r="B35" i="52" s="1"/>
  <c r="B32" i="81" s="1"/>
  <c r="B5" i="52"/>
  <c r="B149" i="52" s="1"/>
  <c r="B4" i="52"/>
  <c r="B3" i="52"/>
  <c r="B2" i="52"/>
  <c r="G39" i="51"/>
  <c r="G37" i="51"/>
  <c r="G36" i="51"/>
  <c r="G35" i="51"/>
  <c r="G34" i="51"/>
  <c r="G17" i="51"/>
  <c r="G16" i="51"/>
  <c r="G15" i="51"/>
  <c r="G14" i="51"/>
  <c r="G13" i="51"/>
  <c r="G12" i="51"/>
  <c r="G10" i="51"/>
  <c r="G9" i="51"/>
  <c r="G7" i="51"/>
  <c r="F39" i="51"/>
  <c r="F37" i="51"/>
  <c r="F36" i="51"/>
  <c r="F35" i="51"/>
  <c r="F34" i="51"/>
  <c r="F17" i="51"/>
  <c r="F16" i="51"/>
  <c r="F15" i="51"/>
  <c r="F14" i="51"/>
  <c r="F13" i="51"/>
  <c r="F12" i="51"/>
  <c r="F10" i="51"/>
  <c r="F9" i="51"/>
  <c r="F7" i="51"/>
  <c r="E39" i="51"/>
  <c r="E37" i="51"/>
  <c r="E36" i="51"/>
  <c r="E35" i="51"/>
  <c r="E34" i="51"/>
  <c r="E33" i="51"/>
  <c r="E30" i="51"/>
  <c r="E24" i="51"/>
  <c r="E21" i="51"/>
  <c r="E17" i="51"/>
  <c r="E16" i="51"/>
  <c r="E15" i="51"/>
  <c r="E14" i="51"/>
  <c r="E13" i="51"/>
  <c r="E12" i="51"/>
  <c r="E10" i="51"/>
  <c r="E9" i="51"/>
  <c r="E7" i="51"/>
  <c r="D39" i="51"/>
  <c r="D37" i="51"/>
  <c r="D36" i="51"/>
  <c r="D35" i="51"/>
  <c r="D34" i="51"/>
  <c r="D33" i="51"/>
  <c r="D30" i="51"/>
  <c r="D24" i="51"/>
  <c r="D21" i="51"/>
  <c r="D17" i="51"/>
  <c r="D16" i="51"/>
  <c r="D15" i="51"/>
  <c r="D14" i="51"/>
  <c r="D13" i="51"/>
  <c r="D12" i="51"/>
  <c r="D10" i="51"/>
  <c r="D9" i="51"/>
  <c r="D7" i="51"/>
  <c r="C39" i="51"/>
  <c r="C37" i="51"/>
  <c r="C36" i="51"/>
  <c r="C35" i="51"/>
  <c r="C34" i="51"/>
  <c r="C33" i="51"/>
  <c r="C32" i="51"/>
  <c r="C30" i="51"/>
  <c r="C29" i="51"/>
  <c r="C24" i="51"/>
  <c r="C23" i="51"/>
  <c r="C21" i="51"/>
  <c r="C20" i="51"/>
  <c r="C17" i="51"/>
  <c r="C16" i="51"/>
  <c r="C15" i="51"/>
  <c r="C14" i="51"/>
  <c r="C13" i="51"/>
  <c r="C12" i="51"/>
  <c r="C10" i="51"/>
  <c r="C9" i="51"/>
  <c r="C7" i="51"/>
  <c r="B39" i="51"/>
  <c r="B37" i="51"/>
  <c r="B36" i="51"/>
  <c r="B35" i="51"/>
  <c r="B34" i="51"/>
  <c r="B33" i="51"/>
  <c r="B32" i="51"/>
  <c r="B30" i="51"/>
  <c r="B29" i="51"/>
  <c r="B24" i="51"/>
  <c r="B23" i="51"/>
  <c r="B21" i="51"/>
  <c r="B20" i="51"/>
  <c r="B17" i="51"/>
  <c r="B16" i="51"/>
  <c r="B15" i="51"/>
  <c r="B14" i="51"/>
  <c r="B13" i="51"/>
  <c r="B12" i="51"/>
  <c r="B10" i="51"/>
  <c r="B9" i="51"/>
  <c r="B7" i="51"/>
  <c r="H53" i="50"/>
  <c r="H59" i="50" s="1"/>
  <c r="H52" i="50"/>
  <c r="H58" i="50" s="1"/>
  <c r="H51" i="50"/>
  <c r="H54" i="50" s="1"/>
  <c r="H50" i="50"/>
  <c r="H48" i="50"/>
  <c r="H47" i="50"/>
  <c r="H44" i="50"/>
  <c r="H43" i="50"/>
  <c r="H38" i="50"/>
  <c r="H33" i="50"/>
  <c r="H32" i="50"/>
  <c r="H13" i="50"/>
  <c r="H11" i="50"/>
  <c r="H10" i="50"/>
  <c r="H8" i="50"/>
  <c r="H6" i="50"/>
  <c r="G53" i="50"/>
  <c r="G59" i="50" s="1"/>
  <c r="G52" i="50"/>
  <c r="G58" i="50" s="1"/>
  <c r="G51" i="50"/>
  <c r="G50" i="50"/>
  <c r="G48" i="50"/>
  <c r="G47" i="50"/>
  <c r="G44" i="50"/>
  <c r="G43" i="50"/>
  <c r="G38" i="50"/>
  <c r="G33" i="50"/>
  <c r="G32" i="50"/>
  <c r="G13" i="50"/>
  <c r="G11" i="50"/>
  <c r="G10" i="50"/>
  <c r="G8" i="50"/>
  <c r="G6" i="50"/>
  <c r="F53" i="50"/>
  <c r="F56" i="50" s="1"/>
  <c r="F52" i="50"/>
  <c r="F58" i="50" s="1"/>
  <c r="F51" i="50"/>
  <c r="F57" i="50" s="1"/>
  <c r="F50" i="50"/>
  <c r="F48" i="50"/>
  <c r="F47" i="50"/>
  <c r="F44" i="50"/>
  <c r="F43" i="50"/>
  <c r="F38" i="50"/>
  <c r="F33" i="50"/>
  <c r="F32" i="50"/>
  <c r="F13" i="50"/>
  <c r="F11" i="50"/>
  <c r="F10" i="50"/>
  <c r="F8" i="50"/>
  <c r="F6" i="50"/>
  <c r="E53" i="50"/>
  <c r="E59" i="50" s="1"/>
  <c r="E52" i="50"/>
  <c r="E55" i="50" s="1"/>
  <c r="E51" i="50"/>
  <c r="E57" i="50" s="1"/>
  <c r="E50" i="50"/>
  <c r="E48" i="50"/>
  <c r="E47" i="50"/>
  <c r="E44" i="50"/>
  <c r="E43" i="50"/>
  <c r="E38" i="50"/>
  <c r="E33" i="50"/>
  <c r="E32" i="50"/>
  <c r="E13" i="50"/>
  <c r="E11" i="50"/>
  <c r="E10" i="50"/>
  <c r="E8" i="50"/>
  <c r="E6" i="50"/>
  <c r="D53" i="50"/>
  <c r="D59" i="50" s="1"/>
  <c r="D52" i="50"/>
  <c r="D58" i="50" s="1"/>
  <c r="D51" i="50"/>
  <c r="D54" i="50" s="1"/>
  <c r="D50" i="50"/>
  <c r="D48" i="50"/>
  <c r="D47" i="50"/>
  <c r="D44" i="50"/>
  <c r="D43" i="50"/>
  <c r="D38" i="50"/>
  <c r="D33" i="50"/>
  <c r="D32" i="50"/>
  <c r="D13" i="50"/>
  <c r="D11" i="50"/>
  <c r="D10" i="50"/>
  <c r="D8" i="50"/>
  <c r="D6" i="50"/>
  <c r="C53" i="50"/>
  <c r="C59" i="50" s="1"/>
  <c r="C52" i="50"/>
  <c r="C58" i="50" s="1"/>
  <c r="C51" i="50"/>
  <c r="C57" i="50" s="1"/>
  <c r="C50" i="50"/>
  <c r="C48" i="50"/>
  <c r="C47" i="50"/>
  <c r="C44" i="50"/>
  <c r="C43" i="50"/>
  <c r="C38" i="50"/>
  <c r="C33" i="50"/>
  <c r="C32" i="50"/>
  <c r="C13" i="50"/>
  <c r="C11" i="50"/>
  <c r="C10" i="50"/>
  <c r="C8" i="50"/>
  <c r="C6" i="50"/>
  <c r="B53" i="50"/>
  <c r="B59" i="50" s="1"/>
  <c r="B52" i="50"/>
  <c r="B58" i="50" s="1"/>
  <c r="B51" i="50"/>
  <c r="B57" i="50" s="1"/>
  <c r="B50" i="50"/>
  <c r="B48" i="50"/>
  <c r="B47" i="50"/>
  <c r="B44" i="50"/>
  <c r="B43" i="50"/>
  <c r="B38" i="50"/>
  <c r="B33" i="50"/>
  <c r="B32" i="50"/>
  <c r="B13" i="50"/>
  <c r="B11" i="50"/>
  <c r="B10" i="50"/>
  <c r="B8" i="50"/>
  <c r="B6" i="50"/>
  <c r="H38" i="49"/>
  <c r="H40" i="50" s="1"/>
  <c r="H37" i="49"/>
  <c r="H34" i="49"/>
  <c r="H33" i="49" s="1"/>
  <c r="H30" i="49"/>
  <c r="H23" i="49"/>
  <c r="H15" i="49"/>
  <c r="H11" i="49" s="1"/>
  <c r="G38" i="49"/>
  <c r="G42" i="50" s="1"/>
  <c r="G37" i="49"/>
  <c r="G34" i="49"/>
  <c r="G33" i="49" s="1"/>
  <c r="G30" i="49"/>
  <c r="G23" i="49"/>
  <c r="G15" i="49"/>
  <c r="G11" i="49" s="1"/>
  <c r="F38" i="49"/>
  <c r="F61" i="50" s="1"/>
  <c r="F37" i="49"/>
  <c r="F34" i="49"/>
  <c r="F33" i="49" s="1"/>
  <c r="F30" i="49"/>
  <c r="F23" i="49"/>
  <c r="F15" i="49"/>
  <c r="F11" i="49" s="1"/>
  <c r="E38" i="49"/>
  <c r="E61" i="50" s="1"/>
  <c r="E37" i="49"/>
  <c r="E34" i="49"/>
  <c r="E33" i="49" s="1"/>
  <c r="E30" i="49"/>
  <c r="E23" i="49"/>
  <c r="E15" i="49"/>
  <c r="E11" i="49" s="1"/>
  <c r="D38" i="49"/>
  <c r="D42" i="50" s="1"/>
  <c r="D37" i="49"/>
  <c r="D34" i="49"/>
  <c r="D33" i="49" s="1"/>
  <c r="D30" i="49"/>
  <c r="D23" i="49"/>
  <c r="D15" i="49"/>
  <c r="D11" i="49" s="1"/>
  <c r="C38" i="49"/>
  <c r="C40" i="50" s="1"/>
  <c r="C37" i="49"/>
  <c r="C34" i="49"/>
  <c r="C33" i="49" s="1"/>
  <c r="C30" i="49"/>
  <c r="C23" i="49"/>
  <c r="C15" i="49"/>
  <c r="C11" i="49" s="1"/>
  <c r="B38" i="49"/>
  <c r="B61" i="50" s="1"/>
  <c r="B37" i="49"/>
  <c r="B34" i="49"/>
  <c r="B33" i="49" s="1"/>
  <c r="B30" i="49"/>
  <c r="B23" i="49"/>
  <c r="B15" i="49"/>
  <c r="B11" i="49" s="1"/>
  <c r="H51" i="48"/>
  <c r="H30" i="50" s="1"/>
  <c r="H50" i="48"/>
  <c r="H45" i="48"/>
  <c r="H38" i="48"/>
  <c r="H37" i="48" s="1"/>
  <c r="H31" i="48"/>
  <c r="H20" i="58" s="1"/>
  <c r="H22" i="48"/>
  <c r="H18" i="48"/>
  <c r="H9" i="48"/>
  <c r="G51" i="48"/>
  <c r="G45" i="50" s="1"/>
  <c r="G50" i="48"/>
  <c r="G45" i="48"/>
  <c r="G38" i="48"/>
  <c r="G37" i="48" s="1"/>
  <c r="G31" i="48"/>
  <c r="G20" i="58" s="1"/>
  <c r="G22" i="48"/>
  <c r="G18" i="48"/>
  <c r="G12" i="50" s="1"/>
  <c r="G9" i="48"/>
  <c r="F51" i="48"/>
  <c r="F50" i="48"/>
  <c r="F45" i="48"/>
  <c r="F38" i="48"/>
  <c r="F37" i="48" s="1"/>
  <c r="F31" i="48"/>
  <c r="F20" i="58" s="1"/>
  <c r="F22" i="48"/>
  <c r="F18" i="48"/>
  <c r="F49" i="50" s="1"/>
  <c r="F9" i="48"/>
  <c r="E51" i="48"/>
  <c r="E30" i="50" s="1"/>
  <c r="E50" i="48"/>
  <c r="E45" i="48"/>
  <c r="E38" i="48"/>
  <c r="E37" i="48" s="1"/>
  <c r="E31" i="48"/>
  <c r="E20" i="58" s="1"/>
  <c r="E22" i="48"/>
  <c r="E18" i="48"/>
  <c r="E12" i="50" s="1"/>
  <c r="E9" i="48"/>
  <c r="D51" i="48"/>
  <c r="D50" i="48"/>
  <c r="D45" i="48"/>
  <c r="D38" i="48"/>
  <c r="D37" i="48" s="1"/>
  <c r="D31" i="48"/>
  <c r="D20" i="58" s="1"/>
  <c r="D22" i="48"/>
  <c r="D18" i="48"/>
  <c r="D39" i="50" s="1"/>
  <c r="D9" i="48"/>
  <c r="C51" i="48"/>
  <c r="C50" i="48"/>
  <c r="C45" i="48"/>
  <c r="C38" i="48"/>
  <c r="C37" i="48" s="1"/>
  <c r="C31" i="48"/>
  <c r="C20" i="58" s="1"/>
  <c r="C22" i="48"/>
  <c r="C18" i="48"/>
  <c r="C49" i="50" s="1"/>
  <c r="C9" i="48"/>
  <c r="B51" i="48"/>
  <c r="B11" i="77" s="1"/>
  <c r="B50" i="48"/>
  <c r="B45" i="48"/>
  <c r="B38" i="48"/>
  <c r="B37" i="48" s="1"/>
  <c r="B31" i="48"/>
  <c r="B20" i="58" s="1"/>
  <c r="B22" i="48"/>
  <c r="B18" i="48"/>
  <c r="B49" i="50" s="1"/>
  <c r="B9" i="48"/>
  <c r="H32" i="47"/>
  <c r="H34" i="47" s="1"/>
  <c r="H30" i="47"/>
  <c r="H28" i="47"/>
  <c r="H59" i="58" s="1"/>
  <c r="H26" i="47"/>
  <c r="H21" i="47"/>
  <c r="H10" i="47"/>
  <c r="H94" i="58" s="1"/>
  <c r="H14" i="47"/>
  <c r="H8" i="77" s="1"/>
  <c r="G32" i="47"/>
  <c r="G60" i="50" s="1"/>
  <c r="G30" i="47"/>
  <c r="G28" i="47"/>
  <c r="G59" i="58" s="1"/>
  <c r="G26" i="47"/>
  <c r="G21" i="47"/>
  <c r="G118" i="58" s="1"/>
  <c r="G10" i="47"/>
  <c r="G94" i="58" s="1"/>
  <c r="G14" i="47"/>
  <c r="F32" i="47"/>
  <c r="F34" i="50" s="1"/>
  <c r="F30" i="47"/>
  <c r="F28" i="47"/>
  <c r="F59" i="58" s="1"/>
  <c r="F26" i="47"/>
  <c r="F21" i="47"/>
  <c r="F118" i="58" s="1"/>
  <c r="F10" i="47"/>
  <c r="F14" i="47"/>
  <c r="E32" i="47"/>
  <c r="E30" i="47"/>
  <c r="E28" i="47"/>
  <c r="E59" i="58" s="1"/>
  <c r="E26" i="47"/>
  <c r="E21" i="47"/>
  <c r="E118" i="58" s="1"/>
  <c r="E10" i="47"/>
  <c r="E94" i="58" s="1"/>
  <c r="E14" i="47"/>
  <c r="E18" i="47" s="1"/>
  <c r="E20" i="47" s="1"/>
  <c r="D32" i="47"/>
  <c r="D30" i="47"/>
  <c r="D28" i="47"/>
  <c r="D59" i="58" s="1"/>
  <c r="D26" i="47"/>
  <c r="D21" i="47"/>
  <c r="D118" i="58" s="1"/>
  <c r="D10" i="47"/>
  <c r="D14" i="47"/>
  <c r="D18" i="47" s="1"/>
  <c r="D20" i="47" s="1"/>
  <c r="C32" i="47"/>
  <c r="C34" i="50" s="1"/>
  <c r="C30" i="47"/>
  <c r="C28" i="47"/>
  <c r="C59" i="58" s="1"/>
  <c r="C26" i="47"/>
  <c r="C21" i="47"/>
  <c r="C118" i="58" s="1"/>
  <c r="C10" i="47"/>
  <c r="C94" i="58" s="1"/>
  <c r="C14" i="47"/>
  <c r="C18" i="47" s="1"/>
  <c r="C20" i="47" s="1"/>
  <c r="B32" i="47"/>
  <c r="B30" i="47"/>
  <c r="B28" i="47"/>
  <c r="B59" i="58" s="1"/>
  <c r="B26" i="47"/>
  <c r="B21" i="47"/>
  <c r="B118" i="58" s="1"/>
  <c r="B10" i="47"/>
  <c r="B11" i="47" s="1"/>
  <c r="B14" i="47"/>
  <c r="B96" i="58" s="1"/>
  <c r="B3" i="51"/>
  <c r="B3" i="50"/>
  <c r="B3" i="49"/>
  <c r="B3" i="48"/>
  <c r="G40" i="46"/>
  <c r="G39" i="46"/>
  <c r="G37" i="46"/>
  <c r="G36" i="46"/>
  <c r="G35" i="46"/>
  <c r="G34" i="46"/>
  <c r="G17" i="46"/>
  <c r="G16" i="46"/>
  <c r="G15" i="46"/>
  <c r="G14" i="46"/>
  <c r="G13" i="46"/>
  <c r="G12" i="46"/>
  <c r="G10" i="46"/>
  <c r="G9" i="46"/>
  <c r="G7" i="46"/>
  <c r="F40" i="46"/>
  <c r="F39" i="46"/>
  <c r="F37" i="46"/>
  <c r="F36" i="46"/>
  <c r="F35" i="46"/>
  <c r="F34" i="46"/>
  <c r="F17" i="46"/>
  <c r="F16" i="46"/>
  <c r="F15" i="46"/>
  <c r="F14" i="46"/>
  <c r="F13" i="46"/>
  <c r="F12" i="46"/>
  <c r="F10" i="46"/>
  <c r="F9" i="46"/>
  <c r="F7" i="46"/>
  <c r="E40" i="46"/>
  <c r="E39" i="46"/>
  <c r="E37" i="46"/>
  <c r="E36" i="46"/>
  <c r="E35" i="46"/>
  <c r="E34" i="46"/>
  <c r="E33" i="46"/>
  <c r="E30" i="46"/>
  <c r="E24" i="46"/>
  <c r="E21" i="46"/>
  <c r="E17" i="46"/>
  <c r="E16" i="46"/>
  <c r="E15" i="46"/>
  <c r="E14" i="46"/>
  <c r="E13" i="46"/>
  <c r="E12" i="46"/>
  <c r="E10" i="46"/>
  <c r="E9" i="46"/>
  <c r="E7" i="46"/>
  <c r="D40" i="46"/>
  <c r="D39" i="46"/>
  <c r="D37" i="46"/>
  <c r="D36" i="46"/>
  <c r="D35" i="46"/>
  <c r="D34" i="46"/>
  <c r="D33" i="46"/>
  <c r="D30" i="46"/>
  <c r="D24" i="46"/>
  <c r="D21" i="46"/>
  <c r="D17" i="46"/>
  <c r="D16" i="46"/>
  <c r="D15" i="46"/>
  <c r="D14" i="46"/>
  <c r="D13" i="46"/>
  <c r="D12" i="46"/>
  <c r="D10" i="46"/>
  <c r="D9" i="46"/>
  <c r="D7" i="46"/>
  <c r="C40" i="46"/>
  <c r="C39" i="46"/>
  <c r="C37" i="46"/>
  <c r="C36" i="46"/>
  <c r="C35" i="46"/>
  <c r="C34" i="46"/>
  <c r="C33" i="46"/>
  <c r="C32" i="46"/>
  <c r="C30" i="46"/>
  <c r="C29" i="46"/>
  <c r="C24" i="46"/>
  <c r="C23" i="46"/>
  <c r="C21" i="46"/>
  <c r="C20" i="46"/>
  <c r="C17" i="46"/>
  <c r="C16" i="46"/>
  <c r="C15" i="46"/>
  <c r="C14" i="46"/>
  <c r="C13" i="46"/>
  <c r="C12" i="46"/>
  <c r="C10" i="46"/>
  <c r="C9" i="46"/>
  <c r="C7" i="46"/>
  <c r="B40" i="46"/>
  <c r="B39" i="46"/>
  <c r="B37" i="46"/>
  <c r="B36" i="46"/>
  <c r="B35" i="46"/>
  <c r="B34" i="46"/>
  <c r="B33" i="46"/>
  <c r="B32" i="46"/>
  <c r="B30" i="46"/>
  <c r="B29" i="46"/>
  <c r="B24" i="46"/>
  <c r="B23" i="46"/>
  <c r="B21" i="46"/>
  <c r="B20" i="46"/>
  <c r="B17" i="46"/>
  <c r="B16" i="46"/>
  <c r="B15" i="46"/>
  <c r="B14" i="46"/>
  <c r="B13" i="46"/>
  <c r="B12" i="46"/>
  <c r="B10" i="46"/>
  <c r="B9" i="46"/>
  <c r="B7" i="46"/>
  <c r="H53" i="45"/>
  <c r="H59" i="45" s="1"/>
  <c r="H52" i="45"/>
  <c r="H58" i="45" s="1"/>
  <c r="H51" i="45"/>
  <c r="H54" i="45" s="1"/>
  <c r="H50" i="45"/>
  <c r="H48" i="45"/>
  <c r="H47" i="45"/>
  <c r="H44" i="45"/>
  <c r="H43" i="45"/>
  <c r="H38" i="45"/>
  <c r="H37" i="45"/>
  <c r="H33" i="45"/>
  <c r="H32" i="45"/>
  <c r="H13" i="45"/>
  <c r="H11" i="45"/>
  <c r="H10" i="45"/>
  <c r="H8" i="45"/>
  <c r="H6" i="45"/>
  <c r="G53" i="45"/>
  <c r="G59" i="45" s="1"/>
  <c r="G52" i="45"/>
  <c r="G58" i="45" s="1"/>
  <c r="G51" i="45"/>
  <c r="G54" i="45" s="1"/>
  <c r="G50" i="45"/>
  <c r="G48" i="45"/>
  <c r="G47" i="45"/>
  <c r="G44" i="45"/>
  <c r="G43" i="45"/>
  <c r="G38" i="45"/>
  <c r="G37" i="45"/>
  <c r="G33" i="45"/>
  <c r="G32" i="45"/>
  <c r="G13" i="45"/>
  <c r="G11" i="45"/>
  <c r="G10" i="45"/>
  <c r="G8" i="45"/>
  <c r="G6" i="45"/>
  <c r="F53" i="45"/>
  <c r="F59" i="45" s="1"/>
  <c r="F52" i="45"/>
  <c r="F58" i="45" s="1"/>
  <c r="F51" i="45"/>
  <c r="F50" i="45"/>
  <c r="F48" i="45"/>
  <c r="F47" i="45"/>
  <c r="F44" i="45"/>
  <c r="F43" i="45"/>
  <c r="F38" i="45"/>
  <c r="F37" i="45"/>
  <c r="F33" i="45"/>
  <c r="F32" i="45"/>
  <c r="F13" i="45"/>
  <c r="F11" i="45"/>
  <c r="F10" i="45"/>
  <c r="F8" i="45"/>
  <c r="F6" i="45"/>
  <c r="E53" i="45"/>
  <c r="E59" i="45" s="1"/>
  <c r="E52" i="45"/>
  <c r="E58" i="45" s="1"/>
  <c r="E51" i="45"/>
  <c r="E57" i="45" s="1"/>
  <c r="E50" i="45"/>
  <c r="E48" i="45"/>
  <c r="E47" i="45"/>
  <c r="E44" i="45"/>
  <c r="E43" i="45"/>
  <c r="E38" i="45"/>
  <c r="E37" i="45"/>
  <c r="E33" i="45"/>
  <c r="E32" i="45"/>
  <c r="E13" i="45"/>
  <c r="E11" i="45"/>
  <c r="E10" i="45"/>
  <c r="E8" i="45"/>
  <c r="E6" i="45"/>
  <c r="D53" i="45"/>
  <c r="D59" i="45" s="1"/>
  <c r="D52" i="45"/>
  <c r="D58" i="45" s="1"/>
  <c r="D51" i="45"/>
  <c r="D54" i="45" s="1"/>
  <c r="D50" i="45"/>
  <c r="D48" i="45"/>
  <c r="D47" i="45"/>
  <c r="D44" i="45"/>
  <c r="D43" i="45"/>
  <c r="D38" i="45"/>
  <c r="D37" i="45"/>
  <c r="D33" i="45"/>
  <c r="D32" i="45"/>
  <c r="D13" i="45"/>
  <c r="D11" i="45"/>
  <c r="D10" i="45"/>
  <c r="D8" i="45"/>
  <c r="D6" i="45"/>
  <c r="C53" i="45"/>
  <c r="C59" i="45" s="1"/>
  <c r="C52" i="45"/>
  <c r="C55" i="45" s="1"/>
  <c r="C51" i="45"/>
  <c r="C57" i="45" s="1"/>
  <c r="C50" i="45"/>
  <c r="C48" i="45"/>
  <c r="C47" i="45"/>
  <c r="C44" i="45"/>
  <c r="C43" i="45"/>
  <c r="C38" i="45"/>
  <c r="C37" i="45"/>
  <c r="C33" i="45"/>
  <c r="C32" i="45"/>
  <c r="C13" i="45"/>
  <c r="C11" i="45"/>
  <c r="C10" i="45"/>
  <c r="C8" i="45"/>
  <c r="C6" i="45"/>
  <c r="B53" i="45"/>
  <c r="B52" i="45"/>
  <c r="B58" i="45" s="1"/>
  <c r="B51" i="45"/>
  <c r="B54" i="45" s="1"/>
  <c r="B50" i="45"/>
  <c r="B48" i="45"/>
  <c r="B47" i="45"/>
  <c r="B44" i="45"/>
  <c r="B43" i="45"/>
  <c r="B38" i="45"/>
  <c r="B37" i="45"/>
  <c r="B33" i="45"/>
  <c r="B32" i="45"/>
  <c r="B13" i="45"/>
  <c r="B11" i="45"/>
  <c r="B10" i="45"/>
  <c r="B8" i="45"/>
  <c r="B6" i="45"/>
  <c r="H38" i="44"/>
  <c r="H41" i="45" s="1"/>
  <c r="H37" i="44"/>
  <c r="H34" i="44"/>
  <c r="H33" i="44" s="1"/>
  <c r="H30" i="44"/>
  <c r="H23" i="44"/>
  <c r="H15" i="44"/>
  <c r="H11" i="44" s="1"/>
  <c r="G38" i="44"/>
  <c r="G37" i="44"/>
  <c r="G34" i="44"/>
  <c r="G33" i="44" s="1"/>
  <c r="G30" i="44"/>
  <c r="G23" i="44"/>
  <c r="G15" i="44"/>
  <c r="G11" i="44" s="1"/>
  <c r="F38" i="44"/>
  <c r="F42" i="45" s="1"/>
  <c r="F37" i="44"/>
  <c r="F34" i="44"/>
  <c r="F33" i="44" s="1"/>
  <c r="F30" i="44"/>
  <c r="F23" i="44"/>
  <c r="F15" i="44"/>
  <c r="F11" i="44" s="1"/>
  <c r="E38" i="44"/>
  <c r="E61" i="45" s="1"/>
  <c r="E37" i="44"/>
  <c r="E34" i="44"/>
  <c r="E33" i="44" s="1"/>
  <c r="E30" i="44"/>
  <c r="E23" i="44"/>
  <c r="E15" i="44"/>
  <c r="E11" i="44" s="1"/>
  <c r="D38" i="44"/>
  <c r="D42" i="45" s="1"/>
  <c r="D37" i="44"/>
  <c r="D34" i="44"/>
  <c r="D33" i="44" s="1"/>
  <c r="D30" i="44"/>
  <c r="D23" i="44"/>
  <c r="D15" i="44"/>
  <c r="D11" i="44" s="1"/>
  <c r="C38" i="44"/>
  <c r="C61" i="45" s="1"/>
  <c r="C37" i="44"/>
  <c r="C34" i="44"/>
  <c r="C33" i="44" s="1"/>
  <c r="C30" i="44"/>
  <c r="C23" i="44"/>
  <c r="C15" i="44"/>
  <c r="C11" i="44" s="1"/>
  <c r="B38" i="44"/>
  <c r="B41" i="45" s="1"/>
  <c r="B37" i="44"/>
  <c r="B34" i="44"/>
  <c r="B33" i="44" s="1"/>
  <c r="B30" i="44"/>
  <c r="B23" i="44"/>
  <c r="B15" i="44"/>
  <c r="B11" i="44" s="1"/>
  <c r="H51" i="43"/>
  <c r="H30" i="45" s="1"/>
  <c r="H50" i="43"/>
  <c r="H45" i="43"/>
  <c r="H38" i="43"/>
  <c r="H37" i="43" s="1"/>
  <c r="H31" i="43"/>
  <c r="H20" i="57" s="1"/>
  <c r="H22" i="43"/>
  <c r="H18" i="43"/>
  <c r="H12" i="45" s="1"/>
  <c r="H9" i="43"/>
  <c r="G51" i="43"/>
  <c r="G50" i="43"/>
  <c r="G45" i="43"/>
  <c r="G38" i="43"/>
  <c r="G37" i="43" s="1"/>
  <c r="G31" i="43"/>
  <c r="G20" i="57" s="1"/>
  <c r="G22" i="43"/>
  <c r="G18" i="43"/>
  <c r="G49" i="45" s="1"/>
  <c r="G9" i="43"/>
  <c r="F51" i="43"/>
  <c r="F45" i="45" s="1"/>
  <c r="F50" i="43"/>
  <c r="F45" i="43"/>
  <c r="F38" i="43"/>
  <c r="F37" i="43" s="1"/>
  <c r="F31" i="43"/>
  <c r="F20" i="57" s="1"/>
  <c r="F22" i="43"/>
  <c r="F18" i="43"/>
  <c r="F39" i="45" s="1"/>
  <c r="F9" i="43"/>
  <c r="E51" i="43"/>
  <c r="E14" i="45" s="1"/>
  <c r="E50" i="43"/>
  <c r="E45" i="43"/>
  <c r="E38" i="43"/>
  <c r="E37" i="43" s="1"/>
  <c r="E31" i="43"/>
  <c r="E20" i="57" s="1"/>
  <c r="E22" i="43"/>
  <c r="E18" i="43"/>
  <c r="E49" i="45" s="1"/>
  <c r="E9" i="43"/>
  <c r="D51" i="43"/>
  <c r="D45" i="45" s="1"/>
  <c r="D50" i="43"/>
  <c r="D45" i="43"/>
  <c r="D38" i="43"/>
  <c r="D37" i="43" s="1"/>
  <c r="D31" i="43"/>
  <c r="D20" i="57" s="1"/>
  <c r="D22" i="43"/>
  <c r="D18" i="43"/>
  <c r="D39" i="45" s="1"/>
  <c r="D9" i="43"/>
  <c r="C51" i="43"/>
  <c r="C50" i="43"/>
  <c r="C45" i="43"/>
  <c r="C38" i="43"/>
  <c r="C37" i="43" s="1"/>
  <c r="C31" i="43"/>
  <c r="C20" i="57" s="1"/>
  <c r="C22" i="43"/>
  <c r="C18" i="43"/>
  <c r="C39" i="45" s="1"/>
  <c r="C9" i="43"/>
  <c r="B51" i="43"/>
  <c r="B14" i="45" s="1"/>
  <c r="B50" i="43"/>
  <c r="B45" i="43"/>
  <c r="B38" i="43"/>
  <c r="B37" i="43" s="1"/>
  <c r="B31" i="43"/>
  <c r="B20" i="57" s="1"/>
  <c r="B22" i="43"/>
  <c r="B18" i="43"/>
  <c r="B49" i="45" s="1"/>
  <c r="B9" i="43"/>
  <c r="H32" i="42"/>
  <c r="H34" i="45" s="1"/>
  <c r="H30" i="42"/>
  <c r="H28" i="42"/>
  <c r="H59" i="57" s="1"/>
  <c r="H26" i="42"/>
  <c r="H21" i="42"/>
  <c r="H118" i="57" s="1"/>
  <c r="H121" i="57" s="1"/>
  <c r="H18" i="42"/>
  <c r="H20" i="42" s="1"/>
  <c r="H10" i="42"/>
  <c r="H94" i="57" s="1"/>
  <c r="G32" i="42"/>
  <c r="G34" i="42" s="1"/>
  <c r="G30" i="42"/>
  <c r="G28" i="42"/>
  <c r="G59" i="57" s="1"/>
  <c r="G26" i="42"/>
  <c r="G21" i="42"/>
  <c r="G18" i="42"/>
  <c r="G20" i="42" s="1"/>
  <c r="G10" i="42"/>
  <c r="F32" i="42"/>
  <c r="F60" i="45" s="1"/>
  <c r="F30" i="42"/>
  <c r="F28" i="42"/>
  <c r="F59" i="57" s="1"/>
  <c r="F26" i="42"/>
  <c r="F21" i="42"/>
  <c r="F18" i="42"/>
  <c r="F20" i="42" s="1"/>
  <c r="F10" i="42"/>
  <c r="F94" i="57" s="1"/>
  <c r="E32" i="42"/>
  <c r="E60" i="45" s="1"/>
  <c r="E30" i="42"/>
  <c r="E28" i="42"/>
  <c r="E59" i="57" s="1"/>
  <c r="E26" i="42"/>
  <c r="E21" i="42"/>
  <c r="E118" i="57" s="1"/>
  <c r="E121" i="57" s="1"/>
  <c r="E18" i="42"/>
  <c r="E20" i="42" s="1"/>
  <c r="E10" i="42"/>
  <c r="D32" i="42"/>
  <c r="D36" i="45" s="1"/>
  <c r="D30" i="42"/>
  <c r="D28" i="42"/>
  <c r="D59" i="57" s="1"/>
  <c r="D26" i="42"/>
  <c r="D21" i="42"/>
  <c r="D118" i="57" s="1"/>
  <c r="D121" i="57" s="1"/>
  <c r="D18" i="42"/>
  <c r="D20" i="42" s="1"/>
  <c r="D10" i="42"/>
  <c r="D94" i="57" s="1"/>
  <c r="C32" i="42"/>
  <c r="C30" i="42"/>
  <c r="C28" i="42"/>
  <c r="C59" i="57" s="1"/>
  <c r="C26" i="42"/>
  <c r="C21" i="42"/>
  <c r="C18" i="42"/>
  <c r="C20" i="42" s="1"/>
  <c r="C10" i="42"/>
  <c r="B32" i="42"/>
  <c r="B30" i="42"/>
  <c r="B28" i="42"/>
  <c r="B59" i="57" s="1"/>
  <c r="B26" i="42"/>
  <c r="B21" i="42"/>
  <c r="B118" i="57" s="1"/>
  <c r="B121" i="57" s="1"/>
  <c r="B18" i="42"/>
  <c r="B20" i="42" s="1"/>
  <c r="B10" i="42"/>
  <c r="B94" i="57" s="1"/>
  <c r="B3" i="46"/>
  <c r="B3" i="45"/>
  <c r="B3" i="44"/>
  <c r="B3" i="43"/>
  <c r="G39" i="41"/>
  <c r="G36" i="41"/>
  <c r="G35" i="41"/>
  <c r="G34" i="41"/>
  <c r="G17" i="41"/>
  <c r="G13" i="41"/>
  <c r="G12" i="41"/>
  <c r="G10" i="41"/>
  <c r="G9" i="41"/>
  <c r="G7" i="41"/>
  <c r="F39" i="41"/>
  <c r="F36" i="41"/>
  <c r="F35" i="41"/>
  <c r="F34" i="41"/>
  <c r="F17" i="41"/>
  <c r="F13" i="41"/>
  <c r="F12" i="41"/>
  <c r="F10" i="41"/>
  <c r="F9" i="41"/>
  <c r="F7" i="41"/>
  <c r="E39" i="41"/>
  <c r="E36" i="41"/>
  <c r="E35" i="41"/>
  <c r="E34" i="41"/>
  <c r="E17" i="41"/>
  <c r="E13" i="41"/>
  <c r="E12" i="41"/>
  <c r="E10" i="41"/>
  <c r="E9" i="41"/>
  <c r="E7" i="41"/>
  <c r="D39" i="41"/>
  <c r="D36" i="41"/>
  <c r="D35" i="41"/>
  <c r="D34" i="41"/>
  <c r="D17" i="41"/>
  <c r="D13" i="41"/>
  <c r="D12" i="41"/>
  <c r="D10" i="41"/>
  <c r="D9" i="41"/>
  <c r="D7" i="41"/>
  <c r="C39" i="41"/>
  <c r="C36" i="41"/>
  <c r="C35" i="41"/>
  <c r="C34" i="41"/>
  <c r="C17" i="41"/>
  <c r="C13" i="41"/>
  <c r="C12" i="41"/>
  <c r="C10" i="41"/>
  <c r="C9" i="41"/>
  <c r="C7" i="41"/>
  <c r="B39" i="41"/>
  <c r="B36" i="41"/>
  <c r="B35" i="41"/>
  <c r="B34" i="41"/>
  <c r="B17" i="41"/>
  <c r="B13" i="41"/>
  <c r="B12" i="41"/>
  <c r="B10" i="41"/>
  <c r="B9" i="41"/>
  <c r="B7" i="41"/>
  <c r="H53" i="40"/>
  <c r="H56" i="40" s="1"/>
  <c r="H52" i="40"/>
  <c r="H58" i="40" s="1"/>
  <c r="H51" i="40"/>
  <c r="H54" i="40" s="1"/>
  <c r="H50" i="40"/>
  <c r="H48" i="40"/>
  <c r="H43" i="40"/>
  <c r="H38" i="40"/>
  <c r="H33" i="40"/>
  <c r="H32" i="40"/>
  <c r="G53" i="40"/>
  <c r="G56" i="40" s="1"/>
  <c r="G52" i="40"/>
  <c r="G55" i="40" s="1"/>
  <c r="G51" i="40"/>
  <c r="G57" i="40" s="1"/>
  <c r="G50" i="40"/>
  <c r="G48" i="40"/>
  <c r="G43" i="40"/>
  <c r="G38" i="40"/>
  <c r="G33" i="40"/>
  <c r="G32" i="40"/>
  <c r="F53" i="40"/>
  <c r="F59" i="40" s="1"/>
  <c r="F52" i="40"/>
  <c r="F58" i="40" s="1"/>
  <c r="F51" i="40"/>
  <c r="F54" i="40" s="1"/>
  <c r="F50" i="40"/>
  <c r="F48" i="40"/>
  <c r="F43" i="40"/>
  <c r="F38" i="40"/>
  <c r="F33" i="40"/>
  <c r="F32" i="40"/>
  <c r="E53" i="40"/>
  <c r="E59" i="40" s="1"/>
  <c r="E52" i="40"/>
  <c r="E58" i="40" s="1"/>
  <c r="E51" i="40"/>
  <c r="E54" i="40" s="1"/>
  <c r="E50" i="40"/>
  <c r="E48" i="40"/>
  <c r="E43" i="40"/>
  <c r="E38" i="40"/>
  <c r="E33" i="40"/>
  <c r="E32" i="40"/>
  <c r="D53" i="40"/>
  <c r="D52" i="40"/>
  <c r="D58" i="40" s="1"/>
  <c r="D51" i="40"/>
  <c r="D57" i="40" s="1"/>
  <c r="D50" i="40"/>
  <c r="D48" i="40"/>
  <c r="D43" i="40"/>
  <c r="D38" i="40"/>
  <c r="D33" i="40"/>
  <c r="D32" i="40"/>
  <c r="C53" i="40"/>
  <c r="C56" i="40" s="1"/>
  <c r="C52" i="40"/>
  <c r="C51" i="40"/>
  <c r="C57" i="40" s="1"/>
  <c r="C50" i="40"/>
  <c r="C48" i="40"/>
  <c r="C43" i="40"/>
  <c r="C38" i="40"/>
  <c r="C33" i="40"/>
  <c r="C32" i="40"/>
  <c r="B53" i="40"/>
  <c r="B56" i="40" s="1"/>
  <c r="B52" i="40"/>
  <c r="B55" i="40" s="1"/>
  <c r="B51" i="40"/>
  <c r="B50" i="40"/>
  <c r="B48" i="40"/>
  <c r="B43" i="40"/>
  <c r="B38" i="40"/>
  <c r="B33" i="40"/>
  <c r="B32" i="40"/>
  <c r="H38" i="39"/>
  <c r="H37" i="39"/>
  <c r="H34" i="39"/>
  <c r="H33" i="39" s="1"/>
  <c r="H30" i="39"/>
  <c r="H23" i="39"/>
  <c r="H15" i="39"/>
  <c r="H11" i="39" s="1"/>
  <c r="G38" i="39"/>
  <c r="G42" i="40" s="1"/>
  <c r="G37" i="39"/>
  <c r="G34" i="39"/>
  <c r="G33" i="39" s="1"/>
  <c r="G30" i="39"/>
  <c r="G23" i="39"/>
  <c r="G15" i="39"/>
  <c r="G11" i="39" s="1"/>
  <c r="F38" i="39"/>
  <c r="F42" i="40" s="1"/>
  <c r="F37" i="39"/>
  <c r="F34" i="39"/>
  <c r="F33" i="39" s="1"/>
  <c r="F30" i="39"/>
  <c r="F23" i="39"/>
  <c r="F15" i="39"/>
  <c r="F11" i="39" s="1"/>
  <c r="E38" i="39"/>
  <c r="E42" i="40" s="1"/>
  <c r="E37" i="39"/>
  <c r="E34" i="39"/>
  <c r="E33" i="39" s="1"/>
  <c r="E30" i="39"/>
  <c r="E23" i="39"/>
  <c r="E15" i="39"/>
  <c r="E11" i="39" s="1"/>
  <c r="D38" i="39"/>
  <c r="D42" i="40" s="1"/>
  <c r="D37" i="39"/>
  <c r="D34" i="39"/>
  <c r="D33" i="39" s="1"/>
  <c r="D30" i="39"/>
  <c r="D23" i="39"/>
  <c r="D15" i="39"/>
  <c r="D11" i="39" s="1"/>
  <c r="C38" i="39"/>
  <c r="C37" i="39"/>
  <c r="C34" i="39"/>
  <c r="C33" i="39" s="1"/>
  <c r="C30" i="39"/>
  <c r="C23" i="39"/>
  <c r="C15" i="39"/>
  <c r="C11" i="39" s="1"/>
  <c r="B38" i="39"/>
  <c r="B42" i="40" s="1"/>
  <c r="B37" i="39"/>
  <c r="B34" i="39"/>
  <c r="B33" i="39" s="1"/>
  <c r="B30" i="39"/>
  <c r="B23" i="39"/>
  <c r="B15" i="39"/>
  <c r="B11" i="39" s="1"/>
  <c r="H51" i="38"/>
  <c r="H30" i="40" s="1"/>
  <c r="H50" i="38"/>
  <c r="H45" i="38"/>
  <c r="H38" i="38"/>
  <c r="H37" i="38" s="1"/>
  <c r="H31" i="38"/>
  <c r="H20" i="56" s="1"/>
  <c r="H22" i="38"/>
  <c r="H18" i="38"/>
  <c r="H49" i="40" s="1"/>
  <c r="H9" i="38"/>
  <c r="G51" i="38"/>
  <c r="G45" i="40" s="1"/>
  <c r="G50" i="38"/>
  <c r="G45" i="38"/>
  <c r="G38" i="38"/>
  <c r="G37" i="38" s="1"/>
  <c r="G31" i="38"/>
  <c r="G20" i="56" s="1"/>
  <c r="G22" i="38"/>
  <c r="G18" i="38"/>
  <c r="G39" i="40" s="1"/>
  <c r="G9" i="38"/>
  <c r="F51" i="38"/>
  <c r="F45" i="40" s="1"/>
  <c r="F50" i="38"/>
  <c r="F45" i="38"/>
  <c r="F38" i="38"/>
  <c r="F37" i="38" s="1"/>
  <c r="F31" i="38"/>
  <c r="F20" i="56" s="1"/>
  <c r="F22" i="38"/>
  <c r="F18" i="38"/>
  <c r="F39" i="40" s="1"/>
  <c r="F9" i="38"/>
  <c r="E51" i="38"/>
  <c r="E45" i="40" s="1"/>
  <c r="E50" i="38"/>
  <c r="E45" i="38"/>
  <c r="E38" i="38"/>
  <c r="E37" i="38" s="1"/>
  <c r="E31" i="38"/>
  <c r="E20" i="56" s="1"/>
  <c r="E22" i="38"/>
  <c r="E18" i="38"/>
  <c r="E49" i="40" s="1"/>
  <c r="E9" i="38"/>
  <c r="D51" i="38"/>
  <c r="D52" i="38" s="1"/>
  <c r="D50" i="38"/>
  <c r="D45" i="38"/>
  <c r="D38" i="38"/>
  <c r="D37" i="38" s="1"/>
  <c r="D31" i="38"/>
  <c r="D20" i="56" s="1"/>
  <c r="D22" i="38"/>
  <c r="D18" i="38"/>
  <c r="D9" i="38"/>
  <c r="C51" i="38"/>
  <c r="C50" i="38"/>
  <c r="C45" i="38"/>
  <c r="C38" i="38"/>
  <c r="C37" i="38" s="1"/>
  <c r="C31" i="38"/>
  <c r="C20" i="56" s="1"/>
  <c r="C22" i="38"/>
  <c r="C18" i="38"/>
  <c r="C9" i="38"/>
  <c r="B51" i="38"/>
  <c r="B30" i="40" s="1"/>
  <c r="B50" i="38"/>
  <c r="B45" i="38"/>
  <c r="B38" i="38"/>
  <c r="B37" i="38" s="1"/>
  <c r="B31" i="38"/>
  <c r="B20" i="56" s="1"/>
  <c r="B22" i="38"/>
  <c r="B18" i="38"/>
  <c r="B9" i="38"/>
  <c r="H32" i="37"/>
  <c r="H30" i="37"/>
  <c r="H28" i="37"/>
  <c r="H59" i="56" s="1"/>
  <c r="H26" i="37"/>
  <c r="H21" i="37"/>
  <c r="H118" i="56" s="1"/>
  <c r="H10" i="37"/>
  <c r="H94" i="56" s="1"/>
  <c r="H14" i="37"/>
  <c r="H37" i="40" s="1"/>
  <c r="G32" i="37"/>
  <c r="G38" i="37" s="1"/>
  <c r="G30" i="37"/>
  <c r="G28" i="37"/>
  <c r="G59" i="56" s="1"/>
  <c r="G26" i="37"/>
  <c r="G21" i="37"/>
  <c r="G118" i="56" s="1"/>
  <c r="G10" i="37"/>
  <c r="G14" i="37"/>
  <c r="F32" i="37"/>
  <c r="F34" i="37" s="1"/>
  <c r="F30" i="37"/>
  <c r="F28" i="37"/>
  <c r="F59" i="56" s="1"/>
  <c r="F26" i="37"/>
  <c r="F21" i="37"/>
  <c r="F118" i="56" s="1"/>
  <c r="F10" i="37"/>
  <c r="F14" i="37"/>
  <c r="F37" i="40" s="1"/>
  <c r="E32" i="37"/>
  <c r="E30" i="37"/>
  <c r="E28" i="37"/>
  <c r="E59" i="56" s="1"/>
  <c r="E26" i="37"/>
  <c r="E21" i="37"/>
  <c r="E118" i="56" s="1"/>
  <c r="E10" i="37"/>
  <c r="E14" i="37"/>
  <c r="E8" i="74" s="1"/>
  <c r="D32" i="37"/>
  <c r="D36" i="40" s="1"/>
  <c r="D30" i="37"/>
  <c r="D28" i="37"/>
  <c r="D59" i="56" s="1"/>
  <c r="D26" i="37"/>
  <c r="D21" i="37"/>
  <c r="D118" i="56" s="1"/>
  <c r="D10" i="37"/>
  <c r="D94" i="56" s="1"/>
  <c r="D14" i="37"/>
  <c r="C32" i="37"/>
  <c r="C38" i="37" s="1"/>
  <c r="C10" i="40" s="1"/>
  <c r="C30" i="37"/>
  <c r="C28" i="37"/>
  <c r="C59" i="56" s="1"/>
  <c r="C26" i="37"/>
  <c r="C21" i="37"/>
  <c r="C118" i="56" s="1"/>
  <c r="C10" i="37"/>
  <c r="C94" i="56" s="1"/>
  <c r="C14" i="37"/>
  <c r="C18" i="37" s="1"/>
  <c r="C20" i="37" s="1"/>
  <c r="B32" i="37"/>
  <c r="B30" i="37"/>
  <c r="B28" i="37"/>
  <c r="B59" i="56" s="1"/>
  <c r="B26" i="37"/>
  <c r="B21" i="37"/>
  <c r="B118" i="56" s="1"/>
  <c r="B10" i="37"/>
  <c r="B11" i="37" s="1"/>
  <c r="B14" i="37"/>
  <c r="B3" i="41"/>
  <c r="B3" i="40"/>
  <c r="B3" i="39"/>
  <c r="B3" i="38"/>
  <c r="B3" i="21"/>
  <c r="B3" i="20"/>
  <c r="B3" i="19"/>
  <c r="B3" i="18"/>
  <c r="G39" i="21"/>
  <c r="G37" i="21"/>
  <c r="G36" i="21"/>
  <c r="G35" i="21"/>
  <c r="G34" i="21"/>
  <c r="G17" i="21"/>
  <c r="G16" i="21"/>
  <c r="G15" i="21"/>
  <c r="G14" i="21"/>
  <c r="G13" i="21"/>
  <c r="G12" i="21"/>
  <c r="G10" i="21"/>
  <c r="G9" i="21"/>
  <c r="G7" i="21"/>
  <c r="F39" i="21"/>
  <c r="F37" i="21"/>
  <c r="F36" i="21"/>
  <c r="F35" i="21"/>
  <c r="F34" i="21"/>
  <c r="F17" i="21"/>
  <c r="F16" i="21"/>
  <c r="F15" i="21"/>
  <c r="F14" i="21"/>
  <c r="F13" i="21"/>
  <c r="F12" i="21"/>
  <c r="F10" i="21"/>
  <c r="F9" i="21"/>
  <c r="F7" i="21"/>
  <c r="E39" i="21"/>
  <c r="E37" i="21"/>
  <c r="E36" i="21"/>
  <c r="E35" i="21"/>
  <c r="E34" i="21"/>
  <c r="E33" i="21"/>
  <c r="E30" i="21"/>
  <c r="E24" i="21"/>
  <c r="E21" i="21"/>
  <c r="E17" i="21"/>
  <c r="E16" i="21"/>
  <c r="E15" i="21"/>
  <c r="E14" i="21"/>
  <c r="E13" i="21"/>
  <c r="E12" i="21"/>
  <c r="E10" i="21"/>
  <c r="E9" i="21"/>
  <c r="E7" i="21"/>
  <c r="D39" i="21"/>
  <c r="D37" i="21"/>
  <c r="D36" i="21"/>
  <c r="D35" i="21"/>
  <c r="D34" i="21"/>
  <c r="D33" i="21"/>
  <c r="D30" i="21"/>
  <c r="D24" i="21"/>
  <c r="D21" i="21"/>
  <c r="D17" i="21"/>
  <c r="D16" i="21"/>
  <c r="D15" i="21"/>
  <c r="D14" i="21"/>
  <c r="D13" i="21"/>
  <c r="D12" i="21"/>
  <c r="D10" i="21"/>
  <c r="D9" i="21"/>
  <c r="D7" i="21"/>
  <c r="C39" i="21"/>
  <c r="C37" i="21"/>
  <c r="C36" i="21"/>
  <c r="C35" i="21"/>
  <c r="C34" i="21"/>
  <c r="C33" i="21"/>
  <c r="C32" i="21"/>
  <c r="C30" i="21"/>
  <c r="C29" i="21"/>
  <c r="C24" i="21"/>
  <c r="C23" i="21"/>
  <c r="C21" i="21"/>
  <c r="C20" i="21"/>
  <c r="C17" i="21"/>
  <c r="C16" i="21"/>
  <c r="C15" i="21"/>
  <c r="C14" i="21"/>
  <c r="C13" i="21"/>
  <c r="C12" i="21"/>
  <c r="C10" i="21"/>
  <c r="C9" i="21"/>
  <c r="C7" i="21"/>
  <c r="B39" i="21"/>
  <c r="B37" i="21"/>
  <c r="B36" i="21"/>
  <c r="B35" i="21"/>
  <c r="B34" i="21"/>
  <c r="B33" i="21"/>
  <c r="B32" i="21"/>
  <c r="B30" i="21"/>
  <c r="B29" i="21"/>
  <c r="B24" i="21"/>
  <c r="B23" i="21"/>
  <c r="B21" i="21"/>
  <c r="B20" i="21"/>
  <c r="B17" i="21"/>
  <c r="B16" i="21"/>
  <c r="B15" i="21"/>
  <c r="B14" i="21"/>
  <c r="B13" i="21"/>
  <c r="B12" i="21"/>
  <c r="B10" i="21"/>
  <c r="B9" i="21"/>
  <c r="B7" i="21"/>
  <c r="H53" i="20"/>
  <c r="H59" i="20" s="1"/>
  <c r="H52" i="20"/>
  <c r="H58" i="20" s="1"/>
  <c r="H51" i="20"/>
  <c r="H54" i="20" s="1"/>
  <c r="H50" i="20"/>
  <c r="H48" i="20"/>
  <c r="H47" i="20"/>
  <c r="H44" i="20"/>
  <c r="H43" i="20"/>
  <c r="H38" i="20"/>
  <c r="H33" i="20"/>
  <c r="H32" i="20"/>
  <c r="H13" i="20"/>
  <c r="H11" i="20"/>
  <c r="H10" i="20"/>
  <c r="H8" i="20"/>
  <c r="H6" i="20"/>
  <c r="G53" i="20"/>
  <c r="G56" i="20" s="1"/>
  <c r="G52" i="20"/>
  <c r="G58" i="20" s="1"/>
  <c r="G51" i="20"/>
  <c r="G57" i="20" s="1"/>
  <c r="G50" i="20"/>
  <c r="G48" i="20"/>
  <c r="G47" i="20"/>
  <c r="G44" i="20"/>
  <c r="G43" i="20"/>
  <c r="G38" i="20"/>
  <c r="G33" i="20"/>
  <c r="G32" i="20"/>
  <c r="G13" i="20"/>
  <c r="G11" i="20"/>
  <c r="G10" i="20"/>
  <c r="G8" i="20"/>
  <c r="G6" i="20"/>
  <c r="F53" i="20"/>
  <c r="F59" i="20" s="1"/>
  <c r="F52" i="20"/>
  <c r="F55" i="20" s="1"/>
  <c r="F51" i="20"/>
  <c r="F57" i="20" s="1"/>
  <c r="F50" i="20"/>
  <c r="F48" i="20"/>
  <c r="F47" i="20"/>
  <c r="F44" i="20"/>
  <c r="F43" i="20"/>
  <c r="F38" i="20"/>
  <c r="F33" i="20"/>
  <c r="F32" i="20"/>
  <c r="F13" i="20"/>
  <c r="F11" i="20"/>
  <c r="F10" i="20"/>
  <c r="F8" i="20"/>
  <c r="F6" i="20"/>
  <c r="E53" i="20"/>
  <c r="E56" i="20" s="1"/>
  <c r="E52" i="20"/>
  <c r="E58" i="20" s="1"/>
  <c r="E51" i="20"/>
  <c r="E57" i="20" s="1"/>
  <c r="E50" i="20"/>
  <c r="E48" i="20"/>
  <c r="E47" i="20"/>
  <c r="E44" i="20"/>
  <c r="E43" i="20"/>
  <c r="E38" i="20"/>
  <c r="E33" i="20"/>
  <c r="E32" i="20"/>
  <c r="E13" i="20"/>
  <c r="E11" i="20"/>
  <c r="E10" i="20"/>
  <c r="E8" i="20"/>
  <c r="E6" i="20"/>
  <c r="D53" i="20"/>
  <c r="D56" i="20" s="1"/>
  <c r="D52" i="20"/>
  <c r="D55" i="20" s="1"/>
  <c r="D51" i="20"/>
  <c r="D54" i="20" s="1"/>
  <c r="D50" i="20"/>
  <c r="D48" i="20"/>
  <c r="D47" i="20"/>
  <c r="D44" i="20"/>
  <c r="D43" i="20"/>
  <c r="D38" i="20"/>
  <c r="D33" i="20"/>
  <c r="D32" i="20"/>
  <c r="D13" i="20"/>
  <c r="D11" i="20"/>
  <c r="D10" i="20"/>
  <c r="D8" i="20"/>
  <c r="D6" i="20"/>
  <c r="C53" i="20"/>
  <c r="C59" i="20" s="1"/>
  <c r="C52" i="20"/>
  <c r="C58" i="20" s="1"/>
  <c r="C51" i="20"/>
  <c r="C54" i="20" s="1"/>
  <c r="C50" i="20"/>
  <c r="C48" i="20"/>
  <c r="C47" i="20"/>
  <c r="C44" i="20"/>
  <c r="C43" i="20"/>
  <c r="C38" i="20"/>
  <c r="C33" i="20"/>
  <c r="C32" i="20"/>
  <c r="C13" i="20"/>
  <c r="C11" i="20"/>
  <c r="C10" i="20"/>
  <c r="C8" i="20"/>
  <c r="C6" i="20"/>
  <c r="B53" i="20"/>
  <c r="B59" i="20" s="1"/>
  <c r="B52" i="20"/>
  <c r="B58" i="20" s="1"/>
  <c r="B51" i="20"/>
  <c r="B57" i="20" s="1"/>
  <c r="B50" i="20"/>
  <c r="B48" i="20"/>
  <c r="B47" i="20"/>
  <c r="B44" i="20"/>
  <c r="B43" i="20"/>
  <c r="B38" i="20"/>
  <c r="B33" i="20"/>
  <c r="B32" i="20"/>
  <c r="B13" i="20"/>
  <c r="B11" i="20"/>
  <c r="B10" i="20"/>
  <c r="B8" i="20"/>
  <c r="B6" i="20"/>
  <c r="H38" i="19"/>
  <c r="H40" i="20" s="1"/>
  <c r="H37" i="19"/>
  <c r="H34" i="19"/>
  <c r="H33" i="19" s="1"/>
  <c r="H30" i="19"/>
  <c r="H23" i="19"/>
  <c r="H15" i="19"/>
  <c r="H11" i="19" s="1"/>
  <c r="G38" i="19"/>
  <c r="G61" i="20" s="1"/>
  <c r="G37" i="19"/>
  <c r="G34" i="19"/>
  <c r="G33" i="19" s="1"/>
  <c r="G30" i="19"/>
  <c r="G23" i="19"/>
  <c r="G15" i="19"/>
  <c r="G11" i="19" s="1"/>
  <c r="F38" i="19"/>
  <c r="F41" i="20" s="1"/>
  <c r="F37" i="19"/>
  <c r="F34" i="19"/>
  <c r="F33" i="19" s="1"/>
  <c r="F30" i="19"/>
  <c r="F23" i="19"/>
  <c r="F15" i="19"/>
  <c r="F11" i="19" s="1"/>
  <c r="E38" i="19"/>
  <c r="E41" i="20" s="1"/>
  <c r="E37" i="19"/>
  <c r="E34" i="19"/>
  <c r="E33" i="19" s="1"/>
  <c r="E30" i="19"/>
  <c r="E23" i="19"/>
  <c r="E15" i="19"/>
  <c r="E11" i="19" s="1"/>
  <c r="D38" i="19"/>
  <c r="D41" i="20" s="1"/>
  <c r="D37" i="19"/>
  <c r="D34" i="19"/>
  <c r="D33" i="19" s="1"/>
  <c r="D30" i="19"/>
  <c r="D23" i="19"/>
  <c r="D15" i="19"/>
  <c r="D11" i="19" s="1"/>
  <c r="C38" i="19"/>
  <c r="C41" i="20" s="1"/>
  <c r="C37" i="19"/>
  <c r="C34" i="19"/>
  <c r="C33" i="19" s="1"/>
  <c r="C30" i="19"/>
  <c r="C23" i="19"/>
  <c r="C15" i="19"/>
  <c r="C11" i="19" s="1"/>
  <c r="B38" i="19"/>
  <c r="B61" i="20" s="1"/>
  <c r="B37" i="19"/>
  <c r="B34" i="19"/>
  <c r="B33" i="19" s="1"/>
  <c r="B30" i="19"/>
  <c r="B23" i="19"/>
  <c r="B15" i="19"/>
  <c r="B11" i="19" s="1"/>
  <c r="H51" i="18"/>
  <c r="H52" i="18" s="1"/>
  <c r="H50" i="18"/>
  <c r="H46" i="18"/>
  <c r="H38" i="18"/>
  <c r="H22" i="18"/>
  <c r="H18" i="18"/>
  <c r="H39" i="20" s="1"/>
  <c r="H9" i="18"/>
  <c r="G51" i="18"/>
  <c r="G30" i="20" s="1"/>
  <c r="G50" i="18"/>
  <c r="G46" i="18"/>
  <c r="G38" i="18"/>
  <c r="G22" i="18"/>
  <c r="G18" i="18"/>
  <c r="G39" i="20" s="1"/>
  <c r="G9" i="18"/>
  <c r="F51" i="18"/>
  <c r="F50" i="18"/>
  <c r="F46" i="18"/>
  <c r="F38" i="18"/>
  <c r="F22" i="18"/>
  <c r="F18" i="18"/>
  <c r="F12" i="20" s="1"/>
  <c r="F9" i="18"/>
  <c r="E51" i="18"/>
  <c r="E45" i="20" s="1"/>
  <c r="E50" i="18"/>
  <c r="E46" i="18"/>
  <c r="E38" i="18"/>
  <c r="E22" i="18"/>
  <c r="E18" i="18"/>
  <c r="E49" i="20" s="1"/>
  <c r="E9" i="18"/>
  <c r="D51" i="18"/>
  <c r="D50" i="18"/>
  <c r="D46" i="18"/>
  <c r="D38" i="18"/>
  <c r="D22" i="18"/>
  <c r="D18" i="18"/>
  <c r="D39" i="20" s="1"/>
  <c r="D9" i="18"/>
  <c r="C51" i="18"/>
  <c r="C50" i="18"/>
  <c r="C46" i="18"/>
  <c r="C38" i="18"/>
  <c r="C22" i="18"/>
  <c r="C18" i="18"/>
  <c r="C49" i="20" s="1"/>
  <c r="C9" i="18"/>
  <c r="B51" i="18"/>
  <c r="B45" i="20" s="1"/>
  <c r="B50" i="18"/>
  <c r="B46" i="18"/>
  <c r="B38" i="18"/>
  <c r="B22" i="18"/>
  <c r="B18" i="18"/>
  <c r="B39" i="20" s="1"/>
  <c r="B9" i="18"/>
  <c r="H32" i="17"/>
  <c r="H36" i="20" s="1"/>
  <c r="H30" i="17"/>
  <c r="H28" i="17"/>
  <c r="H59" i="52" s="1"/>
  <c r="H26" i="17"/>
  <c r="H21" i="17"/>
  <c r="H118" i="52" s="1"/>
  <c r="H10" i="17"/>
  <c r="H94" i="52" s="1"/>
  <c r="H14" i="17"/>
  <c r="G32" i="17"/>
  <c r="G60" i="20" s="1"/>
  <c r="G30" i="17"/>
  <c r="G28" i="17"/>
  <c r="G59" i="52" s="1"/>
  <c r="G26" i="17"/>
  <c r="G21" i="17"/>
  <c r="G118" i="52" s="1"/>
  <c r="G10" i="17"/>
  <c r="G94" i="52" s="1"/>
  <c r="G14" i="17"/>
  <c r="G37" i="20" s="1"/>
  <c r="F32" i="17"/>
  <c r="F30" i="17"/>
  <c r="F28" i="17"/>
  <c r="F59" i="52" s="1"/>
  <c r="F26" i="17"/>
  <c r="F21" i="17"/>
  <c r="F118" i="52" s="1"/>
  <c r="F10" i="17"/>
  <c r="F11" i="17" s="1"/>
  <c r="F14" i="17"/>
  <c r="E32" i="17"/>
  <c r="E34" i="17" s="1"/>
  <c r="E30" i="17"/>
  <c r="E28" i="17"/>
  <c r="E59" i="52" s="1"/>
  <c r="E26" i="17"/>
  <c r="E21" i="17"/>
  <c r="E118" i="52" s="1"/>
  <c r="E10" i="17"/>
  <c r="E94" i="52" s="1"/>
  <c r="E14" i="17"/>
  <c r="D32" i="17"/>
  <c r="D34" i="20" s="1"/>
  <c r="D30" i="17"/>
  <c r="D28" i="17"/>
  <c r="D59" i="52" s="1"/>
  <c r="D26" i="17"/>
  <c r="D21" i="17"/>
  <c r="D118" i="52" s="1"/>
  <c r="D10" i="17"/>
  <c r="D94" i="52" s="1"/>
  <c r="D14" i="17"/>
  <c r="C32" i="17"/>
  <c r="C36" i="20" s="1"/>
  <c r="C30" i="17"/>
  <c r="C28" i="17"/>
  <c r="C59" i="52" s="1"/>
  <c r="C26" i="17"/>
  <c r="C21" i="17"/>
  <c r="C118" i="52" s="1"/>
  <c r="C10" i="17"/>
  <c r="C94" i="52" s="1"/>
  <c r="C14" i="17"/>
  <c r="C37" i="20" s="1"/>
  <c r="B32" i="17"/>
  <c r="B34" i="20" s="1"/>
  <c r="B30" i="17"/>
  <c r="B28" i="17"/>
  <c r="B59" i="52" s="1"/>
  <c r="B26" i="17"/>
  <c r="B21" i="17"/>
  <c r="B118" i="52" s="1"/>
  <c r="B10" i="17"/>
  <c r="B94" i="52" s="1"/>
  <c r="B14" i="17"/>
  <c r="B3" i="16"/>
  <c r="B3" i="15"/>
  <c r="B3" i="14"/>
  <c r="B3" i="13"/>
  <c r="B3" i="11"/>
  <c r="B3" i="10"/>
  <c r="B3" i="9"/>
  <c r="B3" i="8"/>
  <c r="B3" i="6"/>
  <c r="B3" i="5"/>
  <c r="B3" i="4"/>
  <c r="B3" i="3"/>
  <c r="B60" i="98" l="1"/>
  <c r="F224" i="97"/>
  <c r="C7" i="84" s="1"/>
  <c r="C98" i="58"/>
  <c r="B98" i="53"/>
  <c r="H98" i="58"/>
  <c r="E98" i="53"/>
  <c r="E99" i="53" s="1"/>
  <c r="H98" i="53"/>
  <c r="D98" i="58"/>
  <c r="D99" i="58" s="1"/>
  <c r="C99" i="53"/>
  <c r="C43" i="61"/>
  <c r="C98" i="53"/>
  <c r="F98" i="53"/>
  <c r="F98" i="58"/>
  <c r="F99" i="58" s="1"/>
  <c r="D129" i="97"/>
  <c r="D131" i="97" s="1"/>
  <c r="F129" i="97"/>
  <c r="F131" i="97" s="1"/>
  <c r="C129" i="97"/>
  <c r="C131" i="97" s="1"/>
  <c r="G129" i="97"/>
  <c r="G137" i="97" s="1"/>
  <c r="D137" i="97"/>
  <c r="E129" i="97"/>
  <c r="E137" i="97" s="1"/>
  <c r="B129" i="97"/>
  <c r="B131" i="97" s="1"/>
  <c r="H129" i="97"/>
  <c r="H137" i="97" s="1"/>
  <c r="F137" i="97"/>
  <c r="G156" i="52"/>
  <c r="G156" i="58"/>
  <c r="E156" i="57"/>
  <c r="F156" i="58"/>
  <c r="E156" i="54"/>
  <c r="D156" i="57"/>
  <c r="C156" i="54"/>
  <c r="B156" i="55"/>
  <c r="E41" i="98" s="1"/>
  <c r="D156" i="58"/>
  <c r="D156" i="55"/>
  <c r="G156" i="55"/>
  <c r="E153" i="53"/>
  <c r="E154" i="53" s="1"/>
  <c r="E155" i="53" s="1"/>
  <c r="E153" i="52"/>
  <c r="E153" i="57"/>
  <c r="E153" i="58"/>
  <c r="E153" i="54"/>
  <c r="C98" i="55"/>
  <c r="F98" i="55"/>
  <c r="F153" i="52"/>
  <c r="F153" i="56"/>
  <c r="F153" i="57"/>
  <c r="C120" i="53"/>
  <c r="F33" i="94"/>
  <c r="D5" i="105"/>
  <c r="D153" i="57"/>
  <c r="C99" i="55"/>
  <c r="G153" i="58"/>
  <c r="H153" i="52"/>
  <c r="H153" i="56"/>
  <c r="H153" i="57"/>
  <c r="H153" i="54"/>
  <c r="D153" i="52"/>
  <c r="G98" i="55"/>
  <c r="G99" i="55" s="1"/>
  <c r="B153" i="53"/>
  <c r="B153" i="52"/>
  <c r="B153" i="56"/>
  <c r="B153" i="55"/>
  <c r="B153" i="57"/>
  <c r="B153" i="54"/>
  <c r="D98" i="55"/>
  <c r="D99" i="55" s="1"/>
  <c r="G36" i="61"/>
  <c r="B35" i="84" s="1"/>
  <c r="E97" i="99" s="1"/>
  <c r="C153" i="52"/>
  <c r="C153" i="57"/>
  <c r="C153" i="58"/>
  <c r="E152" i="53"/>
  <c r="D156" i="52"/>
  <c r="C156" i="56"/>
  <c r="C156" i="57"/>
  <c r="B156" i="52"/>
  <c r="C41" i="98" s="1"/>
  <c r="B51" i="98" s="1"/>
  <c r="G151" i="53"/>
  <c r="E156" i="52"/>
  <c r="E156" i="53"/>
  <c r="F151" i="53"/>
  <c r="H156" i="52"/>
  <c r="D151" i="53"/>
  <c r="C156" i="52"/>
  <c r="H151" i="53"/>
  <c r="I10" i="100"/>
  <c r="C38" i="21"/>
  <c r="E47" i="77"/>
  <c r="E61" i="20"/>
  <c r="C11" i="40"/>
  <c r="C38" i="41"/>
  <c r="F21" i="43"/>
  <c r="F27" i="57" s="1"/>
  <c r="D104" i="58"/>
  <c r="H47" i="58"/>
  <c r="D26" i="61"/>
  <c r="E98" i="56"/>
  <c r="B98" i="55"/>
  <c r="B99" i="55" s="1"/>
  <c r="E26" i="61"/>
  <c r="E98" i="55"/>
  <c r="E99" i="55" s="1"/>
  <c r="B40" i="21"/>
  <c r="I26" i="61"/>
  <c r="G120" i="54"/>
  <c r="B114" i="53"/>
  <c r="G114" i="54"/>
  <c r="B4" i="66"/>
  <c r="B4" i="67"/>
  <c r="D21" i="48"/>
  <c r="D27" i="58" s="1"/>
  <c r="F99" i="55"/>
  <c r="E55" i="52"/>
  <c r="E60" i="52" s="1"/>
  <c r="F104" i="53"/>
  <c r="D10" i="93"/>
  <c r="R10" i="93"/>
  <c r="D23" i="94"/>
  <c r="D114" i="58"/>
  <c r="H114" i="54"/>
  <c r="C24" i="66"/>
  <c r="F11" i="94"/>
  <c r="F18" i="94"/>
  <c r="F46" i="20"/>
  <c r="G39" i="45"/>
  <c r="E10" i="93"/>
  <c r="L10" i="93"/>
  <c r="F120" i="53"/>
  <c r="U10" i="93"/>
  <c r="D8" i="94"/>
  <c r="C61" i="50"/>
  <c r="C16" i="68"/>
  <c r="B97" i="77"/>
  <c r="F8" i="94"/>
  <c r="F15" i="94"/>
  <c r="E104" i="54"/>
  <c r="G54" i="20"/>
  <c r="G39" i="49"/>
  <c r="G72" i="58" s="1"/>
  <c r="G55" i="20"/>
  <c r="G114" i="58"/>
  <c r="H21" i="38"/>
  <c r="H27" i="56" s="1"/>
  <c r="G59" i="20"/>
  <c r="G56" i="45"/>
  <c r="H49" i="45"/>
  <c r="C114" i="52"/>
  <c r="C53" i="86"/>
  <c r="D47" i="56"/>
  <c r="P10" i="93"/>
  <c r="C22" i="47"/>
  <c r="C99" i="56"/>
  <c r="B98" i="57"/>
  <c r="B99" i="57" s="1"/>
  <c r="D103" i="58"/>
  <c r="H119" i="53"/>
  <c r="B18" i="72"/>
  <c r="B16" i="77"/>
  <c r="F7" i="94"/>
  <c r="F34" i="40"/>
  <c r="F39" i="39"/>
  <c r="C47" i="56"/>
  <c r="F104" i="58"/>
  <c r="E98" i="54"/>
  <c r="E99" i="54" s="1"/>
  <c r="D54" i="40"/>
  <c r="F41" i="40"/>
  <c r="F99" i="52"/>
  <c r="E40" i="21"/>
  <c r="C7" i="50"/>
  <c r="G47" i="55"/>
  <c r="D43" i="61"/>
  <c r="C21" i="67"/>
  <c r="D25" i="94"/>
  <c r="E39" i="19"/>
  <c r="E72" i="52" s="1"/>
  <c r="F41" i="50"/>
  <c r="F47" i="52"/>
  <c r="G47" i="57"/>
  <c r="E43" i="61"/>
  <c r="D20" i="76"/>
  <c r="F43" i="61"/>
  <c r="F10" i="93"/>
  <c r="M10" i="93"/>
  <c r="T10" i="93"/>
  <c r="AA10" i="93"/>
  <c r="AH10" i="93"/>
  <c r="C47" i="52"/>
  <c r="H55" i="52"/>
  <c r="H60" i="52" s="1"/>
  <c r="H55" i="54"/>
  <c r="H60" i="54" s="1"/>
  <c r="G43" i="61"/>
  <c r="H21" i="43"/>
  <c r="H27" i="57" s="1"/>
  <c r="B41" i="50"/>
  <c r="D55" i="54"/>
  <c r="D60" i="54" s="1"/>
  <c r="F55" i="57"/>
  <c r="F60" i="57" s="1"/>
  <c r="B42" i="45"/>
  <c r="I43" i="61"/>
  <c r="C8" i="40"/>
  <c r="B11" i="51"/>
  <c r="F55" i="54"/>
  <c r="F60" i="54" s="1"/>
  <c r="G104" i="56"/>
  <c r="E47" i="57"/>
  <c r="F34" i="42"/>
  <c r="C47" i="73"/>
  <c r="E47" i="56"/>
  <c r="D99" i="53"/>
  <c r="E114" i="58"/>
  <c r="AE10" i="93"/>
  <c r="D7" i="94"/>
  <c r="F19" i="94"/>
  <c r="F28" i="94"/>
  <c r="D35" i="94"/>
  <c r="F22" i="17"/>
  <c r="C36" i="40"/>
  <c r="F56" i="40"/>
  <c r="H55" i="56"/>
  <c r="C34" i="37"/>
  <c r="E55" i="40"/>
  <c r="G29" i="40"/>
  <c r="E22" i="42"/>
  <c r="H39" i="44"/>
  <c r="E45" i="45"/>
  <c r="G56" i="50"/>
  <c r="F55" i="56"/>
  <c r="F60" i="56" s="1"/>
  <c r="D40" i="56"/>
  <c r="C40" i="57"/>
  <c r="D47" i="57"/>
  <c r="F47" i="58"/>
  <c r="B114" i="52"/>
  <c r="B114" i="58"/>
  <c r="F120" i="54"/>
  <c r="C25" i="66"/>
  <c r="D9" i="94"/>
  <c r="D49" i="45"/>
  <c r="D11" i="41"/>
  <c r="E57" i="40"/>
  <c r="G30" i="40"/>
  <c r="D12" i="45"/>
  <c r="G59" i="40"/>
  <c r="E40" i="20"/>
  <c r="B39" i="39"/>
  <c r="B72" i="56" s="1"/>
  <c r="H39" i="40"/>
  <c r="B38" i="46"/>
  <c r="C42" i="45"/>
  <c r="G57" i="45"/>
  <c r="D40" i="52"/>
  <c r="C47" i="57"/>
  <c r="F104" i="57"/>
  <c r="F114" i="52"/>
  <c r="E114" i="57"/>
  <c r="B17" i="72"/>
  <c r="E17" i="72" s="1"/>
  <c r="F78" i="72" s="1"/>
  <c r="H47" i="56"/>
  <c r="D114" i="54"/>
  <c r="B19" i="78"/>
  <c r="F22" i="47"/>
  <c r="D21" i="43"/>
  <c r="D27" i="57" s="1"/>
  <c r="E104" i="57"/>
  <c r="H40" i="57"/>
  <c r="D20" i="73"/>
  <c r="D20" i="94"/>
  <c r="B39" i="44"/>
  <c r="B9" i="45" s="1"/>
  <c r="B55" i="45"/>
  <c r="F49" i="45"/>
  <c r="C39" i="49"/>
  <c r="H47" i="57"/>
  <c r="B114" i="57"/>
  <c r="D22" i="94"/>
  <c r="F29" i="94"/>
  <c r="D36" i="94"/>
  <c r="F41" i="94"/>
  <c r="E41" i="40"/>
  <c r="H120" i="53"/>
  <c r="B119" i="54"/>
  <c r="G50" i="94"/>
  <c r="D34" i="37"/>
  <c r="B47" i="52"/>
  <c r="F92" i="73" s="1"/>
  <c r="C47" i="53"/>
  <c r="D47" i="53"/>
  <c r="E99" i="58"/>
  <c r="G114" i="56"/>
  <c r="C22" i="17"/>
  <c r="G22" i="17"/>
  <c r="D59" i="20"/>
  <c r="H55" i="20"/>
  <c r="H56" i="20"/>
  <c r="C39" i="19"/>
  <c r="C72" i="52" s="1"/>
  <c r="C42" i="20"/>
  <c r="F52" i="38"/>
  <c r="F109" i="56" s="1"/>
  <c r="F120" i="56" s="1"/>
  <c r="D34" i="40"/>
  <c r="H59" i="40"/>
  <c r="H22" i="42"/>
  <c r="F7" i="50"/>
  <c r="H47" i="75"/>
  <c r="F47" i="56"/>
  <c r="D114" i="56"/>
  <c r="B20" i="76"/>
  <c r="F114" i="53"/>
  <c r="C120" i="54"/>
  <c r="E39" i="45"/>
  <c r="C49" i="45"/>
  <c r="D57" i="45"/>
  <c r="H57" i="50"/>
  <c r="C56" i="20"/>
  <c r="C52" i="43"/>
  <c r="C109" i="57" s="1"/>
  <c r="C12" i="45"/>
  <c r="H11" i="47"/>
  <c r="G52" i="48"/>
  <c r="G99" i="52"/>
  <c r="H114" i="57"/>
  <c r="C114" i="54"/>
  <c r="C24" i="70"/>
  <c r="B25" i="66"/>
  <c r="C108" i="93" s="1"/>
  <c r="D24" i="67"/>
  <c r="C51" i="94"/>
  <c r="D30" i="94"/>
  <c r="C40" i="21"/>
  <c r="F40" i="21"/>
  <c r="H61" i="20"/>
  <c r="G52" i="38"/>
  <c r="D40" i="45"/>
  <c r="F34" i="45"/>
  <c r="D38" i="51"/>
  <c r="C42" i="50"/>
  <c r="D12" i="50"/>
  <c r="D56" i="50"/>
  <c r="E45" i="50"/>
  <c r="F55" i="50"/>
  <c r="H40" i="52"/>
  <c r="H47" i="53"/>
  <c r="E55" i="58"/>
  <c r="E60" i="58" s="1"/>
  <c r="C25" i="70"/>
  <c r="B29" i="66"/>
  <c r="C112" i="93" s="1"/>
  <c r="D26" i="67"/>
  <c r="F20" i="61"/>
  <c r="D99" i="57"/>
  <c r="B7" i="50"/>
  <c r="C41" i="50"/>
  <c r="D11" i="17"/>
  <c r="E42" i="20"/>
  <c r="F54" i="20"/>
  <c r="C45" i="40"/>
  <c r="E38" i="41"/>
  <c r="E38" i="46"/>
  <c r="C14" i="45"/>
  <c r="C11" i="47"/>
  <c r="C21" i="48"/>
  <c r="C27" i="58" s="1"/>
  <c r="D52" i="48"/>
  <c r="D57" i="50"/>
  <c r="D104" i="53"/>
  <c r="B47" i="56"/>
  <c r="F92" i="74" s="1"/>
  <c r="G55" i="58"/>
  <c r="G60" i="58" s="1"/>
  <c r="C99" i="52"/>
  <c r="H99" i="52"/>
  <c r="D120" i="55"/>
  <c r="D114" i="57"/>
  <c r="C26" i="70"/>
  <c r="B30" i="66"/>
  <c r="C113" i="93" s="1"/>
  <c r="D27" i="67"/>
  <c r="B16" i="78"/>
  <c r="B59" i="72"/>
  <c r="D13" i="94"/>
  <c r="F32" i="94"/>
  <c r="F18" i="17"/>
  <c r="F20" i="17" s="1"/>
  <c r="F58" i="20"/>
  <c r="H34" i="20"/>
  <c r="F55" i="40"/>
  <c r="G54" i="40"/>
  <c r="H57" i="40"/>
  <c r="G12" i="45"/>
  <c r="B54" i="50"/>
  <c r="H104" i="54"/>
  <c r="C47" i="55"/>
  <c r="G40" i="55"/>
  <c r="G47" i="56"/>
  <c r="D103" i="57"/>
  <c r="D28" i="67"/>
  <c r="AB10" i="93"/>
  <c r="AI10" i="93"/>
  <c r="F20" i="94"/>
  <c r="F25" i="94"/>
  <c r="H60" i="50"/>
  <c r="F38" i="21"/>
  <c r="E39" i="39"/>
  <c r="E72" i="56" s="1"/>
  <c r="C58" i="45"/>
  <c r="G55" i="45"/>
  <c r="B55" i="50"/>
  <c r="H41" i="50"/>
  <c r="H47" i="52"/>
  <c r="H114" i="53"/>
  <c r="B114" i="55"/>
  <c r="D29" i="67"/>
  <c r="B21" i="72"/>
  <c r="E21" i="72" s="1"/>
  <c r="B97" i="76"/>
  <c r="E50" i="94"/>
  <c r="D34" i="94"/>
  <c r="D37" i="50"/>
  <c r="F39" i="50"/>
  <c r="B55" i="56"/>
  <c r="B60" i="56" s="1"/>
  <c r="B21" i="67"/>
  <c r="B16" i="68"/>
  <c r="O10" i="93"/>
  <c r="AC10" i="93"/>
  <c r="D29" i="94"/>
  <c r="G11" i="47"/>
  <c r="E39" i="49"/>
  <c r="E9" i="50" s="1"/>
  <c r="D11" i="21"/>
  <c r="H39" i="19"/>
  <c r="H72" i="52" s="1"/>
  <c r="B40" i="41"/>
  <c r="B21" i="38"/>
  <c r="B27" i="56" s="1"/>
  <c r="C39" i="39"/>
  <c r="C72" i="56" s="1"/>
  <c r="C21" i="43"/>
  <c r="C27" i="57" s="1"/>
  <c r="B30" i="45"/>
  <c r="C40" i="45"/>
  <c r="E55" i="45"/>
  <c r="C47" i="54"/>
  <c r="B55" i="55"/>
  <c r="B60" i="55" s="1"/>
  <c r="B104" i="55"/>
  <c r="D55" i="56"/>
  <c r="D60" i="56" s="1"/>
  <c r="C104" i="57"/>
  <c r="D47" i="58"/>
  <c r="E103" i="57"/>
  <c r="D120" i="53"/>
  <c r="B114" i="54"/>
  <c r="B22" i="70"/>
  <c r="C137" i="93" s="1"/>
  <c r="C29" i="66"/>
  <c r="B25" i="67"/>
  <c r="C118" i="93" s="1"/>
  <c r="B19" i="68"/>
  <c r="C127" i="93" s="1"/>
  <c r="B16" i="73"/>
  <c r="E16" i="73" s="1"/>
  <c r="C24" i="73"/>
  <c r="C18" i="75"/>
  <c r="C16" i="75"/>
  <c r="D18" i="76"/>
  <c r="D16" i="77"/>
  <c r="F22" i="94"/>
  <c r="B99" i="54"/>
  <c r="E54" i="50"/>
  <c r="G14" i="50"/>
  <c r="E119" i="55"/>
  <c r="B113" i="54"/>
  <c r="B23" i="70"/>
  <c r="C138" i="93" s="1"/>
  <c r="B17" i="77"/>
  <c r="E17" i="77" s="1"/>
  <c r="B20" i="77"/>
  <c r="F31" i="94"/>
  <c r="F36" i="94"/>
  <c r="P38" i="94"/>
  <c r="H39" i="39"/>
  <c r="H72" i="56" s="1"/>
  <c r="E40" i="40"/>
  <c r="B61" i="45"/>
  <c r="E58" i="50"/>
  <c r="G29" i="50"/>
  <c r="E56" i="52"/>
  <c r="E58" i="52" s="1"/>
  <c r="E62" i="52" s="1"/>
  <c r="E63" i="52" s="1"/>
  <c r="H47" i="73"/>
  <c r="B47" i="53"/>
  <c r="C92" i="72" s="1"/>
  <c r="E47" i="54"/>
  <c r="C55" i="57"/>
  <c r="C60" i="57" s="1"/>
  <c r="B104" i="57"/>
  <c r="E40" i="57"/>
  <c r="H99" i="53"/>
  <c r="B120" i="53"/>
  <c r="E120" i="55"/>
  <c r="J10" i="93"/>
  <c r="AL10" i="93"/>
  <c r="B13" i="61"/>
  <c r="B15" i="61" s="1"/>
  <c r="I28" i="61" s="1"/>
  <c r="H40" i="58"/>
  <c r="H7" i="20"/>
  <c r="H34" i="17"/>
  <c r="E54" i="20"/>
  <c r="E52" i="38"/>
  <c r="E109" i="56" s="1"/>
  <c r="E120" i="56" s="1"/>
  <c r="B29" i="40"/>
  <c r="E21" i="43"/>
  <c r="E27" i="57" s="1"/>
  <c r="C39" i="44"/>
  <c r="E41" i="45"/>
  <c r="H55" i="45"/>
  <c r="F39" i="49"/>
  <c r="F9" i="50" s="1"/>
  <c r="E40" i="50"/>
  <c r="B47" i="73"/>
  <c r="G104" i="52"/>
  <c r="B47" i="58"/>
  <c r="F92" i="77" s="1"/>
  <c r="H99" i="58"/>
  <c r="G120" i="53"/>
  <c r="H114" i="56"/>
  <c r="G114" i="55"/>
  <c r="C19" i="70"/>
  <c r="C28" i="65"/>
  <c r="C27" i="67"/>
  <c r="B16" i="75"/>
  <c r="D19" i="78"/>
  <c r="K10" i="93"/>
  <c r="Y10" i="93"/>
  <c r="AF10" i="93"/>
  <c r="AM10" i="93"/>
  <c r="D21" i="94"/>
  <c r="F50" i="94"/>
  <c r="F18" i="37"/>
  <c r="F20" i="37" s="1"/>
  <c r="D39" i="39"/>
  <c r="C18" i="41" s="1"/>
  <c r="D41" i="40"/>
  <c r="B40" i="45"/>
  <c r="D56" i="45"/>
  <c r="H60" i="45"/>
  <c r="E42" i="50"/>
  <c r="G8" i="51"/>
  <c r="F99" i="53"/>
  <c r="E115" i="55"/>
  <c r="C114" i="57"/>
  <c r="C22" i="70"/>
  <c r="B19" i="74"/>
  <c r="D46" i="20"/>
  <c r="B40" i="56"/>
  <c r="C90" i="74" s="1"/>
  <c r="B16" i="72"/>
  <c r="F23" i="94"/>
  <c r="E12" i="20"/>
  <c r="H57" i="20"/>
  <c r="B18" i="37"/>
  <c r="B20" i="37" s="1"/>
  <c r="F22" i="37"/>
  <c r="B37" i="40"/>
  <c r="C14" i="40"/>
  <c r="C54" i="40"/>
  <c r="E29" i="45"/>
  <c r="F14" i="45"/>
  <c r="H39" i="45"/>
  <c r="H56" i="45"/>
  <c r="G34" i="47"/>
  <c r="C38" i="51"/>
  <c r="B46" i="50"/>
  <c r="D49" i="50"/>
  <c r="E14" i="50"/>
  <c r="G30" i="50"/>
  <c r="B40" i="52"/>
  <c r="B90" i="73" s="1"/>
  <c r="D47" i="55"/>
  <c r="E47" i="55"/>
  <c r="H55" i="57"/>
  <c r="F47" i="57"/>
  <c r="F26" i="61"/>
  <c r="B103" i="56"/>
  <c r="G98" i="57"/>
  <c r="G99" i="57" s="1"/>
  <c r="G99" i="58"/>
  <c r="D114" i="53"/>
  <c r="B114" i="56"/>
  <c r="E114" i="56"/>
  <c r="C120" i="55"/>
  <c r="H119" i="55"/>
  <c r="D116" i="58"/>
  <c r="E114" i="54"/>
  <c r="B24" i="70"/>
  <c r="C139" i="93" s="1"/>
  <c r="C22" i="64"/>
  <c r="B32" i="65"/>
  <c r="C99" i="93" s="1"/>
  <c r="C28" i="67"/>
  <c r="C24" i="74"/>
  <c r="D24" i="74" s="1"/>
  <c r="C18" i="78"/>
  <c r="D16" i="78"/>
  <c r="B88" i="78"/>
  <c r="C50" i="94"/>
  <c r="D51" i="94"/>
  <c r="G34" i="37"/>
  <c r="H40" i="56"/>
  <c r="G18" i="17"/>
  <c r="G20" i="17" s="1"/>
  <c r="D12" i="20"/>
  <c r="D49" i="20"/>
  <c r="F56" i="20"/>
  <c r="G40" i="20"/>
  <c r="H41" i="20"/>
  <c r="E18" i="37"/>
  <c r="E20" i="37" s="1"/>
  <c r="B38" i="41"/>
  <c r="C30" i="40"/>
  <c r="C60" i="40"/>
  <c r="H45" i="40"/>
  <c r="E40" i="41"/>
  <c r="B45" i="45"/>
  <c r="E30" i="45"/>
  <c r="F29" i="45"/>
  <c r="H40" i="45"/>
  <c r="H57" i="45"/>
  <c r="D14" i="50"/>
  <c r="F36" i="50"/>
  <c r="H55" i="50"/>
  <c r="B38" i="51"/>
  <c r="B16" i="52"/>
  <c r="D16" i="52"/>
  <c r="D40" i="58"/>
  <c r="G26" i="61"/>
  <c r="B103" i="55"/>
  <c r="B103" i="57"/>
  <c r="H98" i="54"/>
  <c r="H99" i="54" s="1"/>
  <c r="H120" i="55"/>
  <c r="B116" i="54"/>
  <c r="B25" i="70"/>
  <c r="C140" i="93" s="1"/>
  <c r="C26" i="64"/>
  <c r="C29" i="67"/>
  <c r="F46" i="76"/>
  <c r="B15" i="80"/>
  <c r="B79" i="80" s="1"/>
  <c r="F12" i="94"/>
  <c r="F34" i="94"/>
  <c r="F52" i="43"/>
  <c r="F109" i="57" s="1"/>
  <c r="B21" i="48"/>
  <c r="B27" i="58" s="1"/>
  <c r="H21" i="48"/>
  <c r="H27" i="58" s="1"/>
  <c r="E120" i="54"/>
  <c r="C19" i="64"/>
  <c r="D39" i="19"/>
  <c r="D72" i="52" s="1"/>
  <c r="F37" i="20"/>
  <c r="H42" i="20"/>
  <c r="B52" i="38"/>
  <c r="B109" i="56" s="1"/>
  <c r="B120" i="56" s="1"/>
  <c r="G39" i="39"/>
  <c r="G72" i="56" s="1"/>
  <c r="B39" i="40"/>
  <c r="F40" i="40"/>
  <c r="B22" i="42"/>
  <c r="D11" i="42"/>
  <c r="B52" i="43"/>
  <c r="B109" i="57" s="1"/>
  <c r="B120" i="57" s="1"/>
  <c r="E52" i="43"/>
  <c r="G21" i="43"/>
  <c r="G27" i="57" s="1"/>
  <c r="F30" i="45"/>
  <c r="H42" i="45"/>
  <c r="C12" i="50"/>
  <c r="D29" i="50"/>
  <c r="F54" i="50"/>
  <c r="G55" i="50"/>
  <c r="H56" i="50"/>
  <c r="C27" i="51"/>
  <c r="D40" i="51"/>
  <c r="B55" i="54"/>
  <c r="B56" i="54" s="1"/>
  <c r="B58" i="54" s="1"/>
  <c r="C40" i="58"/>
  <c r="H26" i="61"/>
  <c r="B99" i="52"/>
  <c r="E98" i="57"/>
  <c r="E99" i="57" s="1"/>
  <c r="C98" i="54"/>
  <c r="C99" i="54" s="1"/>
  <c r="C113" i="53"/>
  <c r="G120" i="55"/>
  <c r="G119" i="54"/>
  <c r="B26" i="70"/>
  <c r="C141" i="93" s="1"/>
  <c r="E141" i="93" s="1"/>
  <c r="B4" i="69"/>
  <c r="D17" i="73"/>
  <c r="B18" i="75"/>
  <c r="B59" i="74"/>
  <c r="B15" i="84"/>
  <c r="B79" i="84" s="1"/>
  <c r="V10" i="93"/>
  <c r="AJ10" i="93"/>
  <c r="D138" i="55"/>
  <c r="G21" i="38"/>
  <c r="G27" i="56" s="1"/>
  <c r="D17" i="72"/>
  <c r="F40" i="57"/>
  <c r="F39" i="20"/>
  <c r="G45" i="20"/>
  <c r="G8" i="21"/>
  <c r="E22" i="37"/>
  <c r="F11" i="41"/>
  <c r="F21" i="38"/>
  <c r="F27" i="56" s="1"/>
  <c r="H52" i="43"/>
  <c r="D55" i="45"/>
  <c r="E54" i="45"/>
  <c r="F56" i="45"/>
  <c r="H61" i="45"/>
  <c r="H18" i="47"/>
  <c r="H20" i="47" s="1"/>
  <c r="C14" i="50"/>
  <c r="E39" i="50"/>
  <c r="F40" i="50"/>
  <c r="H42" i="50"/>
  <c r="E40" i="52"/>
  <c r="F47" i="53"/>
  <c r="E55" i="54"/>
  <c r="E60" i="54" s="1"/>
  <c r="F47" i="54"/>
  <c r="H47" i="55"/>
  <c r="F40" i="56"/>
  <c r="H47" i="76"/>
  <c r="C47" i="58"/>
  <c r="G47" i="77"/>
  <c r="G99" i="56"/>
  <c r="F98" i="54"/>
  <c r="F99" i="54" s="1"/>
  <c r="G119" i="53"/>
  <c r="D114" i="52"/>
  <c r="D120" i="54"/>
  <c r="B4" i="64"/>
  <c r="C34" i="65"/>
  <c r="C30" i="66"/>
  <c r="B24" i="67"/>
  <c r="C117" i="93" s="1"/>
  <c r="C20" i="68"/>
  <c r="D16" i="72"/>
  <c r="D19" i="74"/>
  <c r="B59" i="76"/>
  <c r="B10" i="93"/>
  <c r="I10" i="93"/>
  <c r="W10" i="93"/>
  <c r="AD10" i="93"/>
  <c r="AK10" i="93"/>
  <c r="D50" i="94"/>
  <c r="C12" i="20"/>
  <c r="B12" i="50"/>
  <c r="C103" i="56"/>
  <c r="C98" i="57"/>
  <c r="C99" i="57" s="1"/>
  <c r="H98" i="57"/>
  <c r="D19" i="77"/>
  <c r="B17" i="78"/>
  <c r="E17" i="78" s="1"/>
  <c r="F78" i="78" s="1"/>
  <c r="D11" i="94"/>
  <c r="C7" i="20"/>
  <c r="G34" i="40"/>
  <c r="H46" i="45"/>
  <c r="D55" i="40"/>
  <c r="G36" i="40"/>
  <c r="D22" i="42"/>
  <c r="H34" i="42"/>
  <c r="D41" i="45"/>
  <c r="E56" i="45"/>
  <c r="F61" i="45"/>
  <c r="C34" i="47"/>
  <c r="C55" i="50"/>
  <c r="E41" i="50"/>
  <c r="F42" i="50"/>
  <c r="F60" i="50"/>
  <c r="G41" i="50"/>
  <c r="H61" i="50"/>
  <c r="E16" i="52"/>
  <c r="H16" i="52"/>
  <c r="C104" i="53"/>
  <c r="C47" i="78"/>
  <c r="F47" i="77"/>
  <c r="C103" i="57"/>
  <c r="C114" i="53"/>
  <c r="G114" i="53"/>
  <c r="G114" i="52"/>
  <c r="F114" i="57"/>
  <c r="H120" i="54"/>
  <c r="B26" i="67"/>
  <c r="C119" i="93" s="1"/>
  <c r="B76" i="73"/>
  <c r="K7" i="93"/>
  <c r="P24" i="94"/>
  <c r="L24" i="94" s="1"/>
  <c r="H51" i="94"/>
  <c r="C18" i="17"/>
  <c r="C20" i="17" s="1"/>
  <c r="C14" i="20"/>
  <c r="E39" i="20"/>
  <c r="D55" i="50"/>
  <c r="G40" i="50"/>
  <c r="G16" i="52"/>
  <c r="C29" i="20"/>
  <c r="D11" i="37"/>
  <c r="D34" i="17"/>
  <c r="C55" i="20"/>
  <c r="D57" i="20"/>
  <c r="E60" i="20"/>
  <c r="G49" i="20"/>
  <c r="D60" i="40"/>
  <c r="F49" i="40"/>
  <c r="H29" i="40"/>
  <c r="H55" i="40"/>
  <c r="F11" i="42"/>
  <c r="D52" i="43"/>
  <c r="D31" i="45" s="1"/>
  <c r="H29" i="45"/>
  <c r="E22" i="47"/>
  <c r="B34" i="50"/>
  <c r="C36" i="50"/>
  <c r="C56" i="50"/>
  <c r="G61" i="50"/>
  <c r="H46" i="50"/>
  <c r="E47" i="52"/>
  <c r="B16" i="55"/>
  <c r="G47" i="75"/>
  <c r="B47" i="57"/>
  <c r="C92" i="76" s="1"/>
  <c r="B99" i="53"/>
  <c r="G99" i="53"/>
  <c r="C104" i="52"/>
  <c r="H99" i="55"/>
  <c r="F98" i="57"/>
  <c r="F99" i="57" s="1"/>
  <c r="B99" i="58"/>
  <c r="D98" i="54"/>
  <c r="D99" i="54" s="1"/>
  <c r="D114" i="55"/>
  <c r="B27" i="67"/>
  <c r="C120" i="93" s="1"/>
  <c r="C24" i="72"/>
  <c r="C59" i="72" s="1"/>
  <c r="D17" i="74"/>
  <c r="D21" i="75"/>
  <c r="B19" i="75"/>
  <c r="E19" i="75" s="1"/>
  <c r="C80" i="75" s="1"/>
  <c r="B59" i="73"/>
  <c r="B76" i="76"/>
  <c r="Z7" i="93"/>
  <c r="C20" i="61"/>
  <c r="H20" i="61"/>
  <c r="D38" i="94"/>
  <c r="D40" i="20"/>
  <c r="B36" i="50"/>
  <c r="D41" i="50"/>
  <c r="C40" i="56"/>
  <c r="G40" i="57"/>
  <c r="E104" i="58"/>
  <c r="B4" i="70"/>
  <c r="B22" i="64"/>
  <c r="C86" i="93" s="1"/>
  <c r="B26" i="66"/>
  <c r="C109" i="93" s="1"/>
  <c r="B28" i="67"/>
  <c r="C121" i="93" s="1"/>
  <c r="B4" i="68"/>
  <c r="C20" i="69"/>
  <c r="D18" i="75"/>
  <c r="B88" i="72"/>
  <c r="D20" i="61"/>
  <c r="P10" i="94"/>
  <c r="L10" i="94" s="1"/>
  <c r="D24" i="94"/>
  <c r="P29" i="94"/>
  <c r="L29" i="94" s="1"/>
  <c r="F38" i="94"/>
  <c r="B7" i="99"/>
  <c r="B47" i="99" s="1"/>
  <c r="B54" i="20"/>
  <c r="D42" i="20"/>
  <c r="D60" i="20"/>
  <c r="G14" i="20"/>
  <c r="C11" i="37"/>
  <c r="E21" i="38"/>
  <c r="E27" i="56" s="1"/>
  <c r="C7" i="40"/>
  <c r="E56" i="40"/>
  <c r="B21" i="43"/>
  <c r="B27" i="57" s="1"/>
  <c r="B57" i="45"/>
  <c r="C41" i="45"/>
  <c r="D37" i="37"/>
  <c r="B34" i="47"/>
  <c r="F21" i="48"/>
  <c r="F27" i="58" s="1"/>
  <c r="B56" i="50"/>
  <c r="F46" i="50"/>
  <c r="D47" i="73"/>
  <c r="D55" i="52"/>
  <c r="G47" i="52"/>
  <c r="D103" i="56"/>
  <c r="C103" i="55"/>
  <c r="H104" i="55"/>
  <c r="G98" i="54"/>
  <c r="G99" i="54" s="1"/>
  <c r="H113" i="54"/>
  <c r="B23" i="64"/>
  <c r="C87" i="93" s="1"/>
  <c r="B4" i="65"/>
  <c r="B27" i="66"/>
  <c r="C110" i="93" s="1"/>
  <c r="B30" i="67"/>
  <c r="C123" i="93" s="1"/>
  <c r="D16" i="73"/>
  <c r="B20" i="73"/>
  <c r="E20" i="73" s="1"/>
  <c r="F81" i="73" s="1"/>
  <c r="B97" i="72"/>
  <c r="E51" i="94"/>
  <c r="D32" i="94"/>
  <c r="D138" i="56"/>
  <c r="D138" i="57"/>
  <c r="D38" i="37"/>
  <c r="D24" i="41" s="1"/>
  <c r="H39" i="49"/>
  <c r="B39" i="50"/>
  <c r="B60" i="50"/>
  <c r="D47" i="77"/>
  <c r="B120" i="54"/>
  <c r="B28" i="66"/>
  <c r="C111" i="93" s="1"/>
  <c r="D20" i="72"/>
  <c r="B88" i="73"/>
  <c r="S10" i="93"/>
  <c r="Z10" i="93"/>
  <c r="AG10" i="93"/>
  <c r="B50" i="94"/>
  <c r="D10" i="94"/>
  <c r="F21" i="94"/>
  <c r="F24" i="94"/>
  <c r="F35" i="94"/>
  <c r="B23" i="99"/>
  <c r="H32" i="99" s="1"/>
  <c r="E46" i="20"/>
  <c r="G49" i="40"/>
  <c r="E11" i="17"/>
  <c r="H11" i="17"/>
  <c r="B52" i="18"/>
  <c r="B109" i="52" s="1"/>
  <c r="B120" i="52" s="1"/>
  <c r="B14" i="20"/>
  <c r="B56" i="20"/>
  <c r="C39" i="20"/>
  <c r="G29" i="20"/>
  <c r="H29" i="20"/>
  <c r="D39" i="40"/>
  <c r="B11" i="17"/>
  <c r="B29" i="20"/>
  <c r="C52" i="38"/>
  <c r="E39" i="40"/>
  <c r="H11" i="42"/>
  <c r="D39" i="44"/>
  <c r="D72" i="57" s="1"/>
  <c r="C40" i="54"/>
  <c r="H47" i="78"/>
  <c r="F104" i="56"/>
  <c r="C47" i="76"/>
  <c r="E99" i="56"/>
  <c r="H119" i="54"/>
  <c r="D21" i="78"/>
  <c r="F37" i="94"/>
  <c r="H50" i="94"/>
  <c r="C23" i="99"/>
  <c r="D46" i="99" s="1"/>
  <c r="D109" i="56"/>
  <c r="D120" i="56" s="1"/>
  <c r="D31" i="40"/>
  <c r="B72" i="57"/>
  <c r="B18" i="46"/>
  <c r="F61" i="20"/>
  <c r="D22" i="37"/>
  <c r="C21" i="38"/>
  <c r="C27" i="56" s="1"/>
  <c r="C49" i="40"/>
  <c r="C12" i="40"/>
  <c r="E94" i="57"/>
  <c r="D8" i="46"/>
  <c r="F118" i="57"/>
  <c r="F121" i="57" s="1"/>
  <c r="F22" i="42"/>
  <c r="E8" i="46"/>
  <c r="F11" i="77"/>
  <c r="F108" i="58"/>
  <c r="F52" i="48"/>
  <c r="F45" i="50"/>
  <c r="F14" i="50"/>
  <c r="F30" i="50"/>
  <c r="F38" i="51"/>
  <c r="F29" i="50"/>
  <c r="D22" i="17"/>
  <c r="H22" i="17"/>
  <c r="D11" i="73"/>
  <c r="D108" i="52"/>
  <c r="D38" i="21"/>
  <c r="D52" i="18"/>
  <c r="F108" i="52"/>
  <c r="F11" i="73"/>
  <c r="F29" i="20"/>
  <c r="F14" i="20"/>
  <c r="F52" i="18"/>
  <c r="H11" i="73"/>
  <c r="H45" i="20"/>
  <c r="H30" i="20"/>
  <c r="H108" i="52"/>
  <c r="H14" i="20"/>
  <c r="B36" i="20"/>
  <c r="C30" i="20"/>
  <c r="D58" i="20"/>
  <c r="F30" i="20"/>
  <c r="G41" i="20"/>
  <c r="C61" i="40"/>
  <c r="C42" i="40"/>
  <c r="C41" i="40"/>
  <c r="B57" i="40"/>
  <c r="B54" i="40"/>
  <c r="D40" i="40"/>
  <c r="H36" i="40"/>
  <c r="E11" i="42"/>
  <c r="F11" i="21"/>
  <c r="F36" i="20"/>
  <c r="F7" i="20"/>
  <c r="F34" i="20"/>
  <c r="F34" i="17"/>
  <c r="B56" i="45"/>
  <c r="B59" i="45"/>
  <c r="D92" i="72"/>
  <c r="C11" i="17"/>
  <c r="H31" i="20"/>
  <c r="H109" i="52"/>
  <c r="H120" i="52" s="1"/>
  <c r="D27" i="21"/>
  <c r="E34" i="40"/>
  <c r="E11" i="41"/>
  <c r="E60" i="40"/>
  <c r="E46" i="40"/>
  <c r="E37" i="37"/>
  <c r="E38" i="37"/>
  <c r="E34" i="37"/>
  <c r="H72" i="57"/>
  <c r="H9" i="45"/>
  <c r="B8" i="73"/>
  <c r="B96" i="52"/>
  <c r="B37" i="20"/>
  <c r="B18" i="17"/>
  <c r="B20" i="17" s="1"/>
  <c r="F8" i="21"/>
  <c r="F94" i="52"/>
  <c r="C40" i="20"/>
  <c r="C61" i="20"/>
  <c r="B41" i="20"/>
  <c r="D29" i="20"/>
  <c r="E55" i="20"/>
  <c r="G12" i="20"/>
  <c r="C22" i="37"/>
  <c r="B49" i="40"/>
  <c r="G109" i="56"/>
  <c r="G120" i="56" s="1"/>
  <c r="G31" i="40"/>
  <c r="G41" i="40"/>
  <c r="G40" i="40"/>
  <c r="G61" i="40"/>
  <c r="B58" i="40"/>
  <c r="D46" i="40"/>
  <c r="B55" i="20"/>
  <c r="H38" i="37"/>
  <c r="C26" i="41" s="1"/>
  <c r="H37" i="37"/>
  <c r="H34" i="37"/>
  <c r="H34" i="40"/>
  <c r="H60" i="40"/>
  <c r="H46" i="40"/>
  <c r="C59" i="40"/>
  <c r="B7" i="20"/>
  <c r="B40" i="20"/>
  <c r="D14" i="20"/>
  <c r="G22" i="37"/>
  <c r="D11" i="74"/>
  <c r="D38" i="41"/>
  <c r="D108" i="56"/>
  <c r="D45" i="40"/>
  <c r="D30" i="40"/>
  <c r="D29" i="40"/>
  <c r="C36" i="45"/>
  <c r="C7" i="45"/>
  <c r="C34" i="42"/>
  <c r="C27" i="46"/>
  <c r="C60" i="45"/>
  <c r="C11" i="46"/>
  <c r="C34" i="45"/>
  <c r="E27" i="21"/>
  <c r="H60" i="20"/>
  <c r="H46" i="20"/>
  <c r="B42" i="20"/>
  <c r="D30" i="20"/>
  <c r="G46" i="20"/>
  <c r="B59" i="40"/>
  <c r="C39" i="40"/>
  <c r="G58" i="40"/>
  <c r="C46" i="45"/>
  <c r="D45" i="20"/>
  <c r="B94" i="56"/>
  <c r="B8" i="41"/>
  <c r="G38" i="21"/>
  <c r="C40" i="40"/>
  <c r="F57" i="40"/>
  <c r="G94" i="57"/>
  <c r="F8" i="46"/>
  <c r="G11" i="42"/>
  <c r="G8" i="77"/>
  <c r="G96" i="58"/>
  <c r="G40" i="51"/>
  <c r="G18" i="47"/>
  <c r="G20" i="47" s="1"/>
  <c r="G37" i="50"/>
  <c r="B34" i="17"/>
  <c r="B11" i="21"/>
  <c r="B60" i="20"/>
  <c r="B46" i="20"/>
  <c r="B27" i="21"/>
  <c r="C58" i="40"/>
  <c r="C55" i="40"/>
  <c r="D49" i="40"/>
  <c r="E8" i="73"/>
  <c r="E96" i="52"/>
  <c r="E18" i="17"/>
  <c r="E20" i="17" s="1"/>
  <c r="E37" i="20"/>
  <c r="C11" i="73"/>
  <c r="B38" i="21"/>
  <c r="C108" i="52"/>
  <c r="C57" i="20"/>
  <c r="E59" i="20"/>
  <c r="E94" i="56"/>
  <c r="E8" i="41"/>
  <c r="G12" i="40"/>
  <c r="G11" i="40"/>
  <c r="G10" i="40"/>
  <c r="G8" i="40"/>
  <c r="G47" i="40"/>
  <c r="C34" i="17"/>
  <c r="C34" i="20"/>
  <c r="C11" i="21"/>
  <c r="C27" i="21"/>
  <c r="C26" i="21"/>
  <c r="C60" i="20"/>
  <c r="C46" i="20"/>
  <c r="C52" i="18"/>
  <c r="E11" i="73"/>
  <c r="E108" i="52"/>
  <c r="E14" i="20"/>
  <c r="E38" i="21"/>
  <c r="E52" i="18"/>
  <c r="G39" i="19"/>
  <c r="G42" i="20"/>
  <c r="B12" i="20"/>
  <c r="F40" i="20"/>
  <c r="C8" i="21"/>
  <c r="E11" i="37"/>
  <c r="F31" i="40"/>
  <c r="E36" i="40"/>
  <c r="G6" i="40"/>
  <c r="G44" i="40"/>
  <c r="C72" i="57"/>
  <c r="C9" i="45"/>
  <c r="G39" i="44"/>
  <c r="G8" i="46"/>
  <c r="D8" i="51"/>
  <c r="C8" i="51"/>
  <c r="D94" i="58"/>
  <c r="D11" i="47"/>
  <c r="E11" i="21"/>
  <c r="G8" i="74"/>
  <c r="G96" i="56"/>
  <c r="F40" i="41"/>
  <c r="G37" i="40"/>
  <c r="G18" i="37"/>
  <c r="G20" i="37" s="1"/>
  <c r="G11" i="21"/>
  <c r="G36" i="20"/>
  <c r="G7" i="20"/>
  <c r="G40" i="45"/>
  <c r="G61" i="45"/>
  <c r="G42" i="45"/>
  <c r="G41" i="45"/>
  <c r="F57" i="45"/>
  <c r="F54" i="45"/>
  <c r="G57" i="50"/>
  <c r="G54" i="50"/>
  <c r="F39" i="19"/>
  <c r="D8" i="73"/>
  <c r="D96" i="52"/>
  <c r="D40" i="21"/>
  <c r="F42" i="20"/>
  <c r="H8" i="74"/>
  <c r="H96" i="56"/>
  <c r="H18" i="37"/>
  <c r="H20" i="37" s="1"/>
  <c r="C46" i="40"/>
  <c r="G7" i="40"/>
  <c r="B34" i="45"/>
  <c r="B11" i="46"/>
  <c r="B60" i="45"/>
  <c r="B46" i="45"/>
  <c r="B26" i="46"/>
  <c r="B7" i="45"/>
  <c r="B36" i="45"/>
  <c r="B27" i="46"/>
  <c r="B34" i="42"/>
  <c r="E34" i="45"/>
  <c r="E11" i="46"/>
  <c r="E7" i="45"/>
  <c r="E27" i="46"/>
  <c r="E36" i="45"/>
  <c r="D11" i="46"/>
  <c r="E34" i="42"/>
  <c r="E46" i="45"/>
  <c r="G34" i="17"/>
  <c r="B39" i="19"/>
  <c r="B49" i="20"/>
  <c r="D37" i="20"/>
  <c r="B26" i="21"/>
  <c r="D8" i="74"/>
  <c r="D96" i="56"/>
  <c r="D37" i="40"/>
  <c r="D18" i="37"/>
  <c r="D20" i="37" s="1"/>
  <c r="D8" i="41"/>
  <c r="G40" i="41"/>
  <c r="C94" i="57"/>
  <c r="C8" i="46"/>
  <c r="C11" i="42"/>
  <c r="B8" i="46"/>
  <c r="E29" i="20"/>
  <c r="B8" i="21"/>
  <c r="E8" i="21"/>
  <c r="B37" i="37"/>
  <c r="B36" i="40"/>
  <c r="B38" i="37"/>
  <c r="B14" i="40" s="1"/>
  <c r="B34" i="40"/>
  <c r="B11" i="41"/>
  <c r="B60" i="40"/>
  <c r="B46" i="40"/>
  <c r="B34" i="37"/>
  <c r="H11" i="37"/>
  <c r="B11" i="74"/>
  <c r="B108" i="56"/>
  <c r="E35" i="61"/>
  <c r="D21" i="38"/>
  <c r="D27" i="56" s="1"/>
  <c r="B45" i="40"/>
  <c r="D59" i="40"/>
  <c r="D56" i="40"/>
  <c r="G13" i="40"/>
  <c r="D40" i="41"/>
  <c r="C26" i="46"/>
  <c r="E36" i="50"/>
  <c r="E7" i="50"/>
  <c r="E11" i="51"/>
  <c r="E60" i="50"/>
  <c r="E46" i="50"/>
  <c r="E34" i="50"/>
  <c r="E27" i="51"/>
  <c r="E34" i="47"/>
  <c r="H8" i="73"/>
  <c r="H96" i="52"/>
  <c r="H18" i="17"/>
  <c r="H20" i="17" s="1"/>
  <c r="H37" i="20"/>
  <c r="C8" i="73"/>
  <c r="C96" i="52"/>
  <c r="D18" i="17"/>
  <c r="D20" i="17" s="1"/>
  <c r="E22" i="17"/>
  <c r="C45" i="20"/>
  <c r="E30" i="20"/>
  <c r="F45" i="20"/>
  <c r="F60" i="20"/>
  <c r="G34" i="20"/>
  <c r="H12" i="20"/>
  <c r="H49" i="20"/>
  <c r="C96" i="56"/>
  <c r="C8" i="74"/>
  <c r="C37" i="40"/>
  <c r="C40" i="41"/>
  <c r="F36" i="40"/>
  <c r="F38" i="37"/>
  <c r="F60" i="40"/>
  <c r="F46" i="40"/>
  <c r="F37" i="37"/>
  <c r="H42" i="40"/>
  <c r="H41" i="40"/>
  <c r="H40" i="40"/>
  <c r="G14" i="40"/>
  <c r="G34" i="45"/>
  <c r="G7" i="45"/>
  <c r="G11" i="46"/>
  <c r="G36" i="45"/>
  <c r="G46" i="45"/>
  <c r="G60" i="45"/>
  <c r="G11" i="76"/>
  <c r="G108" i="57"/>
  <c r="G52" i="43"/>
  <c r="G38" i="46"/>
  <c r="G30" i="45"/>
  <c r="G29" i="45"/>
  <c r="G45" i="45"/>
  <c r="G14" i="45"/>
  <c r="F38" i="46"/>
  <c r="B47" i="78"/>
  <c r="B104" i="54"/>
  <c r="C46" i="78"/>
  <c r="C103" i="54"/>
  <c r="E47" i="75"/>
  <c r="E104" i="55"/>
  <c r="F46" i="75"/>
  <c r="F103" i="55"/>
  <c r="G55" i="55"/>
  <c r="G60" i="55" s="1"/>
  <c r="G140" i="55"/>
  <c r="D115" i="55"/>
  <c r="D119" i="55"/>
  <c r="D113" i="55"/>
  <c r="D33" i="65"/>
  <c r="D32" i="65"/>
  <c r="D31" i="65"/>
  <c r="D30" i="65"/>
  <c r="D36" i="65"/>
  <c r="D35" i="65"/>
  <c r="D34" i="65"/>
  <c r="D28" i="65"/>
  <c r="D29" i="65"/>
  <c r="D27" i="65"/>
  <c r="D24" i="65"/>
  <c r="E47" i="73"/>
  <c r="E104" i="52"/>
  <c r="H46" i="73"/>
  <c r="H103" i="52"/>
  <c r="E47" i="72"/>
  <c r="E104" i="53"/>
  <c r="F140" i="53"/>
  <c r="F55" i="53"/>
  <c r="F60" i="53" s="1"/>
  <c r="G130" i="58"/>
  <c r="G128" i="58"/>
  <c r="G30" i="58" s="1"/>
  <c r="G127" i="58"/>
  <c r="G21" i="58" s="1"/>
  <c r="D99" i="52"/>
  <c r="B115" i="55"/>
  <c r="B113" i="55"/>
  <c r="B119" i="55"/>
  <c r="F46" i="72"/>
  <c r="F103" i="53"/>
  <c r="G140" i="53"/>
  <c r="G55" i="53"/>
  <c r="G60" i="53" s="1"/>
  <c r="E94" i="99"/>
  <c r="C94" i="99"/>
  <c r="C49" i="84"/>
  <c r="D94" i="99"/>
  <c r="B94" i="99"/>
  <c r="D16" i="76"/>
  <c r="B16" i="76"/>
  <c r="E16" i="76" s="1"/>
  <c r="C16" i="76"/>
  <c r="F8" i="77"/>
  <c r="F96" i="58"/>
  <c r="F37" i="50"/>
  <c r="F18" i="47"/>
  <c r="F20" i="47" s="1"/>
  <c r="F40" i="51"/>
  <c r="E56" i="50"/>
  <c r="B92" i="73"/>
  <c r="B127" i="53"/>
  <c r="B21" i="53" s="1"/>
  <c r="B130" i="53"/>
  <c r="B128" i="53"/>
  <c r="B30" i="53" s="1"/>
  <c r="B48" i="72" s="1"/>
  <c r="B30" i="20"/>
  <c r="D61" i="20"/>
  <c r="F49" i="20"/>
  <c r="D8" i="21"/>
  <c r="G40" i="21"/>
  <c r="G8" i="41"/>
  <c r="H108" i="56"/>
  <c r="H11" i="74"/>
  <c r="B40" i="40"/>
  <c r="F29" i="40"/>
  <c r="G11" i="41"/>
  <c r="G118" i="57"/>
  <c r="G121" i="57" s="1"/>
  <c r="G22" i="42"/>
  <c r="B12" i="45"/>
  <c r="F40" i="45"/>
  <c r="B22" i="47"/>
  <c r="D11" i="51"/>
  <c r="D36" i="50"/>
  <c r="D7" i="50"/>
  <c r="C11" i="51"/>
  <c r="D34" i="50"/>
  <c r="D27" i="51"/>
  <c r="D60" i="50"/>
  <c r="D46" i="50"/>
  <c r="F8" i="51"/>
  <c r="F94" i="58"/>
  <c r="F11" i="47"/>
  <c r="D109" i="58"/>
  <c r="D120" i="58" s="1"/>
  <c r="D31" i="50"/>
  <c r="G38" i="51"/>
  <c r="G35" i="52"/>
  <c r="G40" i="52" s="1"/>
  <c r="B47" i="77"/>
  <c r="B104" i="58"/>
  <c r="G11" i="73"/>
  <c r="G108" i="52"/>
  <c r="E34" i="20"/>
  <c r="B22" i="37"/>
  <c r="F8" i="74"/>
  <c r="F96" i="56"/>
  <c r="G11" i="37"/>
  <c r="C11" i="74"/>
  <c r="C108" i="56"/>
  <c r="H52" i="38"/>
  <c r="B41" i="40"/>
  <c r="C13" i="40"/>
  <c r="E29" i="40"/>
  <c r="F30" i="40"/>
  <c r="G46" i="40"/>
  <c r="G60" i="40"/>
  <c r="D21" i="41"/>
  <c r="H36" i="45"/>
  <c r="H7" i="45"/>
  <c r="C54" i="45"/>
  <c r="D14" i="45"/>
  <c r="F41" i="45"/>
  <c r="F55" i="45"/>
  <c r="D38" i="46"/>
  <c r="D34" i="47"/>
  <c r="G36" i="50"/>
  <c r="G7" i="50"/>
  <c r="B26" i="51"/>
  <c r="G34" i="50"/>
  <c r="G11" i="51"/>
  <c r="G46" i="50"/>
  <c r="B40" i="51"/>
  <c r="F103" i="52"/>
  <c r="F46" i="73"/>
  <c r="C130" i="56"/>
  <c r="C127" i="56"/>
  <c r="C128" i="56"/>
  <c r="C30" i="56" s="1"/>
  <c r="F40" i="58"/>
  <c r="G52" i="18"/>
  <c r="E7" i="20"/>
  <c r="E36" i="20"/>
  <c r="E30" i="40"/>
  <c r="D29" i="45"/>
  <c r="D61" i="45"/>
  <c r="C11" i="77"/>
  <c r="C108" i="58"/>
  <c r="C45" i="50"/>
  <c r="C30" i="50"/>
  <c r="C29" i="50"/>
  <c r="D61" i="50"/>
  <c r="D40" i="50"/>
  <c r="C46" i="73"/>
  <c r="C103" i="52"/>
  <c r="E130" i="52"/>
  <c r="E128" i="52"/>
  <c r="E30" i="52" s="1"/>
  <c r="E48" i="73" s="1"/>
  <c r="E127" i="52"/>
  <c r="E21" i="52" s="1"/>
  <c r="F47" i="73"/>
  <c r="F104" i="52"/>
  <c r="D35" i="53"/>
  <c r="D40" i="53" s="1"/>
  <c r="D16" i="53"/>
  <c r="E130" i="53"/>
  <c r="E128" i="53"/>
  <c r="E30" i="53" s="1"/>
  <c r="E48" i="72" s="1"/>
  <c r="E127" i="53"/>
  <c r="H104" i="53"/>
  <c r="H47" i="72"/>
  <c r="G47" i="78"/>
  <c r="G104" i="54"/>
  <c r="H46" i="78"/>
  <c r="H103" i="54"/>
  <c r="G8" i="73"/>
  <c r="G96" i="52"/>
  <c r="F94" i="56"/>
  <c r="F8" i="41"/>
  <c r="B22" i="17"/>
  <c r="F8" i="73"/>
  <c r="F96" i="52"/>
  <c r="G11" i="17"/>
  <c r="D35" i="61"/>
  <c r="D52" i="61" s="1"/>
  <c r="B108" i="52"/>
  <c r="B11" i="73"/>
  <c r="D7" i="20"/>
  <c r="D36" i="20"/>
  <c r="F11" i="37"/>
  <c r="H22" i="37"/>
  <c r="G11" i="74"/>
  <c r="G108" i="56"/>
  <c r="G38" i="41"/>
  <c r="C29" i="40"/>
  <c r="C44" i="40"/>
  <c r="C8" i="41"/>
  <c r="B11" i="42"/>
  <c r="C118" i="57"/>
  <c r="C121" i="57" s="1"/>
  <c r="C22" i="42"/>
  <c r="D34" i="42"/>
  <c r="D27" i="46"/>
  <c r="D60" i="45"/>
  <c r="D46" i="45"/>
  <c r="D11" i="76"/>
  <c r="D108" i="57"/>
  <c r="H108" i="57"/>
  <c r="H11" i="76"/>
  <c r="F39" i="44"/>
  <c r="C56" i="45"/>
  <c r="D30" i="45"/>
  <c r="F12" i="45"/>
  <c r="F11" i="46"/>
  <c r="G37" i="37"/>
  <c r="C52" i="48"/>
  <c r="E21" i="48"/>
  <c r="E27" i="58" s="1"/>
  <c r="H39" i="50"/>
  <c r="H49" i="50"/>
  <c r="B39" i="49"/>
  <c r="D39" i="49"/>
  <c r="C18" i="51" s="1"/>
  <c r="H45" i="50"/>
  <c r="E16" i="53"/>
  <c r="E35" i="53"/>
  <c r="E40" i="53" s="1"/>
  <c r="B130" i="56"/>
  <c r="B128" i="56"/>
  <c r="B30" i="56" s="1"/>
  <c r="B48" i="74" s="1"/>
  <c r="B127" i="56"/>
  <c r="B21" i="56" s="1"/>
  <c r="H140" i="58"/>
  <c r="H55" i="58"/>
  <c r="H60" i="58" s="1"/>
  <c r="H104" i="52"/>
  <c r="B27" i="51"/>
  <c r="D47" i="52"/>
  <c r="F128" i="53"/>
  <c r="F30" i="53" s="1"/>
  <c r="F48" i="72" s="1"/>
  <c r="F127" i="53"/>
  <c r="F21" i="53" s="1"/>
  <c r="F130" i="53"/>
  <c r="H128" i="55"/>
  <c r="H30" i="55" s="1"/>
  <c r="H48" i="75" s="1"/>
  <c r="H130" i="55"/>
  <c r="H127" i="55"/>
  <c r="B90" i="74"/>
  <c r="C49" i="82"/>
  <c r="E96" i="56"/>
  <c r="C116" i="56"/>
  <c r="C114" i="56"/>
  <c r="F116" i="55"/>
  <c r="F113" i="55"/>
  <c r="F127" i="54"/>
  <c r="F21" i="54" s="1"/>
  <c r="F130" i="54"/>
  <c r="F128" i="54"/>
  <c r="F30" i="54" s="1"/>
  <c r="F48" i="78" s="1"/>
  <c r="F11" i="74"/>
  <c r="F108" i="56"/>
  <c r="C47" i="40"/>
  <c r="C11" i="41"/>
  <c r="D34" i="45"/>
  <c r="E40" i="45"/>
  <c r="F46" i="45"/>
  <c r="C38" i="46"/>
  <c r="C96" i="58"/>
  <c r="C40" i="51"/>
  <c r="C8" i="77"/>
  <c r="E29" i="50"/>
  <c r="H12" i="50"/>
  <c r="E8" i="51"/>
  <c r="B47" i="54"/>
  <c r="F40" i="54"/>
  <c r="G130" i="54"/>
  <c r="G128" i="54"/>
  <c r="G30" i="54" s="1"/>
  <c r="G48" i="78" s="1"/>
  <c r="G127" i="54"/>
  <c r="E47" i="74"/>
  <c r="E104" i="56"/>
  <c r="H130" i="56"/>
  <c r="H128" i="56"/>
  <c r="H30" i="56" s="1"/>
  <c r="H48" i="74" s="1"/>
  <c r="H127" i="56"/>
  <c r="H21" i="56" s="1"/>
  <c r="B99" i="56"/>
  <c r="G39" i="50"/>
  <c r="G49" i="50"/>
  <c r="C54" i="50"/>
  <c r="E49" i="50"/>
  <c r="C130" i="52"/>
  <c r="C128" i="52"/>
  <c r="C30" i="52" s="1"/>
  <c r="C48" i="73" s="1"/>
  <c r="C127" i="52"/>
  <c r="C21" i="52" s="1"/>
  <c r="F16" i="52"/>
  <c r="F35" i="52"/>
  <c r="F40" i="52" s="1"/>
  <c r="F140" i="58"/>
  <c r="F55" i="58"/>
  <c r="F60" i="58" s="1"/>
  <c r="C6" i="40"/>
  <c r="C34" i="40"/>
  <c r="E37" i="40"/>
  <c r="F38" i="41"/>
  <c r="C11" i="76"/>
  <c r="C108" i="57"/>
  <c r="C45" i="45"/>
  <c r="C30" i="45"/>
  <c r="C29" i="45"/>
  <c r="D7" i="45"/>
  <c r="E12" i="45"/>
  <c r="E42" i="45"/>
  <c r="H14" i="45"/>
  <c r="H45" i="45"/>
  <c r="H118" i="58"/>
  <c r="H22" i="47"/>
  <c r="G21" i="48"/>
  <c r="G27" i="58" s="1"/>
  <c r="B40" i="50"/>
  <c r="C37" i="50"/>
  <c r="F59" i="50"/>
  <c r="C16" i="52"/>
  <c r="C35" i="52"/>
  <c r="C40" i="52" s="1"/>
  <c r="B80" i="54"/>
  <c r="B89" i="54" s="1"/>
  <c r="D47" i="54"/>
  <c r="F46" i="77"/>
  <c r="F103" i="58"/>
  <c r="G115" i="55"/>
  <c r="G119" i="55"/>
  <c r="G113" i="55"/>
  <c r="B8" i="74"/>
  <c r="B96" i="56"/>
  <c r="E108" i="56"/>
  <c r="E11" i="74"/>
  <c r="F36" i="45"/>
  <c r="F7" i="45"/>
  <c r="E39" i="44"/>
  <c r="B39" i="45"/>
  <c r="B8" i="77"/>
  <c r="B18" i="47"/>
  <c r="B20" i="47" s="1"/>
  <c r="B37" i="50"/>
  <c r="E11" i="77"/>
  <c r="E108" i="58"/>
  <c r="H11" i="77"/>
  <c r="H108" i="58"/>
  <c r="H29" i="50"/>
  <c r="H14" i="50"/>
  <c r="C72" i="58"/>
  <c r="C9" i="50"/>
  <c r="G140" i="52"/>
  <c r="G55" i="52"/>
  <c r="G60" i="52" s="1"/>
  <c r="B47" i="72"/>
  <c r="B104" i="53"/>
  <c r="C46" i="72"/>
  <c r="C103" i="53"/>
  <c r="D55" i="53"/>
  <c r="D60" i="53" s="1"/>
  <c r="D140" i="53"/>
  <c r="F130" i="56"/>
  <c r="F128" i="56"/>
  <c r="F30" i="56" s="1"/>
  <c r="F127" i="56"/>
  <c r="F21" i="56" s="1"/>
  <c r="D130" i="57"/>
  <c r="D127" i="57"/>
  <c r="D21" i="57" s="1"/>
  <c r="D128" i="57"/>
  <c r="D30" i="57" s="1"/>
  <c r="D48" i="76" s="1"/>
  <c r="F130" i="57"/>
  <c r="F128" i="57"/>
  <c r="F30" i="57" s="1"/>
  <c r="F48" i="76" s="1"/>
  <c r="F127" i="57"/>
  <c r="F21" i="57" s="1"/>
  <c r="C37" i="37"/>
  <c r="B94" i="58"/>
  <c r="B8" i="51"/>
  <c r="D22" i="47"/>
  <c r="E52" i="48"/>
  <c r="H52" i="48"/>
  <c r="B42" i="50"/>
  <c r="E38" i="51"/>
  <c r="B46" i="78"/>
  <c r="B103" i="54"/>
  <c r="C140" i="54"/>
  <c r="C55" i="54"/>
  <c r="C60" i="54" s="1"/>
  <c r="D47" i="75"/>
  <c r="D104" i="55"/>
  <c r="E46" i="75"/>
  <c r="E103" i="55"/>
  <c r="F55" i="55"/>
  <c r="F60" i="55" s="1"/>
  <c r="F140" i="55"/>
  <c r="D40" i="57"/>
  <c r="E46" i="77"/>
  <c r="E103" i="58"/>
  <c r="G94" i="56"/>
  <c r="E121" i="53"/>
  <c r="E119" i="53"/>
  <c r="F12" i="50"/>
  <c r="B40" i="53"/>
  <c r="B32" i="80"/>
  <c r="C130" i="53"/>
  <c r="C128" i="53"/>
  <c r="C30" i="53" s="1"/>
  <c r="C48" i="72" s="1"/>
  <c r="C127" i="53"/>
  <c r="F47" i="72"/>
  <c r="G46" i="72"/>
  <c r="G103" i="53"/>
  <c r="H55" i="53"/>
  <c r="H140" i="53"/>
  <c r="H130" i="54"/>
  <c r="H128" i="54"/>
  <c r="H30" i="54" s="1"/>
  <c r="H48" i="78" s="1"/>
  <c r="H127" i="54"/>
  <c r="H21" i="54" s="1"/>
  <c r="G46" i="76"/>
  <c r="C54" i="76" s="1"/>
  <c r="G103" i="57"/>
  <c r="D103" i="53"/>
  <c r="H114" i="52"/>
  <c r="C116" i="55"/>
  <c r="C114" i="55"/>
  <c r="F34" i="47"/>
  <c r="D11" i="77"/>
  <c r="D108" i="58"/>
  <c r="C39" i="50"/>
  <c r="F11" i="51"/>
  <c r="C55" i="52"/>
  <c r="E46" i="73"/>
  <c r="E103" i="52"/>
  <c r="F128" i="52"/>
  <c r="F30" i="52" s="1"/>
  <c r="F48" i="73" s="1"/>
  <c r="F130" i="52"/>
  <c r="F127" i="52"/>
  <c r="F55" i="52"/>
  <c r="D130" i="53"/>
  <c r="D127" i="53"/>
  <c r="D21" i="53" s="1"/>
  <c r="D128" i="53"/>
  <c r="D30" i="53" s="1"/>
  <c r="D48" i="72" s="1"/>
  <c r="G47" i="72"/>
  <c r="G104" i="53"/>
  <c r="H103" i="53"/>
  <c r="H46" i="72"/>
  <c r="H40" i="54"/>
  <c r="C130" i="57"/>
  <c r="C128" i="57"/>
  <c r="C30" i="57" s="1"/>
  <c r="C48" i="76" s="1"/>
  <c r="C127" i="57"/>
  <c r="G47" i="76"/>
  <c r="G104" i="57"/>
  <c r="G140" i="57"/>
  <c r="G55" i="57"/>
  <c r="G60" i="57" s="1"/>
  <c r="E47" i="58"/>
  <c r="D99" i="56"/>
  <c r="G116" i="53"/>
  <c r="G113" i="53"/>
  <c r="B108" i="58"/>
  <c r="D115" i="53"/>
  <c r="D113" i="53"/>
  <c r="D119" i="53"/>
  <c r="C119" i="55"/>
  <c r="H116" i="55"/>
  <c r="H114" i="55"/>
  <c r="G116" i="57"/>
  <c r="G114" i="57"/>
  <c r="F114" i="58"/>
  <c r="C47" i="75"/>
  <c r="E140" i="55"/>
  <c r="E55" i="55"/>
  <c r="E60" i="55" s="1"/>
  <c r="E40" i="56"/>
  <c r="G40" i="56"/>
  <c r="B46" i="77"/>
  <c r="B103" i="58"/>
  <c r="B140" i="58"/>
  <c r="B55" i="58"/>
  <c r="B60" i="58" s="1"/>
  <c r="G47" i="58"/>
  <c r="D103" i="55"/>
  <c r="H103" i="57"/>
  <c r="E114" i="52"/>
  <c r="E114" i="55"/>
  <c r="H116" i="58"/>
  <c r="H114" i="58"/>
  <c r="B16" i="74"/>
  <c r="E16" i="74" s="1"/>
  <c r="E77" i="74" s="1"/>
  <c r="D16" i="74"/>
  <c r="C16" i="74"/>
  <c r="B11" i="76"/>
  <c r="B108" i="57"/>
  <c r="B29" i="45"/>
  <c r="E8" i="77"/>
  <c r="E96" i="58"/>
  <c r="G11" i="77"/>
  <c r="G108" i="58"/>
  <c r="B14" i="50"/>
  <c r="D30" i="50"/>
  <c r="D45" i="50"/>
  <c r="H34" i="50"/>
  <c r="D46" i="73"/>
  <c r="D103" i="52"/>
  <c r="H130" i="52"/>
  <c r="H128" i="52"/>
  <c r="H30" i="52" s="1"/>
  <c r="H48" i="73" s="1"/>
  <c r="H127" i="52"/>
  <c r="H21" i="52" s="1"/>
  <c r="G40" i="53"/>
  <c r="H128" i="53"/>
  <c r="H30" i="53" s="1"/>
  <c r="H48" i="72" s="1"/>
  <c r="H127" i="53"/>
  <c r="H21" i="53" s="1"/>
  <c r="H130" i="53"/>
  <c r="D47" i="78"/>
  <c r="D104" i="54"/>
  <c r="E46" i="78"/>
  <c r="E103" i="54"/>
  <c r="F140" i="54"/>
  <c r="B130" i="55"/>
  <c r="B128" i="55"/>
  <c r="B30" i="55" s="1"/>
  <c r="B48" i="75" s="1"/>
  <c r="B127" i="55"/>
  <c r="F47" i="75"/>
  <c r="F104" i="55"/>
  <c r="G46" i="75"/>
  <c r="G103" i="55"/>
  <c r="H55" i="55"/>
  <c r="H60" i="55" s="1"/>
  <c r="H140" i="55"/>
  <c r="B54" i="74"/>
  <c r="E54" i="74" s="1"/>
  <c r="D140" i="58"/>
  <c r="D55" i="58"/>
  <c r="D60" i="58" s="1"/>
  <c r="H46" i="77"/>
  <c r="H103" i="58"/>
  <c r="B103" i="52"/>
  <c r="F113" i="53"/>
  <c r="B29" i="50"/>
  <c r="H7" i="50"/>
  <c r="H36" i="50"/>
  <c r="B130" i="54"/>
  <c r="B128" i="54"/>
  <c r="B30" i="54" s="1"/>
  <c r="B48" i="78" s="1"/>
  <c r="B127" i="54"/>
  <c r="B21" i="54" s="1"/>
  <c r="E47" i="78"/>
  <c r="F46" i="78"/>
  <c r="F103" i="54"/>
  <c r="G55" i="54"/>
  <c r="G60" i="54" s="1"/>
  <c r="G140" i="54"/>
  <c r="C130" i="55"/>
  <c r="C128" i="55"/>
  <c r="C30" i="55" s="1"/>
  <c r="C48" i="75" s="1"/>
  <c r="C127" i="55"/>
  <c r="C21" i="55" s="1"/>
  <c r="H103" i="55"/>
  <c r="H46" i="75"/>
  <c r="B104" i="56"/>
  <c r="C140" i="56"/>
  <c r="C55" i="56"/>
  <c r="C60" i="56" s="1"/>
  <c r="B40" i="58"/>
  <c r="H47" i="77"/>
  <c r="H104" i="58"/>
  <c r="B104" i="52"/>
  <c r="D104" i="52"/>
  <c r="G35" i="61"/>
  <c r="G52" i="61" s="1"/>
  <c r="G54" i="61" s="1"/>
  <c r="F119" i="54"/>
  <c r="C16" i="72"/>
  <c r="F11" i="76"/>
  <c r="F108" i="57"/>
  <c r="D8" i="77"/>
  <c r="D96" i="58"/>
  <c r="E11" i="47"/>
  <c r="G22" i="47"/>
  <c r="B52" i="48"/>
  <c r="B30" i="50"/>
  <c r="B45" i="50"/>
  <c r="C46" i="50"/>
  <c r="C60" i="50"/>
  <c r="H37" i="50"/>
  <c r="C26" i="51"/>
  <c r="B55" i="52"/>
  <c r="B46" i="72"/>
  <c r="B103" i="53"/>
  <c r="C55" i="53"/>
  <c r="C60" i="53" s="1"/>
  <c r="C140" i="53"/>
  <c r="E47" i="53"/>
  <c r="B16" i="54"/>
  <c r="C130" i="54"/>
  <c r="C128" i="54"/>
  <c r="C30" i="54" s="1"/>
  <c r="C48" i="78" s="1"/>
  <c r="C127" i="54"/>
  <c r="F104" i="54"/>
  <c r="F47" i="78"/>
  <c r="C47" i="74"/>
  <c r="C104" i="56"/>
  <c r="H128" i="57"/>
  <c r="H30" i="57" s="1"/>
  <c r="H127" i="57"/>
  <c r="H21" i="57" s="1"/>
  <c r="H130" i="57"/>
  <c r="B128" i="58"/>
  <c r="B30" i="58" s="1"/>
  <c r="B127" i="58"/>
  <c r="B130" i="58"/>
  <c r="C49" i="85"/>
  <c r="E103" i="53"/>
  <c r="G104" i="55"/>
  <c r="H35" i="61"/>
  <c r="H52" i="61" s="1"/>
  <c r="H54" i="61" s="1"/>
  <c r="F119" i="53"/>
  <c r="C17" i="72"/>
  <c r="B19" i="73"/>
  <c r="E19" i="73" s="1"/>
  <c r="D19" i="73"/>
  <c r="C19" i="73"/>
  <c r="B34" i="85"/>
  <c r="C51" i="85" s="1"/>
  <c r="E92" i="77"/>
  <c r="D92" i="77"/>
  <c r="G103" i="52"/>
  <c r="H96" i="58"/>
  <c r="E115" i="53"/>
  <c r="E113" i="53"/>
  <c r="F116" i="56"/>
  <c r="F114" i="56"/>
  <c r="B121" i="55"/>
  <c r="B120" i="55"/>
  <c r="C116" i="58"/>
  <c r="C114" i="58"/>
  <c r="E115" i="54"/>
  <c r="E119" i="54"/>
  <c r="E113" i="54"/>
  <c r="B127" i="52"/>
  <c r="B130" i="52"/>
  <c r="B128" i="52"/>
  <c r="B30" i="52" s="1"/>
  <c r="B48" i="73" s="1"/>
  <c r="D130" i="52"/>
  <c r="D128" i="52"/>
  <c r="D30" i="52" s="1"/>
  <c r="D48" i="73" s="1"/>
  <c r="D127" i="52"/>
  <c r="C47" i="72"/>
  <c r="G47" i="53"/>
  <c r="D130" i="54"/>
  <c r="D128" i="54"/>
  <c r="D30" i="54" s="1"/>
  <c r="D48" i="78" s="1"/>
  <c r="D127" i="54"/>
  <c r="D21" i="54" s="1"/>
  <c r="F130" i="55"/>
  <c r="F128" i="55"/>
  <c r="F30" i="55" s="1"/>
  <c r="F48" i="75" s="1"/>
  <c r="F127" i="55"/>
  <c r="F46" i="74"/>
  <c r="F103" i="56"/>
  <c r="G140" i="56"/>
  <c r="G55" i="56"/>
  <c r="G60" i="56" s="1"/>
  <c r="H46" i="74"/>
  <c r="H103" i="56"/>
  <c r="B47" i="76"/>
  <c r="E99" i="52"/>
  <c r="C104" i="55"/>
  <c r="G103" i="54"/>
  <c r="B113" i="53"/>
  <c r="B119" i="53"/>
  <c r="E120" i="53"/>
  <c r="F119" i="55"/>
  <c r="D26" i="70"/>
  <c r="D25" i="70"/>
  <c r="D23" i="70"/>
  <c r="D22" i="70"/>
  <c r="D19" i="70"/>
  <c r="B31" i="65"/>
  <c r="C98" i="93" s="1"/>
  <c r="B30" i="65"/>
  <c r="C97" i="93" s="1"/>
  <c r="B29" i="65"/>
  <c r="C96" i="93" s="1"/>
  <c r="B28" i="65"/>
  <c r="C95" i="93" s="1"/>
  <c r="B36" i="65"/>
  <c r="C103" i="93" s="1"/>
  <c r="B35" i="65"/>
  <c r="C102" i="93" s="1"/>
  <c r="B34" i="65"/>
  <c r="C101" i="93" s="1"/>
  <c r="B33" i="65"/>
  <c r="C100" i="93" s="1"/>
  <c r="B27" i="65"/>
  <c r="C94" i="93" s="1"/>
  <c r="D19" i="72"/>
  <c r="E11" i="76"/>
  <c r="E108" i="57"/>
  <c r="E37" i="50"/>
  <c r="E40" i="51"/>
  <c r="C49" i="81"/>
  <c r="G130" i="52"/>
  <c r="G128" i="52"/>
  <c r="G30" i="52" s="1"/>
  <c r="G48" i="73" s="1"/>
  <c r="G127" i="52"/>
  <c r="G21" i="52" s="1"/>
  <c r="D47" i="72"/>
  <c r="D40" i="54"/>
  <c r="E128" i="54"/>
  <c r="E30" i="54" s="1"/>
  <c r="E48" i="78" s="1"/>
  <c r="E127" i="54"/>
  <c r="E130" i="54"/>
  <c r="B47" i="55"/>
  <c r="G130" i="55"/>
  <c r="G128" i="55"/>
  <c r="G30" i="55" s="1"/>
  <c r="G48" i="75" s="1"/>
  <c r="G127" i="55"/>
  <c r="G21" i="55" s="1"/>
  <c r="E103" i="56"/>
  <c r="E46" i="74"/>
  <c r="E140" i="56"/>
  <c r="E55" i="56"/>
  <c r="E60" i="56" s="1"/>
  <c r="G47" i="74"/>
  <c r="H47" i="74"/>
  <c r="H104" i="56"/>
  <c r="H60" i="57"/>
  <c r="H56" i="57"/>
  <c r="H66" i="57" s="1"/>
  <c r="H68" i="57" s="1"/>
  <c r="H71" i="57" s="1"/>
  <c r="D47" i="76"/>
  <c r="D104" i="57"/>
  <c r="E127" i="58"/>
  <c r="E21" i="58" s="1"/>
  <c r="E130" i="58"/>
  <c r="E128" i="58"/>
  <c r="E30" i="58" s="1"/>
  <c r="E48" i="77" s="1"/>
  <c r="F99" i="56"/>
  <c r="C99" i="58"/>
  <c r="E114" i="53"/>
  <c r="H113" i="53"/>
  <c r="C115" i="55"/>
  <c r="C113" i="55"/>
  <c r="F120" i="55"/>
  <c r="B21" i="75"/>
  <c r="E21" i="75" s="1"/>
  <c r="D20" i="77"/>
  <c r="D20" i="78"/>
  <c r="G103" i="58"/>
  <c r="C104" i="54"/>
  <c r="H113" i="55"/>
  <c r="C26" i="67"/>
  <c r="C25" i="67"/>
  <c r="C24" i="67"/>
  <c r="C19" i="74"/>
  <c r="C21" i="75"/>
  <c r="B18" i="76"/>
  <c r="E18" i="76" s="1"/>
  <c r="C79" i="76" s="1"/>
  <c r="B21" i="78"/>
  <c r="E21" i="78" s="1"/>
  <c r="C21" i="78"/>
  <c r="C40" i="55"/>
  <c r="D130" i="55"/>
  <c r="D127" i="55"/>
  <c r="D128" i="55"/>
  <c r="D30" i="55" s="1"/>
  <c r="D48" i="75" s="1"/>
  <c r="G130" i="56"/>
  <c r="G127" i="56"/>
  <c r="G128" i="56"/>
  <c r="G30" i="56" s="1"/>
  <c r="B130" i="57"/>
  <c r="B128" i="57"/>
  <c r="B30" i="57" s="1"/>
  <c r="B127" i="57"/>
  <c r="B21" i="57" s="1"/>
  <c r="G104" i="58"/>
  <c r="C119" i="53"/>
  <c r="C18" i="76"/>
  <c r="D40" i="55"/>
  <c r="E130" i="55"/>
  <c r="E128" i="55"/>
  <c r="E30" i="55" s="1"/>
  <c r="E48" i="75" s="1"/>
  <c r="E127" i="55"/>
  <c r="E21" i="55" s="1"/>
  <c r="D47" i="74"/>
  <c r="G130" i="57"/>
  <c r="G128" i="57"/>
  <c r="G30" i="57" s="1"/>
  <c r="G48" i="76" s="1"/>
  <c r="G127" i="57"/>
  <c r="C47" i="77"/>
  <c r="F130" i="58"/>
  <c r="F128" i="58"/>
  <c r="F30" i="58" s="1"/>
  <c r="F127" i="58"/>
  <c r="G103" i="56"/>
  <c r="E113" i="55"/>
  <c r="F114" i="55"/>
  <c r="F114" i="54"/>
  <c r="C15" i="81"/>
  <c r="C79" i="81" s="1"/>
  <c r="C88" i="73"/>
  <c r="C76" i="73"/>
  <c r="C19" i="76"/>
  <c r="B19" i="76"/>
  <c r="E19" i="76" s="1"/>
  <c r="D19" i="76"/>
  <c r="C19" i="78"/>
  <c r="F47" i="74"/>
  <c r="D19" i="61"/>
  <c r="H19" i="61"/>
  <c r="C19" i="61"/>
  <c r="F19" i="61"/>
  <c r="O7" i="93"/>
  <c r="AN7" i="93"/>
  <c r="J7" i="93"/>
  <c r="H7" i="93"/>
  <c r="AD7" i="93"/>
  <c r="D130" i="56"/>
  <c r="D128" i="56"/>
  <c r="D30" i="56" s="1"/>
  <c r="D127" i="56"/>
  <c r="D21" i="56" s="1"/>
  <c r="E47" i="76"/>
  <c r="C127" i="58"/>
  <c r="C21" i="58" s="1"/>
  <c r="C130" i="58"/>
  <c r="C128" i="58"/>
  <c r="C30" i="58" s="1"/>
  <c r="H99" i="57"/>
  <c r="C20" i="73"/>
  <c r="C17" i="74"/>
  <c r="C76" i="74"/>
  <c r="C97" i="74"/>
  <c r="D17" i="76"/>
  <c r="C97" i="73"/>
  <c r="P7" i="93"/>
  <c r="P11" i="93" s="1"/>
  <c r="D56" i="54"/>
  <c r="D66" i="54" s="1"/>
  <c r="D68" i="54" s="1"/>
  <c r="D140" i="54"/>
  <c r="D55" i="55"/>
  <c r="D60" i="55" s="1"/>
  <c r="B54" i="75"/>
  <c r="E54" i="75" s="1"/>
  <c r="C55" i="55"/>
  <c r="C60" i="55" s="1"/>
  <c r="C140" i="55"/>
  <c r="F47" i="55"/>
  <c r="E55" i="57"/>
  <c r="E60" i="57" s="1"/>
  <c r="H130" i="58"/>
  <c r="H128" i="58"/>
  <c r="H30" i="58" s="1"/>
  <c r="H48" i="77" s="1"/>
  <c r="H127" i="58"/>
  <c r="D104" i="56"/>
  <c r="H99" i="56"/>
  <c r="H104" i="57"/>
  <c r="D103" i="54"/>
  <c r="G115" i="53"/>
  <c r="D26" i="64"/>
  <c r="D25" i="64"/>
  <c r="D24" i="64"/>
  <c r="D23" i="64"/>
  <c r="B20" i="69"/>
  <c r="C133" i="93" s="1"/>
  <c r="B19" i="69"/>
  <c r="C132" i="93" s="1"/>
  <c r="B16" i="69"/>
  <c r="C20" i="72"/>
  <c r="B20" i="72"/>
  <c r="E20" i="72" s="1"/>
  <c r="D18" i="72"/>
  <c r="C18" i="72"/>
  <c r="D16" i="75"/>
  <c r="G47" i="73"/>
  <c r="G128" i="53"/>
  <c r="G30" i="53" s="1"/>
  <c r="G48" i="72" s="1"/>
  <c r="G127" i="53"/>
  <c r="G21" i="53" s="1"/>
  <c r="G130" i="53"/>
  <c r="H47" i="54"/>
  <c r="B47" i="75"/>
  <c r="E130" i="56"/>
  <c r="E128" i="56"/>
  <c r="E30" i="56" s="1"/>
  <c r="E127" i="56"/>
  <c r="F47" i="76"/>
  <c r="C55" i="58"/>
  <c r="C60" i="58" s="1"/>
  <c r="D130" i="58"/>
  <c r="D128" i="58"/>
  <c r="D30" i="58" s="1"/>
  <c r="D48" i="77" s="1"/>
  <c r="D127" i="58"/>
  <c r="C103" i="58"/>
  <c r="D113" i="54"/>
  <c r="D119" i="54"/>
  <c r="D19" i="64"/>
  <c r="D21" i="72"/>
  <c r="C21" i="72"/>
  <c r="C19" i="72"/>
  <c r="B19" i="72"/>
  <c r="E19" i="72" s="1"/>
  <c r="D20" i="74"/>
  <c r="C20" i="74"/>
  <c r="B20" i="74"/>
  <c r="E20" i="74" s="1"/>
  <c r="D17" i="75"/>
  <c r="C17" i="75"/>
  <c r="B17" i="75"/>
  <c r="E17" i="75" s="1"/>
  <c r="E78" i="75" s="1"/>
  <c r="C16" i="77"/>
  <c r="C16" i="78"/>
  <c r="C59" i="74"/>
  <c r="G10" i="93"/>
  <c r="B47" i="74"/>
  <c r="B54" i="76"/>
  <c r="E54" i="76" s="1"/>
  <c r="D98" i="99"/>
  <c r="B98" i="99"/>
  <c r="C53" i="84"/>
  <c r="C98" i="99"/>
  <c r="E98" i="99"/>
  <c r="E128" i="57"/>
  <c r="E30" i="57" s="1"/>
  <c r="E48" i="76" s="1"/>
  <c r="E127" i="57"/>
  <c r="E130" i="57"/>
  <c r="C104" i="58"/>
  <c r="G113" i="54"/>
  <c r="C32" i="65"/>
  <c r="C31" i="65"/>
  <c r="C30" i="65"/>
  <c r="C29" i="65"/>
  <c r="C36" i="65"/>
  <c r="C35" i="65"/>
  <c r="D17" i="77"/>
  <c r="C17" i="77"/>
  <c r="D17" i="78"/>
  <c r="C17" i="78"/>
  <c r="P6" i="94"/>
  <c r="L6" i="94" s="1"/>
  <c r="F6" i="94"/>
  <c r="D6" i="94"/>
  <c r="B26" i="64"/>
  <c r="C90" i="93" s="1"/>
  <c r="B25" i="64"/>
  <c r="C89" i="93" s="1"/>
  <c r="C24" i="65"/>
  <c r="C16" i="69"/>
  <c r="C17" i="73"/>
  <c r="B17" i="73"/>
  <c r="E17" i="73" s="1"/>
  <c r="D19" i="75"/>
  <c r="B18" i="78"/>
  <c r="E18" i="78" s="1"/>
  <c r="D18" i="78"/>
  <c r="C88" i="74"/>
  <c r="C113" i="54"/>
  <c r="C119" i="54"/>
  <c r="F115" i="54"/>
  <c r="F113" i="54"/>
  <c r="B19" i="64"/>
  <c r="C27" i="65"/>
  <c r="B17" i="74"/>
  <c r="E17" i="74" s="1"/>
  <c r="D20" i="75"/>
  <c r="C19" i="75"/>
  <c r="C19" i="77"/>
  <c r="C23" i="64"/>
  <c r="C26" i="66"/>
  <c r="C20" i="77"/>
  <c r="B76" i="78"/>
  <c r="AA7" i="93"/>
  <c r="AA11" i="93" s="1"/>
  <c r="C7" i="93"/>
  <c r="D15" i="94"/>
  <c r="P42" i="94"/>
  <c r="L42" i="94" s="1"/>
  <c r="F42" i="94"/>
  <c r="D42" i="94"/>
  <c r="C24" i="64"/>
  <c r="B21" i="66"/>
  <c r="C27" i="66"/>
  <c r="B59" i="75"/>
  <c r="B15" i="83"/>
  <c r="B79" i="83" s="1"/>
  <c r="C24" i="78"/>
  <c r="B76" i="75"/>
  <c r="B15" i="86"/>
  <c r="B79" i="86" s="1"/>
  <c r="D31" i="94"/>
  <c r="P31" i="94"/>
  <c r="L31" i="94" s="1"/>
  <c r="F22" i="95"/>
  <c r="F21" i="95"/>
  <c r="F20" i="95"/>
  <c r="C28" i="66"/>
  <c r="D30" i="67"/>
  <c r="C24" i="75"/>
  <c r="E19" i="61"/>
  <c r="P17" i="94"/>
  <c r="L17" i="94" s="1"/>
  <c r="F17" i="94"/>
  <c r="D17" i="94"/>
  <c r="C20" i="76"/>
  <c r="AF7" i="93"/>
  <c r="AF11" i="93" s="1"/>
  <c r="B51" i="94"/>
  <c r="C24" i="77"/>
  <c r="C16" i="73"/>
  <c r="B20" i="78"/>
  <c r="E20" i="78" s="1"/>
  <c r="B88" i="74"/>
  <c r="F16" i="94"/>
  <c r="D16" i="94"/>
  <c r="P16" i="94"/>
  <c r="L16" i="94" s="1"/>
  <c r="J33" i="99"/>
  <c r="D21" i="67"/>
  <c r="B20" i="75"/>
  <c r="E20" i="75" s="1"/>
  <c r="C81" i="75" s="1"/>
  <c r="B17" i="76"/>
  <c r="E17" i="76" s="1"/>
  <c r="C20" i="78"/>
  <c r="B59" i="77"/>
  <c r="B76" i="77"/>
  <c r="C10" i="93"/>
  <c r="I19" i="61"/>
  <c r="I20" i="61"/>
  <c r="D5" i="94"/>
  <c r="P5" i="94"/>
  <c r="L5" i="94" s="1"/>
  <c r="F5" i="94"/>
  <c r="L38" i="94"/>
  <c r="C20" i="75"/>
  <c r="C17" i="76"/>
  <c r="B19" i="77"/>
  <c r="E19" i="77" s="1"/>
  <c r="B76" i="74"/>
  <c r="B97" i="73"/>
  <c r="B88" i="75"/>
  <c r="B15" i="85"/>
  <c r="B79" i="85" s="1"/>
  <c r="P18" i="94"/>
  <c r="L18" i="94" s="1"/>
  <c r="D18" i="94"/>
  <c r="C24" i="76"/>
  <c r="B59" i="78"/>
  <c r="B97" i="74"/>
  <c r="Q10" i="93"/>
  <c r="X10" i="93"/>
  <c r="G20" i="61"/>
  <c r="D40" i="94"/>
  <c r="P40" i="94"/>
  <c r="L40" i="94" s="1"/>
  <c r="F40" i="94"/>
  <c r="P14" i="94"/>
  <c r="L14" i="94" s="1"/>
  <c r="P27" i="94"/>
  <c r="L27" i="94" s="1"/>
  <c r="F51" i="94"/>
  <c r="C4" i="83"/>
  <c r="C4" i="84"/>
  <c r="E6" i="84" s="1" a="1"/>
  <c r="E6" i="84" s="1"/>
  <c r="B8" i="68" s="1"/>
  <c r="E30" i="68" s="1"/>
  <c r="H10" i="93"/>
  <c r="N7" i="93"/>
  <c r="N11" i="93" s="1"/>
  <c r="V7" i="93"/>
  <c r="V11" i="93" s="1"/>
  <c r="P7" i="94"/>
  <c r="L7" i="94" s="1"/>
  <c r="D14" i="94"/>
  <c r="P20" i="94"/>
  <c r="L20" i="94" s="1"/>
  <c r="D27" i="94"/>
  <c r="F30" i="94"/>
  <c r="D37" i="94"/>
  <c r="E20" i="61"/>
  <c r="D33" i="94"/>
  <c r="P33" i="94"/>
  <c r="L33" i="94" s="1"/>
  <c r="D138" i="53"/>
  <c r="P13" i="94"/>
  <c r="L13" i="94" s="1"/>
  <c r="F14" i="94"/>
  <c r="F27" i="94"/>
  <c r="P36" i="94"/>
  <c r="L36" i="94" s="1"/>
  <c r="D138" i="52"/>
  <c r="P30" i="94"/>
  <c r="L30" i="94" s="1"/>
  <c r="D26" i="94"/>
  <c r="P26" i="94"/>
  <c r="L26" i="94" s="1"/>
  <c r="P39" i="94"/>
  <c r="L39" i="94" s="1"/>
  <c r="G51" i="94"/>
  <c r="C52" i="84"/>
  <c r="D97" i="99"/>
  <c r="B97" i="99"/>
  <c r="AK7" i="93"/>
  <c r="G19" i="61"/>
  <c r="F10" i="94"/>
  <c r="D19" i="94"/>
  <c r="P19" i="94"/>
  <c r="L19" i="94" s="1"/>
  <c r="P32" i="94"/>
  <c r="L32" i="94" s="1"/>
  <c r="D39" i="94"/>
  <c r="C97" i="99"/>
  <c r="X7" i="93"/>
  <c r="F9" i="94"/>
  <c r="F13" i="94"/>
  <c r="P22" i="94"/>
  <c r="L22" i="94" s="1"/>
  <c r="F26" i="94"/>
  <c r="P35" i="94"/>
  <c r="L35" i="94" s="1"/>
  <c r="D138" i="58"/>
  <c r="E7" i="93"/>
  <c r="D12" i="94"/>
  <c r="P12" i="94"/>
  <c r="L12" i="94" s="1"/>
  <c r="P25" i="94"/>
  <c r="L25" i="94" s="1"/>
  <c r="F39" i="94"/>
  <c r="D138" i="54"/>
  <c r="T7" i="93"/>
  <c r="P15" i="94"/>
  <c r="L15" i="94" s="1"/>
  <c r="P28" i="94"/>
  <c r="L28" i="94" s="1"/>
  <c r="P41" i="94"/>
  <c r="L41" i="94" s="1"/>
  <c r="C4" i="80"/>
  <c r="E7" i="80" s="1" a="1"/>
  <c r="E7" i="80" s="1"/>
  <c r="P9" i="94"/>
  <c r="L9" i="94" s="1"/>
  <c r="P23" i="94"/>
  <c r="L23" i="94" s="1"/>
  <c r="P37" i="94"/>
  <c r="L37" i="94" s="1"/>
  <c r="P8" i="94"/>
  <c r="L8" i="94" s="1"/>
  <c r="P21" i="94"/>
  <c r="L21" i="94" s="1"/>
  <c r="D28" i="94"/>
  <c r="P34" i="94"/>
  <c r="L34" i="94" s="1"/>
  <c r="D41" i="94"/>
  <c r="C4" i="81"/>
  <c r="E7" i="81" s="1" a="1"/>
  <c r="E7" i="81" s="1"/>
  <c r="P11" i="94"/>
  <c r="L11" i="94" s="1"/>
  <c r="C4" i="82"/>
  <c r="E6" i="82" s="1" a="1"/>
  <c r="E6" i="82" s="1"/>
  <c r="B8" i="66" s="1"/>
  <c r="F45" i="66" s="1"/>
  <c r="E26" i="99"/>
  <c r="F32" i="99"/>
  <c r="B26" i="99"/>
  <c r="B46" i="98"/>
  <c r="C26" i="99"/>
  <c r="D23" i="99"/>
  <c r="K60" i="99" s="1"/>
  <c r="E23" i="99"/>
  <c r="E74" i="99" s="1"/>
  <c r="E16" i="75"/>
  <c r="D77" i="75" s="1"/>
  <c r="E20" i="76"/>
  <c r="E81" i="76" s="1"/>
  <c r="E16" i="72"/>
  <c r="F77" i="72" s="1"/>
  <c r="E18" i="72"/>
  <c r="D79" i="72" s="1"/>
  <c r="E16" i="77"/>
  <c r="D77" i="77" s="1"/>
  <c r="E18" i="75"/>
  <c r="E16" i="78"/>
  <c r="E19" i="78"/>
  <c r="E19" i="74"/>
  <c r="E20" i="77"/>
  <c r="C138" i="56"/>
  <c r="C138" i="55"/>
  <c r="C139" i="53"/>
  <c r="C139" i="52"/>
  <c r="C141" i="52" s="1"/>
  <c r="C142" i="52" s="1"/>
  <c r="C139" i="56"/>
  <c r="C139" i="55"/>
  <c r="C139" i="57"/>
  <c r="C141" i="57" s="1"/>
  <c r="C142" i="57" s="1"/>
  <c r="C139" i="58"/>
  <c r="C141" i="58" s="1"/>
  <c r="C142" i="58" s="1"/>
  <c r="C139" i="54"/>
  <c r="C138" i="53"/>
  <c r="C138" i="52"/>
  <c r="C138" i="57"/>
  <c r="C138" i="58"/>
  <c r="C138" i="54"/>
  <c r="B138" i="53"/>
  <c r="B138" i="52"/>
  <c r="B138" i="56"/>
  <c r="B138" i="55"/>
  <c r="B138" i="57"/>
  <c r="B138" i="58"/>
  <c r="B138" i="54"/>
  <c r="B139" i="53"/>
  <c r="B141" i="53" s="1"/>
  <c r="B142" i="53" s="1"/>
  <c r="B139" i="52"/>
  <c r="B141" i="52" s="1"/>
  <c r="B142" i="52" s="1"/>
  <c r="B139" i="56"/>
  <c r="B141" i="56" s="1"/>
  <c r="B142" i="56" s="1"/>
  <c r="B139" i="55"/>
  <c r="B141" i="55" s="1"/>
  <c r="B142" i="55" s="1"/>
  <c r="B139" i="57"/>
  <c r="B141" i="57" s="1"/>
  <c r="B142" i="57" s="1"/>
  <c r="B139" i="58"/>
  <c r="B139" i="54"/>
  <c r="B141" i="54" s="1"/>
  <c r="B142" i="54" s="1"/>
  <c r="F56" i="57"/>
  <c r="B14" i="99"/>
  <c r="G143" i="97"/>
  <c r="G20" i="105" s="1"/>
  <c r="C35" i="97"/>
  <c r="C17" i="105" s="1"/>
  <c r="E35" i="97"/>
  <c r="H35" i="97"/>
  <c r="F35" i="97"/>
  <c r="D35" i="97"/>
  <c r="G31" i="97"/>
  <c r="B35" i="97"/>
  <c r="B6" i="66"/>
  <c r="B8" i="83"/>
  <c r="B6" i="64"/>
  <c r="C8" i="83"/>
  <c r="D8" i="83"/>
  <c r="B8" i="84"/>
  <c r="C8" i="84"/>
  <c r="C52" i="61"/>
  <c r="C54" i="61" s="1"/>
  <c r="E52" i="61"/>
  <c r="E54" i="61" s="1"/>
  <c r="F52" i="61"/>
  <c r="F54" i="61" s="1"/>
  <c r="I52" i="61"/>
  <c r="I54" i="61" s="1"/>
  <c r="B8" i="95"/>
  <c r="E6" i="85" a="1"/>
  <c r="E6" i="85" s="1"/>
  <c r="B8" i="69" s="1"/>
  <c r="E30" i="69" s="1"/>
  <c r="E7" i="85" a="1"/>
  <c r="E7" i="85" s="1"/>
  <c r="E6" i="86" a="1"/>
  <c r="E6" i="86" s="1"/>
  <c r="B8" i="70" s="1"/>
  <c r="G111" i="78" s="1"/>
  <c r="E7" i="86" a="1"/>
  <c r="E7" i="86" s="1"/>
  <c r="AE7" i="93"/>
  <c r="AE11" i="93" s="1"/>
  <c r="AG7" i="93"/>
  <c r="M7" i="93"/>
  <c r="M11" i="93" s="1"/>
  <c r="Y7" i="93"/>
  <c r="Q7" i="93"/>
  <c r="AC7" i="93"/>
  <c r="AC11" i="93" s="1"/>
  <c r="D7" i="93"/>
  <c r="D11" i="93" s="1"/>
  <c r="R7" i="93"/>
  <c r="R11" i="93" s="1"/>
  <c r="AL7" i="93"/>
  <c r="AL11" i="93" s="1"/>
  <c r="AH7" i="93"/>
  <c r="AH11" i="93" s="1"/>
  <c r="F7" i="93"/>
  <c r="B7" i="93"/>
  <c r="L7" i="93"/>
  <c r="L11" i="93" s="1"/>
  <c r="U7" i="93"/>
  <c r="AM7" i="93"/>
  <c r="AB7" i="93"/>
  <c r="I7" i="93"/>
  <c r="AI7" i="93"/>
  <c r="S7" i="93"/>
  <c r="S11" i="93" s="1"/>
  <c r="AJ7" i="93"/>
  <c r="G7" i="93"/>
  <c r="W7" i="93"/>
  <c r="W11" i="93" s="1"/>
  <c r="F34" i="61"/>
  <c r="B39" i="83"/>
  <c r="G34" i="61"/>
  <c r="B39" i="84"/>
  <c r="B39" i="82"/>
  <c r="E34" i="61"/>
  <c r="D34" i="61"/>
  <c r="B39" i="81"/>
  <c r="B39" i="80"/>
  <c r="C34" i="61"/>
  <c r="B39" i="86"/>
  <c r="H31" i="97" s="1"/>
  <c r="I34" i="61"/>
  <c r="H34" i="61"/>
  <c r="B41" i="85"/>
  <c r="H28" i="61"/>
  <c r="B8" i="61"/>
  <c r="B9" i="61" s="1"/>
  <c r="H40" i="55"/>
  <c r="E40" i="55"/>
  <c r="F40" i="55"/>
  <c r="B56" i="55"/>
  <c r="B35" i="55"/>
  <c r="F56" i="55"/>
  <c r="F66" i="55" s="1"/>
  <c r="F68" i="55" s="1"/>
  <c r="E40" i="54"/>
  <c r="B35" i="54"/>
  <c r="B32" i="86" s="1"/>
  <c r="G47" i="54"/>
  <c r="E56" i="54"/>
  <c r="F16" i="53"/>
  <c r="C16" i="53"/>
  <c r="C35" i="53"/>
  <c r="C40" i="53" s="1"/>
  <c r="H60" i="53"/>
  <c r="H56" i="53"/>
  <c r="H40" i="53"/>
  <c r="F35" i="53"/>
  <c r="F40" i="53" s="1"/>
  <c r="G40" i="58"/>
  <c r="E40" i="58"/>
  <c r="H16" i="58"/>
  <c r="B16" i="58"/>
  <c r="C16" i="58"/>
  <c r="D16" i="58"/>
  <c r="E16" i="58"/>
  <c r="F16" i="58"/>
  <c r="G16" i="58"/>
  <c r="B40" i="57"/>
  <c r="B55" i="57"/>
  <c r="B60" i="57" s="1"/>
  <c r="H16" i="57"/>
  <c r="D55" i="57"/>
  <c r="D60" i="57" s="1"/>
  <c r="C16" i="57"/>
  <c r="D16" i="57"/>
  <c r="E16" i="57"/>
  <c r="B16" i="57"/>
  <c r="F16" i="57"/>
  <c r="G16" i="57"/>
  <c r="B56" i="56"/>
  <c r="H56" i="56"/>
  <c r="H60" i="56"/>
  <c r="B16" i="56"/>
  <c r="C16" i="56"/>
  <c r="D16" i="56"/>
  <c r="E16" i="56"/>
  <c r="H16" i="56"/>
  <c r="F16" i="56"/>
  <c r="G16" i="56"/>
  <c r="H16" i="55"/>
  <c r="C16" i="55"/>
  <c r="D16" i="55"/>
  <c r="E16" i="55"/>
  <c r="F16" i="55"/>
  <c r="G16" i="55"/>
  <c r="G40" i="54"/>
  <c r="B60" i="54"/>
  <c r="D58" i="54"/>
  <c r="D62" i="54" s="1"/>
  <c r="D63" i="54" s="1"/>
  <c r="B66" i="54"/>
  <c r="B68" i="54" s="1"/>
  <c r="H16" i="54"/>
  <c r="H56" i="54"/>
  <c r="C16" i="54"/>
  <c r="D16" i="54"/>
  <c r="E16" i="54"/>
  <c r="F16" i="54"/>
  <c r="G16" i="54"/>
  <c r="E56" i="53"/>
  <c r="G16" i="53"/>
  <c r="H16" i="53"/>
  <c r="B55" i="53"/>
  <c r="B60" i="53" s="1"/>
  <c r="B16" i="53"/>
  <c r="E18" i="41" l="1"/>
  <c r="B6" i="65"/>
  <c r="C233" i="97"/>
  <c r="C234" i="97" s="1"/>
  <c r="C236" i="97" s="1"/>
  <c r="H48" i="76"/>
  <c r="B31" i="45"/>
  <c r="B34" i="81"/>
  <c r="C51" i="81" s="1"/>
  <c r="G75" i="99"/>
  <c r="B6" i="67"/>
  <c r="E233" i="97"/>
  <c r="E234" i="97" s="1"/>
  <c r="E236" i="97" s="1"/>
  <c r="D8" i="82"/>
  <c r="D233" i="97"/>
  <c r="D234" i="97" s="1"/>
  <c r="D236" i="97" s="1"/>
  <c r="D8" i="84"/>
  <c r="F233" i="97"/>
  <c r="F234" i="97" s="1"/>
  <c r="F236" i="97" s="1"/>
  <c r="B6" i="69"/>
  <c r="G233" i="97"/>
  <c r="G234" i="97" s="1"/>
  <c r="G236" i="97" s="1"/>
  <c r="B8" i="80"/>
  <c r="B233" i="97"/>
  <c r="B234" i="97" s="1"/>
  <c r="B236" i="97" s="1"/>
  <c r="C8" i="86"/>
  <c r="H233" i="97"/>
  <c r="H234" i="97" s="1"/>
  <c r="H236" i="97" s="1"/>
  <c r="C137" i="97"/>
  <c r="C142" i="97" s="1"/>
  <c r="C19" i="105" s="1"/>
  <c r="B137" i="97"/>
  <c r="B143" i="97" s="1"/>
  <c r="B20" i="105" s="1"/>
  <c r="H131" i="97"/>
  <c r="G131" i="97"/>
  <c r="E131" i="97"/>
  <c r="H47" i="99"/>
  <c r="E143" i="97"/>
  <c r="E20" i="105" s="1"/>
  <c r="E16" i="105"/>
  <c r="F143" i="97"/>
  <c r="F20" i="105" s="1"/>
  <c r="F16" i="105"/>
  <c r="E33" i="99"/>
  <c r="F72" i="56"/>
  <c r="F31" i="45"/>
  <c r="B6" i="68"/>
  <c r="E92" i="72"/>
  <c r="E7" i="82" a="1"/>
  <c r="E7" i="82" s="1"/>
  <c r="F47" i="99"/>
  <c r="E31" i="40"/>
  <c r="B92" i="72"/>
  <c r="H143" i="97"/>
  <c r="H20" i="105" s="1"/>
  <c r="H16" i="105"/>
  <c r="D142" i="97"/>
  <c r="D19" i="105" s="1"/>
  <c r="D16" i="105"/>
  <c r="F56" i="53"/>
  <c r="C61" i="99"/>
  <c r="F92" i="72"/>
  <c r="E56" i="58"/>
  <c r="E66" i="58" s="1"/>
  <c r="E68" i="58" s="1"/>
  <c r="D61" i="99"/>
  <c r="D62" i="99" s="1"/>
  <c r="D63" i="99" s="1"/>
  <c r="AG11" i="93"/>
  <c r="H75" i="99"/>
  <c r="F9" i="40"/>
  <c r="E9" i="20"/>
  <c r="I61" i="99"/>
  <c r="E29" i="68"/>
  <c r="I33" i="99"/>
  <c r="G142" i="97"/>
  <c r="G19" i="105" s="1"/>
  <c r="G16" i="105"/>
  <c r="B83" i="97"/>
  <c r="B17" i="105"/>
  <c r="D83" i="97"/>
  <c r="D17" i="105"/>
  <c r="H83" i="97"/>
  <c r="H17" i="105"/>
  <c r="F83" i="97"/>
  <c r="F17" i="105"/>
  <c r="E83" i="97"/>
  <c r="E17" i="105"/>
  <c r="H152" i="53"/>
  <c r="H154" i="53"/>
  <c r="H155" i="53" s="1"/>
  <c r="G152" i="53"/>
  <c r="G154" i="53"/>
  <c r="G155" i="53" s="1"/>
  <c r="F154" i="53"/>
  <c r="F155" i="53" s="1"/>
  <c r="F152" i="53"/>
  <c r="D154" i="53"/>
  <c r="D155" i="53" s="1"/>
  <c r="D152" i="53"/>
  <c r="E28" i="61"/>
  <c r="D28" i="61"/>
  <c r="K47" i="99"/>
  <c r="E58" i="58"/>
  <c r="F44" i="66"/>
  <c r="C8" i="82"/>
  <c r="E75" i="99"/>
  <c r="H61" i="99"/>
  <c r="F61" i="99"/>
  <c r="E92" i="74"/>
  <c r="H56" i="52"/>
  <c r="H66" i="52" s="1"/>
  <c r="H68" i="52" s="1"/>
  <c r="H71" i="52" s="1"/>
  <c r="H73" i="52" s="1"/>
  <c r="C28" i="61"/>
  <c r="D47" i="99"/>
  <c r="I47" i="99"/>
  <c r="B61" i="99"/>
  <c r="G33" i="99"/>
  <c r="C75" i="99"/>
  <c r="B8" i="86"/>
  <c r="E8" i="86" s="1" a="1"/>
  <c r="E8" i="86" s="1"/>
  <c r="C70" i="86" s="1"/>
  <c r="F75" i="99"/>
  <c r="E47" i="99"/>
  <c r="J75" i="99"/>
  <c r="D90" i="74"/>
  <c r="B34" i="80"/>
  <c r="C51" i="80" s="1"/>
  <c r="K11" i="93"/>
  <c r="H33" i="99"/>
  <c r="C47" i="99"/>
  <c r="B75" i="99"/>
  <c r="D8" i="85"/>
  <c r="G47" i="99"/>
  <c r="G61" i="99"/>
  <c r="I75" i="99"/>
  <c r="H22" i="52"/>
  <c r="D18" i="41"/>
  <c r="B6" i="70"/>
  <c r="E61" i="99"/>
  <c r="B8" i="82"/>
  <c r="E8" i="82" s="1" a="1"/>
  <c r="E8" i="82" s="1"/>
  <c r="D8" i="86"/>
  <c r="K61" i="99"/>
  <c r="D33" i="99"/>
  <c r="AD11" i="93"/>
  <c r="B92" i="76"/>
  <c r="D111" i="74"/>
  <c r="J61" i="99"/>
  <c r="B33" i="99"/>
  <c r="G56" i="58"/>
  <c r="G58" i="58" s="1"/>
  <c r="G62" i="58" s="1"/>
  <c r="G63" i="58" s="1"/>
  <c r="K75" i="99"/>
  <c r="G56" i="55"/>
  <c r="G58" i="55" s="1"/>
  <c r="G62" i="55" s="1"/>
  <c r="G63" i="55" s="1"/>
  <c r="J47" i="99"/>
  <c r="C33" i="99"/>
  <c r="K33" i="99"/>
  <c r="F72" i="58"/>
  <c r="E92" i="76"/>
  <c r="AI11" i="93"/>
  <c r="Y11" i="93"/>
  <c r="AK11" i="93"/>
  <c r="D75" i="99"/>
  <c r="F33" i="99"/>
  <c r="J11" i="93"/>
  <c r="B18" i="41"/>
  <c r="C56" i="57"/>
  <c r="E92" i="73"/>
  <c r="D92" i="73"/>
  <c r="B48" i="77"/>
  <c r="B56" i="77" s="1"/>
  <c r="E56" i="77" s="1"/>
  <c r="C85" i="77" s="1"/>
  <c r="C92" i="73"/>
  <c r="B55" i="73"/>
  <c r="E55" i="73" s="1"/>
  <c r="D84" i="73" s="1"/>
  <c r="H73" i="57"/>
  <c r="C97" i="72"/>
  <c r="E45" i="66"/>
  <c r="E44" i="66" s="1"/>
  <c r="C48" i="77"/>
  <c r="J111" i="74"/>
  <c r="E6" i="80" a="1"/>
  <c r="E6" i="80" s="1"/>
  <c r="B8" i="64" s="1"/>
  <c r="G111" i="72" s="1"/>
  <c r="C31" i="45"/>
  <c r="B22" i="57"/>
  <c r="B22" i="56"/>
  <c r="B45" i="74" s="1"/>
  <c r="B92" i="74"/>
  <c r="F22" i="57"/>
  <c r="F31" i="57" s="1"/>
  <c r="G9" i="50"/>
  <c r="G129" i="58"/>
  <c r="G150" i="58" s="1"/>
  <c r="G151" i="58" s="1"/>
  <c r="C8" i="81"/>
  <c r="B54" i="73"/>
  <c r="E54" i="73" s="1"/>
  <c r="B83" i="73" s="1"/>
  <c r="G28" i="61"/>
  <c r="AB11" i="93"/>
  <c r="C129" i="55"/>
  <c r="D8" i="80"/>
  <c r="C46" i="99"/>
  <c r="F56" i="54"/>
  <c r="F80" i="54" s="1"/>
  <c r="F89" i="54" s="1"/>
  <c r="F18" i="41"/>
  <c r="F56" i="56"/>
  <c r="F66" i="56" s="1"/>
  <c r="F68" i="56" s="1"/>
  <c r="B48" i="76"/>
  <c r="B56" i="76" s="1"/>
  <c r="E56" i="76" s="1"/>
  <c r="I11" i="93"/>
  <c r="E66" i="52"/>
  <c r="E68" i="52" s="1"/>
  <c r="H22" i="56"/>
  <c r="H102" i="56" s="1"/>
  <c r="F28" i="61"/>
  <c r="AM11" i="93"/>
  <c r="F129" i="56"/>
  <c r="C8" i="85"/>
  <c r="B141" i="58"/>
  <c r="B142" i="58" s="1"/>
  <c r="B46" i="99"/>
  <c r="D92" i="74"/>
  <c r="D32" i="99"/>
  <c r="E62" i="58"/>
  <c r="E63" i="58" s="1"/>
  <c r="B129" i="56"/>
  <c r="B8" i="85"/>
  <c r="E8" i="85" s="1" a="1"/>
  <c r="E8" i="85" s="1"/>
  <c r="F70" i="85" s="1"/>
  <c r="G46" i="99"/>
  <c r="C92" i="74"/>
  <c r="E80" i="52"/>
  <c r="E89" i="52" s="1"/>
  <c r="B31" i="40"/>
  <c r="C77" i="77"/>
  <c r="B34" i="82"/>
  <c r="C51" i="82" s="1"/>
  <c r="F92" i="76"/>
  <c r="F11" i="93"/>
  <c r="E29" i="69"/>
  <c r="C8" i="80"/>
  <c r="C92" i="77"/>
  <c r="D92" i="76"/>
  <c r="B92" i="77"/>
  <c r="D56" i="56"/>
  <c r="D66" i="56" s="1"/>
  <c r="D68" i="56" s="1"/>
  <c r="C141" i="55"/>
  <c r="C142" i="55" s="1"/>
  <c r="B33" i="81"/>
  <c r="C50" i="81" s="1"/>
  <c r="D8" i="81"/>
  <c r="E48" i="74"/>
  <c r="C15" i="82"/>
  <c r="C79" i="82" s="1"/>
  <c r="E129" i="52"/>
  <c r="D109" i="57"/>
  <c r="D120" i="57" s="1"/>
  <c r="H9" i="20"/>
  <c r="C18" i="21"/>
  <c r="B129" i="53"/>
  <c r="F48" i="74"/>
  <c r="E90" i="74"/>
  <c r="E7" i="84" a="1"/>
  <c r="E7" i="84" s="1"/>
  <c r="B33" i="82"/>
  <c r="C50" i="82" s="1"/>
  <c r="B26" i="41"/>
  <c r="E22" i="58"/>
  <c r="E102" i="58" s="1"/>
  <c r="C141" i="54"/>
  <c r="C142" i="54" s="1"/>
  <c r="D9" i="40"/>
  <c r="C9" i="40"/>
  <c r="G56" i="56"/>
  <c r="G66" i="56" s="1"/>
  <c r="G68" i="56" s="1"/>
  <c r="B22" i="53"/>
  <c r="B102" i="53" s="1"/>
  <c r="F22" i="53"/>
  <c r="F31" i="53" s="1"/>
  <c r="F32" i="53" s="1"/>
  <c r="F143" i="53" s="1"/>
  <c r="C129" i="53"/>
  <c r="H22" i="53"/>
  <c r="H31" i="53" s="1"/>
  <c r="H78" i="53" s="1"/>
  <c r="H79" i="53" s="1"/>
  <c r="D22" i="57"/>
  <c r="D31" i="57" s="1"/>
  <c r="D72" i="56"/>
  <c r="D143" i="97"/>
  <c r="D20" i="105" s="1"/>
  <c r="H129" i="54"/>
  <c r="E18" i="51"/>
  <c r="B60" i="99"/>
  <c r="B62" i="99" s="1"/>
  <c r="B63" i="99" s="1"/>
  <c r="B111" i="74"/>
  <c r="F60" i="99"/>
  <c r="G32" i="99"/>
  <c r="F90" i="74"/>
  <c r="B34" i="84"/>
  <c r="D96" i="99" s="1"/>
  <c r="H111" i="74"/>
  <c r="B8" i="81"/>
  <c r="E8" i="81" s="1" a="1"/>
  <c r="E8" i="81" s="1"/>
  <c r="C32" i="99"/>
  <c r="I111" i="74"/>
  <c r="C129" i="58"/>
  <c r="J60" i="99"/>
  <c r="I32" i="99"/>
  <c r="I34" i="99" s="1"/>
  <c r="I35" i="99" s="1"/>
  <c r="F48" i="77"/>
  <c r="E8" i="80" a="1"/>
  <c r="E8" i="80" s="1"/>
  <c r="B110" i="80" s="1"/>
  <c r="D129" i="57"/>
  <c r="I60" i="99"/>
  <c r="I62" i="99" s="1"/>
  <c r="I63" i="99" s="1"/>
  <c r="B32" i="99"/>
  <c r="H34" i="99"/>
  <c r="H35" i="99" s="1"/>
  <c r="B31" i="20"/>
  <c r="C90" i="73"/>
  <c r="D129" i="56"/>
  <c r="D60" i="99"/>
  <c r="G48" i="74"/>
  <c r="D129" i="52"/>
  <c r="C18" i="46"/>
  <c r="C9" i="20"/>
  <c r="D9" i="45"/>
  <c r="G129" i="52"/>
  <c r="E77" i="77"/>
  <c r="O10" i="94"/>
  <c r="M10" i="94"/>
  <c r="C15" i="80"/>
  <c r="C79" i="80" s="1"/>
  <c r="N10" i="94"/>
  <c r="F7" i="40"/>
  <c r="C56" i="54"/>
  <c r="B84" i="54" s="1"/>
  <c r="D129" i="54"/>
  <c r="F22" i="54"/>
  <c r="F45" i="78" s="1"/>
  <c r="F46" i="99"/>
  <c r="E32" i="99"/>
  <c r="D27" i="41"/>
  <c r="E22" i="52"/>
  <c r="E31" i="52" s="1"/>
  <c r="E32" i="52" s="1"/>
  <c r="C21" i="41"/>
  <c r="D61" i="40"/>
  <c r="G109" i="58"/>
  <c r="G120" i="58" s="1"/>
  <c r="G31" i="50"/>
  <c r="B129" i="54"/>
  <c r="E22" i="55"/>
  <c r="E31" i="55" s="1"/>
  <c r="F53" i="61"/>
  <c r="E6" i="81" a="1"/>
  <c r="E6" i="81" s="1"/>
  <c r="B8" i="65" s="1"/>
  <c r="J111" i="73" s="1"/>
  <c r="K46" i="99"/>
  <c r="K48" i="99" s="1"/>
  <c r="K49" i="99" s="1"/>
  <c r="D54" i="74"/>
  <c r="G56" i="57"/>
  <c r="G80" i="57" s="1"/>
  <c r="G89" i="57" s="1"/>
  <c r="C24" i="41"/>
  <c r="D44" i="40"/>
  <c r="C20" i="41"/>
  <c r="D22" i="54"/>
  <c r="D102" i="54" s="1"/>
  <c r="C56" i="56"/>
  <c r="H58" i="57"/>
  <c r="H62" i="57" s="1"/>
  <c r="H63" i="57" s="1"/>
  <c r="E129" i="58"/>
  <c r="E56" i="57"/>
  <c r="E66" i="57" s="1"/>
  <c r="E68" i="57" s="1"/>
  <c r="H46" i="99"/>
  <c r="H48" i="99" s="1"/>
  <c r="H49" i="99" s="1"/>
  <c r="K32" i="99"/>
  <c r="C11" i="93"/>
  <c r="E72" i="58"/>
  <c r="H61" i="40"/>
  <c r="D30" i="41"/>
  <c r="E14" i="41"/>
  <c r="G9" i="40"/>
  <c r="C59" i="73"/>
  <c r="D24" i="73"/>
  <c r="G18" i="41"/>
  <c r="C141" i="56"/>
  <c r="C142" i="56" s="1"/>
  <c r="D13" i="40"/>
  <c r="E56" i="56"/>
  <c r="E80" i="56" s="1"/>
  <c r="E89" i="56" s="1"/>
  <c r="F56" i="58"/>
  <c r="E8" i="84" a="1"/>
  <c r="E8" i="84" s="1"/>
  <c r="F39" i="98" s="1"/>
  <c r="E46" i="99"/>
  <c r="D24" i="72"/>
  <c r="D76" i="72" s="1"/>
  <c r="B56" i="75"/>
  <c r="E56" i="75" s="1"/>
  <c r="D85" i="75" s="1"/>
  <c r="G48" i="77"/>
  <c r="C22" i="52"/>
  <c r="C102" i="52" s="1"/>
  <c r="C29" i="41"/>
  <c r="F61" i="40"/>
  <c r="E90" i="73"/>
  <c r="Q11" i="93"/>
  <c r="C56" i="53"/>
  <c r="C66" i="53" s="1"/>
  <c r="C68" i="53" s="1"/>
  <c r="D56" i="55"/>
  <c r="D66" i="55" s="1"/>
  <c r="D68" i="55" s="1"/>
  <c r="E129" i="55"/>
  <c r="J46" i="99"/>
  <c r="J48" i="99" s="1"/>
  <c r="J49" i="99" s="1"/>
  <c r="C76" i="72"/>
  <c r="D7" i="40"/>
  <c r="F18" i="51"/>
  <c r="D14" i="40"/>
  <c r="F90" i="73"/>
  <c r="D18" i="21"/>
  <c r="I46" i="99"/>
  <c r="C88" i="72"/>
  <c r="D90" i="73"/>
  <c r="D9" i="20"/>
  <c r="F129" i="54"/>
  <c r="G15" i="41"/>
  <c r="B21" i="77"/>
  <c r="E21" i="77" s="1"/>
  <c r="G56" i="53"/>
  <c r="F84" i="53" s="1"/>
  <c r="F22" i="56"/>
  <c r="F31" i="56" s="1"/>
  <c r="C56" i="55"/>
  <c r="C66" i="55" s="1"/>
  <c r="C68" i="55" s="1"/>
  <c r="H129" i="56"/>
  <c r="H60" i="99"/>
  <c r="J32" i="99"/>
  <c r="J34" i="99" s="1"/>
  <c r="J35" i="99" s="1"/>
  <c r="B56" i="72"/>
  <c r="E56" i="72" s="1"/>
  <c r="C85" i="72" s="1"/>
  <c r="C21" i="77"/>
  <c r="D81" i="72"/>
  <c r="F81" i="72"/>
  <c r="B81" i="72"/>
  <c r="B22" i="54"/>
  <c r="B102" i="54" s="1"/>
  <c r="H53" i="61"/>
  <c r="K111" i="74"/>
  <c r="G22" i="52"/>
  <c r="C141" i="53"/>
  <c r="C142" i="53" s="1"/>
  <c r="C14" i="41"/>
  <c r="H7" i="40"/>
  <c r="H72" i="58"/>
  <c r="H9" i="50"/>
  <c r="E142" i="97"/>
  <c r="E19" i="105" s="1"/>
  <c r="C56" i="58"/>
  <c r="C77" i="75"/>
  <c r="G129" i="53"/>
  <c r="C48" i="74"/>
  <c r="G37" i="41"/>
  <c r="C37" i="41"/>
  <c r="D11" i="40"/>
  <c r="C15" i="41"/>
  <c r="D8" i="40"/>
  <c r="D47" i="40"/>
  <c r="D10" i="40"/>
  <c r="D6" i="40"/>
  <c r="C16" i="41"/>
  <c r="D54" i="76"/>
  <c r="H9" i="40"/>
  <c r="D33" i="41"/>
  <c r="D78" i="72"/>
  <c r="D78" i="75"/>
  <c r="D54" i="75"/>
  <c r="D22" i="53"/>
  <c r="D102" i="53" s="1"/>
  <c r="H109" i="57"/>
  <c r="H120" i="57" s="1"/>
  <c r="H31" i="45"/>
  <c r="J74" i="99"/>
  <c r="B78" i="72"/>
  <c r="B74" i="99"/>
  <c r="B76" i="99" s="1"/>
  <c r="B77" i="99" s="1"/>
  <c r="G14" i="41"/>
  <c r="F14" i="41"/>
  <c r="Z11" i="93"/>
  <c r="E109" i="57"/>
  <c r="E120" i="57" s="1"/>
  <c r="E31" i="45"/>
  <c r="C32" i="41"/>
  <c r="D56" i="52"/>
  <c r="D60" i="52"/>
  <c r="C55" i="73"/>
  <c r="B77" i="72"/>
  <c r="F77" i="75"/>
  <c r="F58" i="55"/>
  <c r="F62" i="55" s="1"/>
  <c r="F63" i="55" s="1"/>
  <c r="D81" i="76"/>
  <c r="C111" i="74"/>
  <c r="B77" i="75"/>
  <c r="E77" i="75"/>
  <c r="D56" i="73"/>
  <c r="C109" i="56"/>
  <c r="C120" i="56" s="1"/>
  <c r="C31" i="40"/>
  <c r="D12" i="40"/>
  <c r="G18" i="51"/>
  <c r="E46" i="94"/>
  <c r="E94" i="97" s="1"/>
  <c r="M22" i="94"/>
  <c r="N22" i="94"/>
  <c r="O22" i="94"/>
  <c r="O41" i="94"/>
  <c r="N41" i="94"/>
  <c r="M41" i="94"/>
  <c r="O18" i="94"/>
  <c r="N18" i="94"/>
  <c r="M18" i="94"/>
  <c r="O28" i="94"/>
  <c r="N28" i="94"/>
  <c r="M28" i="94"/>
  <c r="N27" i="94"/>
  <c r="M27" i="94"/>
  <c r="O27" i="94"/>
  <c r="C56" i="78"/>
  <c r="B56" i="78"/>
  <c r="D56" i="78"/>
  <c r="M34" i="94"/>
  <c r="O34" i="94"/>
  <c r="N34" i="94"/>
  <c r="N15" i="94"/>
  <c r="O15" i="94"/>
  <c r="M15" i="94"/>
  <c r="O14" i="94"/>
  <c r="N14" i="94"/>
  <c r="M14" i="94"/>
  <c r="O42" i="94"/>
  <c r="N42" i="94"/>
  <c r="M42" i="94"/>
  <c r="E80" i="76"/>
  <c r="B80" i="76"/>
  <c r="C80" i="76"/>
  <c r="D80" i="76"/>
  <c r="F80" i="76"/>
  <c r="F58" i="56"/>
  <c r="F62" i="56" s="1"/>
  <c r="F63" i="56" s="1"/>
  <c r="O21" i="94"/>
  <c r="M21" i="94"/>
  <c r="N21" i="94"/>
  <c r="O40" i="94"/>
  <c r="N40" i="94"/>
  <c r="M40" i="94"/>
  <c r="O32" i="94"/>
  <c r="N32" i="94"/>
  <c r="M32" i="94"/>
  <c r="O25" i="94"/>
  <c r="N25" i="94"/>
  <c r="M25" i="94"/>
  <c r="O30" i="94"/>
  <c r="M30" i="94"/>
  <c r="N30" i="94"/>
  <c r="K62" i="99"/>
  <c r="K63" i="99" s="1"/>
  <c r="O31" i="94"/>
  <c r="N31" i="94"/>
  <c r="M31" i="94"/>
  <c r="D56" i="72"/>
  <c r="B32" i="83"/>
  <c r="B40" i="55"/>
  <c r="N19" i="94"/>
  <c r="O19" i="94"/>
  <c r="M19" i="94"/>
  <c r="M20" i="94"/>
  <c r="O20" i="94"/>
  <c r="N20" i="94"/>
  <c r="E83" i="76"/>
  <c r="D83" i="76"/>
  <c r="C83" i="76"/>
  <c r="N26" i="94"/>
  <c r="M26" i="94"/>
  <c r="O26" i="94"/>
  <c r="O36" i="94"/>
  <c r="N36" i="94"/>
  <c r="M36" i="94"/>
  <c r="B46" i="94"/>
  <c r="O7" i="94"/>
  <c r="N7" i="94"/>
  <c r="M7" i="94"/>
  <c r="O9" i="94"/>
  <c r="N9" i="94"/>
  <c r="M9" i="94"/>
  <c r="D54" i="61"/>
  <c r="D53" i="61"/>
  <c r="N5" i="94"/>
  <c r="O5" i="94"/>
  <c r="M5" i="94"/>
  <c r="C22" i="55"/>
  <c r="C31" i="55" s="1"/>
  <c r="N35" i="94"/>
  <c r="M35" i="94"/>
  <c r="O35" i="94"/>
  <c r="B129" i="55"/>
  <c r="B21" i="55"/>
  <c r="B22" i="55" s="1"/>
  <c r="B31" i="55" s="1"/>
  <c r="B32" i="55" s="1"/>
  <c r="B144" i="55" s="1"/>
  <c r="B146" i="55" s="1"/>
  <c r="E203" i="97" s="1"/>
  <c r="C97" i="76"/>
  <c r="C59" i="76"/>
  <c r="C15" i="84"/>
  <c r="C79" i="84" s="1"/>
  <c r="C76" i="76"/>
  <c r="C88" i="76"/>
  <c r="D24" i="76"/>
  <c r="C49" i="80"/>
  <c r="D22" i="56"/>
  <c r="D45" i="74" s="1"/>
  <c r="O39" i="94"/>
  <c r="M39" i="94"/>
  <c r="N39" i="94"/>
  <c r="B72" i="52"/>
  <c r="B18" i="21"/>
  <c r="B9" i="20"/>
  <c r="C129" i="52"/>
  <c r="C54" i="72"/>
  <c r="B54" i="72"/>
  <c r="E54" i="72" s="1"/>
  <c r="F83" i="72" s="1"/>
  <c r="D54" i="72"/>
  <c r="C81" i="76"/>
  <c r="D46" i="94"/>
  <c r="D94" i="97" s="1"/>
  <c r="O17" i="94"/>
  <c r="M17" i="94"/>
  <c r="N17" i="94"/>
  <c r="D55" i="74"/>
  <c r="C55" i="74"/>
  <c r="B55" i="74"/>
  <c r="E55" i="74" s="1"/>
  <c r="C84" i="74" s="1"/>
  <c r="G129" i="57"/>
  <c r="G21" i="57"/>
  <c r="G22" i="57" s="1"/>
  <c r="G102" i="57" s="1"/>
  <c r="E115" i="57"/>
  <c r="E119" i="57"/>
  <c r="E113" i="57"/>
  <c r="C56" i="73"/>
  <c r="B60" i="52"/>
  <c r="B56" i="52"/>
  <c r="D21" i="76"/>
  <c r="C21" i="76"/>
  <c r="B21" i="76"/>
  <c r="E21" i="76" s="1"/>
  <c r="D54" i="77"/>
  <c r="C54" i="77"/>
  <c r="B54" i="77"/>
  <c r="E54" i="77" s="1"/>
  <c r="G109" i="57"/>
  <c r="G120" i="57" s="1"/>
  <c r="G31" i="45"/>
  <c r="E109" i="52"/>
  <c r="E120" i="52" s="1"/>
  <c r="E31" i="20"/>
  <c r="E33" i="41"/>
  <c r="E10" i="40"/>
  <c r="D37" i="41"/>
  <c r="E16" i="41"/>
  <c r="E8" i="40"/>
  <c r="E6" i="40"/>
  <c r="E44" i="40"/>
  <c r="E30" i="41"/>
  <c r="E37" i="41"/>
  <c r="E61" i="40"/>
  <c r="E24" i="41"/>
  <c r="D15" i="41"/>
  <c r="E21" i="41"/>
  <c r="E13" i="40"/>
  <c r="E15" i="41"/>
  <c r="E11" i="40"/>
  <c r="E12" i="40"/>
  <c r="D16" i="41"/>
  <c r="E47" i="40"/>
  <c r="O23" i="94"/>
  <c r="N23" i="94"/>
  <c r="M23" i="94"/>
  <c r="O12" i="94"/>
  <c r="N12" i="94"/>
  <c r="M12" i="94"/>
  <c r="C92" i="75"/>
  <c r="B34" i="83"/>
  <c r="C51" i="83" s="1"/>
  <c r="F92" i="75"/>
  <c r="E92" i="75"/>
  <c r="B92" i="75"/>
  <c r="D92" i="75"/>
  <c r="C60" i="52"/>
  <c r="C56" i="52"/>
  <c r="C54" i="78"/>
  <c r="B54" i="78"/>
  <c r="E54" i="78" s="1"/>
  <c r="E83" i="78" s="1"/>
  <c r="D54" i="78"/>
  <c r="G56" i="52"/>
  <c r="B92" i="78"/>
  <c r="C92" i="78"/>
  <c r="B34" i="86"/>
  <c r="C51" i="86" s="1"/>
  <c r="F92" i="78"/>
  <c r="E92" i="78"/>
  <c r="D92" i="78"/>
  <c r="F18" i="46"/>
  <c r="F72" i="57"/>
  <c r="F9" i="45"/>
  <c r="G115" i="57"/>
  <c r="G113" i="57"/>
  <c r="G119" i="57"/>
  <c r="F72" i="52"/>
  <c r="F9" i="20"/>
  <c r="F18" i="21"/>
  <c r="H115" i="52"/>
  <c r="H113" i="52"/>
  <c r="H119" i="52"/>
  <c r="E7" i="83" a="1"/>
  <c r="E7" i="83" s="1"/>
  <c r="B90" i="76"/>
  <c r="B33" i="84"/>
  <c r="F66" i="94" s="1"/>
  <c r="F90" i="76"/>
  <c r="E90" i="76"/>
  <c r="C90" i="76"/>
  <c r="D90" i="76"/>
  <c r="F34" i="99"/>
  <c r="F35" i="99" s="1"/>
  <c r="G72" i="57"/>
  <c r="G18" i="46"/>
  <c r="G9" i="45"/>
  <c r="N33" i="94"/>
  <c r="M33" i="94"/>
  <c r="O33" i="94"/>
  <c r="D90" i="77"/>
  <c r="B33" i="85"/>
  <c r="G66" i="94" s="1"/>
  <c r="F90" i="77"/>
  <c r="B90" i="77"/>
  <c r="E90" i="77"/>
  <c r="C90" i="77"/>
  <c r="H129" i="53"/>
  <c r="H142" i="97"/>
  <c r="H19" i="105" s="1"/>
  <c r="F129" i="53"/>
  <c r="X11" i="93"/>
  <c r="G18" i="61"/>
  <c r="G21" i="61" s="1"/>
  <c r="G22" i="61" s="1"/>
  <c r="G23" i="61" s="1"/>
  <c r="N11" i="94"/>
  <c r="M11" i="94"/>
  <c r="O11" i="94"/>
  <c r="B40" i="54"/>
  <c r="B45" i="66"/>
  <c r="B44" i="66" s="1"/>
  <c r="B9" i="66" s="1"/>
  <c r="E111" i="74"/>
  <c r="D129" i="53"/>
  <c r="D21" i="52"/>
  <c r="D22" i="52" s="1"/>
  <c r="D102" i="52" s="1"/>
  <c r="G74" i="99"/>
  <c r="G76" i="99" s="1"/>
  <c r="G77" i="99" s="1"/>
  <c r="D34" i="99"/>
  <c r="D35" i="99" s="1"/>
  <c r="B81" i="73"/>
  <c r="N29" i="94"/>
  <c r="O29" i="94"/>
  <c r="M29" i="94"/>
  <c r="F46" i="94"/>
  <c r="F94" i="97" s="1"/>
  <c r="C54" i="75"/>
  <c r="C54" i="73"/>
  <c r="E9" i="45"/>
  <c r="E72" i="57"/>
  <c r="E18" i="46"/>
  <c r="F115" i="56"/>
  <c r="F113" i="56"/>
  <c r="F119" i="56"/>
  <c r="G115" i="52"/>
  <c r="G113" i="52"/>
  <c r="G119" i="52"/>
  <c r="E27" i="41"/>
  <c r="D18" i="46"/>
  <c r="N13" i="94"/>
  <c r="M13" i="94"/>
  <c r="O13" i="94"/>
  <c r="O8" i="94"/>
  <c r="M8" i="94"/>
  <c r="N8" i="94"/>
  <c r="E6" i="83" a="1"/>
  <c r="E6" i="83" s="1"/>
  <c r="B8" i="67" s="1"/>
  <c r="G111" i="75" s="1"/>
  <c r="F113" i="57"/>
  <c r="F115" i="57"/>
  <c r="F119" i="57"/>
  <c r="C129" i="57"/>
  <c r="C21" i="57"/>
  <c r="C22" i="57" s="1"/>
  <c r="C78" i="75"/>
  <c r="C56" i="75"/>
  <c r="B119" i="57"/>
  <c r="B115" i="57"/>
  <c r="B113" i="57"/>
  <c r="D18" i="77"/>
  <c r="C18" i="77"/>
  <c r="B18" i="77"/>
  <c r="E18" i="77" s="1"/>
  <c r="C79" i="77" s="1"/>
  <c r="G22" i="58"/>
  <c r="H129" i="57"/>
  <c r="H80" i="54"/>
  <c r="H89" i="54" s="1"/>
  <c r="B56" i="58"/>
  <c r="F111" i="74"/>
  <c r="B109" i="82" s="1"/>
  <c r="B129" i="57"/>
  <c r="B150" i="57" s="1"/>
  <c r="B151" i="57" s="1"/>
  <c r="B154" i="57" s="1"/>
  <c r="B155" i="57" s="1"/>
  <c r="C21" i="53"/>
  <c r="C22" i="53" s="1"/>
  <c r="I48" i="99"/>
  <c r="I49" i="99" s="1"/>
  <c r="C74" i="99"/>
  <c r="D78" i="78"/>
  <c r="H80" i="57"/>
  <c r="H89" i="57" s="1"/>
  <c r="E129" i="54"/>
  <c r="E21" i="54"/>
  <c r="E22" i="54" s="1"/>
  <c r="F129" i="55"/>
  <c r="F21" i="55"/>
  <c r="F22" i="55" s="1"/>
  <c r="F45" i="75" s="1"/>
  <c r="D55" i="73"/>
  <c r="C54" i="74"/>
  <c r="D54" i="73"/>
  <c r="E56" i="55"/>
  <c r="E84" i="55" s="1"/>
  <c r="B115" i="58"/>
  <c r="B119" i="58"/>
  <c r="B113" i="58"/>
  <c r="C120" i="57"/>
  <c r="H119" i="57"/>
  <c r="H113" i="57"/>
  <c r="H115" i="57"/>
  <c r="E113" i="52"/>
  <c r="E115" i="52"/>
  <c r="E119" i="52"/>
  <c r="E18" i="21"/>
  <c r="D18" i="74"/>
  <c r="C18" i="74"/>
  <c r="B18" i="74"/>
  <c r="E18" i="74" s="1"/>
  <c r="C79" i="74" s="1"/>
  <c r="O24" i="94"/>
  <c r="M24" i="94"/>
  <c r="N24" i="94"/>
  <c r="F129" i="58"/>
  <c r="F21" i="58"/>
  <c r="F22" i="58" s="1"/>
  <c r="F129" i="52"/>
  <c r="F21" i="52"/>
  <c r="F22" i="52" s="1"/>
  <c r="D119" i="52"/>
  <c r="D113" i="52"/>
  <c r="D115" i="52"/>
  <c r="D55" i="75"/>
  <c r="C55" i="75"/>
  <c r="B55" i="75"/>
  <c r="E55" i="75" s="1"/>
  <c r="F84" i="75" s="1"/>
  <c r="E24" i="74"/>
  <c r="D59" i="74"/>
  <c r="D88" i="74"/>
  <c r="D15" i="82"/>
  <c r="D79" i="82" s="1"/>
  <c r="D97" i="74"/>
  <c r="D76" i="74"/>
  <c r="D55" i="72"/>
  <c r="C55" i="72"/>
  <c r="B55" i="72"/>
  <c r="E55" i="72" s="1"/>
  <c r="C84" i="72" s="1"/>
  <c r="G9" i="20"/>
  <c r="G72" i="52"/>
  <c r="G18" i="21"/>
  <c r="E60" i="99"/>
  <c r="G60" i="99"/>
  <c r="F81" i="76"/>
  <c r="F129" i="57"/>
  <c r="E81" i="73"/>
  <c r="B78" i="75"/>
  <c r="D56" i="53"/>
  <c r="D84" i="53" s="1"/>
  <c r="H22" i="54"/>
  <c r="H31" i="54" s="1"/>
  <c r="H78" i="54" s="1"/>
  <c r="H79" i="54" s="1"/>
  <c r="G22" i="55"/>
  <c r="G31" i="55" s="1"/>
  <c r="H80" i="56"/>
  <c r="H89" i="56" s="1"/>
  <c r="H22" i="57"/>
  <c r="H31" i="57" s="1"/>
  <c r="H78" i="57" s="1"/>
  <c r="H79" i="57" s="1"/>
  <c r="C22" i="58"/>
  <c r="C45" i="77" s="1"/>
  <c r="G56" i="54"/>
  <c r="G84" i="54" s="1"/>
  <c r="C45" i="66"/>
  <c r="C44" i="66" s="1"/>
  <c r="G11" i="93"/>
  <c r="G129" i="55"/>
  <c r="B56" i="73"/>
  <c r="E56" i="73" s="1"/>
  <c r="D85" i="73" s="1"/>
  <c r="F142" i="97"/>
  <c r="F19" i="105" s="1"/>
  <c r="D48" i="99"/>
  <c r="D49" i="99" s="1"/>
  <c r="K74" i="99"/>
  <c r="K76" i="99" s="1"/>
  <c r="K77" i="99" s="1"/>
  <c r="C97" i="75"/>
  <c r="C15" i="83"/>
  <c r="C79" i="83" s="1"/>
  <c r="C59" i="75"/>
  <c r="C76" i="75"/>
  <c r="C88" i="75"/>
  <c r="D24" i="75"/>
  <c r="C76" i="78"/>
  <c r="C15" i="86"/>
  <c r="C79" i="86" s="1"/>
  <c r="C97" i="78"/>
  <c r="C88" i="78"/>
  <c r="D24" i="78"/>
  <c r="C59" i="78"/>
  <c r="H11" i="93"/>
  <c r="G129" i="56"/>
  <c r="G21" i="56"/>
  <c r="G22" i="56" s="1"/>
  <c r="B129" i="52"/>
  <c r="B21" i="52"/>
  <c r="B22" i="52" s="1"/>
  <c r="C46" i="94"/>
  <c r="C94" i="97" s="1"/>
  <c r="D119" i="58"/>
  <c r="D115" i="58"/>
  <c r="D113" i="58"/>
  <c r="H109" i="58"/>
  <c r="H120" i="58" s="1"/>
  <c r="H31" i="50"/>
  <c r="D72" i="58"/>
  <c r="D18" i="51"/>
  <c r="D9" i="50"/>
  <c r="D119" i="57"/>
  <c r="D115" i="57"/>
  <c r="D113" i="57"/>
  <c r="B16" i="41"/>
  <c r="B15" i="41"/>
  <c r="B6" i="40"/>
  <c r="B33" i="41"/>
  <c r="B30" i="41"/>
  <c r="B24" i="41"/>
  <c r="B13" i="40"/>
  <c r="B23" i="41"/>
  <c r="B21" i="41"/>
  <c r="B11" i="40"/>
  <c r="B29" i="41"/>
  <c r="B47" i="40"/>
  <c r="B20" i="41"/>
  <c r="B44" i="40"/>
  <c r="B8" i="40"/>
  <c r="B61" i="40"/>
  <c r="B32" i="41"/>
  <c r="B37" i="41"/>
  <c r="B10" i="40"/>
  <c r="B9" i="40"/>
  <c r="D14" i="41"/>
  <c r="D113" i="56"/>
  <c r="D115" i="56"/>
  <c r="D119" i="56"/>
  <c r="B12" i="40"/>
  <c r="D18" i="73"/>
  <c r="C18" i="73"/>
  <c r="B18" i="73"/>
  <c r="E18" i="73" s="1"/>
  <c r="F79" i="73" s="1"/>
  <c r="B129" i="58"/>
  <c r="B21" i="58"/>
  <c r="B22" i="58" s="1"/>
  <c r="B45" i="77" s="1"/>
  <c r="E113" i="58"/>
  <c r="E115" i="58"/>
  <c r="E119" i="58"/>
  <c r="C113" i="57"/>
  <c r="C119" i="57"/>
  <c r="C115" i="57"/>
  <c r="D55" i="76"/>
  <c r="C55" i="76"/>
  <c r="B55" i="76"/>
  <c r="E55" i="76" s="1"/>
  <c r="B84" i="76" s="1"/>
  <c r="B119" i="52"/>
  <c r="B115" i="52"/>
  <c r="B113" i="52"/>
  <c r="B11" i="93"/>
  <c r="B16" i="93" s="1"/>
  <c r="D88" i="93" s="1"/>
  <c r="E88" i="93" s="1"/>
  <c r="C18" i="61"/>
  <c r="C21" i="61" s="1"/>
  <c r="C22" i="61" s="1"/>
  <c r="C23" i="61" s="1"/>
  <c r="T11" i="93"/>
  <c r="H18" i="61"/>
  <c r="H21" i="61" s="1"/>
  <c r="H22" i="61" s="1"/>
  <c r="H23" i="61" s="1"/>
  <c r="D45" i="66"/>
  <c r="D44" i="66" s="1"/>
  <c r="AJ11" i="93"/>
  <c r="H16" i="93" s="1"/>
  <c r="D138" i="93" s="1"/>
  <c r="E138" i="93" s="1"/>
  <c r="I18" i="61"/>
  <c r="I21" i="61" s="1"/>
  <c r="I22" i="61" s="1"/>
  <c r="I23" i="61" s="1"/>
  <c r="I27" i="61" s="1"/>
  <c r="D74" i="99"/>
  <c r="D76" i="99" s="1"/>
  <c r="D77" i="99" s="1"/>
  <c r="B77" i="77"/>
  <c r="E129" i="57"/>
  <c r="E21" i="57"/>
  <c r="E22" i="57" s="1"/>
  <c r="D129" i="58"/>
  <c r="D21" i="58"/>
  <c r="D22" i="58" s="1"/>
  <c r="C129" i="54"/>
  <c r="C21" i="54"/>
  <c r="C22" i="54" s="1"/>
  <c r="E109" i="58"/>
  <c r="E120" i="58" s="1"/>
  <c r="E31" i="50"/>
  <c r="B72" i="58"/>
  <c r="B9" i="50"/>
  <c r="B18" i="51"/>
  <c r="G115" i="56"/>
  <c r="G119" i="56"/>
  <c r="G113" i="56"/>
  <c r="G109" i="52"/>
  <c r="G120" i="52" s="1"/>
  <c r="G31" i="20"/>
  <c r="D55" i="77"/>
  <c r="B55" i="77"/>
  <c r="E55" i="77" s="1"/>
  <c r="E84" i="77" s="1"/>
  <c r="C55" i="77"/>
  <c r="E14" i="40"/>
  <c r="B7" i="40"/>
  <c r="C109" i="52"/>
  <c r="C120" i="52" s="1"/>
  <c r="C31" i="20"/>
  <c r="F109" i="52"/>
  <c r="F120" i="52" s="1"/>
  <c r="F31" i="20"/>
  <c r="F60" i="52"/>
  <c r="F56" i="52"/>
  <c r="U11" i="93"/>
  <c r="D18" i="61"/>
  <c r="D21" i="61" s="1"/>
  <c r="D22" i="61" s="1"/>
  <c r="D23" i="61" s="1"/>
  <c r="H56" i="55"/>
  <c r="H66" i="55" s="1"/>
  <c r="H68" i="55" s="1"/>
  <c r="H71" i="55" s="1"/>
  <c r="H73" i="55" s="1"/>
  <c r="F66" i="57"/>
  <c r="F68" i="57" s="1"/>
  <c r="H56" i="58"/>
  <c r="G84" i="58" s="1"/>
  <c r="C49" i="86"/>
  <c r="G111" i="74"/>
  <c r="C60" i="99"/>
  <c r="C62" i="99" s="1"/>
  <c r="C63" i="99" s="1"/>
  <c r="H74" i="99"/>
  <c r="F78" i="75"/>
  <c r="O16" i="94"/>
  <c r="N16" i="94"/>
  <c r="M16" i="94"/>
  <c r="G46" i="94"/>
  <c r="G94" i="97" s="1"/>
  <c r="D80" i="54"/>
  <c r="D89" i="54" s="1"/>
  <c r="H129" i="55"/>
  <c r="H21" i="55"/>
  <c r="H22" i="55" s="1"/>
  <c r="E129" i="53"/>
  <c r="E21" i="53"/>
  <c r="E22" i="53" s="1"/>
  <c r="E45" i="72" s="1"/>
  <c r="H80" i="52"/>
  <c r="H89" i="52" s="1"/>
  <c r="H58" i="52"/>
  <c r="H62" i="52" s="1"/>
  <c r="H63" i="52" s="1"/>
  <c r="F37" i="41"/>
  <c r="F11" i="40"/>
  <c r="C33" i="41"/>
  <c r="F10" i="40"/>
  <c r="F47" i="40"/>
  <c r="F16" i="41"/>
  <c r="F15" i="41"/>
  <c r="F44" i="40"/>
  <c r="F6" i="40"/>
  <c r="F8" i="40"/>
  <c r="C27" i="41"/>
  <c r="C30" i="41"/>
  <c r="F14" i="40"/>
  <c r="F13" i="40"/>
  <c r="F12" i="40"/>
  <c r="D48" i="74"/>
  <c r="H13" i="40"/>
  <c r="H12" i="40"/>
  <c r="H11" i="40"/>
  <c r="H6" i="40"/>
  <c r="C23" i="41"/>
  <c r="H47" i="40"/>
  <c r="H14" i="40"/>
  <c r="H10" i="40"/>
  <c r="H8" i="40"/>
  <c r="H44" i="40"/>
  <c r="C109" i="58"/>
  <c r="C120" i="58" s="1"/>
  <c r="C31" i="50"/>
  <c r="M6" i="94"/>
  <c r="N6" i="94"/>
  <c r="O6" i="94"/>
  <c r="E129" i="56"/>
  <c r="E21" i="56"/>
  <c r="E22" i="56" s="1"/>
  <c r="I74" i="99"/>
  <c r="I76" i="99" s="1"/>
  <c r="I77" i="99" s="1"/>
  <c r="E11" i="93"/>
  <c r="F18" i="61"/>
  <c r="F21" i="61" s="1"/>
  <c r="F22" i="61" s="1"/>
  <c r="F23" i="61" s="1"/>
  <c r="O11" i="93"/>
  <c r="E18" i="61"/>
  <c r="E21" i="61" s="1"/>
  <c r="E22" i="61" s="1"/>
  <c r="E23" i="61" s="1"/>
  <c r="B109" i="58"/>
  <c r="B120" i="58" s="1"/>
  <c r="B31" i="50"/>
  <c r="H115" i="58"/>
  <c r="H119" i="58"/>
  <c r="H113" i="58"/>
  <c r="E115" i="56"/>
  <c r="E113" i="56"/>
  <c r="E119" i="56"/>
  <c r="D55" i="78"/>
  <c r="C55" i="78"/>
  <c r="B55" i="78"/>
  <c r="E55" i="78" s="1"/>
  <c r="C84" i="78" s="1"/>
  <c r="F109" i="58"/>
  <c r="F120" i="58" s="1"/>
  <c r="F31" i="50"/>
  <c r="F74" i="99"/>
  <c r="H80" i="53"/>
  <c r="H89" i="53" s="1"/>
  <c r="E66" i="53"/>
  <c r="E68" i="53" s="1"/>
  <c r="F58" i="57"/>
  <c r="F62" i="57" s="1"/>
  <c r="F63" i="57" s="1"/>
  <c r="O38" i="94"/>
  <c r="M38" i="94"/>
  <c r="N38" i="94"/>
  <c r="H46" i="94"/>
  <c r="H94" i="97" s="1"/>
  <c r="D129" i="55"/>
  <c r="D21" i="55"/>
  <c r="D22" i="55" s="1"/>
  <c r="B14" i="41"/>
  <c r="D56" i="75"/>
  <c r="C59" i="77"/>
  <c r="C88" i="77"/>
  <c r="C15" i="85"/>
  <c r="C79" i="85" s="1"/>
  <c r="C76" i="77"/>
  <c r="C97" i="77"/>
  <c r="D24" i="77"/>
  <c r="H129" i="58"/>
  <c r="H21" i="58"/>
  <c r="H22" i="58" s="1"/>
  <c r="G115" i="58"/>
  <c r="G113" i="58"/>
  <c r="G119" i="58"/>
  <c r="C56" i="72"/>
  <c r="C129" i="56"/>
  <c r="C21" i="56"/>
  <c r="C22" i="56" s="1"/>
  <c r="H109" i="56"/>
  <c r="H120" i="56" s="1"/>
  <c r="H31" i="40"/>
  <c r="F120" i="57"/>
  <c r="F115" i="58"/>
  <c r="F113" i="58"/>
  <c r="F119" i="58"/>
  <c r="C119" i="56"/>
  <c r="C115" i="56"/>
  <c r="C113" i="56"/>
  <c r="H113" i="56"/>
  <c r="H119" i="56"/>
  <c r="H115" i="56"/>
  <c r="E80" i="58"/>
  <c r="E89" i="58" s="1"/>
  <c r="B119" i="56"/>
  <c r="B115" i="56"/>
  <c r="B113" i="56"/>
  <c r="C113" i="52"/>
  <c r="C115" i="52"/>
  <c r="C119" i="52"/>
  <c r="E7" i="40"/>
  <c r="F119" i="52"/>
  <c r="F115" i="52"/>
  <c r="F113" i="52"/>
  <c r="C119" i="58"/>
  <c r="C115" i="58"/>
  <c r="C113" i="58"/>
  <c r="C21" i="74"/>
  <c r="B21" i="74"/>
  <c r="E21" i="74" s="1"/>
  <c r="D21" i="74"/>
  <c r="G16" i="41"/>
  <c r="E9" i="40"/>
  <c r="D109" i="52"/>
  <c r="D120" i="52" s="1"/>
  <c r="D31" i="20"/>
  <c r="E8" i="83" a="1"/>
  <c r="E8" i="83" s="1"/>
  <c r="C70" i="83" s="1"/>
  <c r="B49" i="98"/>
  <c r="O37" i="94"/>
  <c r="M37" i="94"/>
  <c r="N37" i="94"/>
  <c r="H129" i="52"/>
  <c r="B33" i="80"/>
  <c r="C50" i="80" s="1"/>
  <c r="C90" i="72"/>
  <c r="E90" i="72"/>
  <c r="B90" i="72"/>
  <c r="D90" i="72"/>
  <c r="F90" i="72"/>
  <c r="G129" i="54"/>
  <c r="G21" i="54"/>
  <c r="G22" i="54" s="1"/>
  <c r="D21" i="73"/>
  <c r="C21" i="73"/>
  <c r="B21" i="73"/>
  <c r="E21" i="73" s="1"/>
  <c r="D21" i="77"/>
  <c r="D56" i="58"/>
  <c r="C84" i="58" s="1"/>
  <c r="B27" i="41"/>
  <c r="F77" i="74"/>
  <c r="B77" i="74"/>
  <c r="B79" i="72"/>
  <c r="E78" i="78"/>
  <c r="C77" i="74"/>
  <c r="D81" i="73"/>
  <c r="E77" i="72"/>
  <c r="D77" i="74"/>
  <c r="C79" i="72"/>
  <c r="F80" i="72"/>
  <c r="E80" i="72"/>
  <c r="F77" i="77"/>
  <c r="C77" i="72"/>
  <c r="B78" i="78"/>
  <c r="F79" i="72"/>
  <c r="D80" i="72"/>
  <c r="C78" i="78"/>
  <c r="B83" i="76"/>
  <c r="B81" i="76"/>
  <c r="D77" i="72"/>
  <c r="C80" i="72"/>
  <c r="E83" i="73"/>
  <c r="F83" i="73"/>
  <c r="B80" i="72"/>
  <c r="F83" i="76"/>
  <c r="C81" i="73"/>
  <c r="E79" i="72"/>
  <c r="C81" i="72"/>
  <c r="E81" i="72"/>
  <c r="B84" i="73"/>
  <c r="E84" i="73"/>
  <c r="C84" i="73"/>
  <c r="F84" i="73"/>
  <c r="F79" i="76"/>
  <c r="C78" i="72"/>
  <c r="D79" i="78"/>
  <c r="F79" i="78"/>
  <c r="C79" i="78"/>
  <c r="B79" i="78"/>
  <c r="E80" i="75"/>
  <c r="D80" i="75"/>
  <c r="B80" i="75"/>
  <c r="E78" i="72"/>
  <c r="E79" i="78"/>
  <c r="C77" i="78"/>
  <c r="B77" i="78"/>
  <c r="F77" i="78"/>
  <c r="E77" i="78"/>
  <c r="D77" i="78"/>
  <c r="D79" i="75"/>
  <c r="B79" i="75"/>
  <c r="C79" i="75"/>
  <c r="F79" i="75"/>
  <c r="E79" i="75"/>
  <c r="E79" i="76"/>
  <c r="D79" i="76"/>
  <c r="E81" i="75"/>
  <c r="B81" i="75"/>
  <c r="F81" i="75"/>
  <c r="D81" i="75"/>
  <c r="B79" i="76"/>
  <c r="F80" i="75"/>
  <c r="B80" i="77"/>
  <c r="D80" i="77"/>
  <c r="E80" i="77"/>
  <c r="F80" i="77"/>
  <c r="C80" i="77"/>
  <c r="E78" i="77"/>
  <c r="C78" i="77"/>
  <c r="F78" i="77"/>
  <c r="B78" i="77"/>
  <c r="D78" i="77"/>
  <c r="E78" i="73"/>
  <c r="C78" i="73"/>
  <c r="F78" i="73"/>
  <c r="D78" i="73"/>
  <c r="B78" i="73"/>
  <c r="B80" i="74"/>
  <c r="F80" i="74"/>
  <c r="D80" i="74"/>
  <c r="C80" i="74"/>
  <c r="E80" i="74"/>
  <c r="B78" i="74"/>
  <c r="D78" i="74"/>
  <c r="F78" i="74"/>
  <c r="E78" i="74"/>
  <c r="C78" i="74"/>
  <c r="B81" i="77"/>
  <c r="D81" i="77"/>
  <c r="F81" i="77"/>
  <c r="C81" i="77"/>
  <c r="E81" i="77"/>
  <c r="E83" i="75"/>
  <c r="C83" i="75"/>
  <c r="F83" i="75"/>
  <c r="D83" i="75"/>
  <c r="B83" i="75"/>
  <c r="F79" i="77"/>
  <c r="E80" i="73"/>
  <c r="C80" i="73"/>
  <c r="D80" i="73"/>
  <c r="F80" i="73"/>
  <c r="B80" i="73"/>
  <c r="D80" i="78"/>
  <c r="E80" i="78"/>
  <c r="C80" i="78"/>
  <c r="B80" i="78"/>
  <c r="F80" i="78"/>
  <c r="C83" i="72"/>
  <c r="B83" i="72"/>
  <c r="D83" i="72"/>
  <c r="B81" i="74"/>
  <c r="F81" i="74"/>
  <c r="D81" i="74"/>
  <c r="C81" i="74"/>
  <c r="E81" i="74"/>
  <c r="E77" i="73"/>
  <c r="C77" i="73"/>
  <c r="F77" i="73"/>
  <c r="D77" i="73"/>
  <c r="B77" i="73"/>
  <c r="E81" i="78"/>
  <c r="D81" i="78"/>
  <c r="C81" i="78"/>
  <c r="B81" i="78"/>
  <c r="F81" i="78"/>
  <c r="B83" i="74"/>
  <c r="C83" i="74"/>
  <c r="F83" i="74"/>
  <c r="D83" i="74"/>
  <c r="E83" i="74"/>
  <c r="C77" i="76"/>
  <c r="E77" i="76"/>
  <c r="B77" i="76"/>
  <c r="D77" i="76"/>
  <c r="F77" i="76"/>
  <c r="E78" i="76"/>
  <c r="C78" i="76"/>
  <c r="D78" i="76"/>
  <c r="B78" i="76"/>
  <c r="F78" i="76"/>
  <c r="E76" i="99"/>
  <c r="E77" i="99" s="1"/>
  <c r="B48" i="99"/>
  <c r="B49" i="99" s="1"/>
  <c r="C34" i="99"/>
  <c r="C35" i="99" s="1"/>
  <c r="F62" i="99"/>
  <c r="F63" i="99" s="1"/>
  <c r="B34" i="99"/>
  <c r="B35" i="99" s="1"/>
  <c r="E34" i="99"/>
  <c r="E35" i="99" s="1"/>
  <c r="E157" i="97"/>
  <c r="G157" i="97"/>
  <c r="H157" i="97"/>
  <c r="C157" i="97"/>
  <c r="D157" i="97"/>
  <c r="F157" i="97"/>
  <c r="B157" i="97"/>
  <c r="B62" i="54"/>
  <c r="B63" i="54" s="1"/>
  <c r="B58" i="56"/>
  <c r="B62" i="56" s="1"/>
  <c r="B63" i="56" s="1"/>
  <c r="B80" i="56"/>
  <c r="B89" i="56" s="1"/>
  <c r="B84" i="56"/>
  <c r="C80" i="57"/>
  <c r="C89" i="57" s="1"/>
  <c r="B80" i="55"/>
  <c r="B89" i="55" s="1"/>
  <c r="D80" i="56"/>
  <c r="D89" i="56" s="1"/>
  <c r="D58" i="56"/>
  <c r="D62" i="56" s="1"/>
  <c r="D63" i="56" s="1"/>
  <c r="B56" i="57"/>
  <c r="B58" i="57" s="1"/>
  <c r="B62" i="57" s="1"/>
  <c r="B63" i="57" s="1"/>
  <c r="H58" i="53"/>
  <c r="H62" i="53" s="1"/>
  <c r="H63" i="53" s="1"/>
  <c r="F84" i="58"/>
  <c r="F80" i="58"/>
  <c r="F89" i="58" s="1"/>
  <c r="E84" i="58"/>
  <c r="C80" i="56"/>
  <c r="C89" i="56" s="1"/>
  <c r="H66" i="53"/>
  <c r="H68" i="53" s="1"/>
  <c r="H71" i="53" s="1"/>
  <c r="H73" i="53" s="1"/>
  <c r="E80" i="54"/>
  <c r="E89" i="54" s="1"/>
  <c r="D84" i="54"/>
  <c r="C80" i="58"/>
  <c r="C89" i="58" s="1"/>
  <c r="E80" i="53"/>
  <c r="E89" i="53" s="1"/>
  <c r="E84" i="53"/>
  <c r="C58" i="56"/>
  <c r="C62" i="56" s="1"/>
  <c r="C63" i="56" s="1"/>
  <c r="F80" i="56"/>
  <c r="F89" i="56" s="1"/>
  <c r="C58" i="57"/>
  <c r="C62" i="57" s="1"/>
  <c r="C63" i="57" s="1"/>
  <c r="C66" i="57"/>
  <c r="C68" i="57" s="1"/>
  <c r="B58" i="55"/>
  <c r="B62" i="55" s="1"/>
  <c r="B63" i="55" s="1"/>
  <c r="C66" i="56"/>
  <c r="C68" i="56" s="1"/>
  <c r="F58" i="58"/>
  <c r="F62" i="58" s="1"/>
  <c r="F63" i="58" s="1"/>
  <c r="G80" i="58"/>
  <c r="G89" i="58" s="1"/>
  <c r="F80" i="55"/>
  <c r="F89" i="55" s="1"/>
  <c r="F84" i="55"/>
  <c r="D80" i="53"/>
  <c r="D89" i="53" s="1"/>
  <c r="F80" i="53"/>
  <c r="F89" i="53" s="1"/>
  <c r="B66" i="55"/>
  <c r="B68" i="55" s="1"/>
  <c r="B66" i="56"/>
  <c r="B68" i="56" s="1"/>
  <c r="F80" i="57"/>
  <c r="F89" i="57" s="1"/>
  <c r="F123" i="99"/>
  <c r="B113" i="99"/>
  <c r="E123" i="99"/>
  <c r="D123" i="99"/>
  <c r="C123" i="99"/>
  <c r="B123" i="99"/>
  <c r="B107" i="99"/>
  <c r="G36" i="97"/>
  <c r="C36" i="97"/>
  <c r="H36" i="97"/>
  <c r="F36" i="97"/>
  <c r="E36" i="97"/>
  <c r="C48" i="97"/>
  <c r="C138" i="97" s="1"/>
  <c r="C83" i="97"/>
  <c r="D36" i="97"/>
  <c r="D89" i="97"/>
  <c r="D91" i="97" s="1"/>
  <c r="B36" i="97"/>
  <c r="B48" i="97"/>
  <c r="B138" i="97" s="1"/>
  <c r="C31" i="97"/>
  <c r="E31" i="97"/>
  <c r="H48" i="97"/>
  <c r="H138" i="97" s="1"/>
  <c r="B31" i="97"/>
  <c r="D31" i="97"/>
  <c r="F31" i="97"/>
  <c r="D48" i="97"/>
  <c r="D138" i="97" s="1"/>
  <c r="F48" i="97"/>
  <c r="F138" i="97" s="1"/>
  <c r="G64" i="94"/>
  <c r="D76" i="94" s="1"/>
  <c r="G35" i="97"/>
  <c r="E48" i="97"/>
  <c r="E138" i="97" s="1"/>
  <c r="D111" i="73"/>
  <c r="D111" i="78"/>
  <c r="H111" i="76"/>
  <c r="B30" i="68"/>
  <c r="B29" i="68" s="1"/>
  <c r="B24" i="68" s="1"/>
  <c r="B111" i="76"/>
  <c r="F30" i="68"/>
  <c r="F29" i="68" s="1"/>
  <c r="D111" i="76"/>
  <c r="K111" i="76"/>
  <c r="D43" i="70"/>
  <c r="D42" i="70" s="1"/>
  <c r="C43" i="70"/>
  <c r="C42" i="70" s="1"/>
  <c r="F111" i="78"/>
  <c r="B109" i="86" s="1"/>
  <c r="B43" i="70"/>
  <c r="B42" i="70" s="1"/>
  <c r="B35" i="70" s="1"/>
  <c r="B9" i="95"/>
  <c r="B10" i="95" s="1"/>
  <c r="B102" i="57"/>
  <c r="B45" i="76"/>
  <c r="G22" i="53"/>
  <c r="F45" i="76"/>
  <c r="F102" i="57"/>
  <c r="H45" i="73"/>
  <c r="H102" i="52"/>
  <c r="H31" i="52"/>
  <c r="B102" i="56"/>
  <c r="E111" i="76"/>
  <c r="F111" i="76"/>
  <c r="B109" i="84" s="1"/>
  <c r="G111" i="76"/>
  <c r="E53" i="61"/>
  <c r="I53" i="61"/>
  <c r="G53" i="61"/>
  <c r="C53" i="61"/>
  <c r="E111" i="78"/>
  <c r="J111" i="78"/>
  <c r="C111" i="78"/>
  <c r="I111" i="76"/>
  <c r="C30" i="68"/>
  <c r="C29" i="68" s="1"/>
  <c r="D30" i="68"/>
  <c r="D29" i="68" s="1"/>
  <c r="C111" i="76"/>
  <c r="J111" i="76"/>
  <c r="B30" i="95"/>
  <c r="B111" i="78"/>
  <c r="F43" i="70"/>
  <c r="F42" i="70" s="1"/>
  <c r="E43" i="70"/>
  <c r="E42" i="70" s="1"/>
  <c r="K111" i="78"/>
  <c r="I111" i="78"/>
  <c r="H111" i="78"/>
  <c r="F30" i="69"/>
  <c r="F29" i="69" s="1"/>
  <c r="I111" i="77"/>
  <c r="B111" i="77"/>
  <c r="C111" i="77"/>
  <c r="J111" i="77"/>
  <c r="F111" i="77"/>
  <c r="B109" i="85" s="1"/>
  <c r="D111" i="77"/>
  <c r="K111" i="77"/>
  <c r="G111" i="77"/>
  <c r="C30" i="69"/>
  <c r="C29" i="69" s="1"/>
  <c r="D30" i="69"/>
  <c r="D29" i="69" s="1"/>
  <c r="E111" i="77"/>
  <c r="B30" i="69"/>
  <c r="B29" i="69" s="1"/>
  <c r="B25" i="69" s="1"/>
  <c r="H111" i="77"/>
  <c r="C17" i="93"/>
  <c r="H37" i="61"/>
  <c r="H38" i="61" s="1"/>
  <c r="G17" i="93"/>
  <c r="E37" i="61"/>
  <c r="E39" i="61" s="1"/>
  <c r="E47" i="61" s="1"/>
  <c r="D17" i="93"/>
  <c r="F17" i="93"/>
  <c r="B17" i="93"/>
  <c r="I37" i="61"/>
  <c r="I39" i="61" s="1"/>
  <c r="I47" i="61" s="1"/>
  <c r="H17" i="93"/>
  <c r="F37" i="61"/>
  <c r="E17" i="93"/>
  <c r="G37" i="61"/>
  <c r="G38" i="61" s="1"/>
  <c r="C37" i="61"/>
  <c r="C38" i="61" s="1"/>
  <c r="D37" i="61"/>
  <c r="G66" i="55"/>
  <c r="G68" i="55" s="1"/>
  <c r="E66" i="54"/>
  <c r="E68" i="54" s="1"/>
  <c r="E58" i="54"/>
  <c r="E62" i="54" s="1"/>
  <c r="E63" i="54" s="1"/>
  <c r="D31" i="53"/>
  <c r="E58" i="53"/>
  <c r="E62" i="53" s="1"/>
  <c r="E63" i="53" s="1"/>
  <c r="F66" i="58"/>
  <c r="F68" i="58" s="1"/>
  <c r="D56" i="57"/>
  <c r="D66" i="57" s="1"/>
  <c r="D68" i="57" s="1"/>
  <c r="B31" i="57"/>
  <c r="B31" i="56"/>
  <c r="H66" i="56"/>
  <c r="H68" i="56" s="1"/>
  <c r="H71" i="56" s="1"/>
  <c r="H73" i="56" s="1"/>
  <c r="H58" i="56"/>
  <c r="H62" i="56" s="1"/>
  <c r="H63" i="56" s="1"/>
  <c r="H58" i="54"/>
  <c r="H62" i="54" s="1"/>
  <c r="H63" i="54" s="1"/>
  <c r="H66" i="54"/>
  <c r="H68" i="54" s="1"/>
  <c r="H71" i="54" s="1"/>
  <c r="H73" i="54" s="1"/>
  <c r="B56" i="53"/>
  <c r="F66" i="53"/>
  <c r="F68" i="53" s="1"/>
  <c r="F58" i="53"/>
  <c r="F62" i="53" s="1"/>
  <c r="F63" i="53" s="1"/>
  <c r="D66" i="53"/>
  <c r="D68" i="53" s="1"/>
  <c r="D58" i="53"/>
  <c r="D62" i="53" s="1"/>
  <c r="D63" i="53" s="1"/>
  <c r="C16" i="105" l="1"/>
  <c r="F84" i="56"/>
  <c r="E102" i="53"/>
  <c r="B142" i="97"/>
  <c r="B19" i="105" s="1"/>
  <c r="H62" i="99"/>
  <c r="H63" i="99" s="1"/>
  <c r="E111" i="73"/>
  <c r="G84" i="53"/>
  <c r="G50" i="58"/>
  <c r="H45" i="74"/>
  <c r="H31" i="56"/>
  <c r="H78" i="56" s="1"/>
  <c r="H79" i="56" s="1"/>
  <c r="D31" i="54"/>
  <c r="C143" i="97"/>
  <c r="C20" i="105" s="1"/>
  <c r="B45" i="98" a="1"/>
  <c r="B45" i="98" s="1"/>
  <c r="E54" i="65"/>
  <c r="E53" i="65" s="1"/>
  <c r="B16" i="105"/>
  <c r="H111" i="73"/>
  <c r="D70" i="86"/>
  <c r="H39" i="98"/>
  <c r="E70" i="86"/>
  <c r="F70" i="86"/>
  <c r="F54" i="65"/>
  <c r="F53" i="65" s="1"/>
  <c r="B110" i="86"/>
  <c r="B111" i="86" s="1"/>
  <c r="I111" i="72"/>
  <c r="D39" i="64"/>
  <c r="D38" i="64" s="1"/>
  <c r="D111" i="72"/>
  <c r="B111" i="72"/>
  <c r="H111" i="72"/>
  <c r="J111" i="72"/>
  <c r="E111" i="72"/>
  <c r="C111" i="72"/>
  <c r="E39" i="64"/>
  <c r="E38" i="64" s="1"/>
  <c r="K111" i="72"/>
  <c r="C39" i="64"/>
  <c r="C38" i="64" s="1"/>
  <c r="F39" i="64"/>
  <c r="F38" i="64" s="1"/>
  <c r="F111" i="72"/>
  <c r="B109" i="80" s="1"/>
  <c r="B111" i="80" s="1"/>
  <c r="B39" i="64"/>
  <c r="B38" i="64" s="1"/>
  <c r="B30" i="64" s="1"/>
  <c r="C45" i="67"/>
  <c r="C44" i="67" s="1"/>
  <c r="I111" i="73"/>
  <c r="D54" i="65"/>
  <c r="D53" i="65" s="1"/>
  <c r="B111" i="73"/>
  <c r="C54" i="65"/>
  <c r="C53" i="65" s="1"/>
  <c r="B54" i="65"/>
  <c r="B53" i="65" s="1"/>
  <c r="B44" i="65" s="1"/>
  <c r="G111" i="73"/>
  <c r="F111" i="73"/>
  <c r="B109" i="81" s="1"/>
  <c r="C111" i="73"/>
  <c r="K111" i="73"/>
  <c r="I111" i="75"/>
  <c r="D45" i="67"/>
  <c r="D44" i="67" s="1"/>
  <c r="D111" i="75"/>
  <c r="H166" i="97"/>
  <c r="C70" i="85"/>
  <c r="E70" i="85"/>
  <c r="D70" i="85"/>
  <c r="B110" i="85"/>
  <c r="B111" i="85" s="1"/>
  <c r="B70" i="85"/>
  <c r="B15" i="95"/>
  <c r="G39" i="98"/>
  <c r="B70" i="86"/>
  <c r="E45" i="67"/>
  <c r="E44" i="67" s="1"/>
  <c r="C166" i="97"/>
  <c r="B110" i="81"/>
  <c r="D70" i="81"/>
  <c r="F70" i="81"/>
  <c r="B70" i="81"/>
  <c r="C39" i="98"/>
  <c r="C70" i="81"/>
  <c r="E70" i="81"/>
  <c r="H50" i="58"/>
  <c r="H150" i="58"/>
  <c r="H151" i="58" s="1"/>
  <c r="D50" i="56"/>
  <c r="D150" i="56"/>
  <c r="D151" i="56" s="1"/>
  <c r="F83" i="78"/>
  <c r="G58" i="53"/>
  <c r="G62" i="53" s="1"/>
  <c r="G63" i="53" s="1"/>
  <c r="B110" i="84"/>
  <c r="B111" i="84" s="1"/>
  <c r="E50" i="57"/>
  <c r="E150" i="57"/>
  <c r="E151" i="57" s="1"/>
  <c r="G50" i="52"/>
  <c r="G150" i="52"/>
  <c r="G151" i="52" s="1"/>
  <c r="B39" i="98"/>
  <c r="H5" i="105"/>
  <c r="G48" i="99"/>
  <c r="G49" i="99" s="1"/>
  <c r="B70" i="84"/>
  <c r="C70" i="84"/>
  <c r="F166" i="97"/>
  <c r="D50" i="55"/>
  <c r="D150" i="55"/>
  <c r="D151" i="55" s="1"/>
  <c r="E50" i="56"/>
  <c r="E150" i="56"/>
  <c r="E151" i="56" s="1"/>
  <c r="C50" i="52"/>
  <c r="C150" i="52"/>
  <c r="C151" i="52" s="1"/>
  <c r="H50" i="54"/>
  <c r="H150" i="54"/>
  <c r="H151" i="54" s="1"/>
  <c r="H50" i="52"/>
  <c r="H150" i="52"/>
  <c r="H151" i="52" s="1"/>
  <c r="G50" i="55"/>
  <c r="G150" i="55"/>
  <c r="G151" i="55" s="1"/>
  <c r="E84" i="54"/>
  <c r="B15" i="99"/>
  <c r="D89" i="99" s="1"/>
  <c r="C56" i="76"/>
  <c r="F48" i="99"/>
  <c r="F49" i="99" s="1"/>
  <c r="J62" i="99"/>
  <c r="J63" i="99" s="1"/>
  <c r="B50" i="56"/>
  <c r="B150" i="56"/>
  <c r="B151" i="56" s="1"/>
  <c r="C84" i="54"/>
  <c r="G50" i="57"/>
  <c r="G150" i="57"/>
  <c r="G151" i="57" s="1"/>
  <c r="B50" i="55"/>
  <c r="B150" i="55"/>
  <c r="B151" i="55" s="1"/>
  <c r="H50" i="56"/>
  <c r="H150" i="56"/>
  <c r="H151" i="56" s="1"/>
  <c r="D50" i="52"/>
  <c r="D150" i="52"/>
  <c r="D151" i="52" s="1"/>
  <c r="C50" i="58"/>
  <c r="C150" i="58"/>
  <c r="C151" i="58" s="1"/>
  <c r="D50" i="54"/>
  <c r="D150" i="54"/>
  <c r="D151" i="54" s="1"/>
  <c r="E48" i="99"/>
  <c r="E49" i="99" s="1"/>
  <c r="B50" i="53"/>
  <c r="B150" i="53"/>
  <c r="B151" i="53" s="1"/>
  <c r="C50" i="57"/>
  <c r="C150" i="57"/>
  <c r="C151" i="57" s="1"/>
  <c r="F50" i="53"/>
  <c r="F150" i="53"/>
  <c r="F50" i="55"/>
  <c r="F150" i="55"/>
  <c r="F151" i="55" s="1"/>
  <c r="H50" i="53"/>
  <c r="H150" i="53"/>
  <c r="C50" i="55"/>
  <c r="C150" i="55"/>
  <c r="C151" i="55" s="1"/>
  <c r="B152" i="57"/>
  <c r="H50" i="57"/>
  <c r="H150" i="57"/>
  <c r="H151" i="57" s="1"/>
  <c r="B50" i="58"/>
  <c r="B150" i="58"/>
  <c r="B151" i="58" s="1"/>
  <c r="B50" i="52"/>
  <c r="B150" i="52"/>
  <c r="B151" i="52" s="1"/>
  <c r="C58" i="54"/>
  <c r="C62" i="54" s="1"/>
  <c r="C63" i="54" s="1"/>
  <c r="E50" i="55"/>
  <c r="E150" i="55"/>
  <c r="E151" i="55" s="1"/>
  <c r="B50" i="54"/>
  <c r="B150" i="54"/>
  <c r="B151" i="54" s="1"/>
  <c r="E50" i="54"/>
  <c r="E150" i="54"/>
  <c r="E151" i="54" s="1"/>
  <c r="F50" i="54"/>
  <c r="F150" i="54"/>
  <c r="F151" i="54" s="1"/>
  <c r="E50" i="58"/>
  <c r="E150" i="58"/>
  <c r="E151" i="58" s="1"/>
  <c r="E50" i="52"/>
  <c r="E150" i="52"/>
  <c r="E151" i="52" s="1"/>
  <c r="F50" i="56"/>
  <c r="F150" i="56"/>
  <c r="F151" i="56" s="1"/>
  <c r="C48" i="99"/>
  <c r="C49" i="99" s="1"/>
  <c r="C50" i="53"/>
  <c r="C150" i="53"/>
  <c r="C151" i="53" s="1"/>
  <c r="G50" i="54"/>
  <c r="G150" i="54"/>
  <c r="G151" i="54" s="1"/>
  <c r="D66" i="94"/>
  <c r="D68" i="94" s="1"/>
  <c r="G50" i="56"/>
  <c r="G150" i="56"/>
  <c r="G151" i="56" s="1"/>
  <c r="F50" i="52"/>
  <c r="F150" i="52"/>
  <c r="F151" i="52" s="1"/>
  <c r="D50" i="53"/>
  <c r="D150" i="53"/>
  <c r="G34" i="99"/>
  <c r="G35" i="99" s="1"/>
  <c r="C58" i="55"/>
  <c r="C62" i="55" s="1"/>
  <c r="C63" i="55" s="1"/>
  <c r="D79" i="73"/>
  <c r="H50" i="55"/>
  <c r="H150" i="55"/>
  <c r="H151" i="55" s="1"/>
  <c r="D50" i="58"/>
  <c r="D150" i="58"/>
  <c r="D151" i="58" s="1"/>
  <c r="G50" i="53"/>
  <c r="G150" i="53"/>
  <c r="E50" i="53"/>
  <c r="E150" i="53"/>
  <c r="C50" i="54"/>
  <c r="C150" i="54"/>
  <c r="C151" i="54" s="1"/>
  <c r="E70" i="84"/>
  <c r="D70" i="84"/>
  <c r="F70" i="84"/>
  <c r="C79" i="73"/>
  <c r="D79" i="77"/>
  <c r="C50" i="56"/>
  <c r="C150" i="56"/>
  <c r="C151" i="56" s="1"/>
  <c r="G66" i="58"/>
  <c r="G68" i="58" s="1"/>
  <c r="F50" i="57"/>
  <c r="F150" i="57"/>
  <c r="F151" i="57" s="1"/>
  <c r="F50" i="58"/>
  <c r="F150" i="58"/>
  <c r="F151" i="58" s="1"/>
  <c r="D50" i="57"/>
  <c r="D150" i="57"/>
  <c r="D151" i="57" s="1"/>
  <c r="G154" i="58"/>
  <c r="G155" i="58" s="1"/>
  <c r="G152" i="58"/>
  <c r="G83" i="97"/>
  <c r="G17" i="105"/>
  <c r="D70" i="82"/>
  <c r="F70" i="82"/>
  <c r="C70" i="80"/>
  <c r="E31" i="58"/>
  <c r="E45" i="77"/>
  <c r="B166" i="97"/>
  <c r="B18" i="93"/>
  <c r="D89" i="93"/>
  <c r="E89" i="93" s="1"/>
  <c r="D70" i="80"/>
  <c r="E79" i="73"/>
  <c r="D56" i="77"/>
  <c r="G80" i="56"/>
  <c r="G89" i="56" s="1"/>
  <c r="B84" i="58"/>
  <c r="C84" i="56"/>
  <c r="D85" i="72"/>
  <c r="C89" i="97"/>
  <c r="C91" i="97" s="1"/>
  <c r="G84" i="56"/>
  <c r="E85" i="72"/>
  <c r="C56" i="77"/>
  <c r="C31" i="52"/>
  <c r="C32" i="52" s="1"/>
  <c r="C143" i="52" s="1"/>
  <c r="B85" i="72"/>
  <c r="F85" i="72"/>
  <c r="D88" i="72"/>
  <c r="E70" i="80"/>
  <c r="E102" i="52"/>
  <c r="E45" i="73"/>
  <c r="C158" i="97"/>
  <c r="C159" i="97" s="1"/>
  <c r="F85" i="77"/>
  <c r="G80" i="55"/>
  <c r="G89" i="55" s="1"/>
  <c r="B79" i="73"/>
  <c r="C45" i="73"/>
  <c r="J76" i="99"/>
  <c r="J77" i="99" s="1"/>
  <c r="C66" i="94"/>
  <c r="C68" i="94" s="1"/>
  <c r="E85" i="77"/>
  <c r="K34" i="99"/>
  <c r="K35" i="99" s="1"/>
  <c r="F70" i="80"/>
  <c r="B70" i="80"/>
  <c r="B83" i="78"/>
  <c r="B89" i="97"/>
  <c r="B91" i="97" s="1"/>
  <c r="D83" i="73"/>
  <c r="C83" i="73"/>
  <c r="C66" i="54"/>
  <c r="C68" i="54" s="1"/>
  <c r="C80" i="54"/>
  <c r="C89" i="54" s="1"/>
  <c r="F102" i="56"/>
  <c r="D45" i="72"/>
  <c r="G45" i="75"/>
  <c r="B31" i="53"/>
  <c r="B32" i="53" s="1"/>
  <c r="D45" i="78"/>
  <c r="H102" i="53"/>
  <c r="H45" i="72"/>
  <c r="D45" i="76"/>
  <c r="D102" i="57"/>
  <c r="C45" i="75"/>
  <c r="C102" i="55"/>
  <c r="F45" i="74"/>
  <c r="E69" i="55"/>
  <c r="E69" i="53"/>
  <c r="E71" i="53" s="1"/>
  <c r="E73" i="53" s="1"/>
  <c r="D31" i="56"/>
  <c r="D32" i="56" s="1"/>
  <c r="G102" i="55"/>
  <c r="D102" i="56"/>
  <c r="F31" i="54"/>
  <c r="F32" i="54" s="1"/>
  <c r="H102" i="54"/>
  <c r="H45" i="78"/>
  <c r="F102" i="54"/>
  <c r="C85" i="76"/>
  <c r="F85" i="76"/>
  <c r="B85" i="76"/>
  <c r="E85" i="76"/>
  <c r="D85" i="76"/>
  <c r="B34" i="66"/>
  <c r="C34" i="66" s="1"/>
  <c r="B38" i="66"/>
  <c r="C38" i="66" s="1"/>
  <c r="D38" i="66" s="1"/>
  <c r="E38" i="66" s="1"/>
  <c r="F38" i="66" s="1"/>
  <c r="G80" i="54"/>
  <c r="G89" i="54" s="1"/>
  <c r="B110" i="82"/>
  <c r="B111" i="82" s="1"/>
  <c r="D84" i="74"/>
  <c r="B45" i="67"/>
  <c r="B44" i="67" s="1"/>
  <c r="B9" i="67" s="1"/>
  <c r="B111" i="75"/>
  <c r="B40" i="66"/>
  <c r="C40" i="66" s="1"/>
  <c r="D40" i="66" s="1"/>
  <c r="E40" i="66" s="1"/>
  <c r="F40" i="66" s="1"/>
  <c r="F58" i="54"/>
  <c r="F62" i="54" s="1"/>
  <c r="F63" i="54" s="1"/>
  <c r="F66" i="54"/>
  <c r="F68" i="54" s="1"/>
  <c r="G166" i="97"/>
  <c r="B45" i="72"/>
  <c r="E31" i="53"/>
  <c r="D78" i="53" s="1"/>
  <c r="D79" i="53" s="1"/>
  <c r="F69" i="53"/>
  <c r="F71" i="53" s="1"/>
  <c r="F73" i="53" s="1"/>
  <c r="C84" i="55"/>
  <c r="E16" i="93"/>
  <c r="D117" i="93" s="1"/>
  <c r="E117" i="93" s="1"/>
  <c r="G58" i="56"/>
  <c r="G62" i="56" s="1"/>
  <c r="G63" i="56" s="1"/>
  <c r="F102" i="53"/>
  <c r="C51" i="84"/>
  <c r="D58" i="55"/>
  <c r="D62" i="55" s="1"/>
  <c r="D63" i="55" s="1"/>
  <c r="B36" i="66"/>
  <c r="C36" i="66" s="1"/>
  <c r="D36" i="66" s="1"/>
  <c r="E36" i="66" s="1"/>
  <c r="F36" i="66" s="1"/>
  <c r="J111" i="75"/>
  <c r="F45" i="72"/>
  <c r="E83" i="72"/>
  <c r="B79" i="77"/>
  <c r="B84" i="74"/>
  <c r="B96" i="99"/>
  <c r="B85" i="75"/>
  <c r="E96" i="99"/>
  <c r="D158" i="97"/>
  <c r="D159" i="97" s="1"/>
  <c r="E66" i="56"/>
  <c r="E68" i="56" s="1"/>
  <c r="B45" i="78"/>
  <c r="B37" i="66"/>
  <c r="C37" i="66" s="1"/>
  <c r="D37" i="66" s="1"/>
  <c r="E37" i="66" s="1"/>
  <c r="F37" i="66" s="1"/>
  <c r="F111" i="75"/>
  <c r="B109" i="83" s="1"/>
  <c r="H111" i="75"/>
  <c r="D69" i="53"/>
  <c r="D71" i="53" s="1"/>
  <c r="D73" i="53" s="1"/>
  <c r="B39" i="66"/>
  <c r="C39" i="66" s="1"/>
  <c r="D39" i="66" s="1"/>
  <c r="E39" i="66" s="1"/>
  <c r="F39" i="66" s="1"/>
  <c r="F45" i="67"/>
  <c r="F44" i="67" s="1"/>
  <c r="E111" i="75"/>
  <c r="F84" i="57"/>
  <c r="E80" i="57"/>
  <c r="E89" i="57" s="1"/>
  <c r="D56" i="76"/>
  <c r="E70" i="82"/>
  <c r="C69" i="56"/>
  <c r="C71" i="56" s="1"/>
  <c r="C73" i="56" s="1"/>
  <c r="C102" i="56"/>
  <c r="E84" i="76"/>
  <c r="H49" i="94"/>
  <c r="H66" i="58"/>
  <c r="H68" i="58" s="1"/>
  <c r="H71" i="58" s="1"/>
  <c r="H73" i="58" s="1"/>
  <c r="G66" i="53"/>
  <c r="G68" i="53" s="1"/>
  <c r="B45" i="75"/>
  <c r="K111" i="75"/>
  <c r="C111" i="75"/>
  <c r="B66" i="94"/>
  <c r="B68" i="94" s="1"/>
  <c r="G80" i="53"/>
  <c r="G89" i="53" s="1"/>
  <c r="H58" i="58"/>
  <c r="H62" i="58" s="1"/>
  <c r="H63" i="58" s="1"/>
  <c r="D83" i="78"/>
  <c r="C83" i="78"/>
  <c r="C16" i="93"/>
  <c r="D111" i="93" s="1"/>
  <c r="E111" i="93" s="1"/>
  <c r="B69" i="55"/>
  <c r="B71" i="55" s="1"/>
  <c r="B73" i="55" s="1"/>
  <c r="B84" i="75"/>
  <c r="D56" i="74"/>
  <c r="G16" i="93"/>
  <c r="B102" i="55"/>
  <c r="C80" i="53"/>
  <c r="C89" i="53" s="1"/>
  <c r="H47" i="94"/>
  <c r="D97" i="72"/>
  <c r="F85" i="75"/>
  <c r="B84" i="55"/>
  <c r="C80" i="55"/>
  <c r="C89" i="55" s="1"/>
  <c r="D84" i="75"/>
  <c r="E84" i="75"/>
  <c r="E85" i="75"/>
  <c r="C84" i="53"/>
  <c r="E84" i="57"/>
  <c r="E58" i="57"/>
  <c r="E62" i="57" s="1"/>
  <c r="E63" i="57" s="1"/>
  <c r="B31" i="54"/>
  <c r="B32" i="54" s="1"/>
  <c r="B105" i="54" s="1"/>
  <c r="E102" i="55"/>
  <c r="E84" i="56"/>
  <c r="B84" i="78"/>
  <c r="C96" i="99"/>
  <c r="E84" i="78"/>
  <c r="C102" i="58"/>
  <c r="C58" i="53"/>
  <c r="C62" i="53" s="1"/>
  <c r="C63" i="53" s="1"/>
  <c r="E58" i="56"/>
  <c r="E62" i="56" s="1"/>
  <c r="E63" i="56" s="1"/>
  <c r="D80" i="55"/>
  <c r="D89" i="55" s="1"/>
  <c r="C85" i="75"/>
  <c r="D84" i="56"/>
  <c r="E45" i="75"/>
  <c r="G69" i="55"/>
  <c r="G71" i="55" s="1"/>
  <c r="G73" i="55" s="1"/>
  <c r="H31" i="55"/>
  <c r="H78" i="55" s="1"/>
  <c r="H79" i="55" s="1"/>
  <c r="H102" i="55"/>
  <c r="H45" i="75"/>
  <c r="B69" i="53"/>
  <c r="C102" i="53"/>
  <c r="C69" i="53"/>
  <c r="C71" i="53" s="1"/>
  <c r="C73" i="53" s="1"/>
  <c r="E45" i="76"/>
  <c r="D69" i="57"/>
  <c r="D71" i="57" s="1"/>
  <c r="D73" i="57" s="1"/>
  <c r="E45" i="78"/>
  <c r="D69" i="54"/>
  <c r="D71" i="54" s="1"/>
  <c r="D73" i="54" s="1"/>
  <c r="E31" i="54"/>
  <c r="E78" i="54" s="1"/>
  <c r="E79" i="54" s="1"/>
  <c r="E102" i="54"/>
  <c r="E69" i="54"/>
  <c r="E71" i="54" s="1"/>
  <c r="E73" i="54" s="1"/>
  <c r="G69" i="53"/>
  <c r="F31" i="55"/>
  <c r="E78" i="55" s="1"/>
  <c r="E79" i="55" s="1"/>
  <c r="F69" i="55"/>
  <c r="F71" i="55" s="1"/>
  <c r="F73" i="55" s="1"/>
  <c r="D84" i="55"/>
  <c r="D59" i="72"/>
  <c r="C84" i="77"/>
  <c r="F102" i="55"/>
  <c r="F84" i="77"/>
  <c r="B35" i="66"/>
  <c r="C35" i="66" s="1"/>
  <c r="D35" i="66" s="1"/>
  <c r="E35" i="66" s="1"/>
  <c r="F35" i="66" s="1"/>
  <c r="D15" i="80"/>
  <c r="D79" i="80" s="1"/>
  <c r="F89" i="97"/>
  <c r="F91" i="97" s="1"/>
  <c r="G84" i="57"/>
  <c r="G66" i="57"/>
  <c r="G68" i="57" s="1"/>
  <c r="G58" i="57"/>
  <c r="G62" i="57" s="1"/>
  <c r="G63" i="57" s="1"/>
  <c r="B84" i="77"/>
  <c r="C84" i="57"/>
  <c r="D84" i="77"/>
  <c r="C84" i="75"/>
  <c r="E79" i="77"/>
  <c r="G31" i="53"/>
  <c r="F78" i="53" s="1"/>
  <c r="F79" i="53" s="1"/>
  <c r="E24" i="72"/>
  <c r="E59" i="72" s="1"/>
  <c r="E24" i="73"/>
  <c r="D76" i="73"/>
  <c r="D88" i="73"/>
  <c r="D97" i="73"/>
  <c r="D15" i="81"/>
  <c r="D79" i="81" s="1"/>
  <c r="D59" i="73"/>
  <c r="E45" i="74"/>
  <c r="E69" i="56"/>
  <c r="E31" i="56"/>
  <c r="E102" i="56"/>
  <c r="D45" i="77"/>
  <c r="D102" i="58"/>
  <c r="D69" i="58"/>
  <c r="D31" i="58"/>
  <c r="D32" i="58" s="1"/>
  <c r="H31" i="58"/>
  <c r="H78" i="58" s="1"/>
  <c r="H79" i="58" s="1"/>
  <c r="H102" i="58"/>
  <c r="H45" i="77"/>
  <c r="F69" i="56"/>
  <c r="F71" i="56" s="1"/>
  <c r="F73" i="56" s="1"/>
  <c r="G102" i="56"/>
  <c r="G45" i="74"/>
  <c r="G69" i="56"/>
  <c r="G71" i="56" s="1"/>
  <c r="G73" i="56" s="1"/>
  <c r="G31" i="56"/>
  <c r="G32" i="56" s="1"/>
  <c r="C58" i="58"/>
  <c r="C62" i="58" s="1"/>
  <c r="C63" i="58" s="1"/>
  <c r="C66" i="58"/>
  <c r="C68" i="58" s="1"/>
  <c r="B69" i="56"/>
  <c r="B71" i="56" s="1"/>
  <c r="B73" i="56" s="1"/>
  <c r="C45" i="72"/>
  <c r="E70" i="83"/>
  <c r="F16" i="93"/>
  <c r="D128" i="93" s="1"/>
  <c r="E128" i="93" s="1"/>
  <c r="E69" i="57"/>
  <c r="E71" i="57" s="1"/>
  <c r="E73" i="57" s="1"/>
  <c r="F49" i="94"/>
  <c r="C45" i="74"/>
  <c r="B53" i="74" s="1"/>
  <c r="C31" i="58"/>
  <c r="C32" i="58" s="1"/>
  <c r="G45" i="73"/>
  <c r="G102" i="52"/>
  <c r="G31" i="52"/>
  <c r="G69" i="52"/>
  <c r="F70" i="83"/>
  <c r="B110" i="83"/>
  <c r="C69" i="58"/>
  <c r="E31" i="57"/>
  <c r="E78" i="57" s="1"/>
  <c r="E79" i="57" s="1"/>
  <c r="C31" i="53"/>
  <c r="C32" i="53" s="1"/>
  <c r="C145" i="53" s="1"/>
  <c r="H32" i="54"/>
  <c r="H143" i="54" s="1"/>
  <c r="H102" i="57"/>
  <c r="D70" i="83"/>
  <c r="B70" i="83"/>
  <c r="H45" i="76"/>
  <c r="B47" i="94"/>
  <c r="B56" i="94" s="1"/>
  <c r="B60" i="94" s="1"/>
  <c r="B61" i="94" s="1"/>
  <c r="B33" i="97" s="1"/>
  <c r="D80" i="52"/>
  <c r="D89" i="52" s="1"/>
  <c r="D66" i="52"/>
  <c r="D68" i="52" s="1"/>
  <c r="D84" i="52"/>
  <c r="D58" i="52"/>
  <c r="D62" i="52" s="1"/>
  <c r="D63" i="52" s="1"/>
  <c r="B85" i="77"/>
  <c r="G69" i="58"/>
  <c r="G71" i="58" s="1"/>
  <c r="G73" i="58" s="1"/>
  <c r="F145" i="53"/>
  <c r="C48" i="94"/>
  <c r="C58" i="94" s="1"/>
  <c r="C62" i="94" s="1"/>
  <c r="C34" i="97" s="1"/>
  <c r="C82" i="97" s="1"/>
  <c r="C100" i="97" s="1"/>
  <c r="D102" i="55"/>
  <c r="D45" i="75"/>
  <c r="D31" i="55"/>
  <c r="D78" i="55" s="1"/>
  <c r="D79" i="55" s="1"/>
  <c r="C69" i="55"/>
  <c r="C71" i="55" s="1"/>
  <c r="C73" i="55" s="1"/>
  <c r="D69" i="55"/>
  <c r="D71" i="55" s="1"/>
  <c r="D73" i="55" s="1"/>
  <c r="B69" i="57"/>
  <c r="C69" i="57"/>
  <c r="C71" i="57" s="1"/>
  <c r="C73" i="57" s="1"/>
  <c r="C31" i="57"/>
  <c r="C32" i="57" s="1"/>
  <c r="C102" i="57"/>
  <c r="C45" i="76"/>
  <c r="G45" i="78"/>
  <c r="G102" i="54"/>
  <c r="G69" i="54"/>
  <c r="G31" i="54"/>
  <c r="G78" i="54" s="1"/>
  <c r="G79" i="54" s="1"/>
  <c r="F69" i="54"/>
  <c r="F71" i="54" s="1"/>
  <c r="F73" i="54" s="1"/>
  <c r="C144" i="52"/>
  <c r="C146" i="52" s="1"/>
  <c r="C69" i="54"/>
  <c r="C102" i="54"/>
  <c r="B69" i="54"/>
  <c r="B71" i="54" s="1"/>
  <c r="B73" i="54" s="1"/>
  <c r="C31" i="54"/>
  <c r="C78" i="54" s="1"/>
  <c r="C79" i="54" s="1"/>
  <c r="C45" i="78"/>
  <c r="F45" i="77"/>
  <c r="E69" i="58"/>
  <c r="E71" i="58" s="1"/>
  <c r="E73" i="58" s="1"/>
  <c r="F102" i="58"/>
  <c r="F69" i="58"/>
  <c r="F71" i="58" s="1"/>
  <c r="F73" i="58" s="1"/>
  <c r="F31" i="58"/>
  <c r="F32" i="58" s="1"/>
  <c r="F31" i="52"/>
  <c r="F69" i="52"/>
  <c r="F45" i="73"/>
  <c r="F102" i="52"/>
  <c r="G62" i="99"/>
  <c r="G63" i="99" s="1"/>
  <c r="B58" i="58"/>
  <c r="B62" i="58" s="1"/>
  <c r="B63" i="58" s="1"/>
  <c r="B66" i="58"/>
  <c r="B68" i="58" s="1"/>
  <c r="B145" i="55"/>
  <c r="E83" i="77"/>
  <c r="C83" i="77"/>
  <c r="F83" i="77"/>
  <c r="F69" i="57"/>
  <c r="F71" i="57" s="1"/>
  <c r="F73" i="57" s="1"/>
  <c r="B31" i="58"/>
  <c r="B32" i="58" s="1"/>
  <c r="C76" i="99"/>
  <c r="C77" i="99" s="1"/>
  <c r="B83" i="77"/>
  <c r="E62" i="99"/>
  <c r="E63" i="99" s="1"/>
  <c r="E88" i="74"/>
  <c r="F24" i="74"/>
  <c r="E97" i="74"/>
  <c r="E59" i="74"/>
  <c r="E76" i="74"/>
  <c r="E15" i="82"/>
  <c r="E79" i="82" s="1"/>
  <c r="C49" i="94"/>
  <c r="B79" i="74"/>
  <c r="B48" i="94"/>
  <c r="B58" i="94" s="1"/>
  <c r="B62" i="94" s="1"/>
  <c r="B34" i="97" s="1"/>
  <c r="B82" i="97" s="1"/>
  <c r="B100" i="97" s="1"/>
  <c r="E79" i="74"/>
  <c r="G47" i="94"/>
  <c r="C47" i="94"/>
  <c r="F84" i="74"/>
  <c r="E84" i="74"/>
  <c r="B158" i="97"/>
  <c r="B159" i="97" s="1"/>
  <c r="B49" i="94"/>
  <c r="F85" i="73"/>
  <c r="G102" i="58"/>
  <c r="F76" i="99"/>
  <c r="F77" i="99" s="1"/>
  <c r="B70" i="82"/>
  <c r="D140" i="93"/>
  <c r="E140" i="93" s="1"/>
  <c r="C70" i="82"/>
  <c r="H32" i="53"/>
  <c r="H42" i="53" s="1"/>
  <c r="G69" i="57"/>
  <c r="D137" i="93"/>
  <c r="E137" i="93" s="1"/>
  <c r="E102" i="57"/>
  <c r="G89" i="97"/>
  <c r="G91" i="97" s="1"/>
  <c r="F79" i="74"/>
  <c r="C56" i="74"/>
  <c r="B56" i="74"/>
  <c r="E56" i="74" s="1"/>
  <c r="G48" i="94"/>
  <c r="G58" i="94" s="1"/>
  <c r="G62" i="94" s="1"/>
  <c r="G34" i="97" s="1"/>
  <c r="G82" i="97" s="1"/>
  <c r="H80" i="58"/>
  <c r="H89" i="58" s="1"/>
  <c r="F58" i="52"/>
  <c r="F62" i="52" s="1"/>
  <c r="F63" i="52" s="1"/>
  <c r="F66" i="52"/>
  <c r="F68" i="52" s="1"/>
  <c r="F84" i="52"/>
  <c r="E84" i="52"/>
  <c r="F80" i="52"/>
  <c r="F89" i="52" s="1"/>
  <c r="D76" i="78"/>
  <c r="D15" i="86"/>
  <c r="D79" i="86" s="1"/>
  <c r="D97" i="78"/>
  <c r="D88" i="78"/>
  <c r="E24" i="78"/>
  <c r="D59" i="78"/>
  <c r="C69" i="52"/>
  <c r="B48" i="98"/>
  <c r="B94" i="97"/>
  <c r="E55" i="100"/>
  <c r="D48" i="94"/>
  <c r="D58" i="94" s="1"/>
  <c r="D62" i="94" s="1"/>
  <c r="D34" i="97" s="1"/>
  <c r="D82" i="97" s="1"/>
  <c r="D100" i="97" s="1"/>
  <c r="C85" i="73"/>
  <c r="D139" i="93"/>
  <c r="E139" i="93" s="1"/>
  <c r="G45" i="77"/>
  <c r="G31" i="57"/>
  <c r="G78" i="57" s="1"/>
  <c r="G79" i="57" s="1"/>
  <c r="B69" i="58"/>
  <c r="D69" i="56"/>
  <c r="D71" i="56" s="1"/>
  <c r="D73" i="56" s="1"/>
  <c r="B102" i="58"/>
  <c r="D79" i="74"/>
  <c r="H48" i="94"/>
  <c r="H58" i="94" s="1"/>
  <c r="G49" i="94"/>
  <c r="D85" i="77"/>
  <c r="D49" i="94"/>
  <c r="H69" i="94"/>
  <c r="H56" i="94"/>
  <c r="H92" i="97"/>
  <c r="G18" i="93"/>
  <c r="B58" i="52"/>
  <c r="B62" i="52" s="1"/>
  <c r="B63" i="52" s="1"/>
  <c r="B84" i="52"/>
  <c r="B80" i="52"/>
  <c r="B89" i="52" s="1"/>
  <c r="B66" i="52"/>
  <c r="B68" i="52" s="1"/>
  <c r="D47" i="94"/>
  <c r="E56" i="78"/>
  <c r="E85" i="78" s="1"/>
  <c r="D166" i="97"/>
  <c r="D39" i="98"/>
  <c r="E80" i="55"/>
  <c r="E89" i="55" s="1"/>
  <c r="E58" i="55"/>
  <c r="E62" i="55" s="1"/>
  <c r="E63" i="55" s="1"/>
  <c r="E66" i="55"/>
  <c r="E68" i="55" s="1"/>
  <c r="D59" i="76"/>
  <c r="D15" i="84"/>
  <c r="D79" i="84" s="1"/>
  <c r="D76" i="76"/>
  <c r="D88" i="76"/>
  <c r="D97" i="76"/>
  <c r="E24" i="76"/>
  <c r="D16" i="93"/>
  <c r="G84" i="52"/>
  <c r="G66" i="52"/>
  <c r="G68" i="52" s="1"/>
  <c r="G80" i="52"/>
  <c r="G89" i="52" s="1"/>
  <c r="G58" i="52"/>
  <c r="G62" i="52" s="1"/>
  <c r="G63" i="52" s="1"/>
  <c r="C31" i="56"/>
  <c r="B78" i="56" s="1"/>
  <c r="B79" i="56" s="1"/>
  <c r="H32" i="57"/>
  <c r="H105" i="57" s="1"/>
  <c r="H58" i="55"/>
  <c r="H62" i="55" s="1"/>
  <c r="H63" i="55" s="1"/>
  <c r="E85" i="73"/>
  <c r="G84" i="55"/>
  <c r="H76" i="99"/>
  <c r="H77" i="99" s="1"/>
  <c r="D87" i="93"/>
  <c r="E87" i="93" s="1"/>
  <c r="B85" i="73"/>
  <c r="D31" i="52"/>
  <c r="D78" i="52" s="1"/>
  <c r="D79" i="52" s="1"/>
  <c r="D84" i="78"/>
  <c r="F84" i="72"/>
  <c r="D84" i="72"/>
  <c r="C84" i="76"/>
  <c r="D83" i="77"/>
  <c r="E166" i="97"/>
  <c r="E39" i="98"/>
  <c r="G66" i="54"/>
  <c r="G68" i="54" s="1"/>
  <c r="G58" i="54"/>
  <c r="G62" i="54" s="1"/>
  <c r="G63" i="54" s="1"/>
  <c r="F84" i="54"/>
  <c r="E90" i="75"/>
  <c r="B33" i="83"/>
  <c r="E158" i="97" s="1"/>
  <c r="E159" i="97" s="1"/>
  <c r="B90" i="75"/>
  <c r="F90" i="75"/>
  <c r="C90" i="75"/>
  <c r="D90" i="75"/>
  <c r="E49" i="94"/>
  <c r="D86" i="93"/>
  <c r="E86" i="93" s="1"/>
  <c r="D45" i="73"/>
  <c r="D58" i="57"/>
  <c r="D62" i="57" s="1"/>
  <c r="D63" i="57" s="1"/>
  <c r="B66" i="57"/>
  <c r="B68" i="57" s="1"/>
  <c r="G31" i="58"/>
  <c r="D133" i="93"/>
  <c r="E133" i="93" s="1"/>
  <c r="D69" i="52"/>
  <c r="G45" i="76"/>
  <c r="F84" i="78"/>
  <c r="E84" i="72"/>
  <c r="B102" i="52"/>
  <c r="B31" i="52"/>
  <c r="B45" i="73"/>
  <c r="B69" i="52"/>
  <c r="B50" i="57"/>
  <c r="B50" i="98"/>
  <c r="F47" i="94"/>
  <c r="C49" i="83"/>
  <c r="E48" i="94"/>
  <c r="E58" i="94" s="1"/>
  <c r="C50" i="85"/>
  <c r="G158" i="97"/>
  <c r="G159" i="97" s="1"/>
  <c r="E16" i="98"/>
  <c r="B143" i="55"/>
  <c r="B97" i="83"/>
  <c r="B82" i="83"/>
  <c r="H80" i="55"/>
  <c r="H89" i="55" s="1"/>
  <c r="D76" i="75"/>
  <c r="D59" i="75"/>
  <c r="D97" i="75"/>
  <c r="D88" i="75"/>
  <c r="E24" i="75"/>
  <c r="D15" i="83"/>
  <c r="D79" i="83" s="1"/>
  <c r="H18" i="93"/>
  <c r="B84" i="72"/>
  <c r="F84" i="76"/>
  <c r="D80" i="58"/>
  <c r="D89" i="58" s="1"/>
  <c r="D84" i="58"/>
  <c r="D58" i="58"/>
  <c r="D62" i="58" s="1"/>
  <c r="D63" i="58" s="1"/>
  <c r="D66" i="58"/>
  <c r="D68" i="58" s="1"/>
  <c r="D59" i="77"/>
  <c r="D15" i="85"/>
  <c r="D79" i="85" s="1"/>
  <c r="D88" i="77"/>
  <c r="D76" i="77"/>
  <c r="E24" i="77"/>
  <c r="D97" i="77"/>
  <c r="D95" i="99"/>
  <c r="B95" i="99"/>
  <c r="C50" i="84"/>
  <c r="C95" i="99"/>
  <c r="E95" i="99"/>
  <c r="F158" i="97"/>
  <c r="F159" i="97" s="1"/>
  <c r="C84" i="52"/>
  <c r="C145" i="52"/>
  <c r="C80" i="52"/>
  <c r="C89" i="52" s="1"/>
  <c r="C66" i="52"/>
  <c r="C68" i="52" s="1"/>
  <c r="C58" i="52"/>
  <c r="C62" i="52" s="1"/>
  <c r="C63" i="52" s="1"/>
  <c r="E47" i="94"/>
  <c r="E143" i="52"/>
  <c r="E145" i="52"/>
  <c r="B80" i="58"/>
  <c r="B89" i="58" s="1"/>
  <c r="E29" i="100"/>
  <c r="D84" i="76"/>
  <c r="F48" i="94"/>
  <c r="F58" i="94" s="1"/>
  <c r="F62" i="94" s="1"/>
  <c r="F34" i="97" s="1"/>
  <c r="F82" i="97" s="1"/>
  <c r="F100" i="97" s="1"/>
  <c r="F90" i="78"/>
  <c r="B33" i="86"/>
  <c r="D90" i="78"/>
  <c r="C90" i="78"/>
  <c r="B90" i="78"/>
  <c r="E90" i="78"/>
  <c r="E69" i="52"/>
  <c r="E71" i="52" s="1"/>
  <c r="E73" i="52" s="1"/>
  <c r="F68" i="94"/>
  <c r="G68" i="94"/>
  <c r="B80" i="57"/>
  <c r="B89" i="57" s="1"/>
  <c r="B84" i="57"/>
  <c r="B80" i="53"/>
  <c r="B89" i="53" s="1"/>
  <c r="B84" i="53"/>
  <c r="D80" i="57"/>
  <c r="D89" i="57" s="1"/>
  <c r="D84" i="57"/>
  <c r="B9" i="68"/>
  <c r="B139" i="97"/>
  <c r="B144" i="97"/>
  <c r="B21" i="105" s="1"/>
  <c r="D144" i="97"/>
  <c r="D21" i="105" s="1"/>
  <c r="D139" i="97"/>
  <c r="H144" i="97"/>
  <c r="H21" i="105" s="1"/>
  <c r="H139" i="97"/>
  <c r="E139" i="97"/>
  <c r="E144" i="97"/>
  <c r="E21" i="105" s="1"/>
  <c r="C139" i="97"/>
  <c r="F139" i="97"/>
  <c r="F144" i="97"/>
  <c r="F21" i="105" s="1"/>
  <c r="C52" i="97"/>
  <c r="C53" i="97"/>
  <c r="H53" i="97"/>
  <c r="H52" i="97"/>
  <c r="F53" i="97"/>
  <c r="F52" i="97"/>
  <c r="E53" i="97"/>
  <c r="E52" i="97"/>
  <c r="D53" i="97"/>
  <c r="D52" i="97"/>
  <c r="B53" i="97"/>
  <c r="B52" i="97"/>
  <c r="G48" i="97"/>
  <c r="G138" i="97" s="1"/>
  <c r="C24" i="68"/>
  <c r="D24" i="68" s="1"/>
  <c r="B25" i="68"/>
  <c r="C25" i="68" s="1"/>
  <c r="D25" i="68" s="1"/>
  <c r="E25" i="68" s="1"/>
  <c r="F25" i="68" s="1"/>
  <c r="C35" i="70"/>
  <c r="D35" i="70" s="1"/>
  <c r="E35" i="70" s="1"/>
  <c r="F35" i="70" s="1"/>
  <c r="B37" i="70"/>
  <c r="C37" i="70" s="1"/>
  <c r="D37" i="70" s="1"/>
  <c r="E37" i="70" s="1"/>
  <c r="F37" i="70" s="1"/>
  <c r="B36" i="70"/>
  <c r="C36" i="70" s="1"/>
  <c r="D36" i="70" s="1"/>
  <c r="E36" i="70" s="1"/>
  <c r="F36" i="70" s="1"/>
  <c r="B38" i="70"/>
  <c r="C38" i="70" s="1"/>
  <c r="D38" i="70" s="1"/>
  <c r="E38" i="70" s="1"/>
  <c r="F38" i="70" s="1"/>
  <c r="B9" i="70"/>
  <c r="B34" i="70"/>
  <c r="C34" i="70" s="1"/>
  <c r="D34" i="70" s="1"/>
  <c r="E42" i="52"/>
  <c r="E51" i="52" s="1"/>
  <c r="E105" i="52"/>
  <c r="E49" i="73"/>
  <c r="G45" i="72"/>
  <c r="G102" i="53"/>
  <c r="D32" i="53"/>
  <c r="D145" i="53" s="1"/>
  <c r="F105" i="53"/>
  <c r="F49" i="72"/>
  <c r="B105" i="55"/>
  <c r="B49" i="75"/>
  <c r="B53" i="77"/>
  <c r="C105" i="52"/>
  <c r="C42" i="52"/>
  <c r="H78" i="52"/>
  <c r="H79" i="52" s="1"/>
  <c r="H32" i="52"/>
  <c r="C25" i="69"/>
  <c r="D25" i="69" s="1"/>
  <c r="E25" i="69" s="1"/>
  <c r="F25" i="69" s="1"/>
  <c r="B24" i="69"/>
  <c r="B26" i="69" s="1"/>
  <c r="B27" i="69" s="1"/>
  <c r="B9" i="69"/>
  <c r="H39" i="61"/>
  <c r="H47" i="61" s="1"/>
  <c r="E38" i="61"/>
  <c r="E65" i="61" s="1"/>
  <c r="I29" i="61"/>
  <c r="I55" i="61" s="1"/>
  <c r="F39" i="61"/>
  <c r="F47" i="61" s="1"/>
  <c r="F38" i="61"/>
  <c r="I38" i="61"/>
  <c r="I61" i="61" s="1"/>
  <c r="G39" i="61"/>
  <c r="G47" i="61" s="1"/>
  <c r="C39" i="61"/>
  <c r="C47" i="61" s="1"/>
  <c r="D39" i="61"/>
  <c r="D47" i="61" s="1"/>
  <c r="D38" i="61"/>
  <c r="E32" i="58"/>
  <c r="B32" i="57"/>
  <c r="D32" i="57"/>
  <c r="D145" i="57" s="1"/>
  <c r="F32" i="57"/>
  <c r="B32" i="56"/>
  <c r="F32" i="56"/>
  <c r="C32" i="55"/>
  <c r="C78" i="55"/>
  <c r="C79" i="55" s="1"/>
  <c r="F32" i="55"/>
  <c r="F78" i="55"/>
  <c r="F79" i="55" s="1"/>
  <c r="E32" i="55"/>
  <c r="E143" i="55" s="1"/>
  <c r="G32" i="55"/>
  <c r="B78" i="55"/>
  <c r="B79" i="55" s="1"/>
  <c r="B42" i="55"/>
  <c r="D32" i="54"/>
  <c r="B66" i="53"/>
  <c r="B68" i="53" s="1"/>
  <c r="B58" i="53"/>
  <c r="B62" i="53" s="1"/>
  <c r="B63" i="53" s="1"/>
  <c r="F42" i="53"/>
  <c r="D7" i="98" l="1"/>
  <c r="F51" i="53"/>
  <c r="C49" i="73"/>
  <c r="B154" i="53"/>
  <c r="B155" i="53" s="1"/>
  <c r="B152" i="53"/>
  <c r="D121" i="93"/>
  <c r="E121" i="93" s="1"/>
  <c r="D78" i="54"/>
  <c r="D79" i="54" s="1"/>
  <c r="D123" i="93"/>
  <c r="E123" i="93" s="1"/>
  <c r="D101" i="93"/>
  <c r="E101" i="93" s="1"/>
  <c r="G71" i="57"/>
  <c r="G73" i="57" s="1"/>
  <c r="E32" i="54"/>
  <c r="B51" i="55"/>
  <c r="D118" i="93"/>
  <c r="E118" i="93" s="1"/>
  <c r="H51" i="53"/>
  <c r="E18" i="93"/>
  <c r="H32" i="56"/>
  <c r="D119" i="93"/>
  <c r="E119" i="93" s="1"/>
  <c r="G71" i="53"/>
  <c r="G73" i="53" s="1"/>
  <c r="C154" i="53"/>
  <c r="C155" i="53" s="1"/>
  <c r="C152" i="53"/>
  <c r="B71" i="53"/>
  <c r="B73" i="53" s="1"/>
  <c r="B78" i="53"/>
  <c r="B79" i="53" s="1"/>
  <c r="C51" i="52"/>
  <c r="C30" i="64"/>
  <c r="C144" i="97"/>
  <c r="C21" i="105" s="1"/>
  <c r="C44" i="65"/>
  <c r="D44" i="65" s="1"/>
  <c r="E44" i="65" s="1"/>
  <c r="F44" i="65" s="1"/>
  <c r="B45" i="65"/>
  <c r="C45" i="65" s="1"/>
  <c r="D45" i="65" s="1"/>
  <c r="E45" i="65" s="1"/>
  <c r="F45" i="65" s="1"/>
  <c r="D30" i="64"/>
  <c r="E30" i="64" s="1"/>
  <c r="F30" i="64" s="1"/>
  <c r="B41" i="65"/>
  <c r="C41" i="65" s="1"/>
  <c r="D41" i="65" s="1"/>
  <c r="E41" i="65" s="1"/>
  <c r="F41" i="65" s="1"/>
  <c r="B46" i="65"/>
  <c r="C46" i="65" s="1"/>
  <c r="D46" i="65" s="1"/>
  <c r="E46" i="65" s="1"/>
  <c r="F46" i="65" s="1"/>
  <c r="B48" i="65"/>
  <c r="C48" i="65" s="1"/>
  <c r="D48" i="65" s="1"/>
  <c r="E48" i="65" s="1"/>
  <c r="F48" i="65" s="1"/>
  <c r="B49" i="65"/>
  <c r="C49" i="65" s="1"/>
  <c r="D49" i="65" s="1"/>
  <c r="E49" i="65" s="1"/>
  <c r="F49" i="65" s="1"/>
  <c r="B42" i="65"/>
  <c r="C42" i="65" s="1"/>
  <c r="D42" i="65" s="1"/>
  <c r="E42" i="65" s="1"/>
  <c r="F42" i="65" s="1"/>
  <c r="B47" i="65"/>
  <c r="C47" i="65" s="1"/>
  <c r="D47" i="65" s="1"/>
  <c r="E47" i="65" s="1"/>
  <c r="F47" i="65" s="1"/>
  <c r="B40" i="65"/>
  <c r="C40" i="65" s="1"/>
  <c r="D40" i="65" s="1"/>
  <c r="E40" i="65" s="1"/>
  <c r="F40" i="65" s="1"/>
  <c r="B9" i="65"/>
  <c r="B43" i="65"/>
  <c r="B32" i="64"/>
  <c r="C32" i="64" s="1"/>
  <c r="D32" i="64" s="1"/>
  <c r="E32" i="64" s="1"/>
  <c r="F32" i="64" s="1"/>
  <c r="B33" i="64"/>
  <c r="C33" i="64" s="1"/>
  <c r="D33" i="64" s="1"/>
  <c r="E33" i="64" s="1"/>
  <c r="F33" i="64" s="1"/>
  <c r="B9" i="64"/>
  <c r="B34" i="64"/>
  <c r="C34" i="64" s="1"/>
  <c r="B31" i="64"/>
  <c r="C31" i="64" s="1"/>
  <c r="D31" i="64" s="1"/>
  <c r="E31" i="64" s="1"/>
  <c r="F31" i="64" s="1"/>
  <c r="B111" i="81"/>
  <c r="E89" i="99"/>
  <c r="B89" i="99"/>
  <c r="B40" i="67"/>
  <c r="C40" i="67" s="1"/>
  <c r="D40" i="67" s="1"/>
  <c r="E40" i="67" s="1"/>
  <c r="F40" i="67" s="1"/>
  <c r="C89" i="99"/>
  <c r="B111" i="83"/>
  <c r="E154" i="54"/>
  <c r="E155" i="54" s="1"/>
  <c r="E152" i="54"/>
  <c r="C154" i="55"/>
  <c r="C155" i="55" s="1"/>
  <c r="C152" i="55"/>
  <c r="B39" i="67"/>
  <c r="C39" i="67" s="1"/>
  <c r="D39" i="67" s="1"/>
  <c r="E39" i="67" s="1"/>
  <c r="F39" i="67" s="1"/>
  <c r="D100" i="93"/>
  <c r="E100" i="93" s="1"/>
  <c r="D154" i="58"/>
  <c r="D155" i="58" s="1"/>
  <c r="D152" i="58"/>
  <c r="G154" i="54"/>
  <c r="G155" i="54" s="1"/>
  <c r="G152" i="54"/>
  <c r="C154" i="58"/>
  <c r="C155" i="58" s="1"/>
  <c r="C152" i="58"/>
  <c r="D154" i="55"/>
  <c r="D155" i="55" s="1"/>
  <c r="D152" i="55"/>
  <c r="C152" i="56"/>
  <c r="C154" i="56"/>
  <c r="C155" i="56" s="1"/>
  <c r="B154" i="54"/>
  <c r="B155" i="54" s="1"/>
  <c r="B152" i="54"/>
  <c r="D154" i="56"/>
  <c r="D155" i="56" s="1"/>
  <c r="D152" i="56"/>
  <c r="B37" i="67"/>
  <c r="C37" i="67" s="1"/>
  <c r="D37" i="67" s="1"/>
  <c r="E37" i="67" s="1"/>
  <c r="F37" i="67" s="1"/>
  <c r="B36" i="67"/>
  <c r="C36" i="67" s="1"/>
  <c r="D36" i="67" s="1"/>
  <c r="E36" i="67" s="1"/>
  <c r="F36" i="67" s="1"/>
  <c r="H154" i="55"/>
  <c r="H155" i="55" s="1"/>
  <c r="H152" i="55"/>
  <c r="D154" i="52"/>
  <c r="D155" i="52" s="1"/>
  <c r="D152" i="52"/>
  <c r="B38" i="67"/>
  <c r="C38" i="67" s="1"/>
  <c r="D38" i="67" s="1"/>
  <c r="E38" i="67" s="1"/>
  <c r="F38" i="67" s="1"/>
  <c r="B7" i="98"/>
  <c r="D32" i="55"/>
  <c r="B35" i="67"/>
  <c r="C35" i="67" s="1"/>
  <c r="D35" i="67" s="1"/>
  <c r="E35" i="67" s="1"/>
  <c r="F35" i="67" s="1"/>
  <c r="E154" i="55"/>
  <c r="E155" i="55" s="1"/>
  <c r="E152" i="55"/>
  <c r="F154" i="55"/>
  <c r="F155" i="55" s="1"/>
  <c r="F152" i="55"/>
  <c r="H154" i="58"/>
  <c r="H155" i="58" s="1"/>
  <c r="H152" i="58"/>
  <c r="E152" i="52"/>
  <c r="E154" i="52"/>
  <c r="E155" i="52" s="1"/>
  <c r="C154" i="57"/>
  <c r="C155" i="57" s="1"/>
  <c r="C152" i="57"/>
  <c r="F154" i="56"/>
  <c r="F155" i="56" s="1"/>
  <c r="F152" i="56"/>
  <c r="H32" i="58"/>
  <c r="H143" i="58" s="1"/>
  <c r="D154" i="57"/>
  <c r="D155" i="57" s="1"/>
  <c r="D152" i="57"/>
  <c r="C154" i="54"/>
  <c r="C155" i="54" s="1"/>
  <c r="C152" i="54"/>
  <c r="B154" i="58"/>
  <c r="B155" i="58" s="1"/>
  <c r="B152" i="58"/>
  <c r="G154" i="57"/>
  <c r="G155" i="57" s="1"/>
  <c r="G152" i="57"/>
  <c r="H154" i="54"/>
  <c r="H155" i="54" s="1"/>
  <c r="H152" i="54"/>
  <c r="G152" i="52"/>
  <c r="G154" i="52"/>
  <c r="G155" i="52" s="1"/>
  <c r="H154" i="56"/>
  <c r="H155" i="56" s="1"/>
  <c r="H152" i="56"/>
  <c r="G152" i="55"/>
  <c r="G154" i="55"/>
  <c r="G155" i="55" s="1"/>
  <c r="F154" i="52"/>
  <c r="F155" i="52" s="1"/>
  <c r="F152" i="52"/>
  <c r="E154" i="58"/>
  <c r="E155" i="58" s="1"/>
  <c r="E152" i="58"/>
  <c r="B154" i="52"/>
  <c r="B155" i="52" s="1"/>
  <c r="B152" i="52"/>
  <c r="B154" i="55"/>
  <c r="B155" i="55" s="1"/>
  <c r="B152" i="55"/>
  <c r="H154" i="52"/>
  <c r="H155" i="52" s="1"/>
  <c r="H152" i="52"/>
  <c r="B34" i="67"/>
  <c r="C34" i="67" s="1"/>
  <c r="D34" i="67" s="1"/>
  <c r="E34" i="67" s="1"/>
  <c r="F7" i="98"/>
  <c r="D78" i="56"/>
  <c r="D79" i="56" s="1"/>
  <c r="F154" i="58"/>
  <c r="F155" i="58" s="1"/>
  <c r="F152" i="58"/>
  <c r="H154" i="57"/>
  <c r="H155" i="57" s="1"/>
  <c r="H152" i="57"/>
  <c r="C152" i="52"/>
  <c r="C154" i="52"/>
  <c r="C155" i="52" s="1"/>
  <c r="E154" i="57"/>
  <c r="E155" i="57" s="1"/>
  <c r="E152" i="57"/>
  <c r="G154" i="56"/>
  <c r="G155" i="56" s="1"/>
  <c r="G152" i="56"/>
  <c r="F154" i="54"/>
  <c r="F155" i="54" s="1"/>
  <c r="F152" i="54"/>
  <c r="B154" i="56"/>
  <c r="B155" i="56" s="1"/>
  <c r="B152" i="56"/>
  <c r="D127" i="93"/>
  <c r="E127" i="93" s="1"/>
  <c r="E129" i="93" s="1"/>
  <c r="E130" i="93" s="1"/>
  <c r="G27" i="61" s="1"/>
  <c r="G29" i="61" s="1"/>
  <c r="G55" i="61" s="1"/>
  <c r="G100" i="97"/>
  <c r="F154" i="57"/>
  <c r="F155" i="57" s="1"/>
  <c r="F152" i="57"/>
  <c r="D154" i="54"/>
  <c r="D155" i="54" s="1"/>
  <c r="D152" i="54"/>
  <c r="E154" i="56"/>
  <c r="E155" i="56" s="1"/>
  <c r="E152" i="56"/>
  <c r="B81" i="97"/>
  <c r="B85" i="97" s="1"/>
  <c r="B15" i="105"/>
  <c r="C78" i="53"/>
  <c r="C79" i="53" s="1"/>
  <c r="C71" i="54"/>
  <c r="C73" i="54" s="1"/>
  <c r="C53" i="74"/>
  <c r="C78" i="57"/>
  <c r="C79" i="57" s="1"/>
  <c r="E32" i="53"/>
  <c r="E76" i="53" s="1"/>
  <c r="E90" i="53" s="1"/>
  <c r="E91" i="53" s="1"/>
  <c r="D78" i="58"/>
  <c r="D79" i="58" s="1"/>
  <c r="F18" i="93"/>
  <c r="E78" i="58"/>
  <c r="E79" i="58" s="1"/>
  <c r="E71" i="56"/>
  <c r="E73" i="56" s="1"/>
  <c r="B53" i="76"/>
  <c r="H7" i="98"/>
  <c r="B53" i="72"/>
  <c r="E53" i="72" s="1"/>
  <c r="D82" i="72" s="1"/>
  <c r="D96" i="93"/>
  <c r="E96" i="93" s="1"/>
  <c r="C18" i="93"/>
  <c r="F78" i="56"/>
  <c r="F79" i="56" s="1"/>
  <c r="D53" i="74"/>
  <c r="E78" i="56"/>
  <c r="E79" i="56" s="1"/>
  <c r="G78" i="55"/>
  <c r="G79" i="55" s="1"/>
  <c r="G78" i="56"/>
  <c r="G79" i="56" s="1"/>
  <c r="E71" i="55"/>
  <c r="E73" i="55" s="1"/>
  <c r="E78" i="53"/>
  <c r="E79" i="53" s="1"/>
  <c r="H76" i="56"/>
  <c r="H90" i="56" s="1"/>
  <c r="H91" i="56" s="1"/>
  <c r="C42" i="53"/>
  <c r="C51" i="53" s="1"/>
  <c r="H42" i="56"/>
  <c r="H51" i="56" s="1"/>
  <c r="H16" i="98"/>
  <c r="C105" i="53"/>
  <c r="B42" i="54"/>
  <c r="B51" i="54" s="1"/>
  <c r="C49" i="72"/>
  <c r="B49" i="78"/>
  <c r="B144" i="54"/>
  <c r="B146" i="54" s="1"/>
  <c r="H203" i="97" s="1"/>
  <c r="H145" i="56"/>
  <c r="C144" i="53"/>
  <c r="C146" i="53" s="1"/>
  <c r="H32" i="55"/>
  <c r="H143" i="55" s="1"/>
  <c r="C143" i="53"/>
  <c r="E32" i="56"/>
  <c r="E85" i="56" s="1"/>
  <c r="E86" i="56" s="1"/>
  <c r="B78" i="54"/>
  <c r="B79" i="54" s="1"/>
  <c r="D78" i="57"/>
  <c r="D79" i="57" s="1"/>
  <c r="G78" i="53"/>
  <c r="G79" i="53" s="1"/>
  <c r="G32" i="53"/>
  <c r="G105" i="53" s="1"/>
  <c r="C32" i="54"/>
  <c r="B85" i="54" s="1"/>
  <c r="B86" i="54" s="1"/>
  <c r="E32" i="57"/>
  <c r="E145" i="57" s="1"/>
  <c r="B71" i="57"/>
  <c r="B73" i="57" s="1"/>
  <c r="B69" i="94"/>
  <c r="B92" i="97"/>
  <c r="B93" i="97" s="1"/>
  <c r="B41" i="66"/>
  <c r="B25" i="74" s="1"/>
  <c r="E7" i="98"/>
  <c r="D42" i="53"/>
  <c r="D51" i="53" s="1"/>
  <c r="G32" i="54"/>
  <c r="G143" i="54" s="1"/>
  <c r="D94" i="93"/>
  <c r="E94" i="93" s="1"/>
  <c r="F78" i="54"/>
  <c r="F79" i="54" s="1"/>
  <c r="D53" i="75"/>
  <c r="B145" i="54"/>
  <c r="B97" i="86"/>
  <c r="B82" i="86"/>
  <c r="B143" i="54"/>
  <c r="E97" i="72"/>
  <c r="C76" i="53"/>
  <c r="C90" i="53" s="1"/>
  <c r="C91" i="53" s="1"/>
  <c r="C85" i="53"/>
  <c r="C86" i="53" s="1"/>
  <c r="C78" i="56"/>
  <c r="C79" i="56" s="1"/>
  <c r="H49" i="76"/>
  <c r="D98" i="93"/>
  <c r="E98" i="93" s="1"/>
  <c r="D95" i="93"/>
  <c r="E95" i="93" s="1"/>
  <c r="D103" i="93"/>
  <c r="E103" i="93" s="1"/>
  <c r="D102" i="93"/>
  <c r="E102" i="93" s="1"/>
  <c r="D122" i="93"/>
  <c r="E122" i="93" s="1"/>
  <c r="C32" i="56"/>
  <c r="C144" i="56" s="1"/>
  <c r="C146" i="56" s="1"/>
  <c r="B71" i="94"/>
  <c r="G32" i="57"/>
  <c r="F76" i="57" s="1"/>
  <c r="F90" i="57" s="1"/>
  <c r="F91" i="57" s="1"/>
  <c r="C53" i="75"/>
  <c r="H76" i="57"/>
  <c r="H90" i="57" s="1"/>
  <c r="H91" i="57" s="1"/>
  <c r="H76" i="53"/>
  <c r="H90" i="53" s="1"/>
  <c r="H91" i="53" s="1"/>
  <c r="H42" i="57"/>
  <c r="H51" i="57" s="1"/>
  <c r="H49" i="72"/>
  <c r="F78" i="58"/>
  <c r="F79" i="58" s="1"/>
  <c r="C78" i="58"/>
  <c r="C79" i="58" s="1"/>
  <c r="H105" i="53"/>
  <c r="E15" i="80"/>
  <c r="E79" i="80" s="1"/>
  <c r="D53" i="78"/>
  <c r="G78" i="58"/>
  <c r="G79" i="58" s="1"/>
  <c r="E76" i="72"/>
  <c r="B78" i="58"/>
  <c r="B79" i="58" s="1"/>
  <c r="B53" i="75"/>
  <c r="D53" i="77"/>
  <c r="G32" i="58"/>
  <c r="F76" i="58" s="1"/>
  <c r="F90" i="58" s="1"/>
  <c r="F91" i="58" s="1"/>
  <c r="B78" i="57"/>
  <c r="B79" i="57" s="1"/>
  <c r="H49" i="78"/>
  <c r="D71" i="58"/>
  <c r="D73" i="58" s="1"/>
  <c r="H105" i="54"/>
  <c r="G7" i="98"/>
  <c r="G71" i="52"/>
  <c r="G73" i="52" s="1"/>
  <c r="E15" i="81"/>
  <c r="E79" i="81" s="1"/>
  <c r="E76" i="73"/>
  <c r="E97" i="73"/>
  <c r="E88" i="73"/>
  <c r="E59" i="73"/>
  <c r="F24" i="73"/>
  <c r="H145" i="54"/>
  <c r="D53" i="72"/>
  <c r="H42" i="54"/>
  <c r="H51" i="54" s="1"/>
  <c r="E142" i="93"/>
  <c r="E143" i="93" s="1"/>
  <c r="H76" i="54"/>
  <c r="H90" i="54" s="1"/>
  <c r="H91" i="54" s="1"/>
  <c r="F78" i="57"/>
  <c r="F79" i="57" s="1"/>
  <c r="E62" i="94"/>
  <c r="E34" i="97" s="1"/>
  <c r="E82" i="97" s="1"/>
  <c r="E100" i="97" s="1"/>
  <c r="E88" i="72"/>
  <c r="F24" i="72"/>
  <c r="F76" i="72" s="1"/>
  <c r="B38" i="97"/>
  <c r="C78" i="52"/>
  <c r="C79" i="52" s="1"/>
  <c r="C71" i="58"/>
  <c r="C73" i="58" s="1"/>
  <c r="D71" i="52"/>
  <c r="D73" i="52" s="1"/>
  <c r="F71" i="52"/>
  <c r="F73" i="52" s="1"/>
  <c r="D32" i="52"/>
  <c r="D144" i="52" s="1"/>
  <c r="G32" i="52"/>
  <c r="G76" i="52" s="1"/>
  <c r="G78" i="52"/>
  <c r="G79" i="52" s="1"/>
  <c r="C7" i="98"/>
  <c r="B71" i="52"/>
  <c r="B73" i="52" s="1"/>
  <c r="D53" i="76"/>
  <c r="B143" i="58"/>
  <c r="B82" i="85"/>
  <c r="B97" i="85"/>
  <c r="G16" i="98"/>
  <c r="B144" i="58"/>
  <c r="B146" i="58" s="1"/>
  <c r="G203" i="97" s="1"/>
  <c r="G206" i="97" s="1"/>
  <c r="B145" i="58"/>
  <c r="D112" i="93"/>
  <c r="E112" i="93" s="1"/>
  <c r="D109" i="93"/>
  <c r="E109" i="93" s="1"/>
  <c r="D99" i="93"/>
  <c r="E99" i="93" s="1"/>
  <c r="D90" i="93"/>
  <c r="E90" i="93" s="1"/>
  <c r="E91" i="93" s="1"/>
  <c r="E92" i="93" s="1"/>
  <c r="C27" i="61" s="1"/>
  <c r="C29" i="61" s="1"/>
  <c r="D120" i="93"/>
  <c r="E120" i="93" s="1"/>
  <c r="D110" i="93"/>
  <c r="E110" i="93" s="1"/>
  <c r="D132" i="93"/>
  <c r="E132" i="93" s="1"/>
  <c r="E134" i="93" s="1"/>
  <c r="E135" i="93" s="1"/>
  <c r="H27" i="61" s="1"/>
  <c r="H29" i="61" s="1"/>
  <c r="H55" i="61" s="1"/>
  <c r="D113" i="93"/>
  <c r="E113" i="93" s="1"/>
  <c r="D107" i="93"/>
  <c r="E107" i="93" s="1"/>
  <c r="D108" i="93"/>
  <c r="E108" i="93" s="1"/>
  <c r="D97" i="93"/>
  <c r="E97" i="93" s="1"/>
  <c r="F143" i="54"/>
  <c r="F145" i="54"/>
  <c r="E143" i="58"/>
  <c r="E145" i="58"/>
  <c r="B143" i="53"/>
  <c r="B82" i="80"/>
  <c r="B16" i="98"/>
  <c r="B97" i="80"/>
  <c r="B144" i="53"/>
  <c r="B146" i="53" s="1"/>
  <c r="B203" i="97" s="1"/>
  <c r="B206" i="97" s="1"/>
  <c r="B97" i="82"/>
  <c r="B143" i="56"/>
  <c r="D16" i="98"/>
  <c r="B82" i="82"/>
  <c r="B144" i="56"/>
  <c r="B146" i="56" s="1"/>
  <c r="D203" i="97" s="1"/>
  <c r="D206" i="97" s="1"/>
  <c r="B145" i="56"/>
  <c r="B53" i="78"/>
  <c r="E97" i="76"/>
  <c r="E15" i="84"/>
  <c r="E79" i="84" s="1"/>
  <c r="E59" i="76"/>
  <c r="E88" i="76"/>
  <c r="F24" i="76"/>
  <c r="E76" i="76"/>
  <c r="F32" i="52"/>
  <c r="F78" i="52"/>
  <c r="F79" i="52" s="1"/>
  <c r="E78" i="52"/>
  <c r="E79" i="52" s="1"/>
  <c r="C143" i="57"/>
  <c r="C144" i="57"/>
  <c r="C146" i="57" s="1"/>
  <c r="C145" i="57"/>
  <c r="D143" i="58"/>
  <c r="D144" i="58"/>
  <c r="C53" i="78"/>
  <c r="C53" i="77"/>
  <c r="E15" i="85"/>
  <c r="E79" i="85" s="1"/>
  <c r="E97" i="77"/>
  <c r="E59" i="77"/>
  <c r="F24" i="77"/>
  <c r="E76" i="77"/>
  <c r="E88" i="77"/>
  <c r="E145" i="55"/>
  <c r="E53" i="74"/>
  <c r="B82" i="74" s="1"/>
  <c r="E56" i="94"/>
  <c r="E60" i="94" s="1"/>
  <c r="E61" i="94" s="1"/>
  <c r="E69" i="94"/>
  <c r="E92" i="97"/>
  <c r="E76" i="75"/>
  <c r="E15" i="83"/>
  <c r="E79" i="83" s="1"/>
  <c r="E97" i="75"/>
  <c r="E88" i="75"/>
  <c r="F24" i="75"/>
  <c r="E59" i="75"/>
  <c r="D18" i="93"/>
  <c r="H143" i="53"/>
  <c r="H145" i="53"/>
  <c r="B145" i="53"/>
  <c r="G143" i="56"/>
  <c r="G145" i="56"/>
  <c r="H60" i="94"/>
  <c r="H61" i="94" s="1"/>
  <c r="H145" i="58"/>
  <c r="F143" i="57"/>
  <c r="F145" i="57"/>
  <c r="E143" i="54"/>
  <c r="E145" i="54"/>
  <c r="B71" i="58"/>
  <c r="B73" i="58" s="1"/>
  <c r="C71" i="52"/>
  <c r="C73" i="52" s="1"/>
  <c r="C56" i="94"/>
  <c r="C60" i="94" s="1"/>
  <c r="C61" i="94" s="1"/>
  <c r="C92" i="97"/>
  <c r="C93" i="97" s="1"/>
  <c r="C69" i="94"/>
  <c r="F15" i="82"/>
  <c r="F79" i="82" s="1"/>
  <c r="B110" i="74"/>
  <c r="F97" i="74"/>
  <c r="F76" i="74"/>
  <c r="F59" i="74"/>
  <c r="F88" i="74"/>
  <c r="C143" i="58"/>
  <c r="C145" i="58"/>
  <c r="C144" i="58"/>
  <c r="C146" i="58" s="1"/>
  <c r="H143" i="57"/>
  <c r="H145" i="57"/>
  <c r="E53" i="76"/>
  <c r="F82" i="76" s="1"/>
  <c r="C143" i="55"/>
  <c r="C144" i="55"/>
  <c r="C146" i="55" s="1"/>
  <c r="C145" i="55"/>
  <c r="E143" i="56"/>
  <c r="C50" i="83"/>
  <c r="E89" i="97"/>
  <c r="E91" i="97" s="1"/>
  <c r="E66" i="94"/>
  <c r="E68" i="94" s="1"/>
  <c r="E15" i="86"/>
  <c r="E79" i="86" s="1"/>
  <c r="E88" i="78"/>
  <c r="E97" i="78"/>
  <c r="E76" i="78"/>
  <c r="E59" i="78"/>
  <c r="F24" i="78"/>
  <c r="D85" i="74"/>
  <c r="E85" i="74"/>
  <c r="B85" i="74"/>
  <c r="C85" i="74"/>
  <c r="F85" i="74"/>
  <c r="E53" i="77"/>
  <c r="D82" i="77" s="1"/>
  <c r="D143" i="54"/>
  <c r="D145" i="54"/>
  <c r="D144" i="54"/>
  <c r="D143" i="57"/>
  <c r="D144" i="57"/>
  <c r="F56" i="94"/>
  <c r="F60" i="94" s="1"/>
  <c r="F61" i="94" s="1"/>
  <c r="F69" i="94"/>
  <c r="F92" i="97"/>
  <c r="F93" i="97" s="1"/>
  <c r="D85" i="78"/>
  <c r="B85" i="78"/>
  <c r="C85" i="78"/>
  <c r="F85" i="78"/>
  <c r="G56" i="94"/>
  <c r="G60" i="94" s="1"/>
  <c r="G61" i="94" s="1"/>
  <c r="G92" i="97"/>
  <c r="G93" i="97" s="1"/>
  <c r="G69" i="94"/>
  <c r="B82" i="84"/>
  <c r="B143" i="57"/>
  <c r="B97" i="84"/>
  <c r="F16" i="98"/>
  <c r="B8" i="99"/>
  <c r="B9" i="99" s="1"/>
  <c r="B144" i="57"/>
  <c r="B146" i="57" s="1"/>
  <c r="F203" i="97" s="1"/>
  <c r="C50" i="86"/>
  <c r="H89" i="97"/>
  <c r="H91" i="97" s="1"/>
  <c r="H93" i="97" s="1"/>
  <c r="H66" i="94"/>
  <c r="H68" i="94" s="1"/>
  <c r="H158" i="97"/>
  <c r="H159" i="97" s="1"/>
  <c r="B78" i="52"/>
  <c r="B79" i="52" s="1"/>
  <c r="B32" i="52"/>
  <c r="C53" i="76"/>
  <c r="F143" i="56"/>
  <c r="F145" i="56"/>
  <c r="G143" i="55"/>
  <c r="G145" i="55"/>
  <c r="F143" i="58"/>
  <c r="F145" i="58"/>
  <c r="C53" i="72"/>
  <c r="F143" i="55"/>
  <c r="F145" i="55"/>
  <c r="D143" i="53"/>
  <c r="D144" i="53"/>
  <c r="D145" i="58"/>
  <c r="D56" i="94"/>
  <c r="D60" i="94" s="1"/>
  <c r="D61" i="94" s="1"/>
  <c r="D69" i="94"/>
  <c r="D92" i="97"/>
  <c r="D93" i="97" s="1"/>
  <c r="B145" i="57"/>
  <c r="G71" i="54"/>
  <c r="G73" i="54" s="1"/>
  <c r="G143" i="57"/>
  <c r="D143" i="56"/>
  <c r="D144" i="56"/>
  <c r="D145" i="56"/>
  <c r="D143" i="55"/>
  <c r="D144" i="55"/>
  <c r="D145" i="55"/>
  <c r="H143" i="52"/>
  <c r="H145" i="52"/>
  <c r="E53" i="75"/>
  <c r="F82" i="75" s="1"/>
  <c r="D53" i="73"/>
  <c r="B53" i="73"/>
  <c r="C53" i="73"/>
  <c r="H62" i="94"/>
  <c r="H34" i="97" s="1"/>
  <c r="H82" i="97" s="1"/>
  <c r="H100" i="97" s="1"/>
  <c r="E34" i="100"/>
  <c r="G144" i="97"/>
  <c r="G21" i="105" s="1"/>
  <c r="G139" i="97"/>
  <c r="G53" i="97"/>
  <c r="G52" i="97"/>
  <c r="B26" i="68"/>
  <c r="B25" i="76" s="1"/>
  <c r="B61" i="76" s="1"/>
  <c r="B35" i="76" s="1"/>
  <c r="C24" i="69"/>
  <c r="D24" i="69" s="1"/>
  <c r="E24" i="69" s="1"/>
  <c r="F24" i="69" s="1"/>
  <c r="F26" i="69" s="1"/>
  <c r="C39" i="70"/>
  <c r="C25" i="78" s="1"/>
  <c r="B39" i="70"/>
  <c r="B40" i="70" s="1"/>
  <c r="C26" i="68"/>
  <c r="C25" i="76" s="1"/>
  <c r="D105" i="54"/>
  <c r="D85" i="54"/>
  <c r="D86" i="54" s="1"/>
  <c r="D49" i="78"/>
  <c r="H76" i="52"/>
  <c r="H42" i="52"/>
  <c r="H51" i="52" s="1"/>
  <c r="H49" i="73"/>
  <c r="H105" i="52"/>
  <c r="F49" i="74"/>
  <c r="F85" i="56"/>
  <c r="F86" i="56" s="1"/>
  <c r="F105" i="56"/>
  <c r="F49" i="76"/>
  <c r="F105" i="57"/>
  <c r="D49" i="77"/>
  <c r="D85" i="58"/>
  <c r="D86" i="58" s="1"/>
  <c r="D105" i="58"/>
  <c r="E49" i="78"/>
  <c r="E85" i="54"/>
  <c r="E86" i="54" s="1"/>
  <c r="E105" i="54"/>
  <c r="E105" i="56"/>
  <c r="E49" i="74"/>
  <c r="E105" i="55"/>
  <c r="E85" i="55"/>
  <c r="E86" i="55" s="1"/>
  <c r="E49" i="75"/>
  <c r="D49" i="76"/>
  <c r="D105" i="57"/>
  <c r="F49" i="77"/>
  <c r="F105" i="58"/>
  <c r="G49" i="76"/>
  <c r="G105" i="55"/>
  <c r="G85" i="55"/>
  <c r="G86" i="55" s="1"/>
  <c r="G49" i="75"/>
  <c r="C105" i="58"/>
  <c r="C85" i="58"/>
  <c r="C86" i="58" s="1"/>
  <c r="C49" i="77"/>
  <c r="B49" i="76"/>
  <c r="B85" i="57"/>
  <c r="B86" i="57" s="1"/>
  <c r="B105" i="57"/>
  <c r="D105" i="56"/>
  <c r="D85" i="56"/>
  <c r="D86" i="56" s="1"/>
  <c r="D49" i="74"/>
  <c r="D49" i="75"/>
  <c r="D105" i="55"/>
  <c r="D85" i="55"/>
  <c r="D86" i="55" s="1"/>
  <c r="B105" i="58"/>
  <c r="B85" i="58"/>
  <c r="B86" i="58" s="1"/>
  <c r="B49" i="77"/>
  <c r="H105" i="58"/>
  <c r="H49" i="77"/>
  <c r="B105" i="53"/>
  <c r="B85" i="53"/>
  <c r="B86" i="53" s="1"/>
  <c r="B49" i="72"/>
  <c r="B49" i="74"/>
  <c r="B105" i="56"/>
  <c r="B85" i="56"/>
  <c r="B86" i="56" s="1"/>
  <c r="F105" i="55"/>
  <c r="F85" i="55"/>
  <c r="F86" i="55" s="1"/>
  <c r="F49" i="75"/>
  <c r="H42" i="58"/>
  <c r="H51" i="58" s="1"/>
  <c r="C49" i="75"/>
  <c r="C85" i="55"/>
  <c r="C86" i="55" s="1"/>
  <c r="C105" i="55"/>
  <c r="H76" i="58"/>
  <c r="C49" i="76"/>
  <c r="C105" i="57"/>
  <c r="C85" i="57"/>
  <c r="C86" i="57" s="1"/>
  <c r="E105" i="58"/>
  <c r="E85" i="58"/>
  <c r="E86" i="58" s="1"/>
  <c r="E49" i="77"/>
  <c r="B85" i="55"/>
  <c r="B86" i="55" s="1"/>
  <c r="D49" i="72"/>
  <c r="D105" i="53"/>
  <c r="D85" i="53"/>
  <c r="D86" i="53" s="1"/>
  <c r="F49" i="78"/>
  <c r="F105" i="54"/>
  <c r="G49" i="74"/>
  <c r="G105" i="56"/>
  <c r="G85" i="56"/>
  <c r="G86" i="56" s="1"/>
  <c r="E49" i="72"/>
  <c r="E105" i="53"/>
  <c r="B25" i="77"/>
  <c r="B61" i="77" s="1"/>
  <c r="B35" i="77" s="1"/>
  <c r="H67" i="61"/>
  <c r="H62" i="61"/>
  <c r="H61" i="61"/>
  <c r="H65" i="61"/>
  <c r="H60" i="61"/>
  <c r="E60" i="61"/>
  <c r="E63" i="61"/>
  <c r="E64" i="61"/>
  <c r="E62" i="61"/>
  <c r="E61" i="61"/>
  <c r="H64" i="61"/>
  <c r="E67" i="61"/>
  <c r="H63" i="61"/>
  <c r="I67" i="61"/>
  <c r="I46" i="61"/>
  <c r="I48" i="61" s="1"/>
  <c r="I62" i="61"/>
  <c r="I60" i="61"/>
  <c r="G67" i="61"/>
  <c r="G60" i="61"/>
  <c r="G61" i="61"/>
  <c r="G62" i="61"/>
  <c r="G63" i="61"/>
  <c r="G64" i="61"/>
  <c r="I63" i="61"/>
  <c r="I65" i="61"/>
  <c r="I64" i="61"/>
  <c r="F67" i="61"/>
  <c r="F61" i="61"/>
  <c r="F60" i="61"/>
  <c r="F62" i="61"/>
  <c r="F64" i="61"/>
  <c r="F65" i="61"/>
  <c r="F63" i="61"/>
  <c r="G65" i="61"/>
  <c r="C61" i="61"/>
  <c r="C67" i="61"/>
  <c r="C65" i="61"/>
  <c r="C64" i="61"/>
  <c r="C62" i="61"/>
  <c r="C60" i="61"/>
  <c r="C63" i="61"/>
  <c r="D60" i="61"/>
  <c r="D61" i="61"/>
  <c r="D62" i="61"/>
  <c r="D63" i="61"/>
  <c r="D64" i="61"/>
  <c r="D67" i="61"/>
  <c r="D65" i="61"/>
  <c r="D34" i="66"/>
  <c r="C41" i="66"/>
  <c r="E34" i="70"/>
  <c r="D39" i="70"/>
  <c r="E24" i="68"/>
  <c r="D26" i="68"/>
  <c r="E81" i="53"/>
  <c r="E77" i="53"/>
  <c r="H77" i="53"/>
  <c r="H77" i="56"/>
  <c r="H81" i="56"/>
  <c r="F42" i="58"/>
  <c r="F51" i="58" s="1"/>
  <c r="B42" i="58"/>
  <c r="B51" i="58" s="1"/>
  <c r="B76" i="58"/>
  <c r="B90" i="58" s="1"/>
  <c r="B91" i="58" s="1"/>
  <c r="E42" i="58"/>
  <c r="E51" i="58" s="1"/>
  <c r="E76" i="58"/>
  <c r="E90" i="58" s="1"/>
  <c r="E91" i="58" s="1"/>
  <c r="C42" i="58"/>
  <c r="C51" i="58" s="1"/>
  <c r="C76" i="58"/>
  <c r="C90" i="58" s="1"/>
  <c r="C91" i="58" s="1"/>
  <c r="D42" i="58"/>
  <c r="D51" i="58" s="1"/>
  <c r="D76" i="58"/>
  <c r="D90" i="58" s="1"/>
  <c r="D91" i="58" s="1"/>
  <c r="F42" i="57"/>
  <c r="F51" i="57" s="1"/>
  <c r="D42" i="57"/>
  <c r="D51" i="57" s="1"/>
  <c r="B42" i="57"/>
  <c r="B51" i="57" s="1"/>
  <c r="B76" i="57"/>
  <c r="B90" i="57" s="1"/>
  <c r="B91" i="57" s="1"/>
  <c r="C42" i="57"/>
  <c r="C51" i="57" s="1"/>
  <c r="C76" i="57"/>
  <c r="C90" i="57" s="1"/>
  <c r="C91" i="57" s="1"/>
  <c r="F42" i="56"/>
  <c r="F51" i="56" s="1"/>
  <c r="F76" i="56"/>
  <c r="F90" i="56" s="1"/>
  <c r="F91" i="56" s="1"/>
  <c r="D42" i="56"/>
  <c r="D51" i="56" s="1"/>
  <c r="D76" i="56"/>
  <c r="D90" i="56" s="1"/>
  <c r="D91" i="56" s="1"/>
  <c r="E42" i="56"/>
  <c r="E51" i="56" s="1"/>
  <c r="E76" i="56"/>
  <c r="E90" i="56" s="1"/>
  <c r="E91" i="56" s="1"/>
  <c r="B42" i="56"/>
  <c r="B51" i="56" s="1"/>
  <c r="G42" i="56"/>
  <c r="G51" i="56" s="1"/>
  <c r="G76" i="56"/>
  <c r="G90" i="56" s="1"/>
  <c r="G91" i="56" s="1"/>
  <c r="G42" i="55"/>
  <c r="G51" i="55" s="1"/>
  <c r="G76" i="55"/>
  <c r="G90" i="55" s="1"/>
  <c r="G91" i="55" s="1"/>
  <c r="D42" i="55"/>
  <c r="D51" i="55" s="1"/>
  <c r="D76" i="55"/>
  <c r="D90" i="55" s="1"/>
  <c r="D91" i="55" s="1"/>
  <c r="E42" i="55"/>
  <c r="E51" i="55" s="1"/>
  <c r="E76" i="55"/>
  <c r="E90" i="55" s="1"/>
  <c r="E91" i="55" s="1"/>
  <c r="F42" i="55"/>
  <c r="F51" i="55" s="1"/>
  <c r="F76" i="55"/>
  <c r="F90" i="55" s="1"/>
  <c r="F91" i="55" s="1"/>
  <c r="C42" i="55"/>
  <c r="C51" i="55" s="1"/>
  <c r="C76" i="55"/>
  <c r="C90" i="55" s="1"/>
  <c r="C91" i="55" s="1"/>
  <c r="B76" i="55"/>
  <c r="B90" i="55" s="1"/>
  <c r="B91" i="55" s="1"/>
  <c r="F42" i="54"/>
  <c r="F51" i="54" s="1"/>
  <c r="E42" i="54"/>
  <c r="E51" i="54" s="1"/>
  <c r="E76" i="54"/>
  <c r="E90" i="54" s="1"/>
  <c r="E91" i="54" s="1"/>
  <c r="D42" i="54"/>
  <c r="D51" i="54" s="1"/>
  <c r="D76" i="54"/>
  <c r="D90" i="54" s="1"/>
  <c r="D91" i="54" s="1"/>
  <c r="B42" i="53"/>
  <c r="B76" i="53"/>
  <c r="B90" i="53" s="1"/>
  <c r="B91" i="53" s="1"/>
  <c r="E145" i="56" l="1"/>
  <c r="H143" i="56"/>
  <c r="H49" i="74"/>
  <c r="H105" i="56"/>
  <c r="H81" i="54"/>
  <c r="E42" i="53"/>
  <c r="E51" i="53" s="1"/>
  <c r="D76" i="53"/>
  <c r="D90" i="53" s="1"/>
  <c r="D91" i="53" s="1"/>
  <c r="E145" i="53"/>
  <c r="E143" i="53"/>
  <c r="E85" i="53"/>
  <c r="E86" i="53" s="1"/>
  <c r="C42" i="56"/>
  <c r="C51" i="56" s="1"/>
  <c r="B42" i="66"/>
  <c r="B35" i="64"/>
  <c r="B25" i="72" s="1"/>
  <c r="B29" i="72" s="1"/>
  <c r="B50" i="65"/>
  <c r="B51" i="65" s="1"/>
  <c r="C43" i="65"/>
  <c r="D43" i="65" s="1"/>
  <c r="E43" i="65" s="1"/>
  <c r="F43" i="65" s="1"/>
  <c r="F50" i="65" s="1"/>
  <c r="G46" i="61"/>
  <c r="G48" i="61" s="1"/>
  <c r="B11" i="99" s="1"/>
  <c r="B90" i="99" s="1"/>
  <c r="B91" i="99" s="1"/>
  <c r="B41" i="67"/>
  <c r="B25" i="75" s="1"/>
  <c r="B61" i="75" s="1"/>
  <c r="B35" i="75" s="1"/>
  <c r="B36" i="75" s="1"/>
  <c r="B68" i="75" s="1"/>
  <c r="B71" i="75" s="1"/>
  <c r="C85" i="56"/>
  <c r="C86" i="56" s="1"/>
  <c r="D9" i="85"/>
  <c r="C9" i="85"/>
  <c r="B9" i="85"/>
  <c r="H76" i="55"/>
  <c r="H90" i="55" s="1"/>
  <c r="H91" i="55" s="1"/>
  <c r="C81" i="53"/>
  <c r="C77" i="53"/>
  <c r="C76" i="56"/>
  <c r="C90" i="56" s="1"/>
  <c r="C91" i="56" s="1"/>
  <c r="D9" i="82"/>
  <c r="C9" i="82"/>
  <c r="B9" i="82"/>
  <c r="E82" i="74"/>
  <c r="F88" i="72"/>
  <c r="D9" i="80"/>
  <c r="C9" i="80"/>
  <c r="B9" i="80"/>
  <c r="E124" i="93"/>
  <c r="E125" i="93" s="1"/>
  <c r="F27" i="61" s="1"/>
  <c r="F29" i="61" s="1"/>
  <c r="F55" i="61" s="1"/>
  <c r="B99" i="97"/>
  <c r="G49" i="72"/>
  <c r="G145" i="53"/>
  <c r="F15" i="80"/>
  <c r="F79" i="80" s="1"/>
  <c r="G143" i="53"/>
  <c r="F97" i="72"/>
  <c r="F85" i="53"/>
  <c r="F86" i="53" s="1"/>
  <c r="C145" i="56"/>
  <c r="F59" i="72"/>
  <c r="G42" i="53"/>
  <c r="G51" i="53" s="1"/>
  <c r="G85" i="57"/>
  <c r="G86" i="57" s="1"/>
  <c r="C105" i="54"/>
  <c r="C143" i="56"/>
  <c r="B110" i="72"/>
  <c r="C110" i="72" s="1"/>
  <c r="G105" i="57"/>
  <c r="C76" i="54"/>
  <c r="C90" i="54" s="1"/>
  <c r="C91" i="54" s="1"/>
  <c r="C49" i="74"/>
  <c r="F85" i="57"/>
  <c r="F86" i="57" s="1"/>
  <c r="F76" i="53"/>
  <c r="F90" i="53" s="1"/>
  <c r="F91" i="53" s="1"/>
  <c r="G76" i="53"/>
  <c r="G90" i="53" s="1"/>
  <c r="G91" i="53" s="1"/>
  <c r="B76" i="54"/>
  <c r="B90" i="54" s="1"/>
  <c r="B91" i="54" s="1"/>
  <c r="C42" i="54"/>
  <c r="C51" i="54" s="1"/>
  <c r="C144" i="54"/>
  <c r="C146" i="54" s="1"/>
  <c r="D76" i="57"/>
  <c r="D90" i="57" s="1"/>
  <c r="D91" i="57" s="1"/>
  <c r="C145" i="54"/>
  <c r="E76" i="57"/>
  <c r="E90" i="57" s="1"/>
  <c r="E91" i="57" s="1"/>
  <c r="C49" i="78"/>
  <c r="G85" i="53"/>
  <c r="G86" i="53" s="1"/>
  <c r="C143" i="54"/>
  <c r="C85" i="54"/>
  <c r="C86" i="54" s="1"/>
  <c r="B76" i="56"/>
  <c r="B90" i="56" s="1"/>
  <c r="B91" i="56" s="1"/>
  <c r="G42" i="57"/>
  <c r="G51" i="57" s="1"/>
  <c r="D81" i="53"/>
  <c r="H49" i="75"/>
  <c r="D76" i="52"/>
  <c r="D90" i="52" s="1"/>
  <c r="D91" i="52" s="1"/>
  <c r="E143" i="57"/>
  <c r="H105" i="55"/>
  <c r="H145" i="55"/>
  <c r="E85" i="57"/>
  <c r="E86" i="57" s="1"/>
  <c r="E105" i="57"/>
  <c r="H42" i="55"/>
  <c r="H51" i="55" s="1"/>
  <c r="E6" i="98" s="1"/>
  <c r="E37" i="98" s="1"/>
  <c r="C105" i="56"/>
  <c r="E42" i="57"/>
  <c r="E51" i="57" s="1"/>
  <c r="E49" i="76"/>
  <c r="D85" i="57"/>
  <c r="D86" i="57" s="1"/>
  <c r="G76" i="57"/>
  <c r="G90" i="57" s="1"/>
  <c r="G91" i="57" s="1"/>
  <c r="G145" i="57"/>
  <c r="D49" i="73"/>
  <c r="G105" i="54"/>
  <c r="G85" i="54"/>
  <c r="G86" i="54" s="1"/>
  <c r="E82" i="76"/>
  <c r="D143" i="52"/>
  <c r="F76" i="54"/>
  <c r="F90" i="54" s="1"/>
  <c r="F91" i="54" s="1"/>
  <c r="G49" i="78"/>
  <c r="H81" i="53"/>
  <c r="F85" i="54"/>
  <c r="F86" i="54" s="1"/>
  <c r="F85" i="58"/>
  <c r="F86" i="58" s="1"/>
  <c r="G145" i="54"/>
  <c r="D145" i="52"/>
  <c r="C76" i="52"/>
  <c r="C90" i="52" s="1"/>
  <c r="C91" i="52" s="1"/>
  <c r="H81" i="57"/>
  <c r="C82" i="72"/>
  <c r="G42" i="54"/>
  <c r="G51" i="54" s="1"/>
  <c r="H77" i="57"/>
  <c r="G76" i="54"/>
  <c r="G90" i="54" s="1"/>
  <c r="G91" i="54" s="1"/>
  <c r="D42" i="52"/>
  <c r="D51" i="52" s="1"/>
  <c r="E82" i="72"/>
  <c r="D85" i="52"/>
  <c r="D86" i="52" s="1"/>
  <c r="C85" i="52"/>
  <c r="C86" i="52" s="1"/>
  <c r="D105" i="52"/>
  <c r="G49" i="77"/>
  <c r="G85" i="58"/>
  <c r="G86" i="58" s="1"/>
  <c r="B62" i="76"/>
  <c r="B26" i="76"/>
  <c r="B27" i="76" s="1"/>
  <c r="G105" i="58"/>
  <c r="B27" i="68"/>
  <c r="G76" i="58"/>
  <c r="G90" i="58" s="1"/>
  <c r="G91" i="58" s="1"/>
  <c r="G145" i="58"/>
  <c r="G42" i="58"/>
  <c r="G51" i="58" s="1"/>
  <c r="G6" i="98" s="1"/>
  <c r="G37" i="98" s="1"/>
  <c r="F82" i="72"/>
  <c r="G143" i="58"/>
  <c r="H46" i="61"/>
  <c r="H48" i="61" s="1"/>
  <c r="H66" i="61" s="1"/>
  <c r="F59" i="73"/>
  <c r="F97" i="73"/>
  <c r="F15" i="81"/>
  <c r="F79" i="81" s="1"/>
  <c r="B110" i="73"/>
  <c r="F76" i="73"/>
  <c r="F88" i="73"/>
  <c r="H77" i="54"/>
  <c r="E93" i="97"/>
  <c r="B82" i="76"/>
  <c r="B60" i="76" s="1"/>
  <c r="C82" i="76"/>
  <c r="C60" i="76" s="1"/>
  <c r="B82" i="72"/>
  <c r="G143" i="52"/>
  <c r="G49" i="73"/>
  <c r="G85" i="52"/>
  <c r="G86" i="52" s="1"/>
  <c r="G105" i="52"/>
  <c r="G42" i="52"/>
  <c r="G51" i="52" s="1"/>
  <c r="G145" i="52"/>
  <c r="B29" i="76"/>
  <c r="B105" i="76"/>
  <c r="D82" i="76"/>
  <c r="B63" i="76"/>
  <c r="C55" i="61"/>
  <c r="C46" i="61"/>
  <c r="C48" i="61" s="1"/>
  <c r="B28" i="97" s="1"/>
  <c r="H33" i="97"/>
  <c r="H15" i="105" s="1"/>
  <c r="B77" i="94"/>
  <c r="F82" i="77"/>
  <c r="B82" i="77"/>
  <c r="B60" i="77" s="1"/>
  <c r="B70" i="77" s="1"/>
  <c r="C82" i="77"/>
  <c r="E82" i="77"/>
  <c r="G15" i="80"/>
  <c r="G79" i="80" s="1"/>
  <c r="D82" i="74"/>
  <c r="C82" i="75"/>
  <c r="E82" i="75"/>
  <c r="E104" i="93"/>
  <c r="E105" i="93" s="1"/>
  <c r="D27" i="61" s="1"/>
  <c r="D29" i="61" s="1"/>
  <c r="B82" i="75"/>
  <c r="D82" i="75"/>
  <c r="F33" i="97"/>
  <c r="F15" i="105" s="1"/>
  <c r="B75" i="94"/>
  <c r="C33" i="97"/>
  <c r="C15" i="105" s="1"/>
  <c r="B72" i="94"/>
  <c r="B76" i="94"/>
  <c r="G33" i="97"/>
  <c r="G15" i="105" s="1"/>
  <c r="D6" i="98"/>
  <c r="D37" i="98" s="1"/>
  <c r="G15" i="82"/>
  <c r="G79" i="82" s="1"/>
  <c r="C110" i="74"/>
  <c r="E33" i="97"/>
  <c r="E15" i="105" s="1"/>
  <c r="B74" i="94"/>
  <c r="B51" i="53"/>
  <c r="E53" i="73"/>
  <c r="D33" i="97"/>
  <c r="D15" i="105" s="1"/>
  <c r="B73" i="94"/>
  <c r="I78" i="99"/>
  <c r="I79" i="99" s="1"/>
  <c r="B78" i="99"/>
  <c r="B79" i="99" s="1"/>
  <c r="B80" i="99" s="1"/>
  <c r="B81" i="99" s="1"/>
  <c r="E64" i="99"/>
  <c r="E65" i="99" s="1"/>
  <c r="H50" i="99"/>
  <c r="H51" i="99" s="1"/>
  <c r="K36" i="99"/>
  <c r="K37" i="99" s="1"/>
  <c r="J36" i="99"/>
  <c r="J37" i="99" s="1"/>
  <c r="H78" i="99"/>
  <c r="H79" i="99" s="1"/>
  <c r="K64" i="99"/>
  <c r="K65" i="99" s="1"/>
  <c r="D64" i="99"/>
  <c r="D65" i="99" s="1"/>
  <c r="G50" i="99"/>
  <c r="G51" i="99" s="1"/>
  <c r="I36" i="99"/>
  <c r="I37" i="99" s="1"/>
  <c r="G78" i="99"/>
  <c r="G79" i="99" s="1"/>
  <c r="J64" i="99"/>
  <c r="J65" i="99" s="1"/>
  <c r="C64" i="99"/>
  <c r="C65" i="99" s="1"/>
  <c r="F50" i="99"/>
  <c r="F51" i="99" s="1"/>
  <c r="G36" i="99"/>
  <c r="G37" i="99" s="1"/>
  <c r="F78" i="99"/>
  <c r="F79" i="99" s="1"/>
  <c r="I64" i="99"/>
  <c r="I65" i="99" s="1"/>
  <c r="B64" i="99"/>
  <c r="B65" i="99" s="1"/>
  <c r="B66" i="99" s="1"/>
  <c r="B67" i="99" s="1"/>
  <c r="E50" i="99"/>
  <c r="E51" i="99" s="1"/>
  <c r="E36" i="99"/>
  <c r="E37" i="99" s="1"/>
  <c r="J78" i="99"/>
  <c r="J79" i="99" s="1"/>
  <c r="C78" i="99"/>
  <c r="C79" i="99" s="1"/>
  <c r="F64" i="99"/>
  <c r="F65" i="99" s="1"/>
  <c r="I50" i="99"/>
  <c r="I51" i="99" s="1"/>
  <c r="B50" i="99"/>
  <c r="B51" i="99" s="1"/>
  <c r="B52" i="99" s="1"/>
  <c r="B53" i="99" s="1"/>
  <c r="H64" i="99"/>
  <c r="H65" i="99" s="1"/>
  <c r="D50" i="99"/>
  <c r="D51" i="99" s="1"/>
  <c r="K78" i="99"/>
  <c r="K79" i="99" s="1"/>
  <c r="G64" i="99"/>
  <c r="G65" i="99" s="1"/>
  <c r="C50" i="99"/>
  <c r="C51" i="99" s="1"/>
  <c r="H36" i="99"/>
  <c r="H37" i="99" s="1"/>
  <c r="F36" i="99"/>
  <c r="F37" i="99" s="1"/>
  <c r="D36" i="99"/>
  <c r="D37" i="99" s="1"/>
  <c r="E78" i="99"/>
  <c r="E79" i="99" s="1"/>
  <c r="K50" i="99"/>
  <c r="K51" i="99" s="1"/>
  <c r="C36" i="99"/>
  <c r="C37" i="99" s="1"/>
  <c r="B36" i="99"/>
  <c r="B37" i="99" s="1"/>
  <c r="B38" i="99" s="1"/>
  <c r="B39" i="99" s="1"/>
  <c r="D78" i="99"/>
  <c r="D79" i="99" s="1"/>
  <c r="J50" i="99"/>
  <c r="J51" i="99" s="1"/>
  <c r="B10" i="99"/>
  <c r="C82" i="74"/>
  <c r="F82" i="74"/>
  <c r="E53" i="78"/>
  <c r="B82" i="78" s="1"/>
  <c r="E114" i="93"/>
  <c r="E115" i="93" s="1"/>
  <c r="E27" i="61" s="1"/>
  <c r="E29" i="61" s="1"/>
  <c r="F88" i="78"/>
  <c r="F15" i="86"/>
  <c r="F79" i="86" s="1"/>
  <c r="F76" i="78"/>
  <c r="F59" i="78"/>
  <c r="F97" i="78"/>
  <c r="B110" i="78"/>
  <c r="B143" i="52"/>
  <c r="C16" i="98"/>
  <c r="B97" i="81"/>
  <c r="B82" i="81"/>
  <c r="B144" i="52"/>
  <c r="B146" i="52" s="1"/>
  <c r="C203" i="97" s="1"/>
  <c r="C206" i="97" s="1"/>
  <c r="B105" i="52"/>
  <c r="B42" i="52"/>
  <c r="B51" i="52" s="1"/>
  <c r="B85" i="52"/>
  <c r="B86" i="52" s="1"/>
  <c r="B76" i="52"/>
  <c r="B49" i="73"/>
  <c r="B145" i="52"/>
  <c r="F15" i="83"/>
  <c r="F79" i="83" s="1"/>
  <c r="F88" i="75"/>
  <c r="B110" i="75"/>
  <c r="F97" i="75"/>
  <c r="F59" i="75"/>
  <c r="F76" i="75"/>
  <c r="F143" i="52"/>
  <c r="E76" i="52"/>
  <c r="F85" i="52"/>
  <c r="F86" i="52" s="1"/>
  <c r="E85" i="52"/>
  <c r="E86" i="52" s="1"/>
  <c r="F76" i="52"/>
  <c r="F145" i="52"/>
  <c r="F49" i="73"/>
  <c r="F42" i="52"/>
  <c r="F51" i="52" s="1"/>
  <c r="F105" i="52"/>
  <c r="F59" i="77"/>
  <c r="B110" i="77"/>
  <c r="F97" i="77"/>
  <c r="F88" i="77"/>
  <c r="F76" i="77"/>
  <c r="F15" i="85"/>
  <c r="F79" i="85" s="1"/>
  <c r="F15" i="84"/>
  <c r="F79" i="84" s="1"/>
  <c r="F59" i="76"/>
  <c r="F97" i="76"/>
  <c r="F76" i="76"/>
  <c r="F88" i="76"/>
  <c r="B110" i="76"/>
  <c r="D41" i="67"/>
  <c r="D25" i="75" s="1"/>
  <c r="B28" i="76"/>
  <c r="B25" i="78"/>
  <c r="C105" i="78" s="1"/>
  <c r="B30" i="76"/>
  <c r="C27" i="68"/>
  <c r="C40" i="70"/>
  <c r="C41" i="67"/>
  <c r="E26" i="69"/>
  <c r="F27" i="69" s="1"/>
  <c r="D26" i="69"/>
  <c r="D25" i="77" s="1"/>
  <c r="D60" i="77" s="1"/>
  <c r="C26" i="69"/>
  <c r="C27" i="69" s="1"/>
  <c r="I66" i="61"/>
  <c r="H28" i="97"/>
  <c r="H11" i="105" s="1"/>
  <c r="B62" i="77"/>
  <c r="B105" i="77"/>
  <c r="B26" i="77"/>
  <c r="B27" i="77" s="1"/>
  <c r="B28" i="77"/>
  <c r="B63" i="77"/>
  <c r="B29" i="77"/>
  <c r="B30" i="77"/>
  <c r="H81" i="58"/>
  <c r="H90" i="58"/>
  <c r="H91" i="58" s="1"/>
  <c r="H77" i="58"/>
  <c r="D77" i="52"/>
  <c r="H90" i="52"/>
  <c r="H91" i="52" s="1"/>
  <c r="H77" i="52"/>
  <c r="H81" i="52"/>
  <c r="G77" i="52"/>
  <c r="G81" i="52"/>
  <c r="G90" i="52"/>
  <c r="G91" i="52" s="1"/>
  <c r="D34" i="64"/>
  <c r="C35" i="64"/>
  <c r="B12" i="86"/>
  <c r="I56" i="61"/>
  <c r="C25" i="74"/>
  <c r="C42" i="66"/>
  <c r="E34" i="66"/>
  <c r="D41" i="66"/>
  <c r="B62" i="74"/>
  <c r="B63" i="74"/>
  <c r="B61" i="74"/>
  <c r="B35" i="74" s="1"/>
  <c r="B36" i="74" s="1"/>
  <c r="B68" i="74" s="1"/>
  <c r="B71" i="74" s="1"/>
  <c r="B105" i="74"/>
  <c r="B60" i="74"/>
  <c r="B30" i="74"/>
  <c r="B28" i="74"/>
  <c r="B29" i="74"/>
  <c r="B26" i="74"/>
  <c r="B27" i="74" s="1"/>
  <c r="C63" i="78"/>
  <c r="C62" i="78"/>
  <c r="C61" i="78"/>
  <c r="C30" i="78"/>
  <c r="C26" i="78"/>
  <c r="C27" i="78" s="1"/>
  <c r="C29" i="78"/>
  <c r="C28" i="78"/>
  <c r="C29" i="76"/>
  <c r="C63" i="76"/>
  <c r="C105" i="76"/>
  <c r="C30" i="76"/>
  <c r="C62" i="76"/>
  <c r="C28" i="76"/>
  <c r="C61" i="76"/>
  <c r="C35" i="76" s="1"/>
  <c r="C26" i="76"/>
  <c r="C27" i="76" s="1"/>
  <c r="B36" i="77"/>
  <c r="B68" i="77" s="1"/>
  <c r="B71" i="77" s="1"/>
  <c r="B36" i="76"/>
  <c r="B68" i="76" s="1"/>
  <c r="B71" i="76" s="1"/>
  <c r="F34" i="70"/>
  <c r="F39" i="70" s="1"/>
  <c r="E39" i="70"/>
  <c r="D25" i="78"/>
  <c r="D40" i="70"/>
  <c r="F25" i="77"/>
  <c r="D27" i="68"/>
  <c r="D25" i="76"/>
  <c r="F24" i="68"/>
  <c r="F26" i="68" s="1"/>
  <c r="E26" i="68"/>
  <c r="F34" i="67"/>
  <c r="F41" i="67" s="1"/>
  <c r="E41" i="67"/>
  <c r="E81" i="55"/>
  <c r="E77" i="55"/>
  <c r="G81" i="55"/>
  <c r="G77" i="55"/>
  <c r="D81" i="55"/>
  <c r="D77" i="55"/>
  <c r="B81" i="55"/>
  <c r="B77" i="55"/>
  <c r="C81" i="55"/>
  <c r="C77" i="55"/>
  <c r="F77" i="55"/>
  <c r="F81" i="55"/>
  <c r="E81" i="54"/>
  <c r="E77" i="54"/>
  <c r="C81" i="54"/>
  <c r="C77" i="54"/>
  <c r="D81" i="54"/>
  <c r="D77" i="54"/>
  <c r="G77" i="53"/>
  <c r="B81" i="53"/>
  <c r="B77" i="53"/>
  <c r="F81" i="58"/>
  <c r="F77" i="58"/>
  <c r="E81" i="58"/>
  <c r="E77" i="58"/>
  <c r="D81" i="58"/>
  <c r="D77" i="58"/>
  <c r="C81" i="58"/>
  <c r="C77" i="58"/>
  <c r="B81" i="58"/>
  <c r="B77" i="58"/>
  <c r="F81" i="57"/>
  <c r="F77" i="57"/>
  <c r="C81" i="57"/>
  <c r="C77" i="57"/>
  <c r="B77" i="57"/>
  <c r="B81" i="57"/>
  <c r="G81" i="56"/>
  <c r="G77" i="56"/>
  <c r="F81" i="56"/>
  <c r="F77" i="56"/>
  <c r="E81" i="56"/>
  <c r="E77" i="56"/>
  <c r="D81" i="56"/>
  <c r="D77" i="56"/>
  <c r="B81" i="56"/>
  <c r="B77" i="56"/>
  <c r="C66" i="61" l="1"/>
  <c r="G40" i="99"/>
  <c r="J54" i="99"/>
  <c r="G68" i="99"/>
  <c r="B12" i="84"/>
  <c r="A120" i="84" s="1"/>
  <c r="H6" i="98"/>
  <c r="H37" i="98" s="1"/>
  <c r="D81" i="52"/>
  <c r="H81" i="55"/>
  <c r="B77" i="54"/>
  <c r="B81" i="54"/>
  <c r="D77" i="53"/>
  <c r="E77" i="57"/>
  <c r="E81" i="57"/>
  <c r="C90" i="99"/>
  <c r="C91" i="99" s="1"/>
  <c r="D90" i="99"/>
  <c r="D91" i="99" s="1"/>
  <c r="H204" i="97"/>
  <c r="H206" i="97" s="1"/>
  <c r="B9" i="86" s="1"/>
  <c r="A133" i="86"/>
  <c r="A129" i="86"/>
  <c r="A132" i="86"/>
  <c r="A121" i="86"/>
  <c r="A131" i="86"/>
  <c r="A123" i="86"/>
  <c r="A130" i="86"/>
  <c r="A120" i="86"/>
  <c r="A124" i="86"/>
  <c r="A122" i="86"/>
  <c r="B25" i="73"/>
  <c r="B61" i="73" s="1"/>
  <c r="B35" i="73" s="1"/>
  <c r="B36" i="73" s="1"/>
  <c r="B68" i="73" s="1"/>
  <c r="B71" i="73" s="1"/>
  <c r="B54" i="99"/>
  <c r="B55" i="99" s="1"/>
  <c r="E40" i="99"/>
  <c r="G82" i="99"/>
  <c r="I82" i="99"/>
  <c r="D40" i="99"/>
  <c r="G66" i="61"/>
  <c r="K40" i="99"/>
  <c r="H54" i="99"/>
  <c r="E68" i="99"/>
  <c r="B82" i="99"/>
  <c r="B83" i="99" s="1"/>
  <c r="D50" i="65"/>
  <c r="D25" i="73" s="1"/>
  <c r="D61" i="73" s="1"/>
  <c r="D35" i="73" s="1"/>
  <c r="D36" i="73" s="1"/>
  <c r="D68" i="73" s="1"/>
  <c r="D68" i="99"/>
  <c r="I54" i="99"/>
  <c r="G54" i="99"/>
  <c r="K68" i="99"/>
  <c r="C82" i="99"/>
  <c r="J82" i="99"/>
  <c r="H82" i="99"/>
  <c r="H40" i="99"/>
  <c r="F40" i="99"/>
  <c r="F68" i="99"/>
  <c r="E54" i="99"/>
  <c r="C54" i="99"/>
  <c r="D54" i="99"/>
  <c r="K54" i="99"/>
  <c r="I40" i="99"/>
  <c r="E82" i="99"/>
  <c r="J40" i="99"/>
  <c r="I68" i="99"/>
  <c r="K82" i="99"/>
  <c r="H68" i="99"/>
  <c r="F54" i="99"/>
  <c r="B40" i="99"/>
  <c r="B41" i="99" s="1"/>
  <c r="E90" i="99"/>
  <c r="E91" i="99" s="1"/>
  <c r="B68" i="99"/>
  <c r="B69" i="99" s="1"/>
  <c r="D82" i="99"/>
  <c r="F46" i="61"/>
  <c r="F48" i="61" s="1"/>
  <c r="E28" i="97" s="1"/>
  <c r="E11" i="105" s="1"/>
  <c r="F82" i="99"/>
  <c r="C40" i="99"/>
  <c r="G56" i="61"/>
  <c r="F28" i="97"/>
  <c r="F11" i="105" s="1"/>
  <c r="J68" i="99"/>
  <c r="C68" i="99"/>
  <c r="B36" i="64"/>
  <c r="B62" i="72"/>
  <c r="B30" i="72"/>
  <c r="B26" i="72"/>
  <c r="B27" i="72" s="1"/>
  <c r="B60" i="72"/>
  <c r="B70" i="72" s="1"/>
  <c r="B28" i="72"/>
  <c r="B63" i="72"/>
  <c r="B105" i="72"/>
  <c r="B61" i="72"/>
  <c r="B35" i="72" s="1"/>
  <c r="B36" i="72" s="1"/>
  <c r="B68" i="72" s="1"/>
  <c r="B71" i="72" s="1"/>
  <c r="E50" i="65"/>
  <c r="E25" i="73" s="1"/>
  <c r="E26" i="73" s="1"/>
  <c r="E27" i="73" s="1"/>
  <c r="B28" i="75"/>
  <c r="F25" i="73"/>
  <c r="C50" i="65"/>
  <c r="B60" i="75"/>
  <c r="B70" i="75" s="1"/>
  <c r="B62" i="75"/>
  <c r="B105" i="75"/>
  <c r="B30" i="75"/>
  <c r="B42" i="67"/>
  <c r="C42" i="67"/>
  <c r="B26" i="75"/>
  <c r="B27" i="75" s="1"/>
  <c r="B63" i="75"/>
  <c r="B29" i="75"/>
  <c r="B72" i="76"/>
  <c r="F77" i="53"/>
  <c r="F81" i="53"/>
  <c r="C77" i="56"/>
  <c r="C81" i="56"/>
  <c r="D35" i="98" s="1" a="1"/>
  <c r="D35" i="98" s="1"/>
  <c r="F6" i="98"/>
  <c r="F37" i="98" s="1"/>
  <c r="G81" i="53"/>
  <c r="D9" i="81"/>
  <c r="C9" i="81"/>
  <c r="B9" i="81"/>
  <c r="H77" i="55"/>
  <c r="D81" i="57"/>
  <c r="B6" i="98"/>
  <c r="B37" i="98" s="1"/>
  <c r="B64" i="76"/>
  <c r="B81" i="84" s="1"/>
  <c r="C82" i="84" s="1"/>
  <c r="D77" i="57"/>
  <c r="C77" i="52"/>
  <c r="C81" i="52"/>
  <c r="G81" i="57"/>
  <c r="G77" i="57"/>
  <c r="G81" i="54"/>
  <c r="G81" i="58"/>
  <c r="G38" i="99"/>
  <c r="G39" i="99" s="1"/>
  <c r="G77" i="58"/>
  <c r="G77" i="54"/>
  <c r="B70" i="76"/>
  <c r="F81" i="54"/>
  <c r="B12" i="85"/>
  <c r="F77" i="54"/>
  <c r="G52" i="99"/>
  <c r="G53" i="99" s="1"/>
  <c r="E80" i="99"/>
  <c r="E81" i="99" s="1"/>
  <c r="J38" i="99"/>
  <c r="J39" i="99" s="1"/>
  <c r="J66" i="99"/>
  <c r="J67" i="99" s="1"/>
  <c r="G28" i="97"/>
  <c r="G11" i="105" s="1"/>
  <c r="C56" i="61"/>
  <c r="H56" i="61"/>
  <c r="B11" i="105"/>
  <c r="C6" i="98"/>
  <c r="C37" i="98" s="1"/>
  <c r="G66" i="99"/>
  <c r="G67" i="99" s="1"/>
  <c r="G69" i="99" s="1"/>
  <c r="C110" i="73"/>
  <c r="G15" i="81"/>
  <c r="G79" i="81" s="1"/>
  <c r="H66" i="99"/>
  <c r="H67" i="99" s="1"/>
  <c r="D80" i="99"/>
  <c r="D81" i="99" s="1"/>
  <c r="F66" i="99"/>
  <c r="F67" i="99" s="1"/>
  <c r="C38" i="99"/>
  <c r="C39" i="99" s="1"/>
  <c r="D66" i="99"/>
  <c r="D67" i="99" s="1"/>
  <c r="G80" i="99"/>
  <c r="G81" i="99" s="1"/>
  <c r="K52" i="99"/>
  <c r="K53" i="99" s="1"/>
  <c r="J80" i="99"/>
  <c r="J81" i="99" s="1"/>
  <c r="K66" i="99"/>
  <c r="K67" i="99" s="1"/>
  <c r="E35" i="98" a="1"/>
  <c r="E35" i="98" s="1"/>
  <c r="D38" i="99"/>
  <c r="D39" i="99" s="1"/>
  <c r="H38" i="99"/>
  <c r="H39" i="99" s="1"/>
  <c r="H52" i="99"/>
  <c r="H53" i="99" s="1"/>
  <c r="D81" i="97"/>
  <c r="D38" i="97"/>
  <c r="G81" i="97"/>
  <c r="G38" i="97"/>
  <c r="C110" i="77"/>
  <c r="G15" i="85"/>
  <c r="G79" i="85" s="1"/>
  <c r="G15" i="83"/>
  <c r="G79" i="83" s="1"/>
  <c r="C110" i="75"/>
  <c r="C110" i="78"/>
  <c r="G15" i="86"/>
  <c r="G79" i="86" s="1"/>
  <c r="J52" i="99"/>
  <c r="J53" i="99" s="1"/>
  <c r="I52" i="99"/>
  <c r="I53" i="99" s="1"/>
  <c r="I38" i="99"/>
  <c r="I39" i="99" s="1"/>
  <c r="F82" i="73"/>
  <c r="B82" i="73"/>
  <c r="C82" i="73"/>
  <c r="D82" i="73"/>
  <c r="C38" i="97"/>
  <c r="C81" i="97"/>
  <c r="C80" i="99"/>
  <c r="C81" i="99" s="1"/>
  <c r="E82" i="73"/>
  <c r="H81" i="97"/>
  <c r="H38" i="97"/>
  <c r="B12" i="80"/>
  <c r="B90" i="52"/>
  <c r="B91" i="52" s="1"/>
  <c r="B81" i="52"/>
  <c r="B77" i="52"/>
  <c r="E38" i="99"/>
  <c r="E39" i="99" s="1"/>
  <c r="H80" i="99"/>
  <c r="H81" i="99" s="1"/>
  <c r="F38" i="97"/>
  <c r="F81" i="97"/>
  <c r="F38" i="99"/>
  <c r="F39" i="99" s="1"/>
  <c r="K38" i="99"/>
  <c r="K39" i="99" s="1"/>
  <c r="D55" i="61"/>
  <c r="D46" i="61"/>
  <c r="D48" i="61" s="1"/>
  <c r="E55" i="61"/>
  <c r="E46" i="61"/>
  <c r="E48" i="61" s="1"/>
  <c r="I66" i="99"/>
  <c r="I67" i="99" s="1"/>
  <c r="E82" i="78"/>
  <c r="D82" i="78"/>
  <c r="D60" i="78" s="1"/>
  <c r="F82" i="78"/>
  <c r="C82" i="78"/>
  <c r="C60" i="78" s="1"/>
  <c r="C52" i="99"/>
  <c r="C53" i="99" s="1"/>
  <c r="F80" i="99"/>
  <c r="F81" i="99" s="1"/>
  <c r="E66" i="99"/>
  <c r="E67" i="99" s="1"/>
  <c r="E81" i="97"/>
  <c r="E38" i="97"/>
  <c r="F52" i="99"/>
  <c r="F53" i="99" s="1"/>
  <c r="E52" i="99"/>
  <c r="E53" i="99" s="1"/>
  <c r="B31" i="76"/>
  <c r="E77" i="52"/>
  <c r="E90" i="52"/>
  <c r="E91" i="52" s="1"/>
  <c r="E81" i="52"/>
  <c r="D110" i="74"/>
  <c r="H15" i="82"/>
  <c r="H79" i="82" s="1"/>
  <c r="G15" i="84"/>
  <c r="G79" i="84" s="1"/>
  <c r="C110" i="76"/>
  <c r="F81" i="52"/>
  <c r="F90" i="52"/>
  <c r="F91" i="52" s="1"/>
  <c r="F77" i="52"/>
  <c r="B60" i="78"/>
  <c r="B70" i="78" s="1"/>
  <c r="K80" i="99"/>
  <c r="K81" i="99" s="1"/>
  <c r="I80" i="99"/>
  <c r="I81" i="99" s="1"/>
  <c r="H15" i="80"/>
  <c r="H79" i="80" s="1"/>
  <c r="D110" i="72"/>
  <c r="D52" i="99"/>
  <c r="D53" i="99" s="1"/>
  <c r="C66" i="99"/>
  <c r="C67" i="99" s="1"/>
  <c r="B63" i="78"/>
  <c r="B62" i="78"/>
  <c r="B105" i="78"/>
  <c r="B61" i="78"/>
  <c r="B35" i="78" s="1"/>
  <c r="B36" i="78" s="1"/>
  <c r="B68" i="78" s="1"/>
  <c r="B71" i="78" s="1"/>
  <c r="B28" i="78"/>
  <c r="B29" i="86"/>
  <c r="B26" i="86"/>
  <c r="B26" i="78"/>
  <c r="B27" i="78" s="1"/>
  <c r="B30" i="78"/>
  <c r="B29" i="78"/>
  <c r="D42" i="67"/>
  <c r="H13" i="98"/>
  <c r="B83" i="86"/>
  <c r="B72" i="77"/>
  <c r="C25" i="75"/>
  <c r="D105" i="75" s="1"/>
  <c r="E25" i="77"/>
  <c r="E28" i="77" s="1"/>
  <c r="C25" i="77"/>
  <c r="C28" i="77" s="1"/>
  <c r="E27" i="69"/>
  <c r="D26" i="77"/>
  <c r="D27" i="77" s="1"/>
  <c r="D28" i="77"/>
  <c r="D29" i="77"/>
  <c r="D62" i="77"/>
  <c r="D27" i="69"/>
  <c r="D61" i="77"/>
  <c r="D35" i="77" s="1"/>
  <c r="D36" i="77" s="1"/>
  <c r="D68" i="77" s="1"/>
  <c r="D30" i="77"/>
  <c r="D63" i="77"/>
  <c r="B64" i="77"/>
  <c r="B31" i="77"/>
  <c r="B32" i="77" s="1"/>
  <c r="C25" i="72"/>
  <c r="C36" i="64"/>
  <c r="E34" i="64"/>
  <c r="D35" i="64"/>
  <c r="A71" i="86"/>
  <c r="A73" i="86"/>
  <c r="A72" i="86"/>
  <c r="A75" i="86"/>
  <c r="A74" i="86"/>
  <c r="B14" i="95"/>
  <c r="I17" i="86"/>
  <c r="I85" i="86" s="1"/>
  <c r="F17" i="86"/>
  <c r="F85" i="86" s="1"/>
  <c r="E17" i="86"/>
  <c r="E85" i="86" s="1"/>
  <c r="C17" i="86"/>
  <c r="C85" i="86" s="1"/>
  <c r="B17" i="86"/>
  <c r="B85" i="86" s="1"/>
  <c r="H17" i="86"/>
  <c r="H85" i="86" s="1"/>
  <c r="J17" i="86"/>
  <c r="J85" i="86" s="1"/>
  <c r="G17" i="86"/>
  <c r="G85" i="86" s="1"/>
  <c r="D17" i="86"/>
  <c r="D85" i="86" s="1"/>
  <c r="K17" i="86"/>
  <c r="K85" i="86" s="1"/>
  <c r="C31" i="76"/>
  <c r="C32" i="76" s="1"/>
  <c r="B72" i="74"/>
  <c r="B64" i="74"/>
  <c r="B81" i="82" s="1"/>
  <c r="C82" i="82" s="1"/>
  <c r="B70" i="74"/>
  <c r="D25" i="74"/>
  <c r="D42" i="66"/>
  <c r="F34" i="66"/>
  <c r="F41" i="66" s="1"/>
  <c r="E41" i="66"/>
  <c r="B31" i="74"/>
  <c r="B32" i="74" s="1"/>
  <c r="C105" i="74"/>
  <c r="C30" i="74"/>
  <c r="C28" i="74"/>
  <c r="C62" i="74"/>
  <c r="C60" i="74"/>
  <c r="C63" i="74"/>
  <c r="C29" i="74"/>
  <c r="C26" i="74"/>
  <c r="C27" i="74" s="1"/>
  <c r="C61" i="74"/>
  <c r="C35" i="74" s="1"/>
  <c r="C36" i="74" s="1"/>
  <c r="C68" i="74" s="1"/>
  <c r="C71" i="74" s="1"/>
  <c r="B112" i="77"/>
  <c r="D30" i="78"/>
  <c r="D29" i="78"/>
  <c r="D105" i="78"/>
  <c r="D28" i="78"/>
  <c r="D26" i="78"/>
  <c r="D27" i="78" s="1"/>
  <c r="D63" i="78"/>
  <c r="D62" i="78"/>
  <c r="D61" i="78"/>
  <c r="D35" i="78" s="1"/>
  <c r="F60" i="77"/>
  <c r="F30" i="77"/>
  <c r="F29" i="77"/>
  <c r="F28" i="77"/>
  <c r="F26" i="77"/>
  <c r="F27" i="77" s="1"/>
  <c r="F61" i="77"/>
  <c r="F35" i="77" s="1"/>
  <c r="F63" i="77"/>
  <c r="F62" i="77"/>
  <c r="D62" i="76"/>
  <c r="D26" i="76"/>
  <c r="D27" i="76" s="1"/>
  <c r="D61" i="76"/>
  <c r="D35" i="76" s="1"/>
  <c r="D60" i="76"/>
  <c r="D30" i="76"/>
  <c r="D29" i="76"/>
  <c r="D105" i="76"/>
  <c r="D28" i="76"/>
  <c r="D63" i="76"/>
  <c r="D28" i="75"/>
  <c r="D26" i="75"/>
  <c r="D27" i="75" s="1"/>
  <c r="D63" i="75"/>
  <c r="D62" i="75"/>
  <c r="D61" i="75"/>
  <c r="D35" i="75" s="1"/>
  <c r="D60" i="75"/>
  <c r="D30" i="75"/>
  <c r="D29" i="75"/>
  <c r="C36" i="76"/>
  <c r="C68" i="76" s="1"/>
  <c r="C71" i="76" s="1"/>
  <c r="C35" i="78"/>
  <c r="C31" i="78"/>
  <c r="C32" i="78" s="1"/>
  <c r="E25" i="78"/>
  <c r="E40" i="70"/>
  <c r="F25" i="78"/>
  <c r="F40" i="70"/>
  <c r="E27" i="68"/>
  <c r="E25" i="76"/>
  <c r="F27" i="68"/>
  <c r="F25" i="76"/>
  <c r="C64" i="76"/>
  <c r="C81" i="84" s="1"/>
  <c r="D82" i="84" s="1"/>
  <c r="C70" i="76"/>
  <c r="C72" i="76"/>
  <c r="F42" i="67"/>
  <c r="F25" i="75"/>
  <c r="E25" i="75"/>
  <c r="E42" i="67"/>
  <c r="G41" i="99" l="1"/>
  <c r="F13" i="98"/>
  <c r="J55" i="99"/>
  <c r="F17" i="84"/>
  <c r="F85" i="84" s="1"/>
  <c r="A75" i="84"/>
  <c r="B17" i="84"/>
  <c r="B85" i="84" s="1"/>
  <c r="C17" i="84"/>
  <c r="C85" i="84" s="1"/>
  <c r="K17" i="84"/>
  <c r="K85" i="84" s="1"/>
  <c r="A72" i="84"/>
  <c r="J17" i="84"/>
  <c r="J85" i="84" s="1"/>
  <c r="B83" i="84"/>
  <c r="B26" i="73"/>
  <c r="B27" i="73" s="1"/>
  <c r="B60" i="73"/>
  <c r="B30" i="73"/>
  <c r="B62" i="73"/>
  <c r="B63" i="73"/>
  <c r="B105" i="73"/>
  <c r="B28" i="73"/>
  <c r="D65" i="94"/>
  <c r="D67" i="94" s="1"/>
  <c r="B32" i="78"/>
  <c r="B32" i="76"/>
  <c r="B39" i="76" s="1"/>
  <c r="B40" i="76" s="1"/>
  <c r="B98" i="76" s="1"/>
  <c r="C83" i="84"/>
  <c r="A74" i="84"/>
  <c r="A73" i="84"/>
  <c r="H17" i="84"/>
  <c r="H85" i="84" s="1"/>
  <c r="A71" i="84"/>
  <c r="B26" i="84"/>
  <c r="E17" i="84"/>
  <c r="E85" i="84" s="1"/>
  <c r="B29" i="84"/>
  <c r="G17" i="84"/>
  <c r="G85" i="84" s="1"/>
  <c r="D17" i="84"/>
  <c r="D85" i="84" s="1"/>
  <c r="A121" i="84"/>
  <c r="D83" i="84"/>
  <c r="I17" i="84"/>
  <c r="I85" i="84" s="1"/>
  <c r="F204" i="97"/>
  <c r="F206" i="97" s="1"/>
  <c r="D9" i="84" s="1"/>
  <c r="A122" i="84"/>
  <c r="A133" i="84"/>
  <c r="A123" i="84"/>
  <c r="A130" i="84"/>
  <c r="A124" i="84"/>
  <c r="A129" i="84"/>
  <c r="H41" i="99"/>
  <c r="A131" i="84"/>
  <c r="A132" i="84"/>
  <c r="E69" i="99"/>
  <c r="I83" i="99"/>
  <c r="B35" i="98" a="1"/>
  <c r="B35" i="98" s="1"/>
  <c r="B29" i="73"/>
  <c r="B31" i="73" s="1"/>
  <c r="F35" i="98" a="1"/>
  <c r="F35" i="98" s="1"/>
  <c r="K41" i="99"/>
  <c r="C9" i="86"/>
  <c r="A132" i="80"/>
  <c r="A124" i="80"/>
  <c r="A123" i="80"/>
  <c r="A130" i="80"/>
  <c r="A122" i="80"/>
  <c r="A131" i="80"/>
  <c r="A121" i="80"/>
  <c r="A133" i="80"/>
  <c r="A120" i="80"/>
  <c r="A129" i="80"/>
  <c r="C83" i="99"/>
  <c r="G83" i="99"/>
  <c r="A129" i="85"/>
  <c r="A124" i="85"/>
  <c r="A123" i="85"/>
  <c r="A122" i="85"/>
  <c r="A121" i="85"/>
  <c r="A120" i="85"/>
  <c r="A133" i="85"/>
  <c r="A132" i="85"/>
  <c r="A131" i="85"/>
  <c r="A130" i="85"/>
  <c r="K83" i="99"/>
  <c r="D9" i="86"/>
  <c r="E9" i="86" s="1" a="1"/>
  <c r="E9" i="86" s="1"/>
  <c r="E41" i="99"/>
  <c r="H55" i="99"/>
  <c r="D60" i="73"/>
  <c r="D29" i="73"/>
  <c r="D26" i="73"/>
  <c r="D27" i="73" s="1"/>
  <c r="D51" i="65"/>
  <c r="E60" i="73"/>
  <c r="D69" i="99"/>
  <c r="D41" i="99"/>
  <c r="D55" i="99"/>
  <c r="I41" i="99"/>
  <c r="G55" i="99"/>
  <c r="I69" i="99"/>
  <c r="I55" i="99"/>
  <c r="K69" i="99"/>
  <c r="F55" i="99"/>
  <c r="J83" i="99"/>
  <c r="J69" i="99"/>
  <c r="C69" i="99"/>
  <c r="B64" i="72"/>
  <c r="B89" i="72" s="1"/>
  <c r="B91" i="72" s="1"/>
  <c r="B93" i="72" s="1"/>
  <c r="B94" i="72" s="1"/>
  <c r="B72" i="72"/>
  <c r="B31" i="72"/>
  <c r="B32" i="72" s="1"/>
  <c r="E29" i="73"/>
  <c r="D62" i="73"/>
  <c r="D63" i="73"/>
  <c r="D28" i="73"/>
  <c r="D30" i="73"/>
  <c r="E55" i="99"/>
  <c r="F41" i="99"/>
  <c r="C55" i="99"/>
  <c r="F69" i="99"/>
  <c r="H83" i="99"/>
  <c r="F83" i="99"/>
  <c r="C41" i="99"/>
  <c r="B12" i="83"/>
  <c r="K55" i="99"/>
  <c r="D83" i="99"/>
  <c r="F66" i="61"/>
  <c r="H69" i="99"/>
  <c r="F56" i="61"/>
  <c r="J41" i="99"/>
  <c r="E83" i="99"/>
  <c r="E105" i="73"/>
  <c r="F60" i="73"/>
  <c r="F70" i="73" s="1"/>
  <c r="B31" i="75"/>
  <c r="E51" i="65"/>
  <c r="F51" i="65"/>
  <c r="E63" i="73"/>
  <c r="E30" i="73"/>
  <c r="E62" i="73"/>
  <c r="E28" i="73"/>
  <c r="E61" i="73"/>
  <c r="E35" i="73" s="1"/>
  <c r="E36" i="73" s="1"/>
  <c r="E68" i="73" s="1"/>
  <c r="E71" i="73" s="1"/>
  <c r="B99" i="76"/>
  <c r="B72" i="75"/>
  <c r="C25" i="73"/>
  <c r="C51" i="65"/>
  <c r="B89" i="76"/>
  <c r="B91" i="76" s="1"/>
  <c r="B93" i="76" s="1"/>
  <c r="B94" i="76" s="1"/>
  <c r="B101" i="76"/>
  <c r="F62" i="73"/>
  <c r="F28" i="73"/>
  <c r="F29" i="73"/>
  <c r="F30" i="73"/>
  <c r="F61" i="73"/>
  <c r="F35" i="73" s="1"/>
  <c r="F36" i="73" s="1"/>
  <c r="F68" i="73" s="1"/>
  <c r="F105" i="73"/>
  <c r="B112" i="73"/>
  <c r="C112" i="73" s="1"/>
  <c r="D112" i="73" s="1"/>
  <c r="E112" i="73" s="1"/>
  <c r="F26" i="73"/>
  <c r="F27" i="73" s="1"/>
  <c r="F63" i="73"/>
  <c r="B64" i="75"/>
  <c r="B81" i="83" s="1"/>
  <c r="C82" i="83" s="1"/>
  <c r="B29" i="80"/>
  <c r="B204" i="97"/>
  <c r="H35" i="98" a="1"/>
  <c r="H35" i="98" s="1"/>
  <c r="K17" i="85"/>
  <c r="K85" i="85" s="1"/>
  <c r="G204" i="97"/>
  <c r="G35" i="98" a="1"/>
  <c r="G35" i="98" s="1"/>
  <c r="A74" i="85"/>
  <c r="B17" i="85"/>
  <c r="B85" i="85" s="1"/>
  <c r="B26" i="85"/>
  <c r="E17" i="85"/>
  <c r="E85" i="85" s="1"/>
  <c r="G17" i="85"/>
  <c r="G85" i="85" s="1"/>
  <c r="C17" i="85"/>
  <c r="C85" i="85" s="1"/>
  <c r="A73" i="85"/>
  <c r="B83" i="85"/>
  <c r="A71" i="85"/>
  <c r="A75" i="85"/>
  <c r="G13" i="98"/>
  <c r="F17" i="85"/>
  <c r="F85" i="85" s="1"/>
  <c r="A72" i="85"/>
  <c r="B29" i="85"/>
  <c r="D17" i="85"/>
  <c r="D85" i="85" s="1"/>
  <c r="I17" i="85"/>
  <c r="I85" i="85" s="1"/>
  <c r="J17" i="85"/>
  <c r="J85" i="85" s="1"/>
  <c r="H17" i="85"/>
  <c r="H85" i="85" s="1"/>
  <c r="E13" i="100"/>
  <c r="B17" i="80"/>
  <c r="B85" i="80" s="1"/>
  <c r="C70" i="78"/>
  <c r="A74" i="80"/>
  <c r="B13" i="98"/>
  <c r="J17" i="80"/>
  <c r="J85" i="80" s="1"/>
  <c r="A71" i="80"/>
  <c r="A73" i="80"/>
  <c r="H17" i="80"/>
  <c r="H85" i="80" s="1"/>
  <c r="A75" i="80"/>
  <c r="D17" i="80"/>
  <c r="D85" i="80" s="1"/>
  <c r="B26" i="80"/>
  <c r="F17" i="80"/>
  <c r="F85" i="80" s="1"/>
  <c r="I17" i="80"/>
  <c r="I85" i="80" s="1"/>
  <c r="K17" i="80"/>
  <c r="K85" i="80" s="1"/>
  <c r="E17" i="80"/>
  <c r="E85" i="80" s="1"/>
  <c r="G17" i="80"/>
  <c r="G85" i="80" s="1"/>
  <c r="A72" i="80"/>
  <c r="C35" i="98" a="1"/>
  <c r="C35" i="98" s="1"/>
  <c r="H15" i="81"/>
  <c r="H79" i="81" s="1"/>
  <c r="D110" i="73"/>
  <c r="C64" i="78"/>
  <c r="C81" i="86" s="1"/>
  <c r="D82" i="86" s="1"/>
  <c r="D83" i="86" s="1"/>
  <c r="C17" i="80"/>
  <c r="C85" i="80" s="1"/>
  <c r="B83" i="80"/>
  <c r="D56" i="61"/>
  <c r="B70" i="73"/>
  <c r="C99" i="97"/>
  <c r="C85" i="97"/>
  <c r="E56" i="61"/>
  <c r="D110" i="75"/>
  <c r="H15" i="83"/>
  <c r="H79" i="83" s="1"/>
  <c r="D28" i="97"/>
  <c r="D11" i="105" s="1"/>
  <c r="E66" i="61"/>
  <c r="B12" i="82"/>
  <c r="I15" i="80"/>
  <c r="I79" i="80" s="1"/>
  <c r="E110" i="72"/>
  <c r="H15" i="84"/>
  <c r="H79" i="84" s="1"/>
  <c r="D110" i="76"/>
  <c r="C28" i="97"/>
  <c r="C11" i="105" s="1"/>
  <c r="B12" i="81"/>
  <c r="D66" i="61"/>
  <c r="E85" i="97"/>
  <c r="E99" i="97"/>
  <c r="D110" i="77"/>
  <c r="H15" i="85"/>
  <c r="H79" i="85" s="1"/>
  <c r="E110" i="74"/>
  <c r="I15" i="82"/>
  <c r="I79" i="82" s="1"/>
  <c r="G99" i="97"/>
  <c r="G85" i="97"/>
  <c r="H99" i="97"/>
  <c r="H85" i="97"/>
  <c r="D85" i="97"/>
  <c r="D99" i="97"/>
  <c r="H15" i="86"/>
  <c r="H79" i="86" s="1"/>
  <c r="D110" i="78"/>
  <c r="F99" i="97"/>
  <c r="F85" i="97"/>
  <c r="B64" i="73"/>
  <c r="B81" i="81" s="1"/>
  <c r="C82" i="81" s="1"/>
  <c r="B72" i="73"/>
  <c r="B33" i="77"/>
  <c r="G65" i="94"/>
  <c r="G67" i="94" s="1"/>
  <c r="B72" i="78"/>
  <c r="C72" i="78"/>
  <c r="B64" i="78"/>
  <c r="B31" i="78"/>
  <c r="E29" i="77"/>
  <c r="E26" i="77"/>
  <c r="E27" i="77" s="1"/>
  <c r="E30" i="77"/>
  <c r="E63" i="77"/>
  <c r="E60" i="77"/>
  <c r="F70" i="77" s="1"/>
  <c r="E61" i="77"/>
  <c r="E35" i="77" s="1"/>
  <c r="E36" i="77" s="1"/>
  <c r="E68" i="77" s="1"/>
  <c r="E71" i="77" s="1"/>
  <c r="E62" i="77"/>
  <c r="C30" i="75"/>
  <c r="C60" i="75"/>
  <c r="C70" i="75" s="1"/>
  <c r="B89" i="77"/>
  <c r="B91" i="77" s="1"/>
  <c r="B93" i="77" s="1"/>
  <c r="B94" i="77" s="1"/>
  <c r="B81" i="85"/>
  <c r="C82" i="85" s="1"/>
  <c r="C83" i="85" s="1"/>
  <c r="F105" i="77"/>
  <c r="E105" i="77"/>
  <c r="C61" i="75"/>
  <c r="C29" i="75"/>
  <c r="C28" i="75"/>
  <c r="C26" i="75"/>
  <c r="C27" i="75" s="1"/>
  <c r="C105" i="75"/>
  <c r="C63" i="75"/>
  <c r="C62" i="75"/>
  <c r="C61" i="77"/>
  <c r="C35" i="77" s="1"/>
  <c r="C36" i="77" s="1"/>
  <c r="C68" i="77" s="1"/>
  <c r="C71" i="77" s="1"/>
  <c r="C63" i="77"/>
  <c r="C26" i="77"/>
  <c r="C27" i="77" s="1"/>
  <c r="C105" i="77"/>
  <c r="C62" i="77"/>
  <c r="C30" i="77"/>
  <c r="C60" i="77"/>
  <c r="C70" i="77" s="1"/>
  <c r="D105" i="77"/>
  <c r="C29" i="77"/>
  <c r="D31" i="77"/>
  <c r="B99" i="77"/>
  <c r="B101" i="77"/>
  <c r="B39" i="77"/>
  <c r="B40" i="77" s="1"/>
  <c r="B98" i="77" s="1"/>
  <c r="B37" i="77"/>
  <c r="D64" i="77"/>
  <c r="D36" i="64"/>
  <c r="D25" i="72"/>
  <c r="F34" i="64"/>
  <c r="F35" i="64" s="1"/>
  <c r="E35" i="64"/>
  <c r="C29" i="72"/>
  <c r="C62" i="72"/>
  <c r="C61" i="72"/>
  <c r="C35" i="72" s="1"/>
  <c r="C36" i="72" s="1"/>
  <c r="C68" i="72" s="1"/>
  <c r="C71" i="72" s="1"/>
  <c r="C28" i="72"/>
  <c r="C105" i="72"/>
  <c r="C26" i="72"/>
  <c r="C27" i="72" s="1"/>
  <c r="C63" i="72"/>
  <c r="C30" i="72"/>
  <c r="C60" i="72"/>
  <c r="C72" i="74"/>
  <c r="G22" i="95"/>
  <c r="H22" i="95" s="1"/>
  <c r="I22" i="95" s="1"/>
  <c r="G21" i="95"/>
  <c r="H21" i="95" s="1"/>
  <c r="I21" i="95" s="1"/>
  <c r="G20" i="95"/>
  <c r="H20" i="95" s="1"/>
  <c r="C31" i="74"/>
  <c r="C32" i="74" s="1"/>
  <c r="D72" i="76"/>
  <c r="D31" i="75"/>
  <c r="D32" i="75" s="1"/>
  <c r="C64" i="74"/>
  <c r="C81" i="82" s="1"/>
  <c r="D82" i="82" s="1"/>
  <c r="C70" i="74"/>
  <c r="B39" i="74"/>
  <c r="B40" i="74" s="1"/>
  <c r="B33" i="74"/>
  <c r="B37" i="74"/>
  <c r="E25" i="74"/>
  <c r="E42" i="66"/>
  <c r="F25" i="74"/>
  <c r="F42" i="66"/>
  <c r="D60" i="74"/>
  <c r="D105" i="74"/>
  <c r="D28" i="74"/>
  <c r="D30" i="74"/>
  <c r="D61" i="74"/>
  <c r="D35" i="74" s="1"/>
  <c r="D36" i="74" s="1"/>
  <c r="D68" i="74" s="1"/>
  <c r="D71" i="74" s="1"/>
  <c r="D26" i="74"/>
  <c r="D27" i="74" s="1"/>
  <c r="D63" i="74"/>
  <c r="D29" i="74"/>
  <c r="D62" i="74"/>
  <c r="B101" i="74"/>
  <c r="B89" i="74"/>
  <c r="B91" i="74" s="1"/>
  <c r="B93" i="74" s="1"/>
  <c r="B94" i="74" s="1"/>
  <c r="B99" i="74"/>
  <c r="B112" i="78"/>
  <c r="C112" i="77"/>
  <c r="B112" i="76"/>
  <c r="B112" i="75"/>
  <c r="E105" i="78"/>
  <c r="E61" i="78"/>
  <c r="E35" i="78" s="1"/>
  <c r="E63" i="78"/>
  <c r="E62" i="78"/>
  <c r="E30" i="78"/>
  <c r="E29" i="78"/>
  <c r="E28" i="78"/>
  <c r="E60" i="78"/>
  <c r="E26" i="78"/>
  <c r="E27" i="78" s="1"/>
  <c r="F30" i="78"/>
  <c r="F29" i="78"/>
  <c r="F26" i="78"/>
  <c r="F27" i="78" s="1"/>
  <c r="F28" i="78"/>
  <c r="F63" i="78"/>
  <c r="F62" i="78"/>
  <c r="F61" i="78"/>
  <c r="F35" i="78" s="1"/>
  <c r="F60" i="78"/>
  <c r="F105" i="78"/>
  <c r="E29" i="76"/>
  <c r="E28" i="76"/>
  <c r="E26" i="76"/>
  <c r="E27" i="76" s="1"/>
  <c r="E105" i="76"/>
  <c r="E62" i="76"/>
  <c r="E30" i="76"/>
  <c r="E61" i="76"/>
  <c r="E35" i="76" s="1"/>
  <c r="E60" i="76"/>
  <c r="E63" i="76"/>
  <c r="C89" i="76"/>
  <c r="C91" i="76" s="1"/>
  <c r="C101" i="76"/>
  <c r="C99" i="76"/>
  <c r="F62" i="76"/>
  <c r="F61" i="76"/>
  <c r="F35" i="76" s="1"/>
  <c r="F30" i="76"/>
  <c r="F105" i="76"/>
  <c r="F63" i="76"/>
  <c r="F60" i="76"/>
  <c r="F29" i="76"/>
  <c r="F28" i="76"/>
  <c r="F26" i="76"/>
  <c r="F27" i="76" s="1"/>
  <c r="E63" i="75"/>
  <c r="E61" i="75"/>
  <c r="E35" i="75" s="1"/>
  <c r="E62" i="75"/>
  <c r="E60" i="75"/>
  <c r="E30" i="75"/>
  <c r="E105" i="75"/>
  <c r="E29" i="75"/>
  <c r="E28" i="75"/>
  <c r="E26" i="75"/>
  <c r="E27" i="75" s="1"/>
  <c r="F63" i="75"/>
  <c r="F60" i="75"/>
  <c r="F62" i="75"/>
  <c r="F61" i="75"/>
  <c r="F35" i="75" s="1"/>
  <c r="F30" i="75"/>
  <c r="F28" i="75"/>
  <c r="F26" i="75"/>
  <c r="F27" i="75" s="1"/>
  <c r="F29" i="75"/>
  <c r="F105" i="75"/>
  <c r="D36" i="78"/>
  <c r="D68" i="78" s="1"/>
  <c r="D71" i="78" s="1"/>
  <c r="C36" i="78"/>
  <c r="C68" i="78" s="1"/>
  <c r="C71" i="78" s="1"/>
  <c r="F36" i="77"/>
  <c r="F68" i="77" s="1"/>
  <c r="D36" i="76"/>
  <c r="D68" i="76" s="1"/>
  <c r="D71" i="76" s="1"/>
  <c r="D36" i="75"/>
  <c r="D68" i="75" s="1"/>
  <c r="D31" i="78"/>
  <c r="D32" i="78" s="1"/>
  <c r="D64" i="78"/>
  <c r="D81" i="86" s="1"/>
  <c r="E82" i="86" s="1"/>
  <c r="E83" i="86" s="1"/>
  <c r="D70" i="78"/>
  <c r="C39" i="78"/>
  <c r="C40" i="78" s="1"/>
  <c r="C98" i="78" s="1"/>
  <c r="C33" i="78"/>
  <c r="D72" i="78"/>
  <c r="F64" i="77"/>
  <c r="F31" i="77"/>
  <c r="F32" i="77" s="1"/>
  <c r="D64" i="76"/>
  <c r="D81" i="84" s="1"/>
  <c r="E82" i="84" s="1"/>
  <c r="E83" i="84" s="1"/>
  <c r="D70" i="76"/>
  <c r="D31" i="76"/>
  <c r="D32" i="76" s="1"/>
  <c r="C33" i="76"/>
  <c r="C39" i="76"/>
  <c r="C40" i="76" s="1"/>
  <c r="C98" i="76" s="1"/>
  <c r="C37" i="76"/>
  <c r="D64" i="75"/>
  <c r="D81" i="83" s="1"/>
  <c r="E82" i="83" s="1"/>
  <c r="B37" i="76" l="1"/>
  <c r="B32" i="73"/>
  <c r="B39" i="73" s="1"/>
  <c r="B40" i="73" s="1"/>
  <c r="B33" i="76"/>
  <c r="F65" i="94"/>
  <c r="F67" i="94" s="1"/>
  <c r="B37" i="72"/>
  <c r="B33" i="78"/>
  <c r="C39" i="74"/>
  <c r="C40" i="74" s="1"/>
  <c r="C41" i="74" s="1"/>
  <c r="D32" i="77"/>
  <c r="D37" i="77" s="1"/>
  <c r="B32" i="75"/>
  <c r="B37" i="75" s="1"/>
  <c r="C9" i="84"/>
  <c r="B9" i="84"/>
  <c r="B81" i="80"/>
  <c r="C82" i="80" s="1"/>
  <c r="C83" i="80" s="1"/>
  <c r="D64" i="73"/>
  <c r="D81" i="81" s="1"/>
  <c r="E82" i="81" s="1"/>
  <c r="E83" i="81" s="1"/>
  <c r="B99" i="72"/>
  <c r="E70" i="73"/>
  <c r="C204" i="97"/>
  <c r="A123" i="81"/>
  <c r="A122" i="81"/>
  <c r="A121" i="81"/>
  <c r="A120" i="81"/>
  <c r="A132" i="81"/>
  <c r="A133" i="81"/>
  <c r="A131" i="81"/>
  <c r="A130" i="81"/>
  <c r="A129" i="81"/>
  <c r="A124" i="81"/>
  <c r="B26" i="83"/>
  <c r="A129" i="83"/>
  <c r="A124" i="83"/>
  <c r="A131" i="83"/>
  <c r="A133" i="83"/>
  <c r="A130" i="83"/>
  <c r="A132" i="83"/>
  <c r="A122" i="83"/>
  <c r="A121" i="83"/>
  <c r="A120" i="83"/>
  <c r="A123" i="83"/>
  <c r="A131" i="82"/>
  <c r="A122" i="82"/>
  <c r="A130" i="82"/>
  <c r="A129" i="82"/>
  <c r="A123" i="82"/>
  <c r="A124" i="82"/>
  <c r="A120" i="82"/>
  <c r="A133" i="82"/>
  <c r="A132" i="82"/>
  <c r="A121" i="82"/>
  <c r="B33" i="72"/>
  <c r="B39" i="72"/>
  <c r="B40" i="72" s="1"/>
  <c r="B98" i="72" s="1"/>
  <c r="B101" i="72"/>
  <c r="C119" i="86"/>
  <c r="B119" i="86"/>
  <c r="D119" i="86"/>
  <c r="F119" i="86"/>
  <c r="E119" i="86"/>
  <c r="B65" i="94"/>
  <c r="B67" i="94" s="1"/>
  <c r="A75" i="83"/>
  <c r="C17" i="83"/>
  <c r="C85" i="83" s="1"/>
  <c r="A74" i="83"/>
  <c r="C83" i="83"/>
  <c r="K17" i="83"/>
  <c r="K85" i="83" s="1"/>
  <c r="E83" i="83"/>
  <c r="J17" i="83"/>
  <c r="J85" i="83" s="1"/>
  <c r="D88" i="99"/>
  <c r="D92" i="99" s="1"/>
  <c r="D100" i="99" s="1"/>
  <c r="D101" i="99" s="1"/>
  <c r="D103" i="99" s="1"/>
  <c r="C88" i="99"/>
  <c r="C92" i="99" s="1"/>
  <c r="C100" i="99" s="1"/>
  <c r="C101" i="99" s="1"/>
  <c r="C103" i="99" s="1"/>
  <c r="B88" i="99"/>
  <c r="B92" i="99" s="1"/>
  <c r="B100" i="99" s="1"/>
  <c r="B101" i="99" s="1"/>
  <c r="B122" i="99" s="1"/>
  <c r="H17" i="83"/>
  <c r="H85" i="83" s="1"/>
  <c r="D31" i="73"/>
  <c r="D32" i="73" s="1"/>
  <c r="B99" i="75"/>
  <c r="E31" i="73"/>
  <c r="E72" i="73"/>
  <c r="E17" i="83"/>
  <c r="E85" i="83" s="1"/>
  <c r="E204" i="97"/>
  <c r="E206" i="97" s="1"/>
  <c r="C9" i="83" s="1"/>
  <c r="B29" i="83"/>
  <c r="A73" i="83"/>
  <c r="E13" i="98"/>
  <c r="D17" i="83"/>
  <c r="D85" i="83" s="1"/>
  <c r="A72" i="83"/>
  <c r="G17" i="83"/>
  <c r="G85" i="83" s="1"/>
  <c r="F17" i="83"/>
  <c r="F85" i="83" s="1"/>
  <c r="I17" i="83"/>
  <c r="I85" i="83" s="1"/>
  <c r="B83" i="83"/>
  <c r="B17" i="83"/>
  <c r="B85" i="83" s="1"/>
  <c r="A71" i="83"/>
  <c r="E88" i="99"/>
  <c r="E92" i="99" s="1"/>
  <c r="E100" i="99" s="1"/>
  <c r="E101" i="99" s="1"/>
  <c r="E103" i="99" s="1"/>
  <c r="B89" i="75"/>
  <c r="B91" i="75" s="1"/>
  <c r="B93" i="75" s="1"/>
  <c r="B94" i="75" s="1"/>
  <c r="F71" i="73"/>
  <c r="F72" i="73"/>
  <c r="E64" i="73"/>
  <c r="B101" i="75"/>
  <c r="B103" i="76"/>
  <c r="F31" i="73"/>
  <c r="F32" i="73" s="1"/>
  <c r="F64" i="73"/>
  <c r="F89" i="73" s="1"/>
  <c r="F91" i="73" s="1"/>
  <c r="F93" i="73" s="1"/>
  <c r="F94" i="73" s="1"/>
  <c r="C30" i="73"/>
  <c r="C62" i="73"/>
  <c r="C26" i="73"/>
  <c r="C27" i="73" s="1"/>
  <c r="C28" i="73"/>
  <c r="C29" i="73"/>
  <c r="C61" i="73"/>
  <c r="C63" i="73"/>
  <c r="D105" i="73"/>
  <c r="C105" i="73"/>
  <c r="C60" i="73"/>
  <c r="B33" i="73"/>
  <c r="C65" i="94"/>
  <c r="C67" i="94" s="1"/>
  <c r="B37" i="73"/>
  <c r="C83" i="82"/>
  <c r="D204" i="97"/>
  <c r="B100" i="76"/>
  <c r="F12" i="98" s="1"/>
  <c r="F14" i="98" s="1"/>
  <c r="B67" i="76"/>
  <c r="B69" i="76" s="1"/>
  <c r="B73" i="76" s="1"/>
  <c r="B16" i="84" s="1"/>
  <c r="B101" i="73"/>
  <c r="B41" i="76"/>
  <c r="B102" i="76"/>
  <c r="B99" i="73"/>
  <c r="D83" i="82"/>
  <c r="I15" i="81"/>
  <c r="I79" i="81" s="1"/>
  <c r="E110" i="73"/>
  <c r="C89" i="78"/>
  <c r="C91" i="78" s="1"/>
  <c r="C93" i="78" s="1"/>
  <c r="C94" i="78" s="1"/>
  <c r="C101" i="78"/>
  <c r="B89" i="73"/>
  <c r="B91" i="73" s="1"/>
  <c r="B93" i="73" s="1"/>
  <c r="B94" i="73" s="1"/>
  <c r="I15" i="86"/>
  <c r="I79" i="86" s="1"/>
  <c r="E110" i="78"/>
  <c r="E110" i="77"/>
  <c r="I15" i="85"/>
  <c r="I79" i="85" s="1"/>
  <c r="E110" i="75"/>
  <c r="I15" i="83"/>
  <c r="I79" i="83" s="1"/>
  <c r="A73" i="81"/>
  <c r="G17" i="81"/>
  <c r="G85" i="81" s="1"/>
  <c r="B29" i="81"/>
  <c r="A75" i="81"/>
  <c r="K17" i="81"/>
  <c r="K85" i="81" s="1"/>
  <c r="C17" i="81"/>
  <c r="C85" i="81" s="1"/>
  <c r="F17" i="81"/>
  <c r="F85" i="81" s="1"/>
  <c r="C13" i="98"/>
  <c r="E17" i="81"/>
  <c r="E85" i="81" s="1"/>
  <c r="D17" i="81"/>
  <c r="D85" i="81" s="1"/>
  <c r="B26" i="81"/>
  <c r="B83" i="81"/>
  <c r="H17" i="81"/>
  <c r="H85" i="81" s="1"/>
  <c r="I17" i="81"/>
  <c r="I85" i="81" s="1"/>
  <c r="A71" i="81"/>
  <c r="B17" i="81"/>
  <c r="B85" i="81" s="1"/>
  <c r="J17" i="81"/>
  <c r="J85" i="81" s="1"/>
  <c r="A72" i="81"/>
  <c r="A74" i="81"/>
  <c r="J15" i="80"/>
  <c r="J79" i="80" s="1"/>
  <c r="F110" i="72"/>
  <c r="I15" i="84"/>
  <c r="I79" i="84" s="1"/>
  <c r="E110" i="76"/>
  <c r="C83" i="81"/>
  <c r="B17" i="82"/>
  <c r="B85" i="82" s="1"/>
  <c r="D17" i="82"/>
  <c r="D85" i="82" s="1"/>
  <c r="J17" i="82"/>
  <c r="J85" i="82" s="1"/>
  <c r="A73" i="82"/>
  <c r="D13" i="98"/>
  <c r="A71" i="82"/>
  <c r="B83" i="82"/>
  <c r="F17" i="82"/>
  <c r="F85" i="82" s="1"/>
  <c r="A75" i="82"/>
  <c r="C17" i="82"/>
  <c r="C85" i="82" s="1"/>
  <c r="A74" i="82"/>
  <c r="K17" i="82"/>
  <c r="K85" i="82" s="1"/>
  <c r="B29" i="82"/>
  <c r="B26" i="82"/>
  <c r="E17" i="82"/>
  <c r="E85" i="82" s="1"/>
  <c r="A72" i="82"/>
  <c r="H17" i="82"/>
  <c r="H85" i="82" s="1"/>
  <c r="G17" i="82"/>
  <c r="G85" i="82" s="1"/>
  <c r="I17" i="82"/>
  <c r="I85" i="82" s="1"/>
  <c r="E31" i="77"/>
  <c r="F110" i="74"/>
  <c r="J15" i="82"/>
  <c r="J79" i="82" s="1"/>
  <c r="B39" i="78"/>
  <c r="B40" i="78" s="1"/>
  <c r="B98" i="78" s="1"/>
  <c r="C99" i="78"/>
  <c r="C100" i="78" s="1"/>
  <c r="B101" i="78"/>
  <c r="B99" i="78"/>
  <c r="B81" i="86"/>
  <c r="C82" i="86" s="1"/>
  <c r="C83" i="86" s="1"/>
  <c r="B89" i="78"/>
  <c r="B91" i="78" s="1"/>
  <c r="B93" i="78" s="1"/>
  <c r="B94" i="78" s="1"/>
  <c r="B37" i="78"/>
  <c r="H65" i="94"/>
  <c r="H67" i="94" s="1"/>
  <c r="D72" i="75"/>
  <c r="H28" i="98"/>
  <c r="H170" i="97"/>
  <c r="H168" i="97"/>
  <c r="H25" i="105" s="1"/>
  <c r="E70" i="77"/>
  <c r="E72" i="77"/>
  <c r="E64" i="77"/>
  <c r="E81" i="85" s="1"/>
  <c r="F82" i="85" s="1"/>
  <c r="F83" i="85" s="1"/>
  <c r="F71" i="77"/>
  <c r="F72" i="77"/>
  <c r="D70" i="75"/>
  <c r="D71" i="75"/>
  <c r="C64" i="77"/>
  <c r="C89" i="77" s="1"/>
  <c r="C91" i="77" s="1"/>
  <c r="C93" i="77" s="1"/>
  <c r="C94" i="77" s="1"/>
  <c r="B100" i="77"/>
  <c r="G12" i="98" s="1"/>
  <c r="G14" i="98" s="1"/>
  <c r="D89" i="77"/>
  <c r="D91" i="77" s="1"/>
  <c r="D93" i="77" s="1"/>
  <c r="D94" i="77" s="1"/>
  <c r="D81" i="85"/>
  <c r="E82" i="85" s="1"/>
  <c r="E83" i="85" s="1"/>
  <c r="B103" i="77"/>
  <c r="B109" i="77"/>
  <c r="B116" i="77" s="1"/>
  <c r="F81" i="85"/>
  <c r="G82" i="85" s="1"/>
  <c r="G83" i="85" s="1"/>
  <c r="C31" i="75"/>
  <c r="C32" i="75" s="1"/>
  <c r="C72" i="77"/>
  <c r="D33" i="77"/>
  <c r="D71" i="77"/>
  <c r="B102" i="77"/>
  <c r="C72" i="75"/>
  <c r="C31" i="77"/>
  <c r="C32" i="77" s="1"/>
  <c r="C35" i="75"/>
  <c r="C36" i="75" s="1"/>
  <c r="C68" i="75" s="1"/>
  <c r="C71" i="75" s="1"/>
  <c r="C64" i="75"/>
  <c r="C81" i="83" s="1"/>
  <c r="D82" i="83" s="1"/>
  <c r="D83" i="83" s="1"/>
  <c r="D72" i="77"/>
  <c r="D70" i="77"/>
  <c r="B41" i="77"/>
  <c r="B67" i="77"/>
  <c r="E72" i="78"/>
  <c r="C64" i="72"/>
  <c r="C81" i="80" s="1"/>
  <c r="D82" i="80" s="1"/>
  <c r="D83" i="80" s="1"/>
  <c r="C70" i="72"/>
  <c r="C31" i="72"/>
  <c r="C32" i="72" s="1"/>
  <c r="C72" i="72"/>
  <c r="E25" i="72"/>
  <c r="E105" i="72" s="1"/>
  <c r="E36" i="64"/>
  <c r="F36" i="64"/>
  <c r="F25" i="72"/>
  <c r="D26" i="72"/>
  <c r="D27" i="72" s="1"/>
  <c r="D28" i="72"/>
  <c r="D29" i="72"/>
  <c r="D30" i="72"/>
  <c r="D61" i="72"/>
  <c r="D35" i="72" s="1"/>
  <c r="D36" i="72" s="1"/>
  <c r="D68" i="72" s="1"/>
  <c r="D71" i="72" s="1"/>
  <c r="D60" i="72"/>
  <c r="D62" i="72"/>
  <c r="D105" i="72"/>
  <c r="D63" i="72"/>
  <c r="D72" i="74"/>
  <c r="I20" i="95"/>
  <c r="I23" i="95" s="1"/>
  <c r="B27" i="95" s="1"/>
  <c r="H23" i="95"/>
  <c r="B35" i="95" s="1"/>
  <c r="E72" i="75"/>
  <c r="C37" i="74"/>
  <c r="C33" i="74"/>
  <c r="E72" i="76"/>
  <c r="D37" i="75"/>
  <c r="C103" i="76"/>
  <c r="D33" i="75"/>
  <c r="D39" i="75"/>
  <c r="D40" i="75" s="1"/>
  <c r="D98" i="75" s="1"/>
  <c r="F28" i="74"/>
  <c r="F26" i="74"/>
  <c r="F27" i="74" s="1"/>
  <c r="F63" i="74"/>
  <c r="F105" i="74"/>
  <c r="F62" i="74"/>
  <c r="F30" i="74"/>
  <c r="F29" i="74"/>
  <c r="F60" i="74"/>
  <c r="F61" i="74"/>
  <c r="F35" i="74" s="1"/>
  <c r="F36" i="74" s="1"/>
  <c r="F68" i="74" s="1"/>
  <c r="B112" i="74"/>
  <c r="C112" i="74" s="1"/>
  <c r="E62" i="74"/>
  <c r="E61" i="74"/>
  <c r="E35" i="74" s="1"/>
  <c r="E36" i="74" s="1"/>
  <c r="E68" i="74" s="1"/>
  <c r="E71" i="74" s="1"/>
  <c r="E60" i="74"/>
  <c r="E29" i="74"/>
  <c r="E63" i="74"/>
  <c r="E105" i="74"/>
  <c r="E30" i="74"/>
  <c r="E28" i="74"/>
  <c r="E26" i="74"/>
  <c r="E27" i="74" s="1"/>
  <c r="D64" i="74"/>
  <c r="D81" i="82" s="1"/>
  <c r="E82" i="82" s="1"/>
  <c r="E83" i="82" s="1"/>
  <c r="D70" i="74"/>
  <c r="B98" i="74"/>
  <c r="B103" i="74" s="1"/>
  <c r="B41" i="74"/>
  <c r="B67" i="74"/>
  <c r="D31" i="74"/>
  <c r="D32" i="74" s="1"/>
  <c r="C99" i="74"/>
  <c r="C101" i="74"/>
  <c r="C89" i="74"/>
  <c r="C91" i="74" s="1"/>
  <c r="C93" i="74" s="1"/>
  <c r="C94" i="74" s="1"/>
  <c r="E31" i="78"/>
  <c r="E32" i="78" s="1"/>
  <c r="C112" i="78"/>
  <c r="D112" i="77"/>
  <c r="C112" i="76"/>
  <c r="C112" i="75"/>
  <c r="F112" i="73"/>
  <c r="B23" i="81" s="1"/>
  <c r="C37" i="78"/>
  <c r="D89" i="78"/>
  <c r="D91" i="78" s="1"/>
  <c r="D101" i="78"/>
  <c r="D99" i="78"/>
  <c r="F89" i="77"/>
  <c r="F91" i="77" s="1"/>
  <c r="C93" i="76"/>
  <c r="C94" i="76" s="1"/>
  <c r="C102" i="76"/>
  <c r="C100" i="76"/>
  <c r="D101" i="76"/>
  <c r="D89" i="76"/>
  <c r="D91" i="76" s="1"/>
  <c r="D99" i="76"/>
  <c r="D89" i="75"/>
  <c r="D91" i="75" s="1"/>
  <c r="F36" i="78"/>
  <c r="F68" i="78" s="1"/>
  <c r="F71" i="78" s="1"/>
  <c r="E36" i="78"/>
  <c r="E68" i="78" s="1"/>
  <c r="E71" i="78" s="1"/>
  <c r="F36" i="76"/>
  <c r="F68" i="76" s="1"/>
  <c r="F71" i="76" s="1"/>
  <c r="E36" i="76"/>
  <c r="E68" i="76" s="1"/>
  <c r="E71" i="76" s="1"/>
  <c r="F36" i="75"/>
  <c r="F68" i="75" s="1"/>
  <c r="F71" i="75" s="1"/>
  <c r="E36" i="75"/>
  <c r="E68" i="75" s="1"/>
  <c r="E71" i="75" s="1"/>
  <c r="E64" i="78"/>
  <c r="E81" i="86" s="1"/>
  <c r="F82" i="86" s="1"/>
  <c r="F83" i="86" s="1"/>
  <c r="E70" i="78"/>
  <c r="C41" i="78"/>
  <c r="C67" i="78"/>
  <c r="F31" i="78"/>
  <c r="F32" i="78" s="1"/>
  <c r="F72" i="78"/>
  <c r="F64" i="78"/>
  <c r="F70" i="78"/>
  <c r="D33" i="78"/>
  <c r="D37" i="78"/>
  <c r="D39" i="78"/>
  <c r="D40" i="78" s="1"/>
  <c r="D98" i="78" s="1"/>
  <c r="F39" i="77"/>
  <c r="F40" i="77" s="1"/>
  <c r="F98" i="77" s="1"/>
  <c r="F33" i="77"/>
  <c r="F37" i="77"/>
  <c r="E31" i="76"/>
  <c r="E32" i="76" s="1"/>
  <c r="F31" i="76"/>
  <c r="F32" i="76" s="1"/>
  <c r="F64" i="76"/>
  <c r="F70" i="76"/>
  <c r="C67" i="76"/>
  <c r="C41" i="76"/>
  <c r="D33" i="76"/>
  <c r="D37" i="76"/>
  <c r="D39" i="76"/>
  <c r="D40" i="76" s="1"/>
  <c r="D98" i="76" s="1"/>
  <c r="E64" i="76"/>
  <c r="E81" i="84" s="1"/>
  <c r="F82" i="84" s="1"/>
  <c r="F83" i="84" s="1"/>
  <c r="E70" i="76"/>
  <c r="F72" i="76"/>
  <c r="F31" i="75"/>
  <c r="F32" i="75" s="1"/>
  <c r="E70" i="75"/>
  <c r="E64" i="75"/>
  <c r="E81" i="83" s="1"/>
  <c r="F82" i="83" s="1"/>
  <c r="F83" i="83" s="1"/>
  <c r="F64" i="75"/>
  <c r="F70" i="75"/>
  <c r="F72" i="75"/>
  <c r="E31" i="75"/>
  <c r="E32" i="75" s="1"/>
  <c r="B100" i="72" l="1"/>
  <c r="B12" i="98" s="1"/>
  <c r="B14" i="98" s="1"/>
  <c r="D39" i="77"/>
  <c r="D40" i="77" s="1"/>
  <c r="D98" i="77" s="1"/>
  <c r="B39" i="75"/>
  <c r="B40" i="75" s="1"/>
  <c r="B98" i="75" s="1"/>
  <c r="C67" i="74"/>
  <c r="C98" i="74"/>
  <c r="B33" i="75"/>
  <c r="E65" i="94"/>
  <c r="E67" i="94" s="1"/>
  <c r="B98" i="73"/>
  <c r="B102" i="73" s="1"/>
  <c r="B41" i="73"/>
  <c r="B67" i="73"/>
  <c r="B69" i="73" s="1"/>
  <c r="B73" i="73" s="1"/>
  <c r="B16" i="81" s="1"/>
  <c r="B41" i="75"/>
  <c r="E9" i="84" a="1"/>
  <c r="E9" i="84" s="1"/>
  <c r="F168" i="97" s="1"/>
  <c r="F25" i="105" s="1"/>
  <c r="B103" i="75"/>
  <c r="B100" i="73"/>
  <c r="C12" i="98" s="1"/>
  <c r="C14" i="98" s="1"/>
  <c r="B67" i="72"/>
  <c r="E99" i="73"/>
  <c r="C39" i="77"/>
  <c r="C40" i="77" s="1"/>
  <c r="C98" i="77" s="1"/>
  <c r="E32" i="73"/>
  <c r="E37" i="73" s="1"/>
  <c r="E32" i="77"/>
  <c r="E39" i="77" s="1"/>
  <c r="E40" i="77" s="1"/>
  <c r="B100" i="75"/>
  <c r="E12" i="98" s="1"/>
  <c r="E14" i="98" s="1"/>
  <c r="C32" i="73"/>
  <c r="D89" i="73"/>
  <c r="D91" i="73" s="1"/>
  <c r="D93" i="73" s="1"/>
  <c r="D94" i="73" s="1"/>
  <c r="B41" i="72"/>
  <c r="B93" i="99"/>
  <c r="B103" i="99"/>
  <c r="B106" i="99" s="1"/>
  <c r="F122" i="99" s="1"/>
  <c r="B103" i="72"/>
  <c r="B102" i="72"/>
  <c r="F101" i="73"/>
  <c r="E33" i="73"/>
  <c r="B114" i="99"/>
  <c r="B115" i="99" s="1"/>
  <c r="B116" i="99" s="1"/>
  <c r="B117" i="99" s="1"/>
  <c r="F81" i="81"/>
  <c r="G82" i="81" s="1"/>
  <c r="G83" i="81" s="1"/>
  <c r="D93" i="99"/>
  <c r="D122" i="99"/>
  <c r="C93" i="99"/>
  <c r="C122" i="99"/>
  <c r="D9" i="83"/>
  <c r="B9" i="83"/>
  <c r="D37" i="73"/>
  <c r="D33" i="73"/>
  <c r="D39" i="73"/>
  <c r="D40" i="73" s="1"/>
  <c r="E122" i="99"/>
  <c r="E93" i="99"/>
  <c r="B109" i="73"/>
  <c r="D116" i="73" s="1"/>
  <c r="I81" i="81" s="1"/>
  <c r="J82" i="81" s="1"/>
  <c r="J83" i="81" s="1"/>
  <c r="B104" i="76"/>
  <c r="B102" i="75"/>
  <c r="E81" i="81"/>
  <c r="F82" i="81" s="1"/>
  <c r="F83" i="81" s="1"/>
  <c r="E89" i="73"/>
  <c r="E91" i="73" s="1"/>
  <c r="E93" i="73" s="1"/>
  <c r="E94" i="73" s="1"/>
  <c r="E101" i="73"/>
  <c r="C64" i="73"/>
  <c r="D70" i="73"/>
  <c r="C70" i="73"/>
  <c r="C35" i="73"/>
  <c r="C36" i="73" s="1"/>
  <c r="C68" i="73" s="1"/>
  <c r="C71" i="73" s="1"/>
  <c r="D71" i="73"/>
  <c r="C31" i="73"/>
  <c r="D72" i="73"/>
  <c r="C72" i="73"/>
  <c r="F99" i="73"/>
  <c r="F33" i="73"/>
  <c r="F39" i="73"/>
  <c r="F40" i="73" s="1"/>
  <c r="F37" i="73"/>
  <c r="B80" i="84"/>
  <c r="B84" i="84" s="1"/>
  <c r="B86" i="84" s="1"/>
  <c r="B102" i="78"/>
  <c r="C102" i="78"/>
  <c r="B67" i="78"/>
  <c r="B69" i="78" s="1"/>
  <c r="B73" i="78" s="1"/>
  <c r="B16" i="86" s="1"/>
  <c r="B100" i="78"/>
  <c r="H12" i="98" s="1"/>
  <c r="H14" i="98" s="1"/>
  <c r="C103" i="78"/>
  <c r="B103" i="78"/>
  <c r="J15" i="81"/>
  <c r="J79" i="81" s="1"/>
  <c r="F110" i="73"/>
  <c r="B41" i="78"/>
  <c r="G110" i="74"/>
  <c r="H110" i="74" s="1"/>
  <c r="I110" i="74" s="1"/>
  <c r="J110" i="74" s="1"/>
  <c r="K110" i="74" s="1"/>
  <c r="K15" i="82"/>
  <c r="K79" i="82" s="1"/>
  <c r="J15" i="83"/>
  <c r="J79" i="83" s="1"/>
  <c r="F110" i="75"/>
  <c r="J15" i="84"/>
  <c r="J79" i="84" s="1"/>
  <c r="F110" i="76"/>
  <c r="J15" i="85"/>
  <c r="J79" i="85" s="1"/>
  <c r="F110" i="77"/>
  <c r="G110" i="72"/>
  <c r="H110" i="72" s="1"/>
  <c r="I110" i="72" s="1"/>
  <c r="J110" i="72" s="1"/>
  <c r="K110" i="72" s="1"/>
  <c r="K15" i="80"/>
  <c r="K79" i="80" s="1"/>
  <c r="F110" i="78"/>
  <c r="J15" i="86"/>
  <c r="J79" i="86" s="1"/>
  <c r="F101" i="77"/>
  <c r="F103" i="77" s="1"/>
  <c r="F99" i="77"/>
  <c r="F100" i="77" s="1"/>
  <c r="E99" i="77"/>
  <c r="E89" i="77"/>
  <c r="E91" i="77" s="1"/>
  <c r="E93" i="77" s="1"/>
  <c r="E94" i="77" s="1"/>
  <c r="E101" i="77"/>
  <c r="D101" i="77"/>
  <c r="D41" i="77"/>
  <c r="D67" i="77"/>
  <c r="D80" i="85" s="1"/>
  <c r="D99" i="77"/>
  <c r="D100" i="77" s="1"/>
  <c r="C101" i="77"/>
  <c r="C81" i="85"/>
  <c r="D82" i="85" s="1"/>
  <c r="D83" i="85" s="1"/>
  <c r="C99" i="77"/>
  <c r="C100" i="77" s="1"/>
  <c r="B104" i="77"/>
  <c r="C116" i="77"/>
  <c r="C117" i="77" s="1"/>
  <c r="B18" i="84"/>
  <c r="B109" i="78"/>
  <c r="B116" i="78" s="1"/>
  <c r="F81" i="86"/>
  <c r="G82" i="86" s="1"/>
  <c r="G83" i="86" s="1"/>
  <c r="C69" i="78"/>
  <c r="C73" i="78" s="1"/>
  <c r="C16" i="86" s="1"/>
  <c r="C18" i="86" s="1"/>
  <c r="C80" i="86"/>
  <c r="C84" i="86" s="1"/>
  <c r="C86" i="86" s="1"/>
  <c r="B117" i="77"/>
  <c r="G81" i="85"/>
  <c r="H82" i="85" s="1"/>
  <c r="H83" i="85" s="1"/>
  <c r="B69" i="77"/>
  <c r="B73" i="77" s="1"/>
  <c r="B16" i="85" s="1"/>
  <c r="B80" i="85"/>
  <c r="C33" i="77"/>
  <c r="C41" i="77"/>
  <c r="C67" i="77"/>
  <c r="C69" i="76"/>
  <c r="C73" i="76" s="1"/>
  <c r="C16" i="84" s="1"/>
  <c r="C18" i="84" s="1"/>
  <c r="C80" i="84"/>
  <c r="C84" i="84" s="1"/>
  <c r="C86" i="84" s="1"/>
  <c r="B109" i="76"/>
  <c r="B116" i="76" s="1"/>
  <c r="F81" i="84"/>
  <c r="G82" i="84" s="1"/>
  <c r="G83" i="84" s="1"/>
  <c r="B109" i="75"/>
  <c r="B116" i="75" s="1"/>
  <c r="F81" i="83"/>
  <c r="G82" i="83" s="1"/>
  <c r="G83" i="83" s="1"/>
  <c r="B69" i="74"/>
  <c r="B73" i="74" s="1"/>
  <c r="B16" i="82" s="1"/>
  <c r="B80" i="82"/>
  <c r="C69" i="74"/>
  <c r="C73" i="74" s="1"/>
  <c r="C16" i="82" s="1"/>
  <c r="C18" i="82" s="1"/>
  <c r="C80" i="82"/>
  <c r="C84" i="82" s="1"/>
  <c r="C86" i="82" s="1"/>
  <c r="B69" i="72"/>
  <c r="B73" i="72" s="1"/>
  <c r="B16" i="80" s="1"/>
  <c r="B80" i="80"/>
  <c r="C37" i="77"/>
  <c r="C39" i="75"/>
  <c r="C40" i="75" s="1"/>
  <c r="C37" i="75"/>
  <c r="C33" i="75"/>
  <c r="C99" i="75"/>
  <c r="C101" i="75"/>
  <c r="C89" i="75"/>
  <c r="C91" i="75" s="1"/>
  <c r="C93" i="75" s="1"/>
  <c r="C94" i="75" s="1"/>
  <c r="D99" i="75"/>
  <c r="D100" i="75" s="1"/>
  <c r="D101" i="75"/>
  <c r="D103" i="75" s="1"/>
  <c r="D67" i="75"/>
  <c r="D31" i="72"/>
  <c r="D32" i="72" s="1"/>
  <c r="C37" i="72"/>
  <c r="C39" i="72"/>
  <c r="C40" i="72" s="1"/>
  <c r="C33" i="72"/>
  <c r="B112" i="72"/>
  <c r="C112" i="72" s="1"/>
  <c r="F60" i="72"/>
  <c r="F29" i="72"/>
  <c r="F61" i="72"/>
  <c r="F35" i="72" s="1"/>
  <c r="F36" i="72" s="1"/>
  <c r="F68" i="72" s="1"/>
  <c r="F26" i="72"/>
  <c r="F27" i="72" s="1"/>
  <c r="F28" i="72"/>
  <c r="F30" i="72"/>
  <c r="F62" i="72"/>
  <c r="F63" i="72"/>
  <c r="F105" i="72"/>
  <c r="D72" i="72"/>
  <c r="D70" i="72"/>
  <c r="D64" i="72"/>
  <c r="D81" i="80" s="1"/>
  <c r="E82" i="80" s="1"/>
  <c r="E83" i="80" s="1"/>
  <c r="E63" i="72"/>
  <c r="E28" i="72"/>
  <c r="E62" i="72"/>
  <c r="E30" i="72"/>
  <c r="E61" i="72"/>
  <c r="E35" i="72" s="1"/>
  <c r="E36" i="72" s="1"/>
  <c r="E68" i="72" s="1"/>
  <c r="E71" i="72" s="1"/>
  <c r="E60" i="72"/>
  <c r="E29" i="72"/>
  <c r="E26" i="72"/>
  <c r="E27" i="72" s="1"/>
  <c r="C89" i="72"/>
  <c r="C91" i="72" s="1"/>
  <c r="C93" i="72" s="1"/>
  <c r="C94" i="72" s="1"/>
  <c r="C101" i="72"/>
  <c r="C99" i="72"/>
  <c r="D41" i="75"/>
  <c r="C104" i="76"/>
  <c r="E72" i="74"/>
  <c r="D37" i="74"/>
  <c r="D33" i="74"/>
  <c r="D39" i="74"/>
  <c r="D40" i="74" s="1"/>
  <c r="F71" i="74"/>
  <c r="B102" i="74"/>
  <c r="B104" i="74" s="1"/>
  <c r="B100" i="74"/>
  <c r="D12" i="98" s="1"/>
  <c r="D14" i="98" s="1"/>
  <c r="D112" i="74"/>
  <c r="F72" i="74"/>
  <c r="C102" i="74"/>
  <c r="C100" i="74"/>
  <c r="D99" i="74"/>
  <c r="D101" i="74"/>
  <c r="D89" i="74"/>
  <c r="D91" i="74" s="1"/>
  <c r="D93" i="74" s="1"/>
  <c r="D94" i="74" s="1"/>
  <c r="C103" i="74"/>
  <c r="E31" i="74"/>
  <c r="E32" i="74" s="1"/>
  <c r="E64" i="74"/>
  <c r="E81" i="82" s="1"/>
  <c r="F82" i="82" s="1"/>
  <c r="F83" i="82" s="1"/>
  <c r="E70" i="74"/>
  <c r="F64" i="74"/>
  <c r="F81" i="82" s="1"/>
  <c r="G82" i="82" s="1"/>
  <c r="G83" i="82" s="1"/>
  <c r="F70" i="74"/>
  <c r="F31" i="74"/>
  <c r="F32" i="74" s="1"/>
  <c r="D112" i="78"/>
  <c r="B108" i="77"/>
  <c r="E112" i="77"/>
  <c r="D116" i="77"/>
  <c r="D112" i="76"/>
  <c r="D112" i="75"/>
  <c r="G112" i="73"/>
  <c r="F101" i="78"/>
  <c r="F99" i="78"/>
  <c r="F89" i="78"/>
  <c r="F91" i="78" s="1"/>
  <c r="D93" i="78"/>
  <c r="D94" i="78" s="1"/>
  <c r="D100" i="78"/>
  <c r="D102" i="78"/>
  <c r="D103" i="78"/>
  <c r="E89" i="78"/>
  <c r="E91" i="78" s="1"/>
  <c r="E101" i="78"/>
  <c r="E99" i="78"/>
  <c r="F93" i="77"/>
  <c r="F94" i="77" s="1"/>
  <c r="E99" i="76"/>
  <c r="E89" i="76"/>
  <c r="E91" i="76" s="1"/>
  <c r="E101" i="76"/>
  <c r="D93" i="76"/>
  <c r="D94" i="76" s="1"/>
  <c r="D102" i="76"/>
  <c r="D100" i="76"/>
  <c r="F99" i="76"/>
  <c r="F89" i="76"/>
  <c r="F91" i="76" s="1"/>
  <c r="F101" i="76"/>
  <c r="D103" i="76"/>
  <c r="D93" i="75"/>
  <c r="D94" i="75" s="1"/>
  <c r="F101" i="75"/>
  <c r="F99" i="75"/>
  <c r="F89" i="75"/>
  <c r="F91" i="75" s="1"/>
  <c r="E101" i="75"/>
  <c r="E99" i="75"/>
  <c r="E89" i="75"/>
  <c r="E91" i="75" s="1"/>
  <c r="D41" i="78"/>
  <c r="D67" i="78"/>
  <c r="F39" i="78"/>
  <c r="F40" i="78" s="1"/>
  <c r="F98" i="78" s="1"/>
  <c r="F33" i="78"/>
  <c r="F37" i="78"/>
  <c r="E37" i="78"/>
  <c r="E33" i="78"/>
  <c r="E39" i="78"/>
  <c r="E40" i="78" s="1"/>
  <c r="E98" i="78" s="1"/>
  <c r="F67" i="77"/>
  <c r="F41" i="77"/>
  <c r="F37" i="76"/>
  <c r="F33" i="76"/>
  <c r="F39" i="76"/>
  <c r="F40" i="76" s="1"/>
  <c r="F98" i="76" s="1"/>
  <c r="E39" i="76"/>
  <c r="E40" i="76" s="1"/>
  <c r="E98" i="76" s="1"/>
  <c r="E33" i="76"/>
  <c r="E37" i="76"/>
  <c r="D41" i="76"/>
  <c r="D67" i="76"/>
  <c r="E33" i="75"/>
  <c r="E37" i="75"/>
  <c r="E39" i="75"/>
  <c r="E40" i="75" s="1"/>
  <c r="E98" i="75" s="1"/>
  <c r="F37" i="75"/>
  <c r="F33" i="75"/>
  <c r="F39" i="75"/>
  <c r="F40" i="75" s="1"/>
  <c r="F98" i="75" s="1"/>
  <c r="D119" i="84" l="1"/>
  <c r="C119" i="84"/>
  <c r="F119" i="84"/>
  <c r="B67" i="75"/>
  <c r="B80" i="83" s="1"/>
  <c r="B84" i="83" s="1"/>
  <c r="B86" i="83" s="1"/>
  <c r="E33" i="77"/>
  <c r="B103" i="73"/>
  <c r="B104" i="73" s="1"/>
  <c r="E98" i="77"/>
  <c r="E102" i="77" s="1"/>
  <c r="E67" i="77"/>
  <c r="E41" i="77"/>
  <c r="E100" i="77"/>
  <c r="E119" i="84"/>
  <c r="B80" i="81"/>
  <c r="B84" i="81" s="1"/>
  <c r="B86" i="81" s="1"/>
  <c r="B104" i="72"/>
  <c r="E9" i="83" a="1"/>
  <c r="E9" i="83" s="1"/>
  <c r="E28" i="98" s="1"/>
  <c r="E39" i="73"/>
  <c r="E40" i="73" s="1"/>
  <c r="E67" i="73" s="1"/>
  <c r="E69" i="73" s="1"/>
  <c r="E73" i="73" s="1"/>
  <c r="E16" i="81" s="1"/>
  <c r="E18" i="81" s="1"/>
  <c r="E37" i="77"/>
  <c r="B69" i="75"/>
  <c r="B73" i="75" s="1"/>
  <c r="B16" i="83" s="1"/>
  <c r="B18" i="83" s="1"/>
  <c r="B104" i="75"/>
  <c r="D39" i="72"/>
  <c r="D40" i="72" s="1"/>
  <c r="D98" i="72" s="1"/>
  <c r="C102" i="77"/>
  <c r="F170" i="97"/>
  <c r="B119" i="84"/>
  <c r="F28" i="98"/>
  <c r="D102" i="77"/>
  <c r="K113" i="77"/>
  <c r="J113" i="77"/>
  <c r="I113" i="77"/>
  <c r="H113" i="77"/>
  <c r="G113" i="77"/>
  <c r="F113" i="77"/>
  <c r="B22" i="85" s="1"/>
  <c r="E113" i="77"/>
  <c r="E114" i="77" s="1"/>
  <c r="E115" i="77" s="1"/>
  <c r="J80" i="85" s="1"/>
  <c r="D113" i="77"/>
  <c r="D114" i="77" s="1"/>
  <c r="D115" i="77" s="1"/>
  <c r="B113" i="77"/>
  <c r="B114" i="77" s="1"/>
  <c r="B115" i="77" s="1"/>
  <c r="C113" i="77"/>
  <c r="C116" i="73"/>
  <c r="D117" i="73" s="1"/>
  <c r="B18" i="82"/>
  <c r="F116" i="73"/>
  <c r="K81" i="81" s="1"/>
  <c r="B91" i="81" s="1"/>
  <c r="E116" i="73"/>
  <c r="J81" i="81" s="1"/>
  <c r="K82" i="81" s="1"/>
  <c r="K83" i="81" s="1"/>
  <c r="B116" i="73"/>
  <c r="C117" i="73" s="1"/>
  <c r="B108" i="99"/>
  <c r="D98" i="73"/>
  <c r="D67" i="73"/>
  <c r="D41" i="73"/>
  <c r="F20" i="98"/>
  <c r="B108" i="73"/>
  <c r="C39" i="73"/>
  <c r="C40" i="73" s="1"/>
  <c r="C33" i="73"/>
  <c r="C37" i="73"/>
  <c r="F41" i="73"/>
  <c r="F67" i="73"/>
  <c r="F98" i="73"/>
  <c r="C89" i="73"/>
  <c r="C91" i="73" s="1"/>
  <c r="C93" i="73" s="1"/>
  <c r="C94" i="73" s="1"/>
  <c r="C8" i="98" s="1"/>
  <c r="C81" i="81"/>
  <c r="D82" i="81" s="1"/>
  <c r="D83" i="81" s="1"/>
  <c r="D101" i="73"/>
  <c r="C99" i="73"/>
  <c r="D99" i="73"/>
  <c r="C101" i="73"/>
  <c r="B104" i="78"/>
  <c r="B80" i="86"/>
  <c r="H20" i="98" s="1"/>
  <c r="C104" i="78"/>
  <c r="K15" i="81"/>
  <c r="K79" i="81" s="1"/>
  <c r="G110" i="73"/>
  <c r="H110" i="73" s="1"/>
  <c r="I110" i="73" s="1"/>
  <c r="J110" i="73" s="1"/>
  <c r="K110" i="73" s="1"/>
  <c r="K15" i="84"/>
  <c r="K79" i="84" s="1"/>
  <c r="G110" i="76"/>
  <c r="H110" i="76" s="1"/>
  <c r="I110" i="76" s="1"/>
  <c r="J110" i="76" s="1"/>
  <c r="K110" i="76" s="1"/>
  <c r="K15" i="85"/>
  <c r="K79" i="85" s="1"/>
  <c r="G110" i="77"/>
  <c r="H110" i="77" s="1"/>
  <c r="I110" i="77" s="1"/>
  <c r="J110" i="77" s="1"/>
  <c r="K110" i="77" s="1"/>
  <c r="F102" i="77"/>
  <c r="F104" i="77" s="1"/>
  <c r="K15" i="83"/>
  <c r="K79" i="83" s="1"/>
  <c r="G110" i="75"/>
  <c r="H110" i="75" s="1"/>
  <c r="I110" i="75" s="1"/>
  <c r="J110" i="75" s="1"/>
  <c r="K110" i="75" s="1"/>
  <c r="K15" i="86"/>
  <c r="K79" i="86" s="1"/>
  <c r="G110" i="78"/>
  <c r="H110" i="78" s="1"/>
  <c r="I110" i="78" s="1"/>
  <c r="J110" i="78" s="1"/>
  <c r="K110" i="78" s="1"/>
  <c r="D103" i="77"/>
  <c r="D69" i="77"/>
  <c r="D73" i="77" s="1"/>
  <c r="D16" i="85" s="1"/>
  <c r="D18" i="85" s="1"/>
  <c r="E103" i="77"/>
  <c r="C103" i="77"/>
  <c r="C104" i="77" s="1"/>
  <c r="H81" i="85"/>
  <c r="I82" i="85" s="1"/>
  <c r="I83" i="85" s="1"/>
  <c r="D84" i="85"/>
  <c r="D86" i="85" s="1"/>
  <c r="C116" i="78"/>
  <c r="C117" i="78" s="1"/>
  <c r="G8" i="98"/>
  <c r="C116" i="76"/>
  <c r="C117" i="76" s="1"/>
  <c r="C116" i="75"/>
  <c r="H81" i="83" s="1"/>
  <c r="I82" i="83" s="1"/>
  <c r="I83" i="83" s="1"/>
  <c r="B117" i="78"/>
  <c r="G81" i="86"/>
  <c r="H82" i="86" s="1"/>
  <c r="H83" i="86" s="1"/>
  <c r="B18" i="86"/>
  <c r="D69" i="78"/>
  <c r="D73" i="78" s="1"/>
  <c r="D16" i="86" s="1"/>
  <c r="D18" i="86" s="1"/>
  <c r="D80" i="86"/>
  <c r="D84" i="86" s="1"/>
  <c r="D86" i="86" s="1"/>
  <c r="D117" i="77"/>
  <c r="I81" i="85"/>
  <c r="J82" i="85" s="1"/>
  <c r="J83" i="85" s="1"/>
  <c r="F69" i="77"/>
  <c r="F73" i="77" s="1"/>
  <c r="F16" i="85" s="1"/>
  <c r="F18" i="85" s="1"/>
  <c r="F80" i="85"/>
  <c r="F84" i="85" s="1"/>
  <c r="F86" i="85" s="1"/>
  <c r="B18" i="85"/>
  <c r="B84" i="85"/>
  <c r="B86" i="85" s="1"/>
  <c r="E69" i="77"/>
  <c r="E73" i="77" s="1"/>
  <c r="E16" i="85" s="1"/>
  <c r="E18" i="85" s="1"/>
  <c r="E80" i="85"/>
  <c r="E84" i="85" s="1"/>
  <c r="E86" i="85" s="1"/>
  <c r="C69" i="77"/>
  <c r="C73" i="77" s="1"/>
  <c r="C16" i="85" s="1"/>
  <c r="C18" i="85" s="1"/>
  <c r="C80" i="85"/>
  <c r="C84" i="85" s="1"/>
  <c r="C86" i="85" s="1"/>
  <c r="B117" i="76"/>
  <c r="G81" i="84"/>
  <c r="H82" i="84" s="1"/>
  <c r="H83" i="84" s="1"/>
  <c r="D69" i="76"/>
  <c r="D73" i="76" s="1"/>
  <c r="D16" i="84" s="1"/>
  <c r="D80" i="84"/>
  <c r="D84" i="84" s="1"/>
  <c r="D86" i="84" s="1"/>
  <c r="D69" i="75"/>
  <c r="D73" i="75" s="1"/>
  <c r="D16" i="83" s="1"/>
  <c r="D18" i="83" s="1"/>
  <c r="D80" i="83"/>
  <c r="D84" i="83" s="1"/>
  <c r="D86" i="83" s="1"/>
  <c r="B117" i="75"/>
  <c r="G81" i="83"/>
  <c r="H82" i="83" s="1"/>
  <c r="H83" i="83" s="1"/>
  <c r="B84" i="82"/>
  <c r="B86" i="82" s="1"/>
  <c r="B18" i="81"/>
  <c r="B84" i="80"/>
  <c r="B86" i="80" s="1"/>
  <c r="B18" i="80"/>
  <c r="D33" i="72"/>
  <c r="C98" i="75"/>
  <c r="C67" i="75"/>
  <c r="C41" i="75"/>
  <c r="D37" i="72"/>
  <c r="F31" i="72"/>
  <c r="F32" i="72" s="1"/>
  <c r="E31" i="72"/>
  <c r="E32" i="72" s="1"/>
  <c r="F71" i="72"/>
  <c r="F70" i="72"/>
  <c r="F64" i="72"/>
  <c r="F81" i="80" s="1"/>
  <c r="G82" i="80" s="1"/>
  <c r="G83" i="80" s="1"/>
  <c r="D89" i="72"/>
  <c r="D91" i="72" s="1"/>
  <c r="D93" i="72" s="1"/>
  <c r="D94" i="72" s="1"/>
  <c r="D101" i="72"/>
  <c r="D99" i="72"/>
  <c r="D112" i="72"/>
  <c r="E64" i="72"/>
  <c r="E81" i="80" s="1"/>
  <c r="F82" i="80" s="1"/>
  <c r="F83" i="80" s="1"/>
  <c r="E70" i="72"/>
  <c r="C67" i="72"/>
  <c r="C98" i="72"/>
  <c r="C103" i="72" s="1"/>
  <c r="C41" i="72"/>
  <c r="E72" i="72"/>
  <c r="F72" i="72"/>
  <c r="C104" i="74"/>
  <c r="E103" i="75"/>
  <c r="E103" i="78"/>
  <c r="D104" i="78"/>
  <c r="E112" i="74"/>
  <c r="F33" i="74"/>
  <c r="F39" i="74"/>
  <c r="F40" i="74" s="1"/>
  <c r="F37" i="74"/>
  <c r="B109" i="74"/>
  <c r="F89" i="74"/>
  <c r="F91" i="74" s="1"/>
  <c r="F93" i="74" s="1"/>
  <c r="F94" i="74" s="1"/>
  <c r="F101" i="74"/>
  <c r="F99" i="74"/>
  <c r="E37" i="74"/>
  <c r="E39" i="74"/>
  <c r="E40" i="74" s="1"/>
  <c r="E33" i="74"/>
  <c r="E101" i="74"/>
  <c r="E89" i="74"/>
  <c r="E91" i="74" s="1"/>
  <c r="E93" i="74" s="1"/>
  <c r="E94" i="74" s="1"/>
  <c r="E99" i="74"/>
  <c r="D41" i="74"/>
  <c r="D98" i="74"/>
  <c r="D103" i="74" s="1"/>
  <c r="D67" i="74"/>
  <c r="B108" i="78"/>
  <c r="D116" i="78"/>
  <c r="E112" i="78"/>
  <c r="E116" i="77"/>
  <c r="F112" i="77"/>
  <c r="B23" i="85" s="1"/>
  <c r="C114" i="77"/>
  <c r="C115" i="77" s="1"/>
  <c r="B108" i="76"/>
  <c r="F103" i="76"/>
  <c r="D116" i="76"/>
  <c r="E112" i="76"/>
  <c r="B108" i="75"/>
  <c r="E112" i="75"/>
  <c r="D116" i="75"/>
  <c r="H112" i="73"/>
  <c r="G116" i="73"/>
  <c r="F102" i="78"/>
  <c r="F100" i="78"/>
  <c r="E93" i="78"/>
  <c r="E94" i="78" s="1"/>
  <c r="E102" i="78"/>
  <c r="E100" i="78"/>
  <c r="F103" i="78"/>
  <c r="F93" i="78"/>
  <c r="F94" i="78" s="1"/>
  <c r="F100" i="76"/>
  <c r="F102" i="76"/>
  <c r="E93" i="76"/>
  <c r="E94" i="76" s="1"/>
  <c r="E102" i="76"/>
  <c r="E100" i="76"/>
  <c r="D104" i="76"/>
  <c r="E103" i="76"/>
  <c r="F93" i="76"/>
  <c r="F94" i="76" s="1"/>
  <c r="F100" i="75"/>
  <c r="F102" i="75"/>
  <c r="E100" i="75"/>
  <c r="E102" i="75"/>
  <c r="F93" i="75"/>
  <c r="F94" i="75" s="1"/>
  <c r="E93" i="75"/>
  <c r="E94" i="75" s="1"/>
  <c r="F103" i="75"/>
  <c r="E67" i="78"/>
  <c r="E41" i="78"/>
  <c r="F41" i="78"/>
  <c r="F67" i="78"/>
  <c r="E41" i="76"/>
  <c r="E67" i="76"/>
  <c r="F67" i="76"/>
  <c r="F41" i="76"/>
  <c r="F67" i="75"/>
  <c r="F41" i="75"/>
  <c r="E67" i="75"/>
  <c r="E41" i="75"/>
  <c r="E119" i="83" l="1"/>
  <c r="F119" i="83"/>
  <c r="B119" i="83"/>
  <c r="E80" i="81"/>
  <c r="E84" i="81" s="1"/>
  <c r="E86" i="81" s="1"/>
  <c r="E104" i="77"/>
  <c r="E170" i="97"/>
  <c r="E20" i="98"/>
  <c r="C119" i="83"/>
  <c r="E168" i="97"/>
  <c r="E25" i="105" s="1"/>
  <c r="D119" i="83"/>
  <c r="D67" i="72"/>
  <c r="D41" i="72"/>
  <c r="E41" i="73"/>
  <c r="E98" i="73"/>
  <c r="E103" i="73" s="1"/>
  <c r="E33" i="72"/>
  <c r="H81" i="81"/>
  <c r="I82" i="81" s="1"/>
  <c r="I83" i="81" s="1"/>
  <c r="D104" i="77"/>
  <c r="K113" i="78"/>
  <c r="J113" i="78"/>
  <c r="I113" i="78"/>
  <c r="H113" i="78"/>
  <c r="G113" i="78"/>
  <c r="F113" i="78"/>
  <c r="B22" i="86" s="1"/>
  <c r="E113" i="78"/>
  <c r="D113" i="78"/>
  <c r="D114" i="78" s="1"/>
  <c r="D115" i="78" s="1"/>
  <c r="C113" i="78"/>
  <c r="C114" i="78" s="1"/>
  <c r="C115" i="78" s="1"/>
  <c r="B113" i="78"/>
  <c r="B114" i="78" s="1"/>
  <c r="B115" i="78" s="1"/>
  <c r="C113" i="75"/>
  <c r="C114" i="75" s="1"/>
  <c r="C115" i="75" s="1"/>
  <c r="B113" i="75"/>
  <c r="B114" i="75" s="1"/>
  <c r="B115" i="75" s="1"/>
  <c r="K113" i="75"/>
  <c r="J113" i="75"/>
  <c r="I113" i="75"/>
  <c r="H113" i="75"/>
  <c r="D113" i="75"/>
  <c r="D114" i="75" s="1"/>
  <c r="D115" i="75" s="1"/>
  <c r="G113" i="75"/>
  <c r="F113" i="75"/>
  <c r="B22" i="83" s="1"/>
  <c r="E113" i="75"/>
  <c r="E114" i="75" s="1"/>
  <c r="E115" i="75" s="1"/>
  <c r="J80" i="83" s="1"/>
  <c r="B113" i="73"/>
  <c r="B114" i="73" s="1"/>
  <c r="B115" i="73" s="1"/>
  <c r="G80" i="81" s="1"/>
  <c r="G84" i="81" s="1"/>
  <c r="G86" i="81" s="1"/>
  <c r="D113" i="73"/>
  <c r="D114" i="73" s="1"/>
  <c r="D115" i="73" s="1"/>
  <c r="F113" i="73"/>
  <c r="F114" i="73" s="1"/>
  <c r="F115" i="73" s="1"/>
  <c r="C113" i="73"/>
  <c r="C114" i="73" s="1"/>
  <c r="C115" i="73" s="1"/>
  <c r="H80" i="81" s="1"/>
  <c r="K113" i="73"/>
  <c r="J113" i="73"/>
  <c r="I113" i="73"/>
  <c r="H113" i="73"/>
  <c r="H114" i="73" s="1"/>
  <c r="H115" i="73" s="1"/>
  <c r="E113" i="73"/>
  <c r="E114" i="73" s="1"/>
  <c r="E115" i="73" s="1"/>
  <c r="J80" i="81" s="1"/>
  <c r="B112" i="81" s="1"/>
  <c r="G113" i="73"/>
  <c r="G114" i="73" s="1"/>
  <c r="G115" i="73" s="1"/>
  <c r="D100" i="73"/>
  <c r="K113" i="76"/>
  <c r="B113" i="76"/>
  <c r="B114" i="76" s="1"/>
  <c r="B115" i="76" s="1"/>
  <c r="J113" i="76"/>
  <c r="I113" i="76"/>
  <c r="H113" i="76"/>
  <c r="C113" i="76"/>
  <c r="C114" i="76" s="1"/>
  <c r="C115" i="76" s="1"/>
  <c r="G113" i="76"/>
  <c r="F113" i="76"/>
  <c r="B22" i="84" s="1"/>
  <c r="E113" i="76"/>
  <c r="E114" i="76" s="1"/>
  <c r="E115" i="76" s="1"/>
  <c r="J80" i="84" s="1"/>
  <c r="D113" i="76"/>
  <c r="D114" i="76" s="1"/>
  <c r="D115" i="76" s="1"/>
  <c r="D103" i="73"/>
  <c r="F128" i="85"/>
  <c r="E128" i="85"/>
  <c r="D128" i="85"/>
  <c r="C128" i="85"/>
  <c r="B128" i="85"/>
  <c r="F117" i="73"/>
  <c r="E117" i="73"/>
  <c r="G81" i="81"/>
  <c r="H82" i="81" s="1"/>
  <c r="H83" i="81" s="1"/>
  <c r="B117" i="73"/>
  <c r="D69" i="73"/>
  <c r="D73" i="73" s="1"/>
  <c r="D16" i="81" s="1"/>
  <c r="D18" i="81" s="1"/>
  <c r="D80" i="81"/>
  <c r="D84" i="81" s="1"/>
  <c r="D86" i="81" s="1"/>
  <c r="F103" i="73"/>
  <c r="F100" i="73"/>
  <c r="F69" i="73"/>
  <c r="F73" i="73" s="1"/>
  <c r="F16" i="81" s="1"/>
  <c r="F18" i="81" s="1"/>
  <c r="F80" i="81"/>
  <c r="F84" i="81" s="1"/>
  <c r="F86" i="81" s="1"/>
  <c r="C98" i="73"/>
  <c r="C100" i="73" s="1"/>
  <c r="C41" i="73"/>
  <c r="C67" i="73"/>
  <c r="B84" i="86"/>
  <c r="B86" i="86" s="1"/>
  <c r="H81" i="86"/>
  <c r="I82" i="86" s="1"/>
  <c r="I83" i="86" s="1"/>
  <c r="C117" i="75"/>
  <c r="H8" i="98"/>
  <c r="H81" i="84"/>
  <c r="I82" i="84" s="1"/>
  <c r="I83" i="84" s="1"/>
  <c r="F8" i="98"/>
  <c r="E8" i="98"/>
  <c r="B112" i="85"/>
  <c r="D18" i="84"/>
  <c r="D8" i="98"/>
  <c r="E69" i="78"/>
  <c r="E73" i="78" s="1"/>
  <c r="E16" i="86" s="1"/>
  <c r="E80" i="86"/>
  <c r="E84" i="86" s="1"/>
  <c r="E86" i="86" s="1"/>
  <c r="D117" i="78"/>
  <c r="I81" i="86"/>
  <c r="J82" i="86" s="1"/>
  <c r="J83" i="86" s="1"/>
  <c r="F69" i="78"/>
  <c r="F73" i="78" s="1"/>
  <c r="F16" i="86" s="1"/>
  <c r="F18" i="86" s="1"/>
  <c r="F80" i="86"/>
  <c r="F84" i="86" s="1"/>
  <c r="F86" i="86" s="1"/>
  <c r="C118" i="77"/>
  <c r="H16" i="85" s="1"/>
  <c r="H18" i="85" s="1"/>
  <c r="H80" i="85"/>
  <c r="H84" i="85" s="1"/>
  <c r="H86" i="85" s="1"/>
  <c r="E117" i="77"/>
  <c r="E118" i="77" s="1"/>
  <c r="J16" i="85" s="1"/>
  <c r="J81" i="85"/>
  <c r="K82" i="85" s="1"/>
  <c r="K83" i="85" s="1"/>
  <c r="B118" i="77"/>
  <c r="G16" i="85" s="1"/>
  <c r="G80" i="85"/>
  <c r="G84" i="85" s="1"/>
  <c r="G86" i="85" s="1"/>
  <c r="D118" i="77"/>
  <c r="I16" i="85" s="1"/>
  <c r="I18" i="85" s="1"/>
  <c r="I80" i="85"/>
  <c r="I84" i="85" s="1"/>
  <c r="I86" i="85" s="1"/>
  <c r="J84" i="85"/>
  <c r="J86" i="85" s="1"/>
  <c r="D117" i="76"/>
  <c r="I81" i="84"/>
  <c r="J82" i="84" s="1"/>
  <c r="J83" i="84" s="1"/>
  <c r="E69" i="76"/>
  <c r="E73" i="76" s="1"/>
  <c r="E16" i="84" s="1"/>
  <c r="E80" i="84"/>
  <c r="E84" i="84" s="1"/>
  <c r="E86" i="84" s="1"/>
  <c r="F69" i="76"/>
  <c r="F73" i="76" s="1"/>
  <c r="F16" i="84" s="1"/>
  <c r="F18" i="84" s="1"/>
  <c r="F80" i="84"/>
  <c r="F84" i="84" s="1"/>
  <c r="F86" i="84" s="1"/>
  <c r="C69" i="75"/>
  <c r="C73" i="75" s="1"/>
  <c r="C16" i="83" s="1"/>
  <c r="C80" i="83"/>
  <c r="C84" i="83" s="1"/>
  <c r="C86" i="83" s="1"/>
  <c r="E69" i="75"/>
  <c r="E73" i="75" s="1"/>
  <c r="E16" i="83" s="1"/>
  <c r="E18" i="83" s="1"/>
  <c r="E80" i="83"/>
  <c r="E84" i="83" s="1"/>
  <c r="E86" i="83" s="1"/>
  <c r="F69" i="75"/>
  <c r="F73" i="75" s="1"/>
  <c r="F16" i="83" s="1"/>
  <c r="F18" i="83" s="1"/>
  <c r="F80" i="83"/>
  <c r="F84" i="83" s="1"/>
  <c r="F86" i="83" s="1"/>
  <c r="D117" i="75"/>
  <c r="I81" i="83"/>
  <c r="J82" i="83" s="1"/>
  <c r="J83" i="83" s="1"/>
  <c r="D69" i="74"/>
  <c r="D73" i="74" s="1"/>
  <c r="D16" i="82" s="1"/>
  <c r="D80" i="82"/>
  <c r="D84" i="82" s="1"/>
  <c r="D86" i="82" s="1"/>
  <c r="G117" i="73"/>
  <c r="C69" i="72"/>
  <c r="C73" i="72" s="1"/>
  <c r="C16" i="80" s="1"/>
  <c r="C80" i="80"/>
  <c r="C84" i="80" s="1"/>
  <c r="C86" i="80" s="1"/>
  <c r="D69" i="72"/>
  <c r="D73" i="72" s="1"/>
  <c r="D16" i="80" s="1"/>
  <c r="D18" i="80" s="1"/>
  <c r="D80" i="80"/>
  <c r="D84" i="80" s="1"/>
  <c r="D86" i="80" s="1"/>
  <c r="E37" i="72"/>
  <c r="E39" i="72"/>
  <c r="E40" i="72" s="1"/>
  <c r="E98" i="72" s="1"/>
  <c r="D103" i="72"/>
  <c r="C100" i="75"/>
  <c r="C102" i="75"/>
  <c r="D102" i="75"/>
  <c r="D104" i="75" s="1"/>
  <c r="C103" i="75"/>
  <c r="E104" i="75"/>
  <c r="E89" i="72"/>
  <c r="E91" i="72" s="1"/>
  <c r="E93" i="72" s="1"/>
  <c r="E94" i="72" s="1"/>
  <c r="E101" i="72"/>
  <c r="E104" i="78"/>
  <c r="C100" i="72"/>
  <c r="C102" i="72"/>
  <c r="C104" i="72" s="1"/>
  <c r="E112" i="72"/>
  <c r="E99" i="72"/>
  <c r="B109" i="72"/>
  <c r="D116" i="72" s="1"/>
  <c r="I81" i="80" s="1"/>
  <c r="J82" i="80" s="1"/>
  <c r="J83" i="80" s="1"/>
  <c r="F101" i="72"/>
  <c r="F89" i="72"/>
  <c r="F91" i="72" s="1"/>
  <c r="F93" i="72" s="1"/>
  <c r="F94" i="72" s="1"/>
  <c r="F99" i="72"/>
  <c r="D100" i="72"/>
  <c r="D102" i="72"/>
  <c r="F39" i="72"/>
  <c r="F40" i="72" s="1"/>
  <c r="F33" i="72"/>
  <c r="F37" i="72"/>
  <c r="E114" i="78"/>
  <c r="E115" i="78" s="1"/>
  <c r="J80" i="86" s="1"/>
  <c r="E98" i="74"/>
  <c r="E103" i="74" s="1"/>
  <c r="E67" i="74"/>
  <c r="E41" i="74"/>
  <c r="B116" i="74"/>
  <c r="C116" i="74"/>
  <c r="H81" i="82" s="1"/>
  <c r="I82" i="82" s="1"/>
  <c r="I83" i="82" s="1"/>
  <c r="F98" i="74"/>
  <c r="F41" i="74"/>
  <c r="F67" i="74"/>
  <c r="F112" i="74"/>
  <c r="B23" i="82" s="1"/>
  <c r="E116" i="74"/>
  <c r="J81" i="82" s="1"/>
  <c r="K82" i="82" s="1"/>
  <c r="K83" i="82" s="1"/>
  <c r="D100" i="74"/>
  <c r="D102" i="74"/>
  <c r="D104" i="74" s="1"/>
  <c r="B108" i="74"/>
  <c r="D116" i="74"/>
  <c r="I81" i="82" s="1"/>
  <c r="J82" i="82" s="1"/>
  <c r="J83" i="82" s="1"/>
  <c r="F112" i="78"/>
  <c r="B23" i="86" s="1"/>
  <c r="E116" i="78"/>
  <c r="G112" i="77"/>
  <c r="F116" i="77"/>
  <c r="F114" i="77"/>
  <c r="F115" i="77" s="1"/>
  <c r="F104" i="76"/>
  <c r="F112" i="76"/>
  <c r="B23" i="84" s="1"/>
  <c r="E116" i="76"/>
  <c r="E116" i="75"/>
  <c r="F112" i="75"/>
  <c r="B23" i="83" s="1"/>
  <c r="H116" i="73"/>
  <c r="I112" i="73"/>
  <c r="F104" i="78"/>
  <c r="E104" i="76"/>
  <c r="F104" i="75"/>
  <c r="F102" i="73" l="1"/>
  <c r="E102" i="73"/>
  <c r="E104" i="73" s="1"/>
  <c r="E100" i="73"/>
  <c r="C118" i="76"/>
  <c r="H16" i="84" s="1"/>
  <c r="H18" i="84" s="1"/>
  <c r="H80" i="84"/>
  <c r="H84" i="84" s="1"/>
  <c r="H86" i="84" s="1"/>
  <c r="B113" i="74"/>
  <c r="D113" i="74"/>
  <c r="K113" i="74"/>
  <c r="E113" i="74"/>
  <c r="E114" i="74" s="1"/>
  <c r="E115" i="74" s="1"/>
  <c r="J80" i="82" s="1"/>
  <c r="B112" i="82" s="1"/>
  <c r="J113" i="74"/>
  <c r="I113" i="74"/>
  <c r="H113" i="74"/>
  <c r="C113" i="74"/>
  <c r="C114" i="74" s="1"/>
  <c r="C115" i="74" s="1"/>
  <c r="H80" i="82" s="1"/>
  <c r="G113" i="74"/>
  <c r="F113" i="74"/>
  <c r="D128" i="86"/>
  <c r="F128" i="86"/>
  <c r="E128" i="86"/>
  <c r="C128" i="86"/>
  <c r="B128" i="86"/>
  <c r="E128" i="84"/>
  <c r="D128" i="84"/>
  <c r="F128" i="84"/>
  <c r="C128" i="84"/>
  <c r="B128" i="84"/>
  <c r="F128" i="83"/>
  <c r="E128" i="83"/>
  <c r="D128" i="83"/>
  <c r="C128" i="83"/>
  <c r="B128" i="83"/>
  <c r="G118" i="73"/>
  <c r="D18" i="82"/>
  <c r="C118" i="73"/>
  <c r="H16" i="81" s="1"/>
  <c r="H18" i="81" s="1"/>
  <c r="H84" i="81"/>
  <c r="H86" i="81" s="1"/>
  <c r="B22" i="81"/>
  <c r="I80" i="81"/>
  <c r="I84" i="81" s="1"/>
  <c r="I86" i="81" s="1"/>
  <c r="D118" i="73"/>
  <c r="I16" i="81" s="1"/>
  <c r="I18" i="81" s="1"/>
  <c r="J84" i="81"/>
  <c r="J86" i="81" s="1"/>
  <c r="B118" i="73"/>
  <c r="G16" i="81" s="1"/>
  <c r="G18" i="81" s="1"/>
  <c r="E118" i="73"/>
  <c r="J16" i="81" s="1"/>
  <c r="J18" i="81" s="1"/>
  <c r="K80" i="81"/>
  <c r="C202" i="97"/>
  <c r="F118" i="73"/>
  <c r="K16" i="81" s="1"/>
  <c r="C69" i="73"/>
  <c r="C73" i="73" s="1"/>
  <c r="C16" i="81" s="1"/>
  <c r="C80" i="81"/>
  <c r="C84" i="81" s="1"/>
  <c r="C86" i="81" s="1"/>
  <c r="F104" i="73"/>
  <c r="D102" i="73"/>
  <c r="D104" i="73" s="1"/>
  <c r="C102" i="73"/>
  <c r="C103" i="73"/>
  <c r="G202" i="97"/>
  <c r="B112" i="86"/>
  <c r="J84" i="83"/>
  <c r="J86" i="83" s="1"/>
  <c r="B8" i="98"/>
  <c r="E26" i="100" s="1"/>
  <c r="B106" i="85"/>
  <c r="G18" i="85"/>
  <c r="K80" i="85"/>
  <c r="B113" i="85" s="1"/>
  <c r="B112" i="84"/>
  <c r="B112" i="83"/>
  <c r="E41" i="72"/>
  <c r="C18" i="80"/>
  <c r="E67" i="72"/>
  <c r="E80" i="80" s="1"/>
  <c r="E84" i="80" s="1"/>
  <c r="E86" i="80" s="1"/>
  <c r="D118" i="78"/>
  <c r="I16" i="86" s="1"/>
  <c r="I18" i="86" s="1"/>
  <c r="I80" i="86"/>
  <c r="I84" i="86" s="1"/>
  <c r="I86" i="86" s="1"/>
  <c r="J84" i="86"/>
  <c r="J86" i="86" s="1"/>
  <c r="B118" i="78"/>
  <c r="G16" i="86" s="1"/>
  <c r="G80" i="86"/>
  <c r="G84" i="86" s="1"/>
  <c r="G86" i="86" s="1"/>
  <c r="E18" i="86"/>
  <c r="C118" i="78"/>
  <c r="H16" i="86" s="1"/>
  <c r="H18" i="86" s="1"/>
  <c r="H80" i="86"/>
  <c r="H84" i="86" s="1"/>
  <c r="H86" i="86" s="1"/>
  <c r="E117" i="78"/>
  <c r="E118" i="78" s="1"/>
  <c r="J16" i="86" s="1"/>
  <c r="J81" i="86"/>
  <c r="K82" i="86" s="1"/>
  <c r="K83" i="86" s="1"/>
  <c r="J18" i="85"/>
  <c r="F117" i="77"/>
  <c r="F118" i="77" s="1"/>
  <c r="K16" i="85" s="1"/>
  <c r="K81" i="85"/>
  <c r="B91" i="85" s="1"/>
  <c r="B118" i="76"/>
  <c r="G16" i="84" s="1"/>
  <c r="G80" i="84"/>
  <c r="G84" i="84" s="1"/>
  <c r="G86" i="84" s="1"/>
  <c r="D118" i="76"/>
  <c r="I16" i="84" s="1"/>
  <c r="I18" i="84" s="1"/>
  <c r="I80" i="84"/>
  <c r="I84" i="84" s="1"/>
  <c r="I86" i="84" s="1"/>
  <c r="E117" i="76"/>
  <c r="E118" i="76" s="1"/>
  <c r="J16" i="84" s="1"/>
  <c r="J81" i="84"/>
  <c r="K82" i="84" s="1"/>
  <c r="K83" i="84" s="1"/>
  <c r="E18" i="84"/>
  <c r="J84" i="84"/>
  <c r="J86" i="84" s="1"/>
  <c r="C104" i="75"/>
  <c r="D118" i="75"/>
  <c r="I16" i="83" s="1"/>
  <c r="I18" i="83" s="1"/>
  <c r="I80" i="83"/>
  <c r="I84" i="83" s="1"/>
  <c r="I86" i="83" s="1"/>
  <c r="C18" i="83"/>
  <c r="C118" i="75"/>
  <c r="H16" i="83" s="1"/>
  <c r="H18" i="83" s="1"/>
  <c r="H80" i="83"/>
  <c r="H84" i="83" s="1"/>
  <c r="H86" i="83" s="1"/>
  <c r="E117" i="75"/>
  <c r="E118" i="75" s="1"/>
  <c r="J16" i="83" s="1"/>
  <c r="J81" i="83"/>
  <c r="K82" i="83" s="1"/>
  <c r="K83" i="83" s="1"/>
  <c r="B118" i="75"/>
  <c r="G16" i="83" s="1"/>
  <c r="G18" i="83" s="1"/>
  <c r="G80" i="83"/>
  <c r="G84" i="83" s="1"/>
  <c r="G86" i="83" s="1"/>
  <c r="E69" i="74"/>
  <c r="E73" i="74" s="1"/>
  <c r="E16" i="82" s="1"/>
  <c r="E18" i="82" s="1"/>
  <c r="E80" i="82"/>
  <c r="E84" i="82" s="1"/>
  <c r="E86" i="82" s="1"/>
  <c r="B117" i="74"/>
  <c r="G81" i="82"/>
  <c r="H82" i="82" s="1"/>
  <c r="H83" i="82" s="1"/>
  <c r="F69" i="74"/>
  <c r="F73" i="74" s="1"/>
  <c r="F16" i="82" s="1"/>
  <c r="F18" i="82" s="1"/>
  <c r="F80" i="82"/>
  <c r="F84" i="82" s="1"/>
  <c r="F86" i="82" s="1"/>
  <c r="H117" i="73"/>
  <c r="H118" i="73" s="1"/>
  <c r="D104" i="72"/>
  <c r="C117" i="74"/>
  <c r="B108" i="72"/>
  <c r="F98" i="72"/>
  <c r="F102" i="72" s="1"/>
  <c r="F41" i="72"/>
  <c r="F67" i="72"/>
  <c r="E103" i="72"/>
  <c r="E100" i="72"/>
  <c r="E102" i="72"/>
  <c r="B116" i="72"/>
  <c r="C116" i="72"/>
  <c r="H81" i="80" s="1"/>
  <c r="I82" i="80" s="1"/>
  <c r="I83" i="80" s="1"/>
  <c r="E117" i="74"/>
  <c r="E116" i="72"/>
  <c r="F112" i="72"/>
  <c r="B23" i="80" s="1"/>
  <c r="D117" i="74"/>
  <c r="D114" i="74"/>
  <c r="D115" i="74" s="1"/>
  <c r="I80" i="82" s="1"/>
  <c r="I84" i="82" s="1"/>
  <c r="I86" i="82" s="1"/>
  <c r="F100" i="74"/>
  <c r="F102" i="74"/>
  <c r="F116" i="74"/>
  <c r="G112" i="74"/>
  <c r="F103" i="74"/>
  <c r="B114" i="74"/>
  <c r="B115" i="74" s="1"/>
  <c r="E102" i="74"/>
  <c r="E104" i="74" s="1"/>
  <c r="E100" i="74"/>
  <c r="F114" i="78"/>
  <c r="F115" i="78" s="1"/>
  <c r="G112" i="78"/>
  <c r="F116" i="78"/>
  <c r="H112" i="77"/>
  <c r="G116" i="77"/>
  <c r="G114" i="77"/>
  <c r="G115" i="77" s="1"/>
  <c r="F114" i="76"/>
  <c r="F115" i="76" s="1"/>
  <c r="G112" i="76"/>
  <c r="F116" i="76"/>
  <c r="G112" i="75"/>
  <c r="F116" i="75"/>
  <c r="F114" i="75"/>
  <c r="F115" i="75" s="1"/>
  <c r="J112" i="73"/>
  <c r="I116" i="73"/>
  <c r="I114" i="73"/>
  <c r="I115" i="73" s="1"/>
  <c r="H84" i="82" l="1"/>
  <c r="H86" i="82" s="1"/>
  <c r="C113" i="72"/>
  <c r="C114" i="72" s="1"/>
  <c r="C115" i="72" s="1"/>
  <c r="H80" i="80" s="1"/>
  <c r="B113" i="72"/>
  <c r="G113" i="72"/>
  <c r="E113" i="72"/>
  <c r="E114" i="72" s="1"/>
  <c r="E115" i="72" s="1"/>
  <c r="K113" i="72"/>
  <c r="F113" i="72"/>
  <c r="D113" i="72"/>
  <c r="D114" i="72" s="1"/>
  <c r="D115" i="72" s="1"/>
  <c r="I80" i="80" s="1"/>
  <c r="I84" i="80" s="1"/>
  <c r="I86" i="80" s="1"/>
  <c r="J113" i="72"/>
  <c r="I113" i="72"/>
  <c r="H113" i="72"/>
  <c r="C118" i="74"/>
  <c r="H16" i="82" s="1"/>
  <c r="H18" i="82" s="1"/>
  <c r="G18" i="86"/>
  <c r="F128" i="81"/>
  <c r="E128" i="81"/>
  <c r="D128" i="81"/>
  <c r="B128" i="81"/>
  <c r="C128" i="81"/>
  <c r="B107" i="85"/>
  <c r="C18" i="81"/>
  <c r="B106" i="81"/>
  <c r="B107" i="81"/>
  <c r="K18" i="81"/>
  <c r="C104" i="73"/>
  <c r="B113" i="81"/>
  <c r="K84" i="81"/>
  <c r="K86" i="81" s="1"/>
  <c r="B87" i="81" s="1"/>
  <c r="K80" i="84"/>
  <c r="K84" i="84" s="1"/>
  <c r="K86" i="84" s="1"/>
  <c r="B87" i="84" s="1"/>
  <c r="F202" i="97"/>
  <c r="K80" i="86"/>
  <c r="B113" i="86" s="1"/>
  <c r="H202" i="97"/>
  <c r="K80" i="83"/>
  <c r="K84" i="83" s="1"/>
  <c r="K86" i="83" s="1"/>
  <c r="B87" i="83" s="1"/>
  <c r="E202" i="97"/>
  <c r="B106" i="84"/>
  <c r="E69" i="72"/>
  <c r="E73" i="72" s="1"/>
  <c r="E16" i="80" s="1"/>
  <c r="J18" i="86"/>
  <c r="B106" i="86"/>
  <c r="K84" i="85"/>
  <c r="K86" i="85" s="1"/>
  <c r="B87" i="85" s="1"/>
  <c r="G18" i="84"/>
  <c r="B106" i="83"/>
  <c r="F114" i="74"/>
  <c r="F115" i="74" s="1"/>
  <c r="D202" i="97" s="1"/>
  <c r="B22" i="82"/>
  <c r="J84" i="82"/>
  <c r="J86" i="82" s="1"/>
  <c r="F117" i="78"/>
  <c r="F118" i="78" s="1"/>
  <c r="K16" i="86" s="1"/>
  <c r="D130" i="86" s="1" a="1"/>
  <c r="D130" i="86" s="1"/>
  <c r="K81" i="86"/>
  <c r="B91" i="86" s="1"/>
  <c r="G117" i="77"/>
  <c r="G118" i="77" s="1"/>
  <c r="F117" i="76"/>
  <c r="F118" i="76" s="1"/>
  <c r="K16" i="84" s="1"/>
  <c r="C131" i="84" s="1" a="1"/>
  <c r="C131" i="84" s="1"/>
  <c r="K81" i="84"/>
  <c r="B91" i="84" s="1"/>
  <c r="F117" i="75"/>
  <c r="F118" i="75" s="1"/>
  <c r="K16" i="83" s="1"/>
  <c r="C132" i="83" s="1" a="1"/>
  <c r="C132" i="83" s="1"/>
  <c r="K81" i="83"/>
  <c r="B91" i="83" s="1"/>
  <c r="B118" i="74"/>
  <c r="G16" i="82" s="1"/>
  <c r="G80" i="82"/>
  <c r="G84" i="82" s="1"/>
  <c r="G86" i="82" s="1"/>
  <c r="F117" i="74"/>
  <c r="K81" i="82"/>
  <c r="B91" i="82" s="1"/>
  <c r="I117" i="73"/>
  <c r="I118" i="73" s="1"/>
  <c r="F69" i="72"/>
  <c r="F73" i="72" s="1"/>
  <c r="F16" i="80" s="1"/>
  <c r="F80" i="80"/>
  <c r="F84" i="80" s="1"/>
  <c r="F86" i="80" s="1"/>
  <c r="B117" i="72"/>
  <c r="G81" i="80"/>
  <c r="H82" i="80" s="1"/>
  <c r="H83" i="80" s="1"/>
  <c r="E117" i="72"/>
  <c r="J81" i="80"/>
  <c r="K82" i="80" s="1"/>
  <c r="K83" i="80" s="1"/>
  <c r="F103" i="72"/>
  <c r="F104" i="72" s="1"/>
  <c r="F100" i="72"/>
  <c r="C117" i="72"/>
  <c r="E104" i="72"/>
  <c r="E118" i="74"/>
  <c r="J16" i="82" s="1"/>
  <c r="J18" i="84"/>
  <c r="B114" i="72"/>
  <c r="B115" i="72" s="1"/>
  <c r="F116" i="72"/>
  <c r="G112" i="72"/>
  <c r="D117" i="72"/>
  <c r="K18" i="85"/>
  <c r="B19" i="85" s="1"/>
  <c r="G162" i="97" s="1"/>
  <c r="G163" i="97" s="1"/>
  <c r="G164" i="97" s="1"/>
  <c r="J18" i="83"/>
  <c r="D118" i="74"/>
  <c r="I16" i="82" s="1"/>
  <c r="G114" i="74"/>
  <c r="G115" i="74" s="1"/>
  <c r="H112" i="74"/>
  <c r="G116" i="74"/>
  <c r="F104" i="74"/>
  <c r="G116" i="78"/>
  <c r="G114" i="78"/>
  <c r="G115" i="78" s="1"/>
  <c r="H112" i="78"/>
  <c r="H116" i="77"/>
  <c r="H114" i="77"/>
  <c r="H115" i="77" s="1"/>
  <c r="I112" i="77"/>
  <c r="G116" i="76"/>
  <c r="G114" i="76"/>
  <c r="G115" i="76" s="1"/>
  <c r="H112" i="76"/>
  <c r="H112" i="75"/>
  <c r="G116" i="75"/>
  <c r="G114" i="75"/>
  <c r="G115" i="75" s="1"/>
  <c r="K112" i="73"/>
  <c r="B24" i="81" s="1"/>
  <c r="J116" i="73"/>
  <c r="J114" i="73"/>
  <c r="J115" i="73" s="1"/>
  <c r="C118" i="72" l="1"/>
  <c r="H16" i="80" s="1"/>
  <c r="H18" i="80" s="1"/>
  <c r="H84" i="80"/>
  <c r="H86" i="80" s="1"/>
  <c r="D132" i="84" a="1"/>
  <c r="D132" i="84" s="1"/>
  <c r="F131" i="84" a="1"/>
  <c r="F131" i="84" s="1"/>
  <c r="C133" i="84" a="1"/>
  <c r="C133" i="84" s="1"/>
  <c r="F129" i="84" a="1"/>
  <c r="F129" i="84" s="1"/>
  <c r="C130" i="83" a="1"/>
  <c r="C130" i="83" s="1"/>
  <c r="B133" i="86" a="1"/>
  <c r="B133" i="86" s="1"/>
  <c r="B131" i="86" a="1"/>
  <c r="B131" i="86" s="1"/>
  <c r="F131" i="83" a="1"/>
  <c r="F131" i="83" s="1"/>
  <c r="B129" i="86" a="1"/>
  <c r="B129" i="86" s="1"/>
  <c r="D133" i="83" a="1"/>
  <c r="D133" i="83" s="1"/>
  <c r="B130" i="86" a="1"/>
  <c r="B130" i="86" s="1"/>
  <c r="B19" i="81"/>
  <c r="C162" i="97" s="1"/>
  <c r="C163" i="97" s="1"/>
  <c r="C164" i="97" s="1"/>
  <c r="D129" i="83" a="1"/>
  <c r="D129" i="83" s="1"/>
  <c r="C131" i="86" a="1"/>
  <c r="C131" i="86" s="1"/>
  <c r="E129" i="86" a="1"/>
  <c r="E129" i="86" s="1"/>
  <c r="B132" i="86" a="1"/>
  <c r="B132" i="86" s="1"/>
  <c r="D131" i="86" a="1"/>
  <c r="D131" i="86" s="1"/>
  <c r="B113" i="83"/>
  <c r="F132" i="86" a="1"/>
  <c r="F132" i="86" s="1"/>
  <c r="E133" i="84" a="1"/>
  <c r="E133" i="84" s="1"/>
  <c r="D133" i="86" a="1"/>
  <c r="D133" i="86" s="1"/>
  <c r="C133" i="86" a="1"/>
  <c r="C133" i="86" s="1"/>
  <c r="C129" i="83" a="1"/>
  <c r="C129" i="83" s="1"/>
  <c r="D131" i="83" a="1"/>
  <c r="D131" i="83" s="1"/>
  <c r="F133" i="83" a="1"/>
  <c r="F133" i="83" s="1"/>
  <c r="E129" i="83" a="1"/>
  <c r="E129" i="83" s="1"/>
  <c r="B132" i="83" a="1"/>
  <c r="B132" i="83" s="1"/>
  <c r="B130" i="83" a="1"/>
  <c r="B130" i="83" s="1"/>
  <c r="F133" i="84" a="1"/>
  <c r="F133" i="84" s="1"/>
  <c r="E131" i="83" a="1"/>
  <c r="E131" i="83" s="1"/>
  <c r="D131" i="84" a="1"/>
  <c r="D131" i="84" s="1"/>
  <c r="F133" i="86" a="1"/>
  <c r="F133" i="86" s="1"/>
  <c r="C132" i="84" a="1"/>
  <c r="C132" i="84" s="1"/>
  <c r="E130" i="86" a="1"/>
  <c r="E130" i="86" s="1"/>
  <c r="D130" i="84" a="1"/>
  <c r="D130" i="84" s="1"/>
  <c r="B131" i="83" a="1"/>
  <c r="B131" i="83" s="1"/>
  <c r="D132" i="83" a="1"/>
  <c r="D132" i="83" s="1"/>
  <c r="E133" i="86" a="1"/>
  <c r="E133" i="86" s="1"/>
  <c r="F131" i="86" a="1"/>
  <c r="F131" i="86" s="1"/>
  <c r="E130" i="83" a="1"/>
  <c r="E130" i="83" s="1"/>
  <c r="D129" i="86" a="1"/>
  <c r="D129" i="86" s="1"/>
  <c r="E18" i="80"/>
  <c r="B129" i="84" a="1"/>
  <c r="B129" i="84" s="1"/>
  <c r="D132" i="86" a="1"/>
  <c r="D132" i="86" s="1"/>
  <c r="D133" i="84" a="1"/>
  <c r="D133" i="84" s="1"/>
  <c r="F129" i="83" a="1"/>
  <c r="F129" i="83" s="1"/>
  <c r="F132" i="83" a="1"/>
  <c r="F132" i="83" s="1"/>
  <c r="E130" i="84" a="1"/>
  <c r="E130" i="84" s="1"/>
  <c r="F130" i="83" a="1"/>
  <c r="F130" i="83" s="1"/>
  <c r="C130" i="86" a="1"/>
  <c r="C130" i="86" s="1"/>
  <c r="C131" i="83" a="1"/>
  <c r="C131" i="83" s="1"/>
  <c r="B129" i="83" a="1"/>
  <c r="B129" i="83" s="1"/>
  <c r="F132" i="84" a="1"/>
  <c r="F132" i="84" s="1"/>
  <c r="D130" i="83" a="1"/>
  <c r="D130" i="83" s="1"/>
  <c r="B132" i="84" a="1"/>
  <c r="B132" i="84" s="1"/>
  <c r="C130" i="84" a="1"/>
  <c r="C130" i="84" s="1"/>
  <c r="E132" i="84" a="1"/>
  <c r="E132" i="84" s="1"/>
  <c r="B131" i="84" a="1"/>
  <c r="B131" i="84" s="1"/>
  <c r="F130" i="84" a="1"/>
  <c r="F130" i="84" s="1"/>
  <c r="B130" i="84" a="1"/>
  <c r="B130" i="84" s="1"/>
  <c r="E129" i="84" a="1"/>
  <c r="E129" i="84" s="1"/>
  <c r="C129" i="84" a="1"/>
  <c r="C129" i="84" s="1"/>
  <c r="C128" i="82"/>
  <c r="F128" i="82"/>
  <c r="B128" i="82"/>
  <c r="E128" i="82"/>
  <c r="D128" i="82"/>
  <c r="E133" i="83" a="1"/>
  <c r="E133" i="83" s="1"/>
  <c r="C132" i="86" a="1"/>
  <c r="C132" i="86" s="1"/>
  <c r="C129" i="86" a="1"/>
  <c r="C129" i="86" s="1"/>
  <c r="E132" i="83" a="1"/>
  <c r="E132" i="83" s="1"/>
  <c r="D129" i="84" a="1"/>
  <c r="D129" i="84" s="1"/>
  <c r="E131" i="84" a="1"/>
  <c r="E131" i="84" s="1"/>
  <c r="E132" i="86" a="1"/>
  <c r="E132" i="86" s="1"/>
  <c r="B133" i="83" a="1"/>
  <c r="B133" i="83" s="1"/>
  <c r="E131" i="86" a="1"/>
  <c r="E131" i="86" s="1"/>
  <c r="B133" i="84" a="1"/>
  <c r="B133" i="84" s="1"/>
  <c r="F129" i="86" a="1"/>
  <c r="F129" i="86" s="1"/>
  <c r="F130" i="86" a="1"/>
  <c r="F130" i="86" s="1"/>
  <c r="C133" i="83" a="1"/>
  <c r="C133" i="83" s="1"/>
  <c r="B113" i="84"/>
  <c r="K84" i="86"/>
  <c r="K86" i="86" s="1"/>
  <c r="B87" i="86" s="1"/>
  <c r="C172" i="97"/>
  <c r="B107" i="86"/>
  <c r="B107" i="84"/>
  <c r="B107" i="83"/>
  <c r="K80" i="82"/>
  <c r="J18" i="82"/>
  <c r="B106" i="82"/>
  <c r="F118" i="74"/>
  <c r="K16" i="82" s="1"/>
  <c r="B90" i="81"/>
  <c r="F114" i="72"/>
  <c r="F115" i="72" s="1"/>
  <c r="B202" i="97" s="1"/>
  <c r="B22" i="80"/>
  <c r="G117" i="78"/>
  <c r="G118" i="78" s="1"/>
  <c r="H117" i="77"/>
  <c r="H118" i="77" s="1"/>
  <c r="G117" i="76"/>
  <c r="G118" i="76" s="1"/>
  <c r="G117" i="75"/>
  <c r="G118" i="75" s="1"/>
  <c r="G18" i="82"/>
  <c r="G117" i="74"/>
  <c r="G118" i="74" s="1"/>
  <c r="J117" i="73"/>
  <c r="J118" i="73" s="1"/>
  <c r="E118" i="72"/>
  <c r="J16" i="80" s="1"/>
  <c r="J80" i="80"/>
  <c r="F117" i="72"/>
  <c r="K81" i="80"/>
  <c r="B91" i="80" s="1"/>
  <c r="B118" i="72"/>
  <c r="G16" i="80" s="1"/>
  <c r="G80" i="80"/>
  <c r="G84" i="80" s="1"/>
  <c r="G86" i="80" s="1"/>
  <c r="F18" i="80"/>
  <c r="G114" i="72"/>
  <c r="G115" i="72" s="1"/>
  <c r="G116" i="72"/>
  <c r="H112" i="72"/>
  <c r="D118" i="72"/>
  <c r="I16" i="80" s="1"/>
  <c r="K18" i="86"/>
  <c r="B19" i="86" s="1"/>
  <c r="H162" i="97" s="1"/>
  <c r="H163" i="97" s="1"/>
  <c r="H164" i="97" s="1"/>
  <c r="K18" i="84"/>
  <c r="B19" i="84" s="1"/>
  <c r="F162" i="97" s="1"/>
  <c r="F163" i="97" s="1"/>
  <c r="F164" i="97" s="1"/>
  <c r="K18" i="83"/>
  <c r="B19" i="83" s="1"/>
  <c r="E162" i="97" s="1"/>
  <c r="E163" i="97" s="1"/>
  <c r="E164" i="97" s="1"/>
  <c r="I18" i="82"/>
  <c r="H116" i="74"/>
  <c r="I112" i="74"/>
  <c r="H114" i="74"/>
  <c r="H115" i="74" s="1"/>
  <c r="I112" i="78"/>
  <c r="H116" i="78"/>
  <c r="H114" i="78"/>
  <c r="H115" i="78" s="1"/>
  <c r="J112" i="77"/>
  <c r="I116" i="77"/>
  <c r="I114" i="77"/>
  <c r="I115" i="77" s="1"/>
  <c r="I112" i="76"/>
  <c r="H116" i="76"/>
  <c r="H114" i="76"/>
  <c r="H115" i="76" s="1"/>
  <c r="H116" i="75"/>
  <c r="H114" i="75"/>
  <c r="H115" i="75" s="1"/>
  <c r="I112" i="75"/>
  <c r="K116" i="73"/>
  <c r="K114" i="73"/>
  <c r="K115" i="73" s="1"/>
  <c r="B114" i="81" s="1"/>
  <c r="D128" i="80" l="1"/>
  <c r="C128" i="80"/>
  <c r="B128" i="80"/>
  <c r="E128" i="80"/>
  <c r="F128" i="80"/>
  <c r="C173" i="97"/>
  <c r="C27" i="105" s="1"/>
  <c r="C169" i="97"/>
  <c r="C26" i="105" s="1"/>
  <c r="K84" i="82"/>
  <c r="K86" i="82" s="1"/>
  <c r="B87" i="82" s="1"/>
  <c r="B113" i="82"/>
  <c r="K18" i="82"/>
  <c r="B19" i="82" s="1"/>
  <c r="D162" i="97" s="1"/>
  <c r="D163" i="97" s="1"/>
  <c r="D164" i="97" s="1"/>
  <c r="B107" i="82"/>
  <c r="J84" i="80"/>
  <c r="J86" i="80" s="1"/>
  <c r="B112" i="80"/>
  <c r="K80" i="80"/>
  <c r="G18" i="80"/>
  <c r="F118" i="72"/>
  <c r="K16" i="80" s="1"/>
  <c r="J18" i="80"/>
  <c r="B106" i="80"/>
  <c r="H117" i="78"/>
  <c r="H118" i="78" s="1"/>
  <c r="I117" i="77"/>
  <c r="I118" i="77" s="1"/>
  <c r="H117" i="76"/>
  <c r="H118" i="76" s="1"/>
  <c r="H117" i="75"/>
  <c r="H118" i="75" s="1"/>
  <c r="H117" i="74"/>
  <c r="H118" i="74" s="1"/>
  <c r="K117" i="73"/>
  <c r="K118" i="73" s="1"/>
  <c r="C34" i="98" s="1" a="1"/>
  <c r="C34" i="98" s="1"/>
  <c r="B92" i="81"/>
  <c r="B98" i="81"/>
  <c r="G117" i="72"/>
  <c r="G118" i="72" s="1"/>
  <c r="I18" i="80"/>
  <c r="I112" i="72"/>
  <c r="H114" i="72"/>
  <c r="H115" i="72" s="1"/>
  <c r="H116" i="72"/>
  <c r="J112" i="74"/>
  <c r="I114" i="74"/>
  <c r="I115" i="74" s="1"/>
  <c r="I116" i="74"/>
  <c r="I114" i="78"/>
  <c r="I115" i="78" s="1"/>
  <c r="J112" i="78"/>
  <c r="I116" i="78"/>
  <c r="J114" i="77"/>
  <c r="J115" i="77" s="1"/>
  <c r="K112" i="77"/>
  <c r="B24" i="85" s="1"/>
  <c r="J116" i="77"/>
  <c r="I114" i="76"/>
  <c r="I115" i="76" s="1"/>
  <c r="J112" i="76"/>
  <c r="I116" i="76"/>
  <c r="J112" i="75"/>
  <c r="I116" i="75"/>
  <c r="I114" i="75"/>
  <c r="I115" i="75" s="1"/>
  <c r="G172" i="97" l="1"/>
  <c r="B90" i="85"/>
  <c r="K18" i="80"/>
  <c r="B19" i="80" s="1"/>
  <c r="B107" i="80"/>
  <c r="B113" i="80"/>
  <c r="K84" i="80"/>
  <c r="K86" i="80" s="1"/>
  <c r="B87" i="80" s="1"/>
  <c r="I117" i="78"/>
  <c r="I118" i="78" s="1"/>
  <c r="J117" i="77"/>
  <c r="J118" i="77" s="1"/>
  <c r="I117" i="76"/>
  <c r="I118" i="76" s="1"/>
  <c r="I117" i="75"/>
  <c r="I118" i="75" s="1"/>
  <c r="I117" i="74"/>
  <c r="I118" i="74" s="1"/>
  <c r="B108" i="81"/>
  <c r="B115" i="81" s="1"/>
  <c r="H117" i="72"/>
  <c r="H118" i="72" s="1"/>
  <c r="I114" i="72"/>
  <c r="I115" i="72" s="1"/>
  <c r="J112" i="72"/>
  <c r="I116" i="72"/>
  <c r="E9" i="81" a="1"/>
  <c r="E9" i="81" s="1"/>
  <c r="J116" i="74"/>
  <c r="J114" i="74"/>
  <c r="J115" i="74" s="1"/>
  <c r="K112" i="74"/>
  <c r="J116" i="78"/>
  <c r="J114" i="78"/>
  <c r="J115" i="78" s="1"/>
  <c r="K112" i="78"/>
  <c r="B24" i="86" s="1"/>
  <c r="K116" i="77"/>
  <c r="K114" i="77"/>
  <c r="K115" i="77" s="1"/>
  <c r="J116" i="76"/>
  <c r="J114" i="76"/>
  <c r="J115" i="76" s="1"/>
  <c r="K112" i="76"/>
  <c r="B24" i="84" s="1"/>
  <c r="K112" i="75"/>
  <c r="B24" i="83" s="1"/>
  <c r="J116" i="75"/>
  <c r="J114" i="75"/>
  <c r="J115" i="75" s="1"/>
  <c r="C121" i="86" l="1" a="1"/>
  <c r="C121" i="86" s="1"/>
  <c r="C124" i="86" a="1"/>
  <c r="C124" i="86" s="1"/>
  <c r="E124" i="86" a="1"/>
  <c r="E124" i="86" s="1"/>
  <c r="D120" i="86" a="1"/>
  <c r="D120" i="86" s="1"/>
  <c r="C120" i="86" a="1"/>
  <c r="C120" i="86" s="1"/>
  <c r="B123" i="86" a="1"/>
  <c r="B123" i="86" s="1"/>
  <c r="B121" i="86" a="1"/>
  <c r="B121" i="86" s="1"/>
  <c r="D121" i="86" a="1"/>
  <c r="D121" i="86" s="1"/>
  <c r="E120" i="86" a="1"/>
  <c r="E120" i="86" s="1"/>
  <c r="E122" i="86" a="1"/>
  <c r="E122" i="86" s="1"/>
  <c r="B122" i="86" a="1"/>
  <c r="B122" i="86" s="1"/>
  <c r="D123" i="86" a="1"/>
  <c r="D123" i="86" s="1"/>
  <c r="C123" i="86" a="1"/>
  <c r="C123" i="86" s="1"/>
  <c r="F124" i="86" a="1"/>
  <c r="F124" i="86" s="1"/>
  <c r="F121" i="86" a="1"/>
  <c r="F121" i="86" s="1"/>
  <c r="D122" i="86" a="1"/>
  <c r="D122" i="86" s="1"/>
  <c r="B120" i="86" a="1"/>
  <c r="B120" i="86" s="1"/>
  <c r="F120" i="86" a="1"/>
  <c r="F120" i="86" s="1"/>
  <c r="F123" i="86" a="1"/>
  <c r="F123" i="86" s="1"/>
  <c r="C122" i="86" a="1"/>
  <c r="C122" i="86" s="1"/>
  <c r="D124" i="86" a="1"/>
  <c r="D124" i="86" s="1"/>
  <c r="E123" i="86" a="1"/>
  <c r="E123" i="86" s="1"/>
  <c r="E121" i="86" a="1"/>
  <c r="E121" i="86" s="1"/>
  <c r="B124" i="86" a="1"/>
  <c r="B124" i="86" s="1"/>
  <c r="F122" i="86" a="1"/>
  <c r="F122" i="86" s="1"/>
  <c r="B122" i="84" a="1"/>
  <c r="B122" i="84" s="1"/>
  <c r="B123" i="84" a="1"/>
  <c r="B123" i="84" s="1"/>
  <c r="E123" i="84" a="1"/>
  <c r="E123" i="84" s="1"/>
  <c r="D120" i="84" a="1"/>
  <c r="D120" i="84" s="1"/>
  <c r="B121" i="84" a="1"/>
  <c r="B121" i="84" s="1"/>
  <c r="E124" i="84" a="1"/>
  <c r="E124" i="84" s="1"/>
  <c r="E122" i="84" a="1"/>
  <c r="E122" i="84" s="1"/>
  <c r="B120" i="84" a="1"/>
  <c r="B120" i="84" s="1"/>
  <c r="D124" i="84" a="1"/>
  <c r="D124" i="84" s="1"/>
  <c r="D123" i="84" a="1"/>
  <c r="D123" i="84" s="1"/>
  <c r="F122" i="84" a="1"/>
  <c r="F122" i="84" s="1"/>
  <c r="E120" i="84" a="1"/>
  <c r="E120" i="84" s="1"/>
  <c r="C121" i="84" a="1"/>
  <c r="C121" i="84" s="1"/>
  <c r="D122" i="84" a="1"/>
  <c r="D122" i="84" s="1"/>
  <c r="F124" i="84" a="1"/>
  <c r="F124" i="84" s="1"/>
  <c r="C123" i="84" a="1"/>
  <c r="C123" i="84" s="1"/>
  <c r="F123" i="84" a="1"/>
  <c r="F123" i="84" s="1"/>
  <c r="F121" i="84" a="1"/>
  <c r="F121" i="84" s="1"/>
  <c r="C124" i="84" a="1"/>
  <c r="C124" i="84" s="1"/>
  <c r="C122" i="84" a="1"/>
  <c r="C122" i="84" s="1"/>
  <c r="D121" i="84" a="1"/>
  <c r="D121" i="84" s="1"/>
  <c r="B124" i="84" a="1"/>
  <c r="B124" i="84" s="1"/>
  <c r="C120" i="84" a="1"/>
  <c r="C120" i="84" s="1"/>
  <c r="F120" i="84" a="1"/>
  <c r="F120" i="84" s="1"/>
  <c r="E121" i="84" a="1"/>
  <c r="E121" i="84" s="1"/>
  <c r="E119" i="81"/>
  <c r="D119" i="81"/>
  <c r="C119" i="81"/>
  <c r="F119" i="81"/>
  <c r="B119" i="81"/>
  <c r="E129" i="81" a="1"/>
  <c r="E129" i="81" s="1"/>
  <c r="F130" i="81" a="1"/>
  <c r="F130" i="81" s="1"/>
  <c r="D129" i="81" a="1"/>
  <c r="D129" i="81" s="1"/>
  <c r="B129" i="81" a="1"/>
  <c r="B129" i="81" s="1"/>
  <c r="F132" i="81" a="1"/>
  <c r="F132" i="81" s="1"/>
  <c r="F129" i="81" a="1"/>
  <c r="F129" i="81" s="1"/>
  <c r="D131" i="81" a="1"/>
  <c r="D131" i="81" s="1"/>
  <c r="F131" i="81" a="1"/>
  <c r="F131" i="81" s="1"/>
  <c r="E130" i="81" a="1"/>
  <c r="E130" i="81" s="1"/>
  <c r="B132" i="81" a="1"/>
  <c r="B132" i="81" s="1"/>
  <c r="E132" i="81" a="1"/>
  <c r="E132" i="81" s="1"/>
  <c r="E133" i="81" a="1"/>
  <c r="E133" i="81" s="1"/>
  <c r="B131" i="81" a="1"/>
  <c r="B131" i="81" s="1"/>
  <c r="C130" i="81" a="1"/>
  <c r="C130" i="81" s="1"/>
  <c r="B133" i="81" a="1"/>
  <c r="B133" i="81" s="1"/>
  <c r="E131" i="81" a="1"/>
  <c r="E131" i="81" s="1"/>
  <c r="C133" i="81" a="1"/>
  <c r="C133" i="81" s="1"/>
  <c r="C131" i="81" a="1"/>
  <c r="C131" i="81" s="1"/>
  <c r="B130" i="81" a="1"/>
  <c r="B130" i="81" s="1"/>
  <c r="F133" i="81" a="1"/>
  <c r="F133" i="81" s="1"/>
  <c r="C132" i="81" a="1"/>
  <c r="C132" i="81" s="1"/>
  <c r="C129" i="81" a="1"/>
  <c r="C129" i="81" s="1"/>
  <c r="D130" i="81" a="1"/>
  <c r="D130" i="81" s="1"/>
  <c r="D133" i="81" a="1"/>
  <c r="D133" i="81" s="1"/>
  <c r="D132" i="81" a="1"/>
  <c r="D132" i="81" s="1"/>
  <c r="E123" i="83" a="1"/>
  <c r="E123" i="83" s="1"/>
  <c r="E124" i="83" a="1"/>
  <c r="E124" i="83" s="1"/>
  <c r="B122" i="83" a="1"/>
  <c r="B122" i="83" s="1"/>
  <c r="B123" i="83" a="1"/>
  <c r="B123" i="83" s="1"/>
  <c r="F121" i="83" a="1"/>
  <c r="F121" i="83" s="1"/>
  <c r="D120" i="83" a="1"/>
  <c r="D120" i="83" s="1"/>
  <c r="B124" i="83" a="1"/>
  <c r="B124" i="83" s="1"/>
  <c r="C123" i="83" a="1"/>
  <c r="C123" i="83" s="1"/>
  <c r="D124" i="83" a="1"/>
  <c r="D124" i="83" s="1"/>
  <c r="F122" i="83" a="1"/>
  <c r="F122" i="83" s="1"/>
  <c r="C122" i="83" a="1"/>
  <c r="C122" i="83" s="1"/>
  <c r="D121" i="83" a="1"/>
  <c r="D121" i="83" s="1"/>
  <c r="C121" i="83" a="1"/>
  <c r="C121" i="83" s="1"/>
  <c r="B120" i="83" a="1"/>
  <c r="B120" i="83" s="1"/>
  <c r="F123" i="83" a="1"/>
  <c r="F123" i="83" s="1"/>
  <c r="C124" i="83" a="1"/>
  <c r="C124" i="83" s="1"/>
  <c r="F120" i="83" a="1"/>
  <c r="F120" i="83" s="1"/>
  <c r="E120" i="83" a="1"/>
  <c r="E120" i="83" s="1"/>
  <c r="E121" i="83" a="1"/>
  <c r="E121" i="83" s="1"/>
  <c r="B121" i="83" a="1"/>
  <c r="B121" i="83" s="1"/>
  <c r="D122" i="83" a="1"/>
  <c r="D122" i="83" s="1"/>
  <c r="D123" i="83" a="1"/>
  <c r="D123" i="83" s="1"/>
  <c r="F124" i="83" a="1"/>
  <c r="F124" i="83" s="1"/>
  <c r="E122" i="83" a="1"/>
  <c r="E122" i="83" s="1"/>
  <c r="C120" i="83" a="1"/>
  <c r="C120" i="83" s="1"/>
  <c r="B162" i="97"/>
  <c r="B163" i="97" s="1"/>
  <c r="B164" i="97" s="1"/>
  <c r="C25" i="98"/>
  <c r="C38" i="98"/>
  <c r="H172" i="97"/>
  <c r="H165" i="97"/>
  <c r="H167" i="97" s="1"/>
  <c r="C170" i="97"/>
  <c r="C168" i="97"/>
  <c r="C165" i="97"/>
  <c r="C167" i="97" s="1"/>
  <c r="E172" i="97"/>
  <c r="E165" i="97"/>
  <c r="E167" i="97" s="1"/>
  <c r="F172" i="97"/>
  <c r="F165" i="97"/>
  <c r="F167" i="97" s="1"/>
  <c r="G173" i="97"/>
  <c r="G27" i="105" s="1"/>
  <c r="G169" i="97"/>
  <c r="G26" i="105" s="1"/>
  <c r="C75" i="86" a="1"/>
  <c r="C75" i="86" s="1"/>
  <c r="B75" i="86" a="1"/>
  <c r="B75" i="86" s="1"/>
  <c r="E71" i="86" a="1"/>
  <c r="E71" i="86" s="1"/>
  <c r="E72" i="86" a="1"/>
  <c r="E72" i="86" s="1"/>
  <c r="B71" i="86" a="1"/>
  <c r="B71" i="86" s="1"/>
  <c r="B73" i="86" a="1"/>
  <c r="B73" i="86" s="1"/>
  <c r="D74" i="86" a="1"/>
  <c r="D74" i="86" s="1"/>
  <c r="F71" i="86" a="1"/>
  <c r="F71" i="86" s="1"/>
  <c r="E75" i="86" a="1"/>
  <c r="E75" i="86" s="1"/>
  <c r="F73" i="86" a="1"/>
  <c r="F73" i="86" s="1"/>
  <c r="D73" i="86" a="1"/>
  <c r="D73" i="86" s="1"/>
  <c r="C72" i="86" a="1"/>
  <c r="C72" i="86" s="1"/>
  <c r="C71" i="86" a="1"/>
  <c r="C71" i="86" s="1"/>
  <c r="F75" i="86" a="1"/>
  <c r="F75" i="86" s="1"/>
  <c r="C73" i="86" a="1"/>
  <c r="C73" i="86" s="1"/>
  <c r="E74" i="86" a="1"/>
  <c r="E74" i="86" s="1"/>
  <c r="C74" i="86" a="1"/>
  <c r="C74" i="86" s="1"/>
  <c r="F74" i="86" a="1"/>
  <c r="F74" i="86" s="1"/>
  <c r="D72" i="86" a="1"/>
  <c r="D72" i="86" s="1"/>
  <c r="E73" i="86" a="1"/>
  <c r="E73" i="86" s="1"/>
  <c r="D75" i="86" a="1"/>
  <c r="D75" i="86" s="1"/>
  <c r="B74" i="86" a="1"/>
  <c r="B74" i="86" s="1"/>
  <c r="D71" i="86" a="1"/>
  <c r="D71" i="86" s="1"/>
  <c r="B72" i="86" a="1"/>
  <c r="B72" i="86" s="1"/>
  <c r="F72" i="86" a="1"/>
  <c r="F72" i="86" s="1"/>
  <c r="D73" i="84" a="1"/>
  <c r="D73" i="84" s="1"/>
  <c r="D71" i="84" a="1"/>
  <c r="D71" i="84" s="1"/>
  <c r="B75" i="84" a="1"/>
  <c r="B75" i="84" s="1"/>
  <c r="B73" i="84" a="1"/>
  <c r="B73" i="84" s="1"/>
  <c r="D72" i="84" a="1"/>
  <c r="D72" i="84" s="1"/>
  <c r="E73" i="84" a="1"/>
  <c r="E73" i="84" s="1"/>
  <c r="E72" i="84" a="1"/>
  <c r="E72" i="84" s="1"/>
  <c r="D75" i="84" a="1"/>
  <c r="D75" i="84" s="1"/>
  <c r="F73" i="84" a="1"/>
  <c r="F73" i="84" s="1"/>
  <c r="C72" i="84" a="1"/>
  <c r="C72" i="84" s="1"/>
  <c r="F71" i="84" a="1"/>
  <c r="F71" i="84" s="1"/>
  <c r="C75" i="84" a="1"/>
  <c r="C75" i="84" s="1"/>
  <c r="C74" i="84" a="1"/>
  <c r="C74" i="84" s="1"/>
  <c r="B71" i="84" a="1"/>
  <c r="B71" i="84" s="1"/>
  <c r="F75" i="84" a="1"/>
  <c r="F75" i="84" s="1"/>
  <c r="C71" i="84" a="1"/>
  <c r="C71" i="84" s="1"/>
  <c r="B72" i="84" a="1"/>
  <c r="B72" i="84" s="1"/>
  <c r="C73" i="84" a="1"/>
  <c r="C73" i="84" s="1"/>
  <c r="D74" i="84" a="1"/>
  <c r="D74" i="84" s="1"/>
  <c r="F72" i="84" a="1"/>
  <c r="F72" i="84" s="1"/>
  <c r="F74" i="84" a="1"/>
  <c r="F74" i="84" s="1"/>
  <c r="B74" i="84" a="1"/>
  <c r="B74" i="84" s="1"/>
  <c r="E71" i="84" a="1"/>
  <c r="E71" i="84" s="1"/>
  <c r="E74" i="84" a="1"/>
  <c r="E74" i="84" s="1"/>
  <c r="E75" i="84" a="1"/>
  <c r="E75" i="84" s="1"/>
  <c r="D75" i="83" a="1"/>
  <c r="D75" i="83" s="1"/>
  <c r="D72" i="83" a="1"/>
  <c r="D72" i="83" s="1"/>
  <c r="E75" i="83" a="1"/>
  <c r="E75" i="83" s="1"/>
  <c r="F74" i="83" a="1"/>
  <c r="F74" i="83" s="1"/>
  <c r="F72" i="83" a="1"/>
  <c r="F72" i="83" s="1"/>
  <c r="D74" i="83" a="1"/>
  <c r="D74" i="83" s="1"/>
  <c r="D73" i="83" a="1"/>
  <c r="D73" i="83" s="1"/>
  <c r="E71" i="83" a="1"/>
  <c r="E71" i="83" s="1"/>
  <c r="D71" i="83" a="1"/>
  <c r="D71" i="83" s="1"/>
  <c r="B74" i="83" a="1"/>
  <c r="B74" i="83" s="1"/>
  <c r="B72" i="83" a="1"/>
  <c r="B72" i="83" s="1"/>
  <c r="F73" i="83" a="1"/>
  <c r="F73" i="83" s="1"/>
  <c r="B75" i="83" a="1"/>
  <c r="B75" i="83" s="1"/>
  <c r="C74" i="83" a="1"/>
  <c r="C74" i="83" s="1"/>
  <c r="C73" i="83" a="1"/>
  <c r="C73" i="83" s="1"/>
  <c r="B73" i="83" a="1"/>
  <c r="B73" i="83" s="1"/>
  <c r="E73" i="83" a="1"/>
  <c r="E73" i="83" s="1"/>
  <c r="E74" i="83" a="1"/>
  <c r="E74" i="83" s="1"/>
  <c r="C72" i="83" a="1"/>
  <c r="C72" i="83" s="1"/>
  <c r="F71" i="83" a="1"/>
  <c r="F71" i="83" s="1"/>
  <c r="F75" i="83" a="1"/>
  <c r="F75" i="83" s="1"/>
  <c r="C71" i="83" a="1"/>
  <c r="C71" i="83" s="1"/>
  <c r="E72" i="83" a="1"/>
  <c r="E72" i="83" s="1"/>
  <c r="B71" i="83" a="1"/>
  <c r="B71" i="83" s="1"/>
  <c r="C75" i="83" a="1"/>
  <c r="C75" i="83" s="1"/>
  <c r="E73" i="81" a="1"/>
  <c r="E73" i="81" s="1"/>
  <c r="D73" i="81" a="1"/>
  <c r="D73" i="81" s="1"/>
  <c r="E74" i="81" a="1"/>
  <c r="E74" i="81" s="1"/>
  <c r="F74" i="81" a="1"/>
  <c r="F74" i="81" s="1"/>
  <c r="B74" i="81" a="1"/>
  <c r="B74" i="81" s="1"/>
  <c r="B72" i="81" a="1"/>
  <c r="B72" i="81" s="1"/>
  <c r="E72" i="81" a="1"/>
  <c r="E72" i="81" s="1"/>
  <c r="B71" i="81" a="1"/>
  <c r="B71" i="81" s="1"/>
  <c r="C71" i="81" a="1"/>
  <c r="C71" i="81" s="1"/>
  <c r="E71" i="81" a="1"/>
  <c r="E71" i="81" s="1"/>
  <c r="E75" i="81" a="1"/>
  <c r="E75" i="81" s="1"/>
  <c r="F73" i="81" a="1"/>
  <c r="F73" i="81" s="1"/>
  <c r="B75" i="81" a="1"/>
  <c r="B75" i="81" s="1"/>
  <c r="F71" i="81" a="1"/>
  <c r="F71" i="81" s="1"/>
  <c r="C73" i="81" a="1"/>
  <c r="C73" i="81" s="1"/>
  <c r="D74" i="81" a="1"/>
  <c r="D74" i="81" s="1"/>
  <c r="D75" i="81" a="1"/>
  <c r="D75" i="81" s="1"/>
  <c r="C74" i="81" a="1"/>
  <c r="C74" i="81" s="1"/>
  <c r="F75" i="81" a="1"/>
  <c r="F75" i="81" s="1"/>
  <c r="D71" i="81" a="1"/>
  <c r="D71" i="81" s="1"/>
  <c r="D72" i="81" a="1"/>
  <c r="D72" i="81" s="1"/>
  <c r="C72" i="81" a="1"/>
  <c r="C72" i="81" s="1"/>
  <c r="F72" i="81" a="1"/>
  <c r="F72" i="81" s="1"/>
  <c r="B73" i="81" a="1"/>
  <c r="B73" i="81" s="1"/>
  <c r="C75" i="81" a="1"/>
  <c r="C75" i="81" s="1"/>
  <c r="B25" i="86"/>
  <c r="B27" i="86" s="1"/>
  <c r="B90" i="86"/>
  <c r="J117" i="78"/>
  <c r="J118" i="78" s="1"/>
  <c r="B114" i="85"/>
  <c r="K117" i="77"/>
  <c r="K118" i="77" s="1"/>
  <c r="B92" i="85"/>
  <c r="B98" i="85"/>
  <c r="B25" i="84"/>
  <c r="B27" i="84" s="1"/>
  <c r="B90" i="84"/>
  <c r="J117" i="76"/>
  <c r="J118" i="76" s="1"/>
  <c r="B25" i="83"/>
  <c r="B27" i="83" s="1"/>
  <c r="B90" i="83"/>
  <c r="J117" i="75"/>
  <c r="J118" i="75" s="1"/>
  <c r="J117" i="74"/>
  <c r="J118" i="74" s="1"/>
  <c r="B93" i="81"/>
  <c r="B94" i="81" s="1"/>
  <c r="B99" i="81" s="1"/>
  <c r="B100" i="81" s="1"/>
  <c r="B25" i="81"/>
  <c r="B27" i="81" s="1"/>
  <c r="B101" i="81" s="1"/>
  <c r="C28" i="98"/>
  <c r="C20" i="98"/>
  <c r="I117" i="72"/>
  <c r="I118" i="72" s="1"/>
  <c r="K112" i="72"/>
  <c r="J116" i="72"/>
  <c r="J114" i="72"/>
  <c r="J115" i="72" s="1"/>
  <c r="B24" i="82"/>
  <c r="K116" i="74"/>
  <c r="K114" i="74"/>
  <c r="K115" i="74" s="1"/>
  <c r="B114" i="82" s="1"/>
  <c r="K116" i="78"/>
  <c r="K114" i="78"/>
  <c r="K115" i="78" s="1"/>
  <c r="B114" i="86" s="1"/>
  <c r="K116" i="76"/>
  <c r="K114" i="76"/>
  <c r="K115" i="76" s="1"/>
  <c r="B114" i="84" s="1"/>
  <c r="K116" i="75"/>
  <c r="K114" i="75"/>
  <c r="K115" i="75" s="1"/>
  <c r="B114" i="83" s="1"/>
  <c r="F120" i="81" l="1" a="1"/>
  <c r="F120" i="81" s="1"/>
  <c r="F123" i="81" a="1"/>
  <c r="F123" i="81" s="1"/>
  <c r="F124" i="81" a="1"/>
  <c r="F124" i="81" s="1"/>
  <c r="F122" i="81" a="1"/>
  <c r="F122" i="81" s="1"/>
  <c r="F121" i="81" a="1"/>
  <c r="F121" i="81" s="1"/>
  <c r="D120" i="81" a="1"/>
  <c r="D120" i="81" s="1"/>
  <c r="D124" i="81" a="1"/>
  <c r="D124" i="81" s="1"/>
  <c r="D121" i="81" a="1"/>
  <c r="D121" i="81" s="1"/>
  <c r="D122" i="81" a="1"/>
  <c r="D122" i="81" s="1"/>
  <c r="D123" i="81" a="1"/>
  <c r="D123" i="81" s="1"/>
  <c r="E123" i="81" a="1"/>
  <c r="E123" i="81" s="1"/>
  <c r="E120" i="81" a="1"/>
  <c r="E120" i="81" s="1"/>
  <c r="E122" i="81" a="1"/>
  <c r="E122" i="81" s="1"/>
  <c r="E121" i="81" a="1"/>
  <c r="E121" i="81" s="1"/>
  <c r="E124" i="81" a="1"/>
  <c r="E124" i="81" s="1"/>
  <c r="C123" i="81" a="1"/>
  <c r="C123" i="81" s="1"/>
  <c r="C122" i="81" a="1"/>
  <c r="C122" i="81" s="1"/>
  <c r="C120" i="81" a="1"/>
  <c r="C120" i="81" s="1"/>
  <c r="C121" i="81" a="1"/>
  <c r="C121" i="81" s="1"/>
  <c r="C124" i="81" a="1"/>
  <c r="C124" i="81" s="1"/>
  <c r="B120" i="81" a="1"/>
  <c r="B120" i="81" s="1"/>
  <c r="B124" i="81" a="1"/>
  <c r="B124" i="81" s="1"/>
  <c r="B123" i="81" a="1"/>
  <c r="B123" i="81" s="1"/>
  <c r="B122" i="81" a="1"/>
  <c r="B122" i="81" s="1"/>
  <c r="B121" i="81" a="1"/>
  <c r="B121" i="81" s="1"/>
  <c r="C25" i="105"/>
  <c r="B108" i="85"/>
  <c r="B115" i="85" s="1"/>
  <c r="G34" i="98" a="1"/>
  <c r="G34" i="98" s="1"/>
  <c r="D172" i="97"/>
  <c r="F173" i="97"/>
  <c r="F27" i="105" s="1"/>
  <c r="F169" i="97"/>
  <c r="F26" i="105" s="1"/>
  <c r="E169" i="97"/>
  <c r="E26" i="105" s="1"/>
  <c r="E173" i="97"/>
  <c r="E27" i="105" s="1"/>
  <c r="H169" i="97"/>
  <c r="H26" i="105" s="1"/>
  <c r="H173" i="97"/>
  <c r="H27" i="105" s="1"/>
  <c r="B90" i="82"/>
  <c r="B92" i="82" s="1"/>
  <c r="B28" i="81"/>
  <c r="B98" i="86"/>
  <c r="K117" i="78"/>
  <c r="K118" i="78" s="1"/>
  <c r="H34" i="98" s="1" a="1"/>
  <c r="H34" i="98" s="1"/>
  <c r="B92" i="86"/>
  <c r="B93" i="86" s="1"/>
  <c r="B94" i="86" s="1"/>
  <c r="B99" i="86" s="1"/>
  <c r="B98" i="84"/>
  <c r="B92" i="84"/>
  <c r="B93" i="84" s="1"/>
  <c r="B94" i="84" s="1"/>
  <c r="B99" i="84" s="1"/>
  <c r="K117" i="76"/>
  <c r="K118" i="76" s="1"/>
  <c r="F34" i="98" s="1" a="1"/>
  <c r="F34" i="98" s="1"/>
  <c r="B92" i="83"/>
  <c r="B93" i="83" s="1"/>
  <c r="B94" i="83" s="1"/>
  <c r="B99" i="83" s="1"/>
  <c r="K117" i="75"/>
  <c r="K118" i="75" s="1"/>
  <c r="B98" i="83"/>
  <c r="B98" i="82"/>
  <c r="K117" i="74"/>
  <c r="K118" i="74" s="1"/>
  <c r="C15" i="98"/>
  <c r="C17" i="98" s="1"/>
  <c r="B102" i="81"/>
  <c r="C36" i="98" s="1"/>
  <c r="C21" i="98"/>
  <c r="C22" i="98" s="1"/>
  <c r="B31" i="81"/>
  <c r="J117" i="72"/>
  <c r="J118" i="72" s="1"/>
  <c r="B24" i="80"/>
  <c r="K116" i="72"/>
  <c r="K114" i="72"/>
  <c r="K115" i="72" s="1"/>
  <c r="E9" i="85" a="1"/>
  <c r="E9" i="85" s="1"/>
  <c r="F119" i="85" l="1"/>
  <c r="E119" i="85"/>
  <c r="B119" i="85"/>
  <c r="D119" i="85"/>
  <c r="C119" i="85"/>
  <c r="C129" i="85" a="1"/>
  <c r="C129" i="85" s="1"/>
  <c r="E129" i="85" a="1"/>
  <c r="E129" i="85" s="1"/>
  <c r="E132" i="85" a="1"/>
  <c r="E132" i="85" s="1"/>
  <c r="E130" i="85" a="1"/>
  <c r="E130" i="85" s="1"/>
  <c r="B129" i="85" a="1"/>
  <c r="B129" i="85" s="1"/>
  <c r="C133" i="85" a="1"/>
  <c r="C133" i="85" s="1"/>
  <c r="F132" i="85" a="1"/>
  <c r="F132" i="85" s="1"/>
  <c r="D130" i="85" a="1"/>
  <c r="D130" i="85" s="1"/>
  <c r="B132" i="85" a="1"/>
  <c r="B132" i="85" s="1"/>
  <c r="D131" i="85" a="1"/>
  <c r="D131" i="85" s="1"/>
  <c r="D132" i="85" a="1"/>
  <c r="D132" i="85" s="1"/>
  <c r="F129" i="85" a="1"/>
  <c r="F129" i="85" s="1"/>
  <c r="F133" i="85" a="1"/>
  <c r="F133" i="85" s="1"/>
  <c r="F130" i="85" a="1"/>
  <c r="F130" i="85" s="1"/>
  <c r="E133" i="85" a="1"/>
  <c r="E133" i="85" s="1"/>
  <c r="B130" i="85" a="1"/>
  <c r="B130" i="85" s="1"/>
  <c r="C132" i="85" a="1"/>
  <c r="C132" i="85" s="1"/>
  <c r="C131" i="85" a="1"/>
  <c r="C131" i="85" s="1"/>
  <c r="F131" i="85" a="1"/>
  <c r="F131" i="85" s="1"/>
  <c r="B133" i="85" a="1"/>
  <c r="B133" i="85" s="1"/>
  <c r="D129" i="85" a="1"/>
  <c r="D129" i="85" s="1"/>
  <c r="E131" i="85" a="1"/>
  <c r="E131" i="85" s="1"/>
  <c r="D133" i="85" a="1"/>
  <c r="D133" i="85" s="1"/>
  <c r="C130" i="85" a="1"/>
  <c r="C130" i="85" s="1"/>
  <c r="B131" i="85" a="1"/>
  <c r="B131" i="85" s="1"/>
  <c r="G25" i="98"/>
  <c r="G38" i="98"/>
  <c r="C9" i="98"/>
  <c r="C10" i="98" s="1"/>
  <c r="B108" i="82"/>
  <c r="B115" i="82" s="1"/>
  <c r="D34" i="98" a="1"/>
  <c r="D34" i="98" s="1"/>
  <c r="B108" i="83"/>
  <c r="B115" i="83" s="1"/>
  <c r="E34" i="98" a="1"/>
  <c r="E34" i="98" s="1"/>
  <c r="G170" i="97"/>
  <c r="G168" i="97"/>
  <c r="G165" i="97"/>
  <c r="G167" i="97" s="1"/>
  <c r="B172" i="97"/>
  <c r="D169" i="97"/>
  <c r="D26" i="105" s="1"/>
  <c r="D173" i="97"/>
  <c r="D27" i="105" s="1"/>
  <c r="C29" i="97"/>
  <c r="C12" i="105" s="1"/>
  <c r="C160" i="97"/>
  <c r="C161" i="97" s="1"/>
  <c r="C24" i="105" s="1"/>
  <c r="B103" i="81"/>
  <c r="E74" i="85" a="1"/>
  <c r="E74" i="85" s="1"/>
  <c r="C74" i="85" a="1"/>
  <c r="C74" i="85" s="1"/>
  <c r="E73" i="85" a="1"/>
  <c r="E73" i="85" s="1"/>
  <c r="C73" i="85" a="1"/>
  <c r="C73" i="85" s="1"/>
  <c r="C72" i="85" a="1"/>
  <c r="C72" i="85" s="1"/>
  <c r="E72" i="85" a="1"/>
  <c r="E72" i="85" s="1"/>
  <c r="D75" i="85" a="1"/>
  <c r="D75" i="85" s="1"/>
  <c r="B72" i="85" a="1"/>
  <c r="B72" i="85" s="1"/>
  <c r="C71" i="85" a="1"/>
  <c r="C71" i="85" s="1"/>
  <c r="B73" i="85" a="1"/>
  <c r="B73" i="85" s="1"/>
  <c r="F75" i="85" a="1"/>
  <c r="F75" i="85" s="1"/>
  <c r="F74" i="85" a="1"/>
  <c r="F74" i="85" s="1"/>
  <c r="E71" i="85" a="1"/>
  <c r="E71" i="85" s="1"/>
  <c r="D73" i="85" a="1"/>
  <c r="D73" i="85" s="1"/>
  <c r="D74" i="85" a="1"/>
  <c r="D74" i="85" s="1"/>
  <c r="B71" i="85" a="1"/>
  <c r="B71" i="85" s="1"/>
  <c r="B74" i="85" a="1"/>
  <c r="B74" i="85" s="1"/>
  <c r="B75" i="85" a="1"/>
  <c r="B75" i="85" s="1"/>
  <c r="F72" i="85" a="1"/>
  <c r="F72" i="85" s="1"/>
  <c r="F71" i="85" a="1"/>
  <c r="F71" i="85" s="1"/>
  <c r="F73" i="85" a="1"/>
  <c r="F73" i="85" s="1"/>
  <c r="D71" i="85" a="1"/>
  <c r="D71" i="85" s="1"/>
  <c r="C75" i="85" a="1"/>
  <c r="C75" i="85" s="1"/>
  <c r="E75" i="85" a="1"/>
  <c r="E75" i="85" s="1"/>
  <c r="D72" i="85" a="1"/>
  <c r="D72" i="85" s="1"/>
  <c r="B90" i="80"/>
  <c r="B92" i="80" s="1"/>
  <c r="B93" i="85"/>
  <c r="B94" i="85" s="1"/>
  <c r="B99" i="85" s="1"/>
  <c r="B100" i="85" s="1"/>
  <c r="B52" i="81"/>
  <c r="B38" i="81"/>
  <c r="C30" i="97" s="1"/>
  <c r="C13" i="105" s="1"/>
  <c r="B49" i="81"/>
  <c r="C18" i="98"/>
  <c r="B108" i="86"/>
  <c r="B115" i="86" s="1"/>
  <c r="B100" i="86"/>
  <c r="G28" i="98"/>
  <c r="G20" i="98"/>
  <c r="B108" i="84"/>
  <c r="B115" i="84" s="1"/>
  <c r="B100" i="84"/>
  <c r="B100" i="83"/>
  <c r="B51" i="81"/>
  <c r="B50" i="81"/>
  <c r="C48" i="81"/>
  <c r="B114" i="80"/>
  <c r="K117" i="72"/>
  <c r="K118" i="72" s="1"/>
  <c r="B34" i="98" s="1" a="1"/>
  <c r="B34" i="98" s="1"/>
  <c r="B98" i="80"/>
  <c r="B25" i="85"/>
  <c r="B27" i="85" s="1"/>
  <c r="B28" i="85" s="1"/>
  <c r="E9" i="82" a="1"/>
  <c r="E9" i="82" s="1"/>
  <c r="C121" i="85" l="1" a="1"/>
  <c r="C121" i="85" s="1"/>
  <c r="C124" i="85" a="1"/>
  <c r="C124" i="85" s="1"/>
  <c r="C122" i="85" a="1"/>
  <c r="C122" i="85" s="1"/>
  <c r="C123" i="85" a="1"/>
  <c r="C123" i="85" s="1"/>
  <c r="C120" i="85" a="1"/>
  <c r="C120" i="85" s="1"/>
  <c r="F122" i="85" a="1"/>
  <c r="F122" i="85" s="1"/>
  <c r="F123" i="85" a="1"/>
  <c r="F123" i="85" s="1"/>
  <c r="F121" i="85" a="1"/>
  <c r="F121" i="85" s="1"/>
  <c r="F124" i="85" a="1"/>
  <c r="F124" i="85" s="1"/>
  <c r="F120" i="85" a="1"/>
  <c r="F120" i="85" s="1"/>
  <c r="D121" i="85" a="1"/>
  <c r="D121" i="85" s="1"/>
  <c r="D124" i="85" a="1"/>
  <c r="D124" i="85" s="1"/>
  <c r="D123" i="85" a="1"/>
  <c r="D123" i="85" s="1"/>
  <c r="D122" i="85" a="1"/>
  <c r="D122" i="85" s="1"/>
  <c r="D120" i="85" a="1"/>
  <c r="D120" i="85" s="1"/>
  <c r="B121" i="85" a="1"/>
  <c r="B121" i="85" s="1"/>
  <c r="B120" i="85" a="1"/>
  <c r="B120" i="85" s="1"/>
  <c r="B124" i="85" a="1"/>
  <c r="B124" i="85" s="1"/>
  <c r="B122" i="85" a="1"/>
  <c r="B122" i="85" s="1"/>
  <c r="B123" i="85" a="1"/>
  <c r="B123" i="85" s="1"/>
  <c r="F119" i="82"/>
  <c r="E119" i="82"/>
  <c r="D119" i="82"/>
  <c r="C119" i="82"/>
  <c r="B119" i="82"/>
  <c r="F130" i="82" a="1"/>
  <c r="F130" i="82" s="1"/>
  <c r="B133" i="82" a="1"/>
  <c r="B133" i="82" s="1"/>
  <c r="F129" i="82" a="1"/>
  <c r="F129" i="82" s="1"/>
  <c r="C132" i="82" a="1"/>
  <c r="C132" i="82" s="1"/>
  <c r="D132" i="82" a="1"/>
  <c r="D132" i="82" s="1"/>
  <c r="F133" i="82" a="1"/>
  <c r="F133" i="82" s="1"/>
  <c r="E131" i="82" a="1"/>
  <c r="E131" i="82" s="1"/>
  <c r="B130" i="82" a="1"/>
  <c r="B130" i="82" s="1"/>
  <c r="D130" i="82" a="1"/>
  <c r="D130" i="82" s="1"/>
  <c r="B131" i="82" a="1"/>
  <c r="B131" i="82" s="1"/>
  <c r="F131" i="82" a="1"/>
  <c r="F131" i="82" s="1"/>
  <c r="E133" i="82" a="1"/>
  <c r="E133" i="82" s="1"/>
  <c r="B132" i="82" a="1"/>
  <c r="B132" i="82" s="1"/>
  <c r="D131" i="82" a="1"/>
  <c r="D131" i="82" s="1"/>
  <c r="E129" i="82" a="1"/>
  <c r="E129" i="82" s="1"/>
  <c r="C130" i="82" a="1"/>
  <c r="C130" i="82" s="1"/>
  <c r="C133" i="82" a="1"/>
  <c r="C133" i="82" s="1"/>
  <c r="B129" i="82" a="1"/>
  <c r="B129" i="82" s="1"/>
  <c r="F132" i="82" a="1"/>
  <c r="F132" i="82" s="1"/>
  <c r="E130" i="82" a="1"/>
  <c r="E130" i="82" s="1"/>
  <c r="C131" i="82" a="1"/>
  <c r="C131" i="82" s="1"/>
  <c r="C129" i="82" a="1"/>
  <c r="C129" i="82" s="1"/>
  <c r="E132" i="82" a="1"/>
  <c r="E132" i="82" s="1"/>
  <c r="D133" i="82" a="1"/>
  <c r="D133" i="82" s="1"/>
  <c r="D129" i="82" a="1"/>
  <c r="D129" i="82" s="1"/>
  <c r="E124" i="85" a="1"/>
  <c r="E124" i="85" s="1"/>
  <c r="E120" i="85" a="1"/>
  <c r="E120" i="85" s="1"/>
  <c r="E123" i="85" a="1"/>
  <c r="E123" i="85" s="1"/>
  <c r="E122" i="85" a="1"/>
  <c r="E122" i="85" s="1"/>
  <c r="E121" i="85" a="1"/>
  <c r="E121" i="85" s="1"/>
  <c r="G25" i="105"/>
  <c r="H25" i="98"/>
  <c r="H38" i="98"/>
  <c r="F25" i="98"/>
  <c r="F38" i="98"/>
  <c r="E25" i="98"/>
  <c r="E38" i="98"/>
  <c r="D25" i="98"/>
  <c r="D38" i="98"/>
  <c r="B173" i="97"/>
  <c r="B27" i="105" s="1"/>
  <c r="B169" i="97"/>
  <c r="B26" i="105" s="1"/>
  <c r="D170" i="97"/>
  <c r="D168" i="97"/>
  <c r="D165" i="97"/>
  <c r="D167" i="97" s="1"/>
  <c r="C54" i="81"/>
  <c r="B40" i="81"/>
  <c r="C32" i="97" s="1"/>
  <c r="C14" i="105" s="1"/>
  <c r="B53" i="81"/>
  <c r="C71" i="82" a="1"/>
  <c r="C71" i="82" s="1"/>
  <c r="C72" i="82" a="1"/>
  <c r="C72" i="82" s="1"/>
  <c r="D71" i="82" a="1"/>
  <c r="D71" i="82" s="1"/>
  <c r="F72" i="82" a="1"/>
  <c r="F72" i="82" s="1"/>
  <c r="D73" i="82" a="1"/>
  <c r="D73" i="82" s="1"/>
  <c r="B71" i="82" a="1"/>
  <c r="B71" i="82" s="1"/>
  <c r="C73" i="82" a="1"/>
  <c r="C73" i="82" s="1"/>
  <c r="E71" i="82" a="1"/>
  <c r="E71" i="82" s="1"/>
  <c r="D75" i="82" a="1"/>
  <c r="D75" i="82" s="1"/>
  <c r="B74" i="82" a="1"/>
  <c r="B74" i="82" s="1"/>
  <c r="B75" i="82" a="1"/>
  <c r="B75" i="82" s="1"/>
  <c r="C74" i="82" a="1"/>
  <c r="C74" i="82" s="1"/>
  <c r="D74" i="82" a="1"/>
  <c r="D74" i="82" s="1"/>
  <c r="F75" i="82" a="1"/>
  <c r="F75" i="82" s="1"/>
  <c r="E74" i="82" a="1"/>
  <c r="E74" i="82" s="1"/>
  <c r="E75" i="82" a="1"/>
  <c r="E75" i="82" s="1"/>
  <c r="E73" i="82" a="1"/>
  <c r="E73" i="82" s="1"/>
  <c r="F74" i="82" a="1"/>
  <c r="F74" i="82" s="1"/>
  <c r="D72" i="82" a="1"/>
  <c r="D72" i="82" s="1"/>
  <c r="E72" i="82" a="1"/>
  <c r="E72" i="82" s="1"/>
  <c r="B72" i="82" a="1"/>
  <c r="B72" i="82" s="1"/>
  <c r="C75" i="82" a="1"/>
  <c r="C75" i="82" s="1"/>
  <c r="B73" i="82" a="1"/>
  <c r="B73" i="82" s="1"/>
  <c r="F71" i="82" a="1"/>
  <c r="F71" i="82" s="1"/>
  <c r="F73" i="82" a="1"/>
  <c r="F73" i="82" s="1"/>
  <c r="D28" i="98"/>
  <c r="D20" i="98"/>
  <c r="B93" i="82"/>
  <c r="B94" i="82" s="1"/>
  <c r="B99" i="82" s="1"/>
  <c r="B100" i="82" s="1"/>
  <c r="B108" i="80"/>
  <c r="B115" i="80" s="1"/>
  <c r="B28" i="84"/>
  <c r="B101" i="84"/>
  <c r="B28" i="83"/>
  <c r="B101" i="83"/>
  <c r="B28" i="86"/>
  <c r="B101" i="86"/>
  <c r="B101" i="85"/>
  <c r="E9" i="80" a="1"/>
  <c r="E9" i="80" s="1"/>
  <c r="B31" i="85"/>
  <c r="B31" i="83"/>
  <c r="B31" i="84"/>
  <c r="B31" i="86"/>
  <c r="B25" i="82"/>
  <c r="B27" i="82" s="1"/>
  <c r="B28" i="82" s="1"/>
  <c r="B122" i="82" l="1" a="1"/>
  <c r="B122" i="82" s="1"/>
  <c r="B121" i="82" a="1"/>
  <c r="B121" i="82" s="1"/>
  <c r="B120" i="82" a="1"/>
  <c r="B120" i="82" s="1"/>
  <c r="B123" i="82" a="1"/>
  <c r="B123" i="82" s="1"/>
  <c r="B124" i="82" a="1"/>
  <c r="B124" i="82" s="1"/>
  <c r="F119" i="80"/>
  <c r="E119" i="80"/>
  <c r="D119" i="80"/>
  <c r="C119" i="80"/>
  <c r="B119" i="80"/>
  <c r="B130" i="80" a="1"/>
  <c r="B130" i="80" s="1"/>
  <c r="C130" i="80" a="1"/>
  <c r="C130" i="80" s="1"/>
  <c r="F131" i="80" a="1"/>
  <c r="F131" i="80" s="1"/>
  <c r="C131" i="80" a="1"/>
  <c r="C131" i="80" s="1"/>
  <c r="C133" i="80" a="1"/>
  <c r="C133" i="80" s="1"/>
  <c r="F129" i="80" a="1"/>
  <c r="F129" i="80" s="1"/>
  <c r="F132" i="80" a="1"/>
  <c r="F132" i="80" s="1"/>
  <c r="E133" i="80" a="1"/>
  <c r="E133" i="80" s="1"/>
  <c r="E131" i="80" a="1"/>
  <c r="E131" i="80" s="1"/>
  <c r="C129" i="80" a="1"/>
  <c r="C129" i="80" s="1"/>
  <c r="B132" i="80" a="1"/>
  <c r="B132" i="80" s="1"/>
  <c r="D133" i="80" a="1"/>
  <c r="D133" i="80" s="1"/>
  <c r="E132" i="80" a="1"/>
  <c r="E132" i="80" s="1"/>
  <c r="D132" i="80" a="1"/>
  <c r="D132" i="80" s="1"/>
  <c r="E130" i="80" a="1"/>
  <c r="E130" i="80" s="1"/>
  <c r="B131" i="80" a="1"/>
  <c r="B131" i="80" s="1"/>
  <c r="E129" i="80" a="1"/>
  <c r="E129" i="80" s="1"/>
  <c r="D130" i="80" a="1"/>
  <c r="D130" i="80" s="1"/>
  <c r="D129" i="80" a="1"/>
  <c r="D129" i="80" s="1"/>
  <c r="F133" i="80" a="1"/>
  <c r="F133" i="80" s="1"/>
  <c r="C132" i="80" a="1"/>
  <c r="C132" i="80" s="1"/>
  <c r="D131" i="80" a="1"/>
  <c r="D131" i="80" s="1"/>
  <c r="F130" i="80" a="1"/>
  <c r="F130" i="80" s="1"/>
  <c r="B133" i="80" a="1"/>
  <c r="B133" i="80" s="1"/>
  <c r="B129" i="80" a="1"/>
  <c r="B129" i="80" s="1"/>
  <c r="C121" i="82" a="1"/>
  <c r="C121" i="82" s="1"/>
  <c r="C122" i="82" a="1"/>
  <c r="C122" i="82" s="1"/>
  <c r="C123" i="82" a="1"/>
  <c r="C123" i="82" s="1"/>
  <c r="C124" i="82" a="1"/>
  <c r="C124" i="82" s="1"/>
  <c r="C120" i="82" a="1"/>
  <c r="C120" i="82" s="1"/>
  <c r="E122" i="82" a="1"/>
  <c r="E122" i="82" s="1"/>
  <c r="E124" i="82" a="1"/>
  <c r="E124" i="82" s="1"/>
  <c r="E123" i="82" a="1"/>
  <c r="E123" i="82" s="1"/>
  <c r="E121" i="82" a="1"/>
  <c r="E121" i="82" s="1"/>
  <c r="E120" i="82" a="1"/>
  <c r="E120" i="82" s="1"/>
  <c r="D122" i="82" a="1"/>
  <c r="D122" i="82" s="1"/>
  <c r="D121" i="82" a="1"/>
  <c r="D121" i="82" s="1"/>
  <c r="D120" i="82" a="1"/>
  <c r="D120" i="82" s="1"/>
  <c r="D124" i="82" a="1"/>
  <c r="D124" i="82" s="1"/>
  <c r="D123" i="82" a="1"/>
  <c r="D123" i="82" s="1"/>
  <c r="F122" i="82" a="1"/>
  <c r="F122" i="82" s="1"/>
  <c r="F124" i="82" a="1"/>
  <c r="F124" i="82" s="1"/>
  <c r="F123" i="82" a="1"/>
  <c r="F123" i="82" s="1"/>
  <c r="F121" i="82" a="1"/>
  <c r="F121" i="82" s="1"/>
  <c r="F120" i="82" a="1"/>
  <c r="F120" i="82" s="1"/>
  <c r="D25" i="105"/>
  <c r="B25" i="98"/>
  <c r="E25" i="100" s="1"/>
  <c r="B38" i="98"/>
  <c r="B170" i="97"/>
  <c r="B168" i="97"/>
  <c r="B165" i="97"/>
  <c r="B167" i="97" s="1"/>
  <c r="E29" i="97"/>
  <c r="E12" i="105" s="1"/>
  <c r="E160" i="97"/>
  <c r="E161" i="97" s="1"/>
  <c r="E24" i="105" s="1"/>
  <c r="G29" i="97"/>
  <c r="G12" i="105" s="1"/>
  <c r="G160" i="97"/>
  <c r="G161" i="97" s="1"/>
  <c r="G24" i="105" s="1"/>
  <c r="H29" i="97"/>
  <c r="H12" i="105" s="1"/>
  <c r="H160" i="97"/>
  <c r="H161" i="97" s="1"/>
  <c r="H24" i="105" s="1"/>
  <c r="F29" i="97"/>
  <c r="F12" i="105" s="1"/>
  <c r="F160" i="97"/>
  <c r="F161" i="97" s="1"/>
  <c r="F24" i="105" s="1"/>
  <c r="B101" i="82"/>
  <c r="D15" i="98" s="1"/>
  <c r="C54" i="97"/>
  <c r="C80" i="97"/>
  <c r="C63" i="94"/>
  <c r="C72" i="94" s="1"/>
  <c r="B42" i="81"/>
  <c r="C37" i="97" s="1"/>
  <c r="C18" i="105" s="1"/>
  <c r="C30" i="105" s="1"/>
  <c r="B45" i="81"/>
  <c r="F74" i="80" a="1"/>
  <c r="F74" i="80" s="1"/>
  <c r="B74" i="80" a="1"/>
  <c r="B74" i="80" s="1"/>
  <c r="D74" i="80" a="1"/>
  <c r="D74" i="80" s="1"/>
  <c r="E75" i="80" a="1"/>
  <c r="E75" i="80" s="1"/>
  <c r="D75" i="80" a="1"/>
  <c r="D75" i="80" s="1"/>
  <c r="C71" i="80" a="1"/>
  <c r="C71" i="80" s="1"/>
  <c r="B71" i="80" a="1"/>
  <c r="B71" i="80" s="1"/>
  <c r="B73" i="80" a="1"/>
  <c r="B73" i="80" s="1"/>
  <c r="C74" i="80" a="1"/>
  <c r="C74" i="80" s="1"/>
  <c r="D72" i="80" a="1"/>
  <c r="D72" i="80" s="1"/>
  <c r="E73" i="80" a="1"/>
  <c r="E73" i="80" s="1"/>
  <c r="C72" i="80" a="1"/>
  <c r="C72" i="80" s="1"/>
  <c r="D71" i="80" a="1"/>
  <c r="D71" i="80" s="1"/>
  <c r="F75" i="80" a="1"/>
  <c r="F75" i="80" s="1"/>
  <c r="B75" i="80" a="1"/>
  <c r="B75" i="80" s="1"/>
  <c r="C73" i="80" a="1"/>
  <c r="C73" i="80" s="1"/>
  <c r="E74" i="80" a="1"/>
  <c r="E74" i="80" s="1"/>
  <c r="F73" i="80" a="1"/>
  <c r="F73" i="80" s="1"/>
  <c r="C75" i="80" a="1"/>
  <c r="C75" i="80" s="1"/>
  <c r="E71" i="80" a="1"/>
  <c r="E71" i="80" s="1"/>
  <c r="B72" i="80" a="1"/>
  <c r="B72" i="80" s="1"/>
  <c r="F71" i="80" a="1"/>
  <c r="F71" i="80" s="1"/>
  <c r="D73" i="80" a="1"/>
  <c r="D73" i="80" s="1"/>
  <c r="F72" i="80" a="1"/>
  <c r="F72" i="80" s="1"/>
  <c r="E72" i="80" a="1"/>
  <c r="E72" i="80" s="1"/>
  <c r="B93" i="80"/>
  <c r="B94" i="80" s="1"/>
  <c r="B99" i="80" s="1"/>
  <c r="B100" i="80" s="1"/>
  <c r="B28" i="98"/>
  <c r="B20" i="98"/>
  <c r="H15" i="98"/>
  <c r="H21" i="98"/>
  <c r="H22" i="98" s="1"/>
  <c r="B102" i="86"/>
  <c r="H36" i="98" s="1"/>
  <c r="E21" i="98"/>
  <c r="E22" i="98" s="1"/>
  <c r="E15" i="98"/>
  <c r="B102" i="83"/>
  <c r="E36" i="98" s="1"/>
  <c r="G15" i="98"/>
  <c r="G21" i="98"/>
  <c r="G22" i="98" s="1"/>
  <c r="B102" i="85"/>
  <c r="G36" i="98" s="1"/>
  <c r="F21" i="98"/>
  <c r="F22" i="98" s="1"/>
  <c r="F15" i="98"/>
  <c r="B102" i="84"/>
  <c r="F36" i="98" s="1"/>
  <c r="B25" i="80"/>
  <c r="B27" i="80" s="1"/>
  <c r="B31" i="80" s="1"/>
  <c r="B160" i="97" s="1"/>
  <c r="B161" i="97" s="1"/>
  <c r="B24" i="105" s="1"/>
  <c r="B38" i="86"/>
  <c r="H30" i="97" s="1"/>
  <c r="H13" i="105" s="1"/>
  <c r="B52" i="86"/>
  <c r="C48" i="86"/>
  <c r="B50" i="86"/>
  <c r="B49" i="86"/>
  <c r="B51" i="86"/>
  <c r="B38" i="83"/>
  <c r="E30" i="97" s="1"/>
  <c r="E13" i="105" s="1"/>
  <c r="B52" i="83"/>
  <c r="C48" i="83"/>
  <c r="B50" i="83"/>
  <c r="B51" i="83"/>
  <c r="B49" i="83"/>
  <c r="B38" i="84"/>
  <c r="F30" i="97" s="1"/>
  <c r="F13" i="105" s="1"/>
  <c r="B52" i="84"/>
  <c r="C48" i="84"/>
  <c r="B50" i="84"/>
  <c r="B49" i="84"/>
  <c r="B51" i="84"/>
  <c r="B52" i="85"/>
  <c r="C48" i="85"/>
  <c r="B50" i="85"/>
  <c r="B49" i="85"/>
  <c r="B51" i="85"/>
  <c r="B38" i="85"/>
  <c r="G30" i="97" s="1"/>
  <c r="G13" i="105" s="1"/>
  <c r="B5" i="95"/>
  <c r="B31" i="82"/>
  <c r="D124" i="80" l="1" a="1"/>
  <c r="D124" i="80" s="1"/>
  <c r="D122" i="80" a="1"/>
  <c r="D122" i="80" s="1"/>
  <c r="D121" i="80" a="1"/>
  <c r="D121" i="80" s="1"/>
  <c r="D120" i="80" a="1"/>
  <c r="D120" i="80" s="1"/>
  <c r="D123" i="80" a="1"/>
  <c r="D123" i="80" s="1"/>
  <c r="E124" i="80" a="1"/>
  <c r="E124" i="80" s="1"/>
  <c r="E120" i="80" a="1"/>
  <c r="E120" i="80" s="1"/>
  <c r="E122" i="80" a="1"/>
  <c r="E122" i="80" s="1"/>
  <c r="E123" i="80" a="1"/>
  <c r="E123" i="80" s="1"/>
  <c r="E121" i="80" a="1"/>
  <c r="E121" i="80" s="1"/>
  <c r="B124" i="80" a="1"/>
  <c r="B124" i="80" s="1"/>
  <c r="B123" i="80" a="1"/>
  <c r="B123" i="80" s="1"/>
  <c r="B120" i="80" a="1"/>
  <c r="B120" i="80" s="1"/>
  <c r="B122" i="80" a="1"/>
  <c r="B122" i="80" s="1"/>
  <c r="B121" i="80" a="1"/>
  <c r="B121" i="80" s="1"/>
  <c r="C124" i="80" a="1"/>
  <c r="C124" i="80" s="1"/>
  <c r="C121" i="80" a="1"/>
  <c r="C121" i="80" s="1"/>
  <c r="C120" i="80" a="1"/>
  <c r="C120" i="80" s="1"/>
  <c r="C123" i="80" a="1"/>
  <c r="C123" i="80" s="1"/>
  <c r="C122" i="80" a="1"/>
  <c r="C122" i="80" s="1"/>
  <c r="F123" i="80" a="1"/>
  <c r="F123" i="80" s="1"/>
  <c r="F120" i="80" a="1"/>
  <c r="F120" i="80" s="1"/>
  <c r="F124" i="80" a="1"/>
  <c r="F124" i="80" s="1"/>
  <c r="F121" i="80" a="1"/>
  <c r="F121" i="80" s="1"/>
  <c r="F122" i="80" a="1"/>
  <c r="F122" i="80" s="1"/>
  <c r="B25" i="105"/>
  <c r="C39" i="97"/>
  <c r="C33" i="98" a="1"/>
  <c r="C33" i="98" s="1"/>
  <c r="D29" i="97"/>
  <c r="D12" i="105" s="1"/>
  <c r="D160" i="97"/>
  <c r="D161" i="97" s="1"/>
  <c r="D24" i="105" s="1"/>
  <c r="D21" i="98"/>
  <c r="D22" i="98" s="1"/>
  <c r="B102" i="82"/>
  <c r="D36" i="98" s="1"/>
  <c r="C98" i="97"/>
  <c r="C84" i="97"/>
  <c r="F17" i="98"/>
  <c r="F18" i="98"/>
  <c r="B103" i="83"/>
  <c r="E9" i="98"/>
  <c r="E10" i="98" s="1"/>
  <c r="B103" i="85"/>
  <c r="G9" i="98"/>
  <c r="G10" i="98" s="1"/>
  <c r="H17" i="98"/>
  <c r="H18" i="98"/>
  <c r="G17" i="98"/>
  <c r="G18" i="98"/>
  <c r="D17" i="98"/>
  <c r="D18" i="98"/>
  <c r="E17" i="98"/>
  <c r="E18" i="98"/>
  <c r="B103" i="86"/>
  <c r="H9" i="98"/>
  <c r="H10" i="98" s="1"/>
  <c r="B103" i="84"/>
  <c r="F9" i="98"/>
  <c r="F10" i="98" s="1"/>
  <c r="B101" i="80"/>
  <c r="B28" i="80"/>
  <c r="B38" i="80"/>
  <c r="B40" i="80" s="1"/>
  <c r="B29" i="97"/>
  <c r="B12" i="105" s="1"/>
  <c r="B49" i="80"/>
  <c r="C48" i="80"/>
  <c r="B52" i="80"/>
  <c r="B51" i="80"/>
  <c r="B50" i="80"/>
  <c r="B38" i="82"/>
  <c r="D30" i="97" s="1"/>
  <c r="D13" i="105" s="1"/>
  <c r="B52" i="82"/>
  <c r="C48" i="82"/>
  <c r="B50" i="82"/>
  <c r="B49" i="82"/>
  <c r="B51" i="82"/>
  <c r="B53" i="83"/>
  <c r="C54" i="83"/>
  <c r="B53" i="85"/>
  <c r="C54" i="85"/>
  <c r="B53" i="84"/>
  <c r="C54" i="84"/>
  <c r="B53" i="86"/>
  <c r="C54" i="86"/>
  <c r="B40" i="85"/>
  <c r="B40" i="86"/>
  <c r="B6" i="95"/>
  <c r="B26" i="95" s="1"/>
  <c r="B28" i="95" s="1"/>
  <c r="B29" i="95" s="1"/>
  <c r="B31" i="95" s="1"/>
  <c r="B40" i="84"/>
  <c r="B40" i="83"/>
  <c r="E32" i="97" s="1"/>
  <c r="E14" i="105" s="1"/>
  <c r="D9" i="98" l="1"/>
  <c r="D10" i="98" s="1"/>
  <c r="B103" i="82"/>
  <c r="F32" i="97"/>
  <c r="B109" i="99"/>
  <c r="B110" i="99" s="1"/>
  <c r="E80" i="97"/>
  <c r="E54" i="97"/>
  <c r="B102" i="80"/>
  <c r="B36" i="98" s="1"/>
  <c r="B15" i="98"/>
  <c r="B21" i="98"/>
  <c r="B22" i="98" s="1"/>
  <c r="H63" i="94"/>
  <c r="C77" i="94" s="1"/>
  <c r="H32" i="97"/>
  <c r="H14" i="105" s="1"/>
  <c r="B42" i="85"/>
  <c r="G37" i="97" s="1"/>
  <c r="G18" i="105" s="1"/>
  <c r="G30" i="105" s="1"/>
  <c r="G32" i="97"/>
  <c r="G14" i="105" s="1"/>
  <c r="B63" i="94"/>
  <c r="C71" i="94" s="1"/>
  <c r="B32" i="97"/>
  <c r="B14" i="105" s="1"/>
  <c r="C54" i="80"/>
  <c r="B30" i="97"/>
  <c r="B13" i="105" s="1"/>
  <c r="B53" i="80"/>
  <c r="B42" i="80"/>
  <c r="B37" i="97" s="1"/>
  <c r="B18" i="105" s="1"/>
  <c r="B30" i="105" s="1"/>
  <c r="B45" i="80"/>
  <c r="B39" i="97" s="1"/>
  <c r="G63" i="94"/>
  <c r="B45" i="85"/>
  <c r="G39" i="97" s="1"/>
  <c r="B53" i="82"/>
  <c r="C54" i="82"/>
  <c r="B7" i="95"/>
  <c r="B42" i="84"/>
  <c r="F37" i="97" s="1"/>
  <c r="F18" i="105" s="1"/>
  <c r="F30" i="105" s="1"/>
  <c r="B45" i="84"/>
  <c r="F39" i="97" s="1"/>
  <c r="F63" i="94"/>
  <c r="B11" i="95"/>
  <c r="B34" i="95" s="1"/>
  <c r="B36" i="95" s="1"/>
  <c r="B42" i="83"/>
  <c r="E37" i="97" s="1"/>
  <c r="E18" i="105" s="1"/>
  <c r="E30" i="105" s="1"/>
  <c r="B45" i="83"/>
  <c r="E39" i="97" s="1"/>
  <c r="E63" i="94"/>
  <c r="B40" i="82"/>
  <c r="D32" i="97" s="1"/>
  <c r="D14" i="105" s="1"/>
  <c r="B42" i="86"/>
  <c r="H37" i="97" s="1"/>
  <c r="H18" i="105" s="1"/>
  <c r="H30" i="105" s="1"/>
  <c r="B45" i="86"/>
  <c r="H39" i="97" s="1"/>
  <c r="F54" i="97" l="1"/>
  <c r="F14" i="105"/>
  <c r="E6" i="100"/>
  <c r="G33" i="98" a="1"/>
  <c r="G33" i="98" s="1"/>
  <c r="E33" i="98" a="1"/>
  <c r="E33" i="98" s="1"/>
  <c r="H33" i="98" a="1"/>
  <c r="H33" i="98" s="1"/>
  <c r="F33" i="98" a="1"/>
  <c r="F33" i="98" s="1"/>
  <c r="F80" i="97"/>
  <c r="F98" i="97" s="1"/>
  <c r="E98" i="97"/>
  <c r="E84" i="97"/>
  <c r="G80" i="97"/>
  <c r="G54" i="97"/>
  <c r="H80" i="97"/>
  <c r="H54" i="97"/>
  <c r="D80" i="97"/>
  <c r="D54" i="97"/>
  <c r="B49" i="97" a="1"/>
  <c r="B49" i="97" s="1"/>
  <c r="B47" i="98" s="1"/>
  <c r="B80" i="97"/>
  <c r="B54" i="97"/>
  <c r="B17" i="98"/>
  <c r="B18" i="98"/>
  <c r="E10" i="100" s="1"/>
  <c r="B103" i="80"/>
  <c r="B33" i="98" s="1" a="1"/>
  <c r="B33" i="98" s="1"/>
  <c r="B9" i="98"/>
  <c r="B10" i="98" s="1"/>
  <c r="E47" i="100" s="1"/>
  <c r="C76" i="94"/>
  <c r="C74" i="94"/>
  <c r="B45" i="82"/>
  <c r="D39" i="97" s="1"/>
  <c r="B42" i="82"/>
  <c r="D37" i="97" s="1"/>
  <c r="D18" i="105" s="1"/>
  <c r="D30" i="105" s="1"/>
  <c r="C75" i="94"/>
  <c r="D63" i="94"/>
  <c r="D33" i="98" l="1" a="1"/>
  <c r="D33" i="98" s="1"/>
  <c r="B43" i="98" s="1"/>
  <c r="F84" i="97"/>
  <c r="D98" i="97"/>
  <c r="D84" i="97"/>
  <c r="H98" i="97"/>
  <c r="H84" i="97"/>
  <c r="G98" i="97"/>
  <c r="G84" i="97"/>
  <c r="B98" i="97"/>
  <c r="B84" i="97"/>
  <c r="C73" i="94"/>
  <c r="B44" i="98" l="1" a="1"/>
  <c r="B44" i="98" s="1"/>
  <c r="B52" i="98" l="1" a="1"/>
  <c r="B52" i="98" s="1"/>
  <c r="A3" i="97"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Casper Brink Rasmussen</author>
  </authors>
  <commentList>
    <comment ref="L7" authorId="0" shapeId="0" xr:uid="{0BBF0FE8-B70F-465F-9EC5-DFE71C789108}">
      <text>
        <r>
          <rPr>
            <b/>
            <sz val="9"/>
            <color indexed="81"/>
            <rFont val="Tahoma"/>
            <charset val="1"/>
          </rPr>
          <t>Casper Brink Rasmussen:</t>
        </r>
        <r>
          <rPr>
            <sz val="9"/>
            <color indexed="81"/>
            <rFont val="Tahoma"/>
            <charset val="1"/>
          </rPr>
          <t xml:space="preserve">
Source: Apple FY2025 Form 10-K, Leases note - prior-year comparative, discount rate as of September 28, 2024 was 3.1%. https://www.sec.gov/Archives/edgar/data/320193/000032019325000079/aapl-20250927.htm</t>
        </r>
      </text>
    </comment>
    <comment ref="L8" authorId="0" shapeId="0" xr:uid="{8D4F7A6B-EEE5-48BA-A285-5D4F2D5CBDB2}">
      <text>
        <r>
          <rPr>
            <b/>
            <sz val="9"/>
            <color indexed="81"/>
            <rFont val="Tahoma"/>
            <charset val="1"/>
          </rPr>
          <t>Casper Brink Rasmussen:</t>
        </r>
        <r>
          <rPr>
            <sz val="9"/>
            <color indexed="81"/>
            <rFont val="Tahoma"/>
            <charset val="1"/>
          </rPr>
          <t xml:space="preserve">
Source: Apple FY2025 Form 10-K, Leases note - 'The discount rate related to the Company's lease liabilities as of September 27, 2025 and September 28, 2024 was 3.4% and 3.1%, respectively.' Read from the filed 10-K HTML on SEC EDGAR. Same note confirms total lease liability of $13,720m, matching this dataset. https://www.sec.gov/Archives/edgar/data/320193/000032019325000079/aapl-20250927.htm</t>
        </r>
      </text>
    </comment>
    <comment ref="D31" authorId="0" shapeId="0" xr:uid="{5EF96E3C-5C15-4AA6-8E16-D5568FB4CCE7}">
      <text>
        <r>
          <rPr>
            <b/>
            <sz val="9"/>
            <color indexed="81"/>
            <rFont val="Tahoma"/>
            <charset val="1"/>
          </rPr>
          <t>Casper Brink Rasmussen:</t>
        </r>
        <r>
          <rPr>
            <sz val="9"/>
            <color indexed="81"/>
            <rFont val="Tahoma"/>
            <charset val="1"/>
          </rPr>
          <t xml:space="preserve">
Source: MSFT FY2020 comparative, Leases note — Supplemental Balance Sheet Information. https://www.sec.gov/Archives/edgar/data/789019/000156459021002316/Financial_Report.xlsx</t>
        </r>
      </text>
    </comment>
    <comment ref="F31" authorId="0" shapeId="0" xr:uid="{7D6A6960-27E1-4F06-AB16-96AE6797D91A}">
      <text>
        <r>
          <rPr>
            <b/>
            <sz val="9"/>
            <color indexed="81"/>
            <rFont val="Tahoma"/>
            <charset val="1"/>
          </rPr>
          <t>Casper Brink Rasmussen:</t>
        </r>
        <r>
          <rPr>
            <sz val="9"/>
            <color indexed="81"/>
            <rFont val="Tahoma"/>
            <charset val="1"/>
          </rPr>
          <t xml:space="preserve">
Source: as D31. Total finance lease liab 540+8956=9,496 ties to filing's own Total line.</t>
        </r>
      </text>
    </comment>
    <comment ref="G31" authorId="0" shapeId="0" xr:uid="{3D0AA7AF-A46C-4E08-956C-8368C40CC4E1}">
      <text>
        <r>
          <rPr>
            <b/>
            <sz val="9"/>
            <color indexed="81"/>
            <rFont val="Tahoma"/>
            <charset val="1"/>
          </rPr>
          <t>Casper Brink Rasmussen:</t>
        </r>
        <r>
          <rPr>
            <sz val="9"/>
            <color indexed="81"/>
            <rFont val="Tahoma"/>
            <charset val="1"/>
          </rPr>
          <t xml:space="preserve">
Source: as D31.</t>
        </r>
      </text>
    </comment>
    <comment ref="D32" authorId="0" shapeId="0" xr:uid="{1D2B492F-993E-4961-BAA3-9D3DEA794497}">
      <text>
        <r>
          <rPr>
            <b/>
            <sz val="9"/>
            <color indexed="81"/>
            <rFont val="Tahoma"/>
            <charset val="1"/>
          </rPr>
          <t>Casper Brink Rasmussen:</t>
        </r>
        <r>
          <rPr>
            <sz val="9"/>
            <color indexed="81"/>
            <rFont val="Tahoma"/>
            <charset val="1"/>
          </rPr>
          <t xml:space="preserve">
Source: MSFT FY2021 comparative, Leases note, cross-confirmed in two 10-Qs (Sep-21, Mar-22). Op total 1,962+9,629=11,591 ties to filing Total.</t>
        </r>
      </text>
    </comment>
    <comment ref="F32" authorId="0" shapeId="0" xr:uid="{47057AFB-78EC-4A8A-9E29-0CB3B5510216}">
      <text>
        <r>
          <rPr>
            <b/>
            <sz val="9"/>
            <color indexed="81"/>
            <rFont val="Tahoma"/>
            <charset val="1"/>
          </rPr>
          <t>Casper Brink Rasmussen:</t>
        </r>
        <r>
          <rPr>
            <sz val="9"/>
            <color indexed="81"/>
            <rFont val="Tahoma"/>
            <charset val="1"/>
          </rPr>
          <t xml:space="preserve">
Source: as D32. Fin total 791+11,750=12,541 ties to filing Total.</t>
        </r>
      </text>
    </comment>
    <comment ref="G32" authorId="0" shapeId="0" xr:uid="{96D7F73D-DC26-4DF6-813F-2098F122ADDB}">
      <text>
        <r>
          <rPr>
            <b/>
            <sz val="9"/>
            <color indexed="81"/>
            <rFont val="Tahoma"/>
            <charset val="1"/>
          </rPr>
          <t>Casper Brink Rasmussen:</t>
        </r>
        <r>
          <rPr>
            <sz val="9"/>
            <color indexed="81"/>
            <rFont val="Tahoma"/>
            <charset val="1"/>
          </rPr>
          <t xml:space="preserve">
Source: as D32.</t>
        </r>
      </text>
    </comment>
    <comment ref="D33" authorId="0" shapeId="0" xr:uid="{EF873519-5F6B-47BC-AD46-D44DB0F00323}">
      <text>
        <r>
          <rPr>
            <b/>
            <sz val="9"/>
            <color indexed="81"/>
            <rFont val="Tahoma"/>
            <charset val="1"/>
          </rPr>
          <t>Casper Brink Rasmussen:</t>
        </r>
        <r>
          <rPr>
            <sz val="9"/>
            <color indexed="81"/>
            <rFont val="Tahoma"/>
            <charset val="1"/>
          </rPr>
          <t xml:space="preserve">
Source: MSFT FY2022 comparative, Leases note (Dec-22 10-Q). Op total 2,228+11,489=13,717 ties to filing Total.</t>
        </r>
      </text>
    </comment>
    <comment ref="F33" authorId="0" shapeId="0" xr:uid="{EF0480FE-CAF3-40A1-8334-AA57D78C4A4B}">
      <text>
        <r>
          <rPr>
            <b/>
            <sz val="9"/>
            <color indexed="81"/>
            <rFont val="Tahoma"/>
            <charset val="1"/>
          </rPr>
          <t>Casper Brink Rasmussen:</t>
        </r>
        <r>
          <rPr>
            <sz val="9"/>
            <color indexed="81"/>
            <rFont val="Tahoma"/>
            <charset val="1"/>
          </rPr>
          <t xml:space="preserve">
Source: as D33. Fin total 1,060+13,842=14,902 ties to filing Total.</t>
        </r>
      </text>
    </comment>
    <comment ref="G33" authorId="0" shapeId="0" xr:uid="{59FE123B-0C7A-4522-950A-81DCFAEBD7E0}">
      <text>
        <r>
          <rPr>
            <b/>
            <sz val="9"/>
            <color indexed="81"/>
            <rFont val="Tahoma"/>
            <charset val="1"/>
          </rPr>
          <t>Casper Brink Rasmussen:</t>
        </r>
        <r>
          <rPr>
            <sz val="9"/>
            <color indexed="81"/>
            <rFont val="Tahoma"/>
            <charset val="1"/>
          </rPr>
          <t xml:space="preserve">
Source: as D33.</t>
        </r>
      </text>
    </comment>
    <comment ref="D34" authorId="0" shapeId="0" xr:uid="{D35EE9C4-44C1-4324-B752-6702C7A5588F}">
      <text>
        <r>
          <rPr>
            <b/>
            <sz val="9"/>
            <color indexed="81"/>
            <rFont val="Tahoma"/>
            <charset val="1"/>
          </rPr>
          <t>Casper Brink Rasmussen:</t>
        </r>
        <r>
          <rPr>
            <sz val="9"/>
            <color indexed="81"/>
            <rFont val="Tahoma"/>
            <charset val="1"/>
          </rPr>
          <t xml:space="preserve">
Source: MSFT FY2024 10-K, FY2023 comparative column. https://www.sec.gov/Archives/edgar/data/789019/000095017024087843/msft-20240630.htm</t>
        </r>
      </text>
    </comment>
    <comment ref="F34" authorId="0" shapeId="0" xr:uid="{ABC01225-5C4B-403B-A01C-D0130A846DD0}">
      <text>
        <r>
          <rPr>
            <b/>
            <sz val="9"/>
            <color indexed="81"/>
            <rFont val="Tahoma"/>
            <charset val="1"/>
          </rPr>
          <t>Casper Brink Rasmussen:</t>
        </r>
        <r>
          <rPr>
            <sz val="9"/>
            <color indexed="81"/>
            <rFont val="Tahoma"/>
            <charset val="1"/>
          </rPr>
          <t xml:space="preserve">
Source: as D34. Fin total 1,197+15,870=17,067 ties to filing Total.</t>
        </r>
      </text>
    </comment>
    <comment ref="G34" authorId="0" shapeId="0" xr:uid="{BBE05E34-6EB4-4201-A728-02A90BF4E8F7}">
      <text>
        <r>
          <rPr>
            <b/>
            <sz val="9"/>
            <color indexed="81"/>
            <rFont val="Tahoma"/>
            <charset val="1"/>
          </rPr>
          <t>Casper Brink Rasmussen:</t>
        </r>
        <r>
          <rPr>
            <sz val="9"/>
            <color indexed="81"/>
            <rFont val="Tahoma"/>
            <charset val="1"/>
          </rPr>
          <t xml:space="preserve">
Source: as D34.</t>
        </r>
      </text>
    </comment>
    <comment ref="D35" authorId="0" shapeId="0" xr:uid="{EAF4949F-C84B-4273-A2AC-C920135A7370}">
      <text>
        <r>
          <rPr>
            <b/>
            <sz val="9"/>
            <color indexed="81"/>
            <rFont val="Tahoma"/>
            <charset val="1"/>
          </rPr>
          <t>Casper Brink Rasmussen:</t>
        </r>
        <r>
          <rPr>
            <sz val="9"/>
            <color indexed="81"/>
            <rFont val="Tahoma"/>
            <charset val="1"/>
          </rPr>
          <t xml:space="preserve">
Source: MSFT FY2024 10-K, current-year column. Op total 3,580+15,497=19,077 ties to FY2025 10-K comparative.</t>
        </r>
      </text>
    </comment>
    <comment ref="F35" authorId="0" shapeId="0" xr:uid="{ADB6CE09-A4E8-47AD-BCF9-30DA44D0D396}">
      <text>
        <r>
          <rPr>
            <b/>
            <sz val="9"/>
            <color indexed="81"/>
            <rFont val="Tahoma"/>
            <charset val="1"/>
          </rPr>
          <t>Casper Brink Rasmussen:</t>
        </r>
        <r>
          <rPr>
            <sz val="9"/>
            <color indexed="81"/>
            <rFont val="Tahoma"/>
            <charset val="1"/>
          </rPr>
          <t xml:space="preserve">
Source: as D35. Fin total 2,349+24,796=27,145 ties to filing Total.</t>
        </r>
      </text>
    </comment>
    <comment ref="G35" authorId="0" shapeId="0" xr:uid="{528881A2-6033-4DF8-A932-FCE1C5959664}">
      <text>
        <r>
          <rPr>
            <b/>
            <sz val="9"/>
            <color indexed="81"/>
            <rFont val="Tahoma"/>
            <charset val="1"/>
          </rPr>
          <t>Casper Brink Rasmussen:</t>
        </r>
        <r>
          <rPr>
            <sz val="9"/>
            <color indexed="81"/>
            <rFont val="Tahoma"/>
            <charset val="1"/>
          </rPr>
          <t xml:space="preserve">
Source: as D35.</t>
        </r>
      </text>
    </comment>
    <comment ref="D36" authorId="0" shapeId="0" xr:uid="{61BEE6A4-5876-4D2E-BEBE-B764ACF48990}">
      <text>
        <r>
          <rPr>
            <b/>
            <sz val="9"/>
            <color indexed="81"/>
            <rFont val="Tahoma"/>
            <charset val="1"/>
          </rPr>
          <t>Casper Brink Rasmussen:</t>
        </r>
        <r>
          <rPr>
            <sz val="9"/>
            <color indexed="81"/>
            <rFont val="Tahoma"/>
            <charset val="1"/>
          </rPr>
          <t xml:space="preserve">
Source: MSFT FY2025 10-K, Leases note. https://www.sec.gov/Archives/edgar/data/789019/000095017025100235/msft-20250630.htm</t>
        </r>
      </text>
    </comment>
    <comment ref="F36" authorId="0" shapeId="0" xr:uid="{4531821C-B6C2-42BE-B706-BEA5800B91F3}">
      <text>
        <r>
          <rPr>
            <b/>
            <sz val="9"/>
            <color indexed="81"/>
            <rFont val="Tahoma"/>
            <charset val="1"/>
          </rPr>
          <t>Casper Brink Rasmussen:</t>
        </r>
        <r>
          <rPr>
            <sz val="9"/>
            <color indexed="81"/>
            <rFont val="Tahoma"/>
            <charset val="1"/>
          </rPr>
          <t xml:space="preserve">
Source: as D36. Fin total 3,172+43,000=46,172 ties to filing Total.</t>
        </r>
      </text>
    </comment>
    <comment ref="G36" authorId="0" shapeId="0" xr:uid="{F68B6991-4612-474F-9CC1-B3639FC6378B}">
      <text>
        <r>
          <rPr>
            <b/>
            <sz val="9"/>
            <color indexed="81"/>
            <rFont val="Tahoma"/>
            <charset val="1"/>
          </rPr>
          <t>Casper Brink Rasmussen:</t>
        </r>
        <r>
          <rPr>
            <sz val="9"/>
            <color indexed="81"/>
            <rFont val="Tahoma"/>
            <charset val="1"/>
          </rPr>
          <t xml:space="preserve">
Source: as D36.</t>
        </r>
      </text>
    </comment>
    <comment ref="D44" authorId="0" shapeId="0" xr:uid="{40D80A67-4C44-4059-B3A9-E1899B0071F4}">
      <text>
        <r>
          <rPr>
            <b/>
            <sz val="9"/>
            <color indexed="81"/>
            <rFont val="Tahoma"/>
            <charset val="1"/>
          </rPr>
          <t>Casper Brink Rasmussen:</t>
        </r>
        <r>
          <rPr>
            <sz val="9"/>
            <color indexed="81"/>
            <rFont val="Tahoma"/>
            <charset val="1"/>
          </rPr>
          <t xml:space="preserve">
Source: NVIDIA FY2026 Form 10-K, Leases note - 'Less short-term operating lease liabilities'. https://www.sec.gov/Archives/edgar/data/1045810/000104581026000021/nvda-20260125.htm</t>
        </r>
      </text>
    </comment>
    <comment ref="E44" authorId="0" shapeId="0" xr:uid="{6B1E323A-C3F1-487C-B13D-4A27F44DD4CD}">
      <text>
        <r>
          <rPr>
            <b/>
            <sz val="9"/>
            <color indexed="81"/>
            <rFont val="Tahoma"/>
            <charset val="1"/>
          </rPr>
          <t>Casper Brink Rasmussen:</t>
        </r>
        <r>
          <rPr>
            <sz val="9"/>
            <color indexed="81"/>
            <rFont val="Tahoma"/>
            <charset val="1"/>
          </rPr>
          <t xml:space="preserve">
Source: NVIDIA FY2026 Form 10-K, Leases note and balance sheet - 'Long-term operating lease liabilities'. Cross-check: 372 + 2,572 = 2,944 which equals the disclosed present value of net future minimum lease payments. https://www.sec.gov/Archives/edgar/data/1045810/000104581026000021/nvda-20260125.htm</t>
        </r>
      </text>
    </comment>
    <comment ref="H44" authorId="0" shapeId="0" xr:uid="{35EAB6B4-A09E-4BED-B747-C9AC5B749EF8}">
      <text>
        <r>
          <rPr>
            <b/>
            <sz val="9"/>
            <color indexed="81"/>
            <rFont val="Tahoma"/>
            <charset val="1"/>
          </rPr>
          <t>Casper Brink Rasmussen:</t>
        </r>
        <r>
          <rPr>
            <sz val="9"/>
            <color indexed="81"/>
            <rFont val="Tahoma"/>
            <charset val="1"/>
          </rPr>
          <t xml:space="preserve">
Source: NVIDIA FY2026 Form 10-K, consolidated balance sheet - 'Operating lease assets'. https://www.sec.gov/Archives/edgar/data/1045810/000104581026000021/nvda-20260125.htm</t>
        </r>
      </text>
    </comment>
    <comment ref="K44" authorId="0" shapeId="0" xr:uid="{BA8C2F0C-444A-45EF-AB29-114C0BE38342}">
      <text>
        <r>
          <rPr>
            <b/>
            <sz val="9"/>
            <color indexed="81"/>
            <rFont val="Tahoma"/>
            <charset val="1"/>
          </rPr>
          <t>Casper Brink Rasmussen:</t>
        </r>
        <r>
          <rPr>
            <sz val="9"/>
            <color indexed="81"/>
            <rFont val="Tahoma"/>
            <charset val="1"/>
          </rPr>
          <t xml:space="preserve">
Source: NVIDIA FY2026 Form 10-K, Leases note - 'Operating lease costs for fiscal years 2026, 2025, and 2024 were $462 million, $356 million, and $269 million'. https://www.sec.gov/Archives/edgar/data/1045810/000104581026000021/nvda-20260125.htm</t>
        </r>
      </text>
    </comment>
    <comment ref="L44" authorId="0" shapeId="0" xr:uid="{90D1C60F-414A-4F8D-9B4A-D99837539922}">
      <text>
        <r>
          <rPr>
            <b/>
            <sz val="9"/>
            <color indexed="81"/>
            <rFont val="Tahoma"/>
            <charset val="1"/>
          </rPr>
          <t>Casper Brink Rasmussen:</t>
        </r>
        <r>
          <rPr>
            <sz val="9"/>
            <color indexed="81"/>
            <rFont val="Tahoma"/>
            <charset val="1"/>
          </rPr>
          <t xml:space="preserve">
Source: NVIDIA FY2026 Form 10-K, Leases note - weighted average discount rate 4.38%, weighted average remaining lease term 8.8 years, as of 25 January 2026. https://www.sec.gov/Archives/edgar/data/1045810/000104581026000021/nvda-20260125.htm</t>
        </r>
      </text>
    </comment>
    <comment ref="R44" authorId="0" shapeId="0" xr:uid="{36717295-A064-4820-AD05-5444E9EB6B2F}">
      <text>
        <r>
          <rPr>
            <b/>
            <sz val="9"/>
            <color indexed="81"/>
            <rFont val="Tahoma"/>
            <charset val="1"/>
          </rPr>
          <t>Casper Brink Rasmussen:</t>
        </r>
        <r>
          <rPr>
            <sz val="9"/>
            <color indexed="81"/>
            <rFont val="Tahoma"/>
            <charset val="1"/>
          </rPr>
          <t xml:space="preserve">
Read directly from the filed 10-K HTML on SEC EDGAR, not from XBRL extraction.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Casper Brink Rasmussen</author>
  </authors>
  <commentList>
    <comment ref="B37" authorId="0" shapeId="0" xr:uid="{36F41814-1B06-4424-880B-91B01EF55FEC}">
      <text>
        <r>
          <rPr>
            <b/>
            <sz val="9"/>
            <color indexed="81"/>
            <rFont val="Tahoma"/>
            <charset val="1"/>
          </rPr>
          <t>Casper Brink Rasmussen:</t>
        </r>
        <r>
          <rPr>
            <sz val="9"/>
            <color indexed="81"/>
            <rFont val="Tahoma"/>
            <charset val="1"/>
          </rPr>
          <t xml:space="preserve">
HARDCODED INPUT. Source: Apple Form 10-K, share-based compensation footnote - total unrecognised compensation cost on unvested RSUs (USD 21.8bn). The exact filing URL was not captured when this figure was entered, so re-verify against the latest 10-K before relying on it. Blue font marks this as an input, not a calculation.</t>
        </r>
      </text>
    </comment>
    <comment ref="E70" authorId="0" shapeId="0" xr:uid="{9AB8DC8B-F3C9-48D6-B9E1-F3CF294DA70C}">
      <text>
        <r>
          <rPr>
            <b/>
            <sz val="9"/>
            <color indexed="81"/>
            <rFont val="Tahoma"/>
            <charset val="1"/>
          </rPr>
          <t>Casper Brink Rasmussen:</t>
        </r>
        <r>
          <rPr>
            <sz val="9"/>
            <color indexed="81"/>
            <rFont val="Tahoma"/>
            <charset val="1"/>
          </rPr>
          <t xml:space="preserve">
ABOVE CEILING: terminal growth 6.53% exceeds nominal GDP growth of 6.03% (real GDP 3.50% + inflation 2.53%). The model's rule is g &lt;= nominal GDP, so this column is elasticity-only and not an admissible valuation.</t>
        </r>
      </text>
    </comment>
    <comment ref="F70" authorId="0" shapeId="0" xr:uid="{5CB1B8FD-A993-4E03-82C4-DA2CABE59256}">
      <text>
        <r>
          <rPr>
            <b/>
            <sz val="9"/>
            <color indexed="81"/>
            <rFont val="Tahoma"/>
            <charset val="1"/>
          </rPr>
          <t>Casper Brink Rasmussen:</t>
        </r>
        <r>
          <rPr>
            <sz val="9"/>
            <color indexed="81"/>
            <rFont val="Tahoma"/>
            <charset val="1"/>
          </rPr>
          <t xml:space="preserve">
ABOVE CEILING: terminal growth 7.03% exceeds nominal GDP growth of 6.03% (real GDP 3.50% + inflation 2.53%). The model's rule is g &lt;= nominal GDP, so this column is elasticity-only and not an admissible valuation.</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Casper Brink Rasmussen</author>
  </authors>
  <commentList>
    <comment ref="B37" authorId="0" shapeId="0" xr:uid="{17BC157E-CFA2-4AA3-8BF9-D7342CD88F91}">
      <text>
        <r>
          <rPr>
            <b/>
            <sz val="9"/>
            <color indexed="81"/>
            <rFont val="Tahoma"/>
            <charset val="1"/>
          </rPr>
          <t>Casper Brink Rasmussen:</t>
        </r>
        <r>
          <rPr>
            <sz val="9"/>
            <color indexed="81"/>
            <rFont val="Tahoma"/>
            <charset val="1"/>
          </rPr>
          <t xml:space="preserve">
HARDCODED INPUT. Source: Microsoft Form 10-K, share-based compensation footnote - total unrecognised compensation cost on unvested stock awards (USD 21.6bn). The exact filing URL was not captured when this figure was entered, so re-verify against the latest 10-K before relying on it. Blue font marks this as an input, not a calculation.</t>
        </r>
      </text>
    </comment>
    <comment ref="E70" authorId="0" shapeId="0" xr:uid="{339F7A07-BDEC-4FCC-8FB9-776B2F4ABAAD}">
      <text>
        <r>
          <rPr>
            <b/>
            <sz val="9"/>
            <color indexed="81"/>
            <rFont val="Tahoma"/>
            <charset val="1"/>
          </rPr>
          <t>Casper Brink Rasmussen:</t>
        </r>
        <r>
          <rPr>
            <sz val="9"/>
            <color indexed="81"/>
            <rFont val="Tahoma"/>
            <charset val="1"/>
          </rPr>
          <t xml:space="preserve">
ABOVE CEILING: terminal growth 6.53% exceeds nominal GDP growth of 6.03% (real GDP 3.50% + inflation 2.53%). The model's rule is g &lt;= nominal GDP, so this column is elasticity-only and not an admissible valuation.</t>
        </r>
      </text>
    </comment>
    <comment ref="F70" authorId="0" shapeId="0" xr:uid="{80964FF0-F250-4E01-88EB-6817F7074349}">
      <text>
        <r>
          <rPr>
            <b/>
            <sz val="9"/>
            <color indexed="81"/>
            <rFont val="Tahoma"/>
            <charset val="1"/>
          </rPr>
          <t>Casper Brink Rasmussen:</t>
        </r>
        <r>
          <rPr>
            <sz val="9"/>
            <color indexed="81"/>
            <rFont val="Tahoma"/>
            <charset val="1"/>
          </rPr>
          <t xml:space="preserve">
ABOVE CEILING: terminal growth 7.03% exceeds nominal GDP growth of 6.03% (real GDP 3.50% + inflation 2.53%). The model's rule is g &lt;= nominal GDP, so this column is elasticity-only and not an admissible valuation.</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Casper Brink Rasmussen</author>
  </authors>
  <commentList>
    <comment ref="B37" authorId="0" shapeId="0" xr:uid="{CD9AB9D4-70A5-40AF-8E44-592CE9B3C27E}">
      <text>
        <r>
          <rPr>
            <b/>
            <sz val="9"/>
            <color indexed="81"/>
            <rFont val="Tahoma"/>
            <charset val="1"/>
          </rPr>
          <t>Casper Brink Rasmussen:</t>
        </r>
        <r>
          <rPr>
            <sz val="9"/>
            <color indexed="81"/>
            <rFont val="Tahoma"/>
            <charset val="1"/>
          </rPr>
          <t xml:space="preserve">
HARDCODED INPUT. Source: Alphabet Form 10-K, share-based compensation footnote - total unrecognised compensation cost on unvested RSUs (USD 42.9bn). The exact filing URL was not captured when this figure was entered, so re-verify against the latest 10-K before relying on it. Blue font marks this as an input, not a calculation.</t>
        </r>
      </text>
    </comment>
    <comment ref="E70" authorId="0" shapeId="0" xr:uid="{1BAE29EB-AD66-46FE-A7FA-CF6CE7F12AAE}">
      <text>
        <r>
          <rPr>
            <b/>
            <sz val="9"/>
            <color indexed="81"/>
            <rFont val="Tahoma"/>
            <charset val="1"/>
          </rPr>
          <t>Casper Brink Rasmussen:</t>
        </r>
        <r>
          <rPr>
            <sz val="9"/>
            <color indexed="81"/>
            <rFont val="Tahoma"/>
            <charset val="1"/>
          </rPr>
          <t xml:space="preserve">
ABOVE CEILING: terminal growth 6.53% exceeds nominal GDP growth of 6.03% (real GDP 3.50% + inflation 2.53%). The model's rule is g &lt;= nominal GDP, so this column is elasticity-only and not an admissible valuation.</t>
        </r>
      </text>
    </comment>
    <comment ref="F70" authorId="0" shapeId="0" xr:uid="{BE263DCC-9A2D-46F7-A95B-A4B39258EB4B}">
      <text>
        <r>
          <rPr>
            <b/>
            <sz val="9"/>
            <color indexed="81"/>
            <rFont val="Tahoma"/>
            <charset val="1"/>
          </rPr>
          <t>Casper Brink Rasmussen:</t>
        </r>
        <r>
          <rPr>
            <sz val="9"/>
            <color indexed="81"/>
            <rFont val="Tahoma"/>
            <charset val="1"/>
          </rPr>
          <t xml:space="preserve">
ABOVE CEILING: terminal growth 7.03% exceeds nominal GDP growth of 6.03% (real GDP 3.50% + inflation 2.53%). The model's rule is g &lt;= nominal GDP, so this column is elasticity-only and not an admissible valuation.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Casper Brink Rasmussen</author>
  </authors>
  <commentList>
    <comment ref="B37" authorId="0" shapeId="0" xr:uid="{0B71537A-D1CC-4CC9-9ECD-A0C64CE73F41}">
      <text>
        <r>
          <rPr>
            <b/>
            <sz val="9"/>
            <color indexed="81"/>
            <rFont val="Tahoma"/>
            <charset val="1"/>
          </rPr>
          <t>Casper Brink Rasmussen:</t>
        </r>
        <r>
          <rPr>
            <sz val="9"/>
            <color indexed="81"/>
            <rFont val="Tahoma"/>
            <charset val="1"/>
          </rPr>
          <t xml:space="preserve">
HARDCODED INPUT. Source: Amazon Form 10-K, share-based compensation footnote - total unrecognised compensation cost on unvested RSUs (USD 16.9bn). The exact filing URL was not captured when this figure was entered, so re-verify against the latest 10-K before relying on it. Blue font marks this as an input, not a calculation.</t>
        </r>
      </text>
    </comment>
    <comment ref="E70" authorId="0" shapeId="0" xr:uid="{494E05D1-FB61-4AD2-919E-0114D0A66F38}">
      <text>
        <r>
          <rPr>
            <b/>
            <sz val="9"/>
            <color indexed="81"/>
            <rFont val="Tahoma"/>
            <charset val="1"/>
          </rPr>
          <t>Casper Brink Rasmussen:</t>
        </r>
        <r>
          <rPr>
            <sz val="9"/>
            <color indexed="81"/>
            <rFont val="Tahoma"/>
            <charset val="1"/>
          </rPr>
          <t xml:space="preserve">
ABOVE CEILING: terminal growth 6.53% exceeds nominal GDP growth of 6.03% (real GDP 3.50% + inflation 2.53%). The model's rule is g &lt;= nominal GDP, so this column is elasticity-only and not an admissible valuation.</t>
        </r>
      </text>
    </comment>
    <comment ref="F70" authorId="0" shapeId="0" xr:uid="{C324FA12-C553-4A2C-AB15-BF5384E6AB3F}">
      <text>
        <r>
          <rPr>
            <b/>
            <sz val="9"/>
            <color indexed="81"/>
            <rFont val="Tahoma"/>
            <charset val="1"/>
          </rPr>
          <t>Casper Brink Rasmussen:</t>
        </r>
        <r>
          <rPr>
            <sz val="9"/>
            <color indexed="81"/>
            <rFont val="Tahoma"/>
            <charset val="1"/>
          </rPr>
          <t xml:space="preserve">
ABOVE CEILING: terminal growth 7.03% exceeds nominal GDP growth of 6.03% (real GDP 3.50% + inflation 2.53%). The model's rule is g &lt;= nominal GDP, so this column is elasticity-only and not an admissible valuation.</t>
        </r>
      </text>
    </comment>
    <comment ref="A115" authorId="0" shapeId="0" xr:uid="{B0FEBCA4-A504-4A2E-AE55-10540EDCC81E}">
      <text>
        <r>
          <rPr>
            <b/>
            <sz val="9"/>
            <color indexed="81"/>
            <rFont val="Tahoma"/>
            <charset val="1"/>
          </rPr>
          <t>Casper Brink Rasmussen:</t>
        </r>
        <r>
          <rPr>
            <sz val="9"/>
            <color indexed="81"/>
            <rFont val="Tahoma"/>
            <charset val="1"/>
          </rPr>
          <t xml:space="preserve">
Threshold: all three differences must be under 0.5pp. Revenue growth has faded to the terminal rate on every name (gap 0.00%), so any failure comes from free cash flow or ROIC still drifting - margins or capital intensity have not settled. Book p.362: 'If this is not the case, extend the explicit forecast period while keeping the key performance ratios constant.' A failure means the continuing value assumes a constant growth rate that the year-15 figures do not yet exhibit, so continuing value is likely overstated.</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Casper Brink Rasmussen</author>
  </authors>
  <commentList>
    <comment ref="B37" authorId="0" shapeId="0" xr:uid="{4684A263-9251-4543-BF00-9E96C19D0228}">
      <text>
        <r>
          <rPr>
            <b/>
            <sz val="9"/>
            <color indexed="81"/>
            <rFont val="Tahoma"/>
            <charset val="1"/>
          </rPr>
          <t>Casper Brink Rasmussen:</t>
        </r>
        <r>
          <rPr>
            <sz val="9"/>
            <color indexed="81"/>
            <rFont val="Tahoma"/>
            <charset val="1"/>
          </rPr>
          <t xml:space="preserve">
HARDCODED INPUT. Source: NVIDIA Form 10-K, share-based compensation footnote - total UNEARNED compensation cost on unvested RSUs and PSUs (USD 14.8bn). NVIDIA uses 'unearned' rather than 'unrecognised'. The exact filing URL was not captured when this figure was entered, so re-verify against the latest 10-K before relying on it. Blue font marks this as an input, not a calculation.</t>
        </r>
      </text>
    </comment>
    <comment ref="E70" authorId="0" shapeId="0" xr:uid="{A533BF91-03FD-4818-AADE-A4D2AB9F5AFE}">
      <text>
        <r>
          <rPr>
            <b/>
            <sz val="9"/>
            <color indexed="81"/>
            <rFont val="Tahoma"/>
            <charset val="1"/>
          </rPr>
          <t>Casper Brink Rasmussen:</t>
        </r>
        <r>
          <rPr>
            <sz val="9"/>
            <color indexed="81"/>
            <rFont val="Tahoma"/>
            <charset val="1"/>
          </rPr>
          <t xml:space="preserve">
ABOVE CEILING: terminal growth 6.53% exceeds nominal GDP growth of 6.03% (real GDP 3.50% + inflation 2.53%). The model's rule is g &lt;= nominal GDP, so this column is elasticity-only and not an admissible valuation.</t>
        </r>
      </text>
    </comment>
    <comment ref="F70" authorId="0" shapeId="0" xr:uid="{A8020899-1BCF-4E3F-A652-2A6DB4F75BD1}">
      <text>
        <r>
          <rPr>
            <b/>
            <sz val="9"/>
            <color indexed="81"/>
            <rFont val="Tahoma"/>
            <charset val="1"/>
          </rPr>
          <t>Casper Brink Rasmussen:</t>
        </r>
        <r>
          <rPr>
            <sz val="9"/>
            <color indexed="81"/>
            <rFont val="Tahoma"/>
            <charset val="1"/>
          </rPr>
          <t xml:space="preserve">
ABOVE CEILING: terminal growth 7.03% exceeds nominal GDP growth of 6.03% (real GDP 3.50% + inflation 2.53%). The model's rule is g &lt;= nominal GDP, so this column is elasticity-only and not an admissible valuation.</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Casper Brink Rasmussen</author>
  </authors>
  <commentList>
    <comment ref="B37" authorId="0" shapeId="0" xr:uid="{C0CC9C25-12F2-4955-9B60-B3CAABF25E3B}">
      <text>
        <r>
          <rPr>
            <b/>
            <sz val="9"/>
            <color indexed="81"/>
            <rFont val="Tahoma"/>
            <charset val="1"/>
          </rPr>
          <t>Casper Brink Rasmussen:</t>
        </r>
        <r>
          <rPr>
            <sz val="9"/>
            <color indexed="81"/>
            <rFont val="Tahoma"/>
            <charset val="1"/>
          </rPr>
          <t xml:space="preserve">
HARDCODED INPUT. Source: Meta Platforms Form 10-K, share-based compensation footnote - total unrecognised compensation cost on unvested RSUs (USD 54.81bn). The exact filing URL was not captured when this figure was entered, so re-verify against the latest 10-K before relying on it. Blue font marks this as an input, not a calculation.</t>
        </r>
      </text>
    </comment>
    <comment ref="E70" authorId="0" shapeId="0" xr:uid="{13BF48DF-E2EB-41A3-B2C0-9DEE4338D196}">
      <text>
        <r>
          <rPr>
            <b/>
            <sz val="9"/>
            <color indexed="81"/>
            <rFont val="Tahoma"/>
            <charset val="1"/>
          </rPr>
          <t>Casper Brink Rasmussen:</t>
        </r>
        <r>
          <rPr>
            <sz val="9"/>
            <color indexed="81"/>
            <rFont val="Tahoma"/>
            <charset val="1"/>
          </rPr>
          <t xml:space="preserve">
ABOVE CEILING: terminal growth 6.53% exceeds nominal GDP growth of 6.03% (real GDP 3.50% + inflation 2.53%). The model's rule is g &lt;= nominal GDP, so this column is elasticity-only and not an admissible valuation.</t>
        </r>
      </text>
    </comment>
    <comment ref="F70" authorId="0" shapeId="0" xr:uid="{C30EC8B5-A994-4691-BB3E-E328EBC7632B}">
      <text>
        <r>
          <rPr>
            <b/>
            <sz val="9"/>
            <color indexed="81"/>
            <rFont val="Tahoma"/>
            <charset val="1"/>
          </rPr>
          <t>Casper Brink Rasmussen:</t>
        </r>
        <r>
          <rPr>
            <sz val="9"/>
            <color indexed="81"/>
            <rFont val="Tahoma"/>
            <charset val="1"/>
          </rPr>
          <t xml:space="preserve">
ABOVE CEILING: terminal growth 7.03% exceeds nominal GDP growth of 6.03% (real GDP 3.50% + inflation 2.53%). The model's rule is g &lt;= nominal GDP, so this column is elasticity-only and not an admissible valuation.</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Casper Brink Rasmussen</author>
  </authors>
  <commentList>
    <comment ref="E70" authorId="0" shapeId="0" xr:uid="{C8838B33-D5C4-496B-93FA-E35D198BB601}">
      <text>
        <r>
          <rPr>
            <b/>
            <sz val="9"/>
            <color indexed="81"/>
            <rFont val="Tahoma"/>
            <charset val="1"/>
          </rPr>
          <t>Casper Brink Rasmussen:</t>
        </r>
        <r>
          <rPr>
            <sz val="9"/>
            <color indexed="81"/>
            <rFont val="Tahoma"/>
            <charset val="1"/>
          </rPr>
          <t xml:space="preserve">
ABOVE CEILING: terminal growth 6.53% exceeds nominal GDP growth of 6.03% (real GDP 3.50% + inflation 2.53%). The model's rule is g &lt;= nominal GDP, so this column is elasticity-only and not an admissible valuation.</t>
        </r>
      </text>
    </comment>
    <comment ref="F70" authorId="0" shapeId="0" xr:uid="{8B777FA9-7BB4-485C-AD5D-508680DA4C67}">
      <text>
        <r>
          <rPr>
            <b/>
            <sz val="9"/>
            <color indexed="81"/>
            <rFont val="Tahoma"/>
            <charset val="1"/>
          </rPr>
          <t>Casper Brink Rasmussen:</t>
        </r>
        <r>
          <rPr>
            <sz val="9"/>
            <color indexed="81"/>
            <rFont val="Tahoma"/>
            <charset val="1"/>
          </rPr>
          <t xml:space="preserve">
ABOVE CEILING: terminal growth 7.03% exceeds nominal GDP growth of 6.03% (real GDP 3.50% + inflation 2.53%). The model's rule is g &lt;= nominal GDP, so this column is elasticity-only and not an admissible valuation.</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Casper Brink Rasmussen</author>
  </authors>
  <commentList>
    <comment ref="A20" authorId="0" shapeId="0" xr:uid="{5C90FC73-344D-4AEC-A54A-611C15B7DFBA}">
      <text>
        <r>
          <rPr>
            <b/>
            <sz val="9"/>
            <color indexed="81"/>
            <rFont val="Tahoma"/>
            <charset val="1"/>
          </rPr>
          <t>Casper Brink Rasmussen:</t>
        </r>
        <r>
          <rPr>
            <sz val="9"/>
            <color indexed="81"/>
            <rFont val="Tahoma"/>
            <charset val="1"/>
          </rPr>
          <t xml:space="preserve">
ANCHOR: NVIDIA management. Jensen Huang, NVIDIA earnings call, stated a '$3-4 trillion AI infrastructure opportunity' over the following five years, and that top-four cloud provider capex had doubled to $600bn over two years. A $3-4tn cumulative five-year figure implies roughly a $1.0-1.3tn annual exit rate. Rows here extend that to year 10. CAUTION: this is total AI INFRASTRUCTURE spend (data centres, power, networking, compute), not accelerated-computing silicon revenue - NVIDIA addresses only a share of it, which is why row 21 is a share of spend rather than a share of a silicon market. Retrieved via secondary reporting of the earnings call; confirm against NVIDIA's own transcript at investor.nvidia.com before relying on it.</t>
        </r>
      </text>
    </comment>
    <comment ref="B20" authorId="0" shapeId="0" xr:uid="{6E96A8DE-8DFB-4271-8B4F-977EFC7C7DA3}">
      <text>
        <r>
          <rPr>
            <b/>
            <sz val="9"/>
            <color indexed="81"/>
            <rFont val="Tahoma"/>
            <charset val="1"/>
          </rPr>
          <t>Casper Brink Rasmussen:</t>
        </r>
        <r>
          <rPr>
            <sz val="9"/>
            <color indexed="81"/>
            <rFont val="Tahoma"/>
            <charset val="1"/>
          </rPr>
          <t xml:space="preserve">
Scenario A: infrastructure spend compounds from a ~$1.0-1.3tn exit rate (year 5) to $2.5tn by year 10. Source anchor: NVIDIA management $3-4tn five-year opportunity.</t>
        </r>
      </text>
    </comment>
    <comment ref="C20" authorId="0" shapeId="0" xr:uid="{32F93304-09CD-400B-A5CE-F9E763DDE695}">
      <text>
        <r>
          <rPr>
            <b/>
            <sz val="9"/>
            <color indexed="81"/>
            <rFont val="Tahoma"/>
            <charset val="1"/>
          </rPr>
          <t>Casper Brink Rasmussen:</t>
        </r>
        <r>
          <rPr>
            <sz val="9"/>
            <color indexed="81"/>
            <rFont val="Tahoma"/>
            <charset val="1"/>
          </rPr>
          <t xml:space="preserve">
Scenario B (base): $1.8tn annual infrastructure spend by year 10. Source anchor: NVIDIA management $3-4tn five-year opportunity.</t>
        </r>
      </text>
    </comment>
    <comment ref="D20" authorId="0" shapeId="0" xr:uid="{A35C4A4B-9291-4784-9B79-F0879FEF9456}">
      <text>
        <r>
          <rPr>
            <b/>
            <sz val="9"/>
            <color indexed="81"/>
            <rFont val="Tahoma"/>
            <charset val="1"/>
          </rPr>
          <t>Casper Brink Rasmussen:</t>
        </r>
        <r>
          <rPr>
            <sz val="9"/>
            <color indexed="81"/>
            <rFont val="Tahoma"/>
            <charset val="1"/>
          </rPr>
          <t xml:space="preserve">
Scenario C: $1.4tn - growth decelerates after the initial buildout.</t>
        </r>
      </text>
    </comment>
    <comment ref="E20" authorId="0" shapeId="0" xr:uid="{626B676D-A2A5-4E07-A767-C46A7F5B9B4B}">
      <text>
        <r>
          <rPr>
            <b/>
            <sz val="9"/>
            <color indexed="81"/>
            <rFont val="Tahoma"/>
            <charset val="1"/>
          </rPr>
          <t>Casper Brink Rasmussen:</t>
        </r>
        <r>
          <rPr>
            <sz val="9"/>
            <color indexed="81"/>
            <rFont val="Tahoma"/>
            <charset val="1"/>
          </rPr>
          <t xml:space="preserve">
Scenario D: $1.0tn - spend plateaus near the year-5 exit rate, no further growth.</t>
        </r>
      </text>
    </comment>
    <comment ref="A21" authorId="0" shapeId="0" xr:uid="{065111AB-CA7C-4518-BAC2-E9D2F2C6FA6F}">
      <text>
        <r>
          <rPr>
            <b/>
            <sz val="9"/>
            <color indexed="81"/>
            <rFont val="Tahoma"/>
            <charset val="1"/>
          </rPr>
          <t>Casper Brink Rasmussen:</t>
        </r>
        <r>
          <rPr>
            <sz val="9"/>
            <color indexed="81"/>
            <rFont val="Tahoma"/>
            <charset val="1"/>
          </rPr>
          <t xml:space="preserve">
Calibrated to NVIDIA's current position, not invented: latest-year revenue of ~216bn against the ~$600bn top-four CSP capex Huang cited implies roughly a 36% share of that spend base today. Scenarios flex around that anchor. Share of total infrastructure spend necessarily falls over time as power, land and construction take a larger portion of the buildout.</t>
        </r>
      </text>
    </comment>
    <comment ref="B21" authorId="0" shapeId="0" xr:uid="{D1BE7360-972A-4EBD-922F-F3524ADC5FFD}">
      <text>
        <r>
          <rPr>
            <b/>
            <sz val="9"/>
            <color indexed="81"/>
            <rFont val="Tahoma"/>
            <charset val="1"/>
          </rPr>
          <t>Casper Brink Rasmussen:</t>
        </r>
        <r>
          <rPr>
            <sz val="9"/>
            <color indexed="81"/>
            <rFont val="Tahoma"/>
            <charset val="1"/>
          </rPr>
          <t xml:space="preserve">
Scenario A: share rises to 44% - NVIDIA extends into CPUs, networking and full rack-scale systems, capturing more of each dollar.</t>
        </r>
      </text>
    </comment>
    <comment ref="C21" authorId="0" shapeId="0" xr:uid="{AC1C4D3C-EE87-4624-98DB-9F8DAF82039A}">
      <text>
        <r>
          <rPr>
            <b/>
            <sz val="9"/>
            <color indexed="81"/>
            <rFont val="Tahoma"/>
            <charset val="1"/>
          </rPr>
          <t>Casper Brink Rasmussen:</t>
        </r>
        <r>
          <rPr>
            <sz val="9"/>
            <color indexed="81"/>
            <rFont val="Tahoma"/>
            <charset val="1"/>
          </rPr>
          <t xml:space="preserve">
Scenario B (base): 35%, roughly holding today's implied ~36% share.</t>
        </r>
      </text>
    </comment>
    <comment ref="D21" authorId="0" shapeId="0" xr:uid="{21134926-BCC9-4642-BFF1-8DAE559D7ADE}">
      <text>
        <r>
          <rPr>
            <b/>
            <sz val="9"/>
            <color indexed="81"/>
            <rFont val="Tahoma"/>
            <charset val="1"/>
          </rPr>
          <t>Casper Brink Rasmussen:</t>
        </r>
        <r>
          <rPr>
            <sz val="9"/>
            <color indexed="81"/>
            <rFont val="Tahoma"/>
            <charset val="1"/>
          </rPr>
          <t xml:space="preserve">
Scenario C: 30% - custom silicon from hyperscalers and AMD take share.</t>
        </r>
      </text>
    </comment>
    <comment ref="E21" authorId="0" shapeId="0" xr:uid="{BE252FF0-75E5-4FF7-8F65-83A001E5EF28}">
      <text>
        <r>
          <rPr>
            <b/>
            <sz val="9"/>
            <color indexed="81"/>
            <rFont val="Tahoma"/>
            <charset val="1"/>
          </rPr>
          <t>Casper Brink Rasmussen:</t>
        </r>
        <r>
          <rPr>
            <sz val="9"/>
            <color indexed="81"/>
            <rFont val="Tahoma"/>
            <charset val="1"/>
          </rPr>
          <t xml:space="preserve">
Scenario D: 24% - accelerated computing commoditises.</t>
        </r>
      </text>
    </comment>
    <comment ref="A116" authorId="0" shapeId="0" xr:uid="{8FBBED21-433D-457B-B1D4-B84F101A2458}">
      <text>
        <r>
          <rPr>
            <b/>
            <sz val="9"/>
            <color indexed="81"/>
            <rFont val="Tahoma"/>
            <charset val="1"/>
          </rPr>
          <t>Casper Brink Rasmussen:</t>
        </r>
        <r>
          <rPr>
            <sz val="9"/>
            <color indexed="81"/>
            <rFont val="Tahoma"/>
            <charset val="1"/>
          </rPr>
          <t xml:space="preserve">
APPROXIMATION: scales scenario A's year-10 revenue by the ratio of market cap to scenario A equity value. Value per share is not exactly linear in year-10 revenue (the revenue path is geometric from a fixed current base, and the continuing value depends on year-10 NOPAT), so treat this as an order-of-magnitude indication rather than a solved figure. For a precise answer, raise cell B20 or B21 until B101 equals the current share price.</t>
        </r>
      </text>
    </comment>
    <comment ref="A117" authorId="0" shapeId="0" xr:uid="{B9A39C46-918C-4C35-899D-262C0FB64E01}">
      <text>
        <r>
          <rPr>
            <b/>
            <sz val="9"/>
            <color indexed="81"/>
            <rFont val="Tahoma"/>
            <charset val="1"/>
          </rPr>
          <t>Casper Brink Rasmussen:</t>
        </r>
        <r>
          <rPr>
            <sz val="9"/>
            <color indexed="81"/>
            <rFont val="Tahoma"/>
            <charset val="1"/>
          </rPr>
          <t xml:space="preserve">
A share above 100% is not achievable. It means the market price cannot be justified by scenario A's assumptions on margin and capital turnover at a USD 2.0tn industry size - either the industry must be materially larger than assumed, or margins/returns must be higher, or the market is pricing in more than the fundamentals support.</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69113651-4FE0-40A8-9C4E-47813782AEE8}" keepAlive="1" name="Query - mag7_sp500_weekly_full" description="Connection to the 'mag7_sp500_weekly_full' query in the workbook." type="5" refreshedVersion="8" background="1" saveData="1">
    <dbPr connection="Provider=Microsoft.Mashup.OleDb.1;Data Source=$Workbook$;Location=mag7_sp500_weekly_full;Extended Properties=&quot;&quot;" command="SELECT * FROM [mag7_sp500_weekly_full]"/>
  </connection>
  <connection id="2" xr16:uid="{34B5938D-8F88-49BF-898B-02A0751838AE}" keepAlive="1" name="Query - peer_fundamentals" description="Connection to the 'peer_fundamentals' query in the workbook." type="5" refreshedVersion="8" background="1" saveData="1">
    <dbPr connection="Provider=Microsoft.Mashup.OleDb.1;Data Source=$Workbook$;Location=peer_fundamentals;Extended Properties=&quot;&quot;" command="SELECT * FROM [peer_fundamentals]"/>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7">
    <bk>
      <extLst>
        <ext uri="{3e2802c4-a4d2-4d8b-9148-e3be6c30e623}">
          <xlrd:rvb i="2"/>
        </ext>
      </extLst>
    </bk>
    <bk>
      <extLst>
        <ext uri="{3e2802c4-a4d2-4d8b-9148-e3be6c30e623}">
          <xlrd:rvb i="9"/>
        </ext>
      </extLst>
    </bk>
    <bk>
      <extLst>
        <ext uri="{3e2802c4-a4d2-4d8b-9148-e3be6c30e623}">
          <xlrd:rvb i="12"/>
        </ext>
      </extLst>
    </bk>
    <bk>
      <extLst>
        <ext uri="{3e2802c4-a4d2-4d8b-9148-e3be6c30e623}">
          <xlrd:rvb i="15"/>
        </ext>
      </extLst>
    </bk>
    <bk>
      <extLst>
        <ext uri="{3e2802c4-a4d2-4d8b-9148-e3be6c30e623}">
          <xlrd:rvb i="18"/>
        </ext>
      </extLst>
    </bk>
    <bk>
      <extLst>
        <ext uri="{3e2802c4-a4d2-4d8b-9148-e3be6c30e623}">
          <xlrd:rvb i="21"/>
        </ext>
      </extLst>
    </bk>
    <bk>
      <extLst>
        <ext uri="{3e2802c4-a4d2-4d8b-9148-e3be6c30e623}">
          <xlrd:rvb i="24"/>
        </ext>
      </extLst>
    </bk>
  </futureMetadata>
  <cellMetadata count="1">
    <bk>
      <rc t="1" v="0"/>
    </bk>
  </cellMetadata>
  <valueMetadata count="7">
    <bk>
      <rc t="2" v="0"/>
    </bk>
    <bk>
      <rc t="2" v="1"/>
    </bk>
    <bk>
      <rc t="2" v="2"/>
    </bk>
    <bk>
      <rc t="2" v="3"/>
    </bk>
    <bk>
      <rc t="2" v="4"/>
    </bk>
    <bk>
      <rc t="2" v="5"/>
    </bk>
    <bk>
      <rc t="2" v="6"/>
    </bk>
  </valueMetadata>
</metadata>
</file>

<file path=xl/sharedStrings.xml><?xml version="1.0" encoding="utf-8"?>
<sst xmlns="http://schemas.openxmlformats.org/spreadsheetml/2006/main" count="6322" uniqueCount="1618">
  <si>
    <t>Income Statement</t>
  </si>
  <si>
    <t>Company</t>
  </si>
  <si>
    <t>AAPL (NASDAQ)</t>
  </si>
  <si>
    <t>Currency</t>
  </si>
  <si>
    <t>USD</t>
  </si>
  <si>
    <t>Weighted Average Shs Out Dil</t>
  </si>
  <si>
    <t>Weighted Average Shs Out</t>
  </si>
  <si>
    <t>Epsdiluted</t>
  </si>
  <si>
    <t>Eps</t>
  </si>
  <si>
    <t>Net Income Ratio</t>
  </si>
  <si>
    <t>Net Income</t>
  </si>
  <si>
    <t>Income Tax Expense</t>
  </si>
  <si>
    <t>Income Before Tax Ratio</t>
  </si>
  <si>
    <t>Income Before Tax</t>
  </si>
  <si>
    <t>Total Other Income Expenses Net</t>
  </si>
  <si>
    <t>Operating Income Ratio</t>
  </si>
  <si>
    <t>Operating Income</t>
  </si>
  <si>
    <t>Ebitdaratio</t>
  </si>
  <si>
    <t>Ebitda</t>
  </si>
  <si>
    <t>Depreciation And Amortization</t>
  </si>
  <si>
    <t>Interest Expense</t>
  </si>
  <si>
    <t>Cost And Expenses</t>
  </si>
  <si>
    <t>Operating Expenses</t>
  </si>
  <si>
    <t>Other Expenses</t>
  </si>
  <si>
    <t>Selling General And Administrative Expenses</t>
  </si>
  <si>
    <t xml:space="preserve">    Selling And Marketing Expenses</t>
  </si>
  <si>
    <t xml:space="preserve">    General And Administrative Expenses</t>
  </si>
  <si>
    <t>Research And Development Expenses</t>
  </si>
  <si>
    <t>Gross Profit Ratio</t>
  </si>
  <si>
    <t>Gross Profit</t>
  </si>
  <si>
    <t>Cost Of Revenue</t>
  </si>
  <si>
    <t>Revenue</t>
  </si>
  <si>
    <t>Period</t>
  </si>
  <si>
    <t>FY</t>
  </si>
  <si>
    <t>Date</t>
  </si>
  <si>
    <t>Balance Sheet</t>
  </si>
  <si>
    <t>Net Debt</t>
  </si>
  <si>
    <t>Total Debt</t>
  </si>
  <si>
    <t>Total Investments</t>
  </si>
  <si>
    <t>Total Liabilities And Stockholders Equity</t>
  </si>
  <si>
    <t>Total Stockholders Equity</t>
  </si>
  <si>
    <t>Othertotal Stockholders Equity</t>
  </si>
  <si>
    <t>Accumulated Other Comprehensive Income Loss</t>
  </si>
  <si>
    <t>Retained Earnings</t>
  </si>
  <si>
    <t>Common Stock</t>
  </si>
  <si>
    <t>Total Liabilities</t>
  </si>
  <si>
    <t>Other Liabilities</t>
  </si>
  <si>
    <t>Total Non Current Liabilities</t>
  </si>
  <si>
    <t>Other Non Current Liabilities</t>
  </si>
  <si>
    <t>Deferred Tax Liabilities Non Current</t>
  </si>
  <si>
    <t>Deferred Revenue Non Current</t>
  </si>
  <si>
    <t>Long Term Debt</t>
  </si>
  <si>
    <t>Total Current Liabilities</t>
  </si>
  <si>
    <t>Other Current Liabilities</t>
  </si>
  <si>
    <t>Deferred Revenue</t>
  </si>
  <si>
    <t>Tax Payables</t>
  </si>
  <si>
    <t>Short Term Debt</t>
  </si>
  <si>
    <t>Account Payables</t>
  </si>
  <si>
    <t>Total Assets</t>
  </si>
  <si>
    <t>Other Assets</t>
  </si>
  <si>
    <t>Total Non Current Assets</t>
  </si>
  <si>
    <t>Other Non Current Assets</t>
  </si>
  <si>
    <t>Tax Assets</t>
  </si>
  <si>
    <t>Long Term Investments</t>
  </si>
  <si>
    <t>Goodwill And Intangible Assets</t>
  </si>
  <si>
    <t>Intangible Assets</t>
  </si>
  <si>
    <t>Goodwill</t>
  </si>
  <si>
    <t>Property Plant Equipment Net</t>
  </si>
  <si>
    <t>Total Current Assets</t>
  </si>
  <si>
    <t>Other Current Assets</t>
  </si>
  <si>
    <t>Inventory</t>
  </si>
  <si>
    <t>Net Receivables</t>
  </si>
  <si>
    <t>Cash And Short Term Investments</t>
  </si>
  <si>
    <t>Short Term Investments</t>
  </si>
  <si>
    <t>Cash And Cash Equivalents</t>
  </si>
  <si>
    <t>Cash Flow</t>
  </si>
  <si>
    <t>Free Cash Flow</t>
  </si>
  <si>
    <t>Capital Expenditure</t>
  </si>
  <si>
    <t>Operating Cash Flow</t>
  </si>
  <si>
    <t>Cash At Beginning Of Period</t>
  </si>
  <si>
    <t>Cash At End Of Period</t>
  </si>
  <si>
    <t>Net Change In Cash</t>
  </si>
  <si>
    <t>Effect Of Forex Changes On Cash</t>
  </si>
  <si>
    <t>Net Cash Used Provided By Financing Activities</t>
  </si>
  <si>
    <t>Other Financing Activities</t>
  </si>
  <si>
    <t>Dividends Paid</t>
  </si>
  <si>
    <t>Common Stock Repurchased</t>
  </si>
  <si>
    <t>Common Stock Issued</t>
  </si>
  <si>
    <t>Debt Repayment</t>
  </si>
  <si>
    <t>Net Cash Used For Investing Activities</t>
  </si>
  <si>
    <t>Other Investing Activities</t>
  </si>
  <si>
    <t>Sales Maturities Of Investments</t>
  </si>
  <si>
    <t>Purchases Of Investments</t>
  </si>
  <si>
    <t>Acquisitions Net</t>
  </si>
  <si>
    <t>Investments In Property Plant And Equipment</t>
  </si>
  <si>
    <t>Net Cash Provided By Operating Activities</t>
  </si>
  <si>
    <t>Other Non Cash Items</t>
  </si>
  <si>
    <t>Other Working Capital</t>
  </si>
  <si>
    <t>Accounts Payables</t>
  </si>
  <si>
    <t>Accounts Receivables</t>
  </si>
  <si>
    <t>Change In Working Capital</t>
  </si>
  <si>
    <t>Stock Based Compensation</t>
  </si>
  <si>
    <t>Deferred Income Tax</t>
  </si>
  <si>
    <t>Key Metrics</t>
  </si>
  <si>
    <t>Capex Per Share</t>
  </si>
  <si>
    <t>Roe</t>
  </si>
  <si>
    <t>Inventory Turnover</t>
  </si>
  <si>
    <t>Payables Turnover</t>
  </si>
  <si>
    <t>Receivables Turnover</t>
  </si>
  <si>
    <t>Days Of Inventory On Hand</t>
  </si>
  <si>
    <t>Days Payables Outstanding</t>
  </si>
  <si>
    <t>Days Sales Outstanding</t>
  </si>
  <si>
    <t>Average Inventory</t>
  </si>
  <si>
    <t>Average Payables</t>
  </si>
  <si>
    <t>Average Receivables</t>
  </si>
  <si>
    <t>Net Current Asset Value</t>
  </si>
  <si>
    <t>Tangible Asset Value</t>
  </si>
  <si>
    <t>Working Capital</t>
  </si>
  <si>
    <t>Graham Net Net</t>
  </si>
  <si>
    <t>Return On Tangible Assets</t>
  </si>
  <si>
    <t>Roic</t>
  </si>
  <si>
    <t>Graham Number</t>
  </si>
  <si>
    <t>Stock Based Compensation To Revenue</t>
  </si>
  <si>
    <t>Capex To Depreciation</t>
  </si>
  <si>
    <t>Capex To Revenue</t>
  </si>
  <si>
    <t>Capex To Operating Cash Flow</t>
  </si>
  <si>
    <t>Intangibles To Total Assets</t>
  </si>
  <si>
    <t>Research And Development To Revenue</t>
  </si>
  <si>
    <t>Sales General And Administrative To Revenue</t>
  </si>
  <si>
    <t>Payout Ratio</t>
  </si>
  <si>
    <t>Dividend Yield</t>
  </si>
  <si>
    <t>Income Quality</t>
  </si>
  <si>
    <t>Interest Coverage</t>
  </si>
  <si>
    <t>Current Ratio</t>
  </si>
  <si>
    <t>Net Debt To EBITDA</t>
  </si>
  <si>
    <t>Debt To Assets</t>
  </si>
  <si>
    <t>Debt To Equity</t>
  </si>
  <si>
    <t>Free Cash Flow Yield</t>
  </si>
  <si>
    <t>Earnings Yield</t>
  </si>
  <si>
    <t>Ev To Free Cash Flow</t>
  </si>
  <si>
    <t>Ev To Operating Cash Flow</t>
  </si>
  <si>
    <t>Enterprise Value Over EBITDA</t>
  </si>
  <si>
    <t>Ev To Sales</t>
  </si>
  <si>
    <t>Ptb Ratio</t>
  </si>
  <si>
    <t>Pb Ratio</t>
  </si>
  <si>
    <t>Pfcf Ratio</t>
  </si>
  <si>
    <t>Pocfratio</t>
  </si>
  <si>
    <t>Price To Sales Ratio</t>
  </si>
  <si>
    <t>Pe Ratio</t>
  </si>
  <si>
    <t>Enterprise Value</t>
  </si>
  <si>
    <t>Market Cap</t>
  </si>
  <si>
    <t>Interest Debt Per Share</t>
  </si>
  <si>
    <t>Shareholders Equity Per Share</t>
  </si>
  <si>
    <t>Tangible Book Value Per Share</t>
  </si>
  <si>
    <t>Book Value Per Share</t>
  </si>
  <si>
    <t>Cash Per Share</t>
  </si>
  <si>
    <t>Free Cash Flow Per Share</t>
  </si>
  <si>
    <t>Operating Cash Flow Per Share</t>
  </si>
  <si>
    <t>Net Income Per Share</t>
  </si>
  <si>
    <t>Revenue Per Share</t>
  </si>
  <si>
    <t>Financial Growth</t>
  </si>
  <si>
    <t>Sgaexpenses Growth</t>
  </si>
  <si>
    <t>Rdexpense Growth</t>
  </si>
  <si>
    <t>Debt Growth</t>
  </si>
  <si>
    <t>Book Valueper Share Growth</t>
  </si>
  <si>
    <t>Asset Growth</t>
  </si>
  <si>
    <t>Inventory Growth</t>
  </si>
  <si>
    <t>Receivables Growth</t>
  </si>
  <si>
    <t>Three YDividendper Share Growth Per Share</t>
  </si>
  <si>
    <t>Five YDividendper Share Growth Per Share</t>
  </si>
  <si>
    <t>Ten YDividendper Share Growth Per Share</t>
  </si>
  <si>
    <t>Three YShareholders Equity Growth Per Share</t>
  </si>
  <si>
    <t>Five YShareholders Equity Growth Per Share</t>
  </si>
  <si>
    <t>Ten YShareholders Equity Growth Per Share</t>
  </si>
  <si>
    <t>Three YNet Income Growth Per Share</t>
  </si>
  <si>
    <t>Five YNet Income Growth Per Share</t>
  </si>
  <si>
    <t>Ten YNet Income Growth Per Share</t>
  </si>
  <si>
    <t>Three YOperating CFGrowth Per Share</t>
  </si>
  <si>
    <t>Five YOperating CFGrowth Per Share</t>
  </si>
  <si>
    <t>Ten YOperating CFGrowth Per Share</t>
  </si>
  <si>
    <t>Three YRevenue Growth Per Share</t>
  </si>
  <si>
    <t>Five YRevenue Growth Per Share</t>
  </si>
  <si>
    <t>Ten YRevenue Growth Per Share</t>
  </si>
  <si>
    <t>Free Cash Flow Growth</t>
  </si>
  <si>
    <t>Operating Cash Flow Growth</t>
  </si>
  <si>
    <t>Dividendsper Share Growth</t>
  </si>
  <si>
    <t>Weighted Average Shares Diluted Growth</t>
  </si>
  <si>
    <t>Weighted Average Shares Growth</t>
  </si>
  <si>
    <t>Epsdiluted Growth</t>
  </si>
  <si>
    <t>Epsgrowth</t>
  </si>
  <si>
    <t>Net Income Growth</t>
  </si>
  <si>
    <t>Operating Income Growth</t>
  </si>
  <si>
    <t>Ebitgrowth</t>
  </si>
  <si>
    <t>Gross Profit Growth</t>
  </si>
  <si>
    <t>Revenue Growth</t>
  </si>
  <si>
    <t>TSLA (NASDAQ)</t>
  </si>
  <si>
    <t>AMZN (NASDAQ)</t>
  </si>
  <si>
    <t>MSFT (NASDAQ)</t>
  </si>
  <si>
    <t>MSFT - Income Statement FY</t>
  </si>
  <si>
    <t>MSFT - Balance Sheet FY</t>
  </si>
  <si>
    <t>MSFT - Cash Flow FY</t>
  </si>
  <si>
    <t>MSFT - Key Metrics FY</t>
  </si>
  <si>
    <t>MSFT - Financial Growth FY</t>
  </si>
  <si>
    <t>GOOGL - Income Statement FY</t>
  </si>
  <si>
    <t>GOOGL (NASDAQ)</t>
  </si>
  <si>
    <t>GOOGL - Balance Sheet FY</t>
  </si>
  <si>
    <t>GOOGL - Cash Flow FY</t>
  </si>
  <si>
    <t>GOOGL - Key Metrics FY</t>
  </si>
  <si>
    <t>GOOGL - Financial Growth FY</t>
  </si>
  <si>
    <t>NVDA - Income Statement FY</t>
  </si>
  <si>
    <t>NVDA (NASDAQ)</t>
  </si>
  <si>
    <t>NVDA - Balance Sheet FY</t>
  </si>
  <si>
    <t>NVDA - Cash Flow FY</t>
  </si>
  <si>
    <t>NVDA - Key Metrics FY</t>
  </si>
  <si>
    <t>NVDA - Financial Growth FY</t>
  </si>
  <si>
    <t>META - Income Statement FY</t>
  </si>
  <si>
    <t>META (NASDAQ)</t>
  </si>
  <si>
    <t>META - Balance Sheet FY</t>
  </si>
  <si>
    <t>META - Cash Flow FY</t>
  </si>
  <si>
    <t>META - Key Metrics FY</t>
  </si>
  <si>
    <t>META - Financial Growth FY</t>
  </si>
  <si>
    <t>MSFT - Reconciliation FY</t>
  </si>
  <si>
    <t>ASSUMPTIONS</t>
  </si>
  <si>
    <t>Working Cash (% of Revenue)</t>
  </si>
  <si>
    <t>Marginal Tax Rate</t>
  </si>
  <si>
    <t>INVESTED CAPITAL</t>
  </si>
  <si>
    <t>Working cash</t>
  </si>
  <si>
    <t>Receivables</t>
  </si>
  <si>
    <t>Other current assets</t>
  </si>
  <si>
    <t>Operating current assets</t>
  </si>
  <si>
    <t>Accounts payable</t>
  </si>
  <si>
    <t>Income taxes payable</t>
  </si>
  <si>
    <t>Deferred revenue</t>
  </si>
  <si>
    <t>Other current liabilities</t>
  </si>
  <si>
    <t>Operating current liabilities</t>
  </si>
  <si>
    <t>Operating working capital</t>
  </si>
  <si>
    <t>Net property, plant &amp; equipment</t>
  </si>
  <si>
    <t>Other intangible assets</t>
  </si>
  <si>
    <t>Other non-current operating assets</t>
  </si>
  <si>
    <t>Deferred revenue, non-current</t>
  </si>
  <si>
    <t>Deferred tax liabilities</t>
  </si>
  <si>
    <t>Other non-current operating liabilities</t>
  </si>
  <si>
    <t>Invested capital (excl. goodwill)</t>
  </si>
  <si>
    <t>Invested capital (incl. goodwill)</t>
  </si>
  <si>
    <t>NON-OPERATING ASSETS</t>
  </si>
  <si>
    <t>Excess cash</t>
  </si>
  <si>
    <t>Short-term investments</t>
  </si>
  <si>
    <t>Long-term investments</t>
  </si>
  <si>
    <t>Tax assets</t>
  </si>
  <si>
    <t>Other assets</t>
  </si>
  <si>
    <t>Total non-operating assets</t>
  </si>
  <si>
    <t>TOTAL FUNDS INVESTED</t>
  </si>
  <si>
    <t>FINANCING</t>
  </si>
  <si>
    <t>Short-term debt</t>
  </si>
  <si>
    <t>Long-term debt</t>
  </si>
  <si>
    <t>Total debt</t>
  </si>
  <si>
    <t>Total equity</t>
  </si>
  <si>
    <t>Total funds invested (financing side)</t>
  </si>
  <si>
    <t>Check: assets less financing</t>
  </si>
  <si>
    <t>NOPAT</t>
  </si>
  <si>
    <t>EBIT (operating income)</t>
  </si>
  <si>
    <t>Operating cash taxes at marginal rate</t>
  </si>
  <si>
    <t>Non-operating income (pre-tax)</t>
  </si>
  <si>
    <t>Marginal tax on EBIT (add back)</t>
  </si>
  <si>
    <t>Reported income tax expense</t>
  </si>
  <si>
    <t>FREE CASH FLOW</t>
  </si>
  <si>
    <t>Depreciation &amp; amortisation</t>
  </si>
  <si>
    <t>Gross cash flow</t>
  </si>
  <si>
    <t>(Increase)/decrease in operating working capital</t>
  </si>
  <si>
    <t>Capital expenditure</t>
  </si>
  <si>
    <t>Free cash flow</t>
  </si>
  <si>
    <t>Reported FCF (operating cash flow less capex)</t>
  </si>
  <si>
    <t>Variance - tax basis, SBC and non-operating</t>
  </si>
  <si>
    <t>RETURNS</t>
  </si>
  <si>
    <t>Average invested capital (incl. goodwill)</t>
  </si>
  <si>
    <t>ROIC (incl. goodwill)</t>
  </si>
  <si>
    <t>Average invested capital (excl. goodwill)</t>
  </si>
  <si>
    <t>ROIC (excl. goodwill)</t>
  </si>
  <si>
    <t>NOPAT margin</t>
  </si>
  <si>
    <t>Capital turnover</t>
  </si>
  <si>
    <t>AAPL - Reconciliation FY</t>
  </si>
  <si>
    <t>TSLA - Reconciliation FY</t>
  </si>
  <si>
    <t>AMZN - Reconciliation FY</t>
  </si>
  <si>
    <t>Other liabilities &amp; non-controlling interests</t>
  </si>
  <si>
    <t>Net income (consolidated)</t>
  </si>
  <si>
    <t>Difference - non-controlling interests</t>
  </si>
  <si>
    <t>GOOGL - Reconciliation FY</t>
  </si>
  <si>
    <t>NVDA - Reconciliation FY</t>
  </si>
  <si>
    <t>META - Reconciliation FY</t>
  </si>
  <si>
    <t>Ticker</t>
  </si>
  <si>
    <t>^GSPC</t>
  </si>
  <si>
    <t>AMZN</t>
  </si>
  <si>
    <t>META</t>
  </si>
  <si>
    <t>TSLA</t>
  </si>
  <si>
    <t>NVDA</t>
  </si>
  <si>
    <t>MSFT</t>
  </si>
  <si>
    <t>AAPL</t>
  </si>
  <si>
    <t>WACC Tree - Magnificent 7</t>
  </si>
  <si>
    <t>MARKET INPUTS</t>
  </si>
  <si>
    <t>Risk-free rate (10Y US Treasury)</t>
  </si>
  <si>
    <t>Period (years)</t>
  </si>
  <si>
    <t>R squared</t>
  </si>
  <si>
    <t>Observations</t>
  </si>
  <si>
    <t>COST OF EQUITY (CAPM)</t>
  </si>
  <si>
    <t>Risk-free rate</t>
  </si>
  <si>
    <t>Beta</t>
  </si>
  <si>
    <t>Equity risk premium</t>
  </si>
  <si>
    <t>Cost of equity</t>
  </si>
  <si>
    <t>GOOGL</t>
  </si>
  <si>
    <t>RONIC</t>
  </si>
  <si>
    <t>Incremental NOPAT</t>
  </si>
  <si>
    <t>Incremental invested capital</t>
  </si>
  <si>
    <t>RONIC (incremental return on new capital)</t>
  </si>
  <si>
    <t>ROIC TREE</t>
  </si>
  <si>
    <t>Capital turnover (revenue / invested capital)</t>
  </si>
  <si>
    <t>ROIC = margin x turnover</t>
  </si>
  <si>
    <t>Margin decomposition</t>
  </si>
  <si>
    <t>Gross margin</t>
  </si>
  <si>
    <t>R&amp;D / revenue</t>
  </si>
  <si>
    <t>SG&amp;A / revenue</t>
  </si>
  <si>
    <t>EBIT margin</t>
  </si>
  <si>
    <t>x (1 - marginal tax rate)</t>
  </si>
  <si>
    <t>Turnover decomposition (revenue / component)</t>
  </si>
  <si>
    <t>Operating working capital turns</t>
  </si>
  <si>
    <t>Net PP&amp;E turns</t>
  </si>
  <si>
    <t>Goodwill &amp; intangibles turns</t>
  </si>
  <si>
    <t>Invested capital turns</t>
  </si>
  <si>
    <t>CAPITAL STRUCTURE</t>
  </si>
  <si>
    <t>Market capitalisation</t>
  </si>
  <si>
    <t>Total debt (book, latest FY)</t>
  </si>
  <si>
    <t>Equity weight</t>
  </si>
  <si>
    <t>Debt weight</t>
  </si>
  <si>
    <t>COST OF DEBT</t>
  </si>
  <si>
    <t>After-tax cost of debt</t>
  </si>
  <si>
    <t>WACC</t>
  </si>
  <si>
    <t>Cost of equity x equity weight</t>
  </si>
  <si>
    <t>After-tax cost of debt x debt weight</t>
  </si>
  <si>
    <t>Marginal tax rate</t>
  </si>
  <si>
    <t>Corporate Debt Schedule - source: FY2025 Form 10-K long-term debt footnotes (FY2026 for NVDA)</t>
  </si>
  <si>
    <t>Tranche</t>
  </si>
  <si>
    <t>Face amount (m)</t>
  </si>
  <si>
    <t>Stated coupon</t>
  </si>
  <si>
    <t>Note</t>
  </si>
  <si>
    <t>2013-2023 debt issuances, fixed rate</t>
  </si>
  <si>
    <t>2025 debt issuance, fixed rate notes</t>
  </si>
  <si>
    <t>Total face amount</t>
  </si>
  <si>
    <t>Weighted-average stated coupon</t>
  </si>
  <si>
    <t>Book total debt per balance sheet: 112377</t>
  </si>
  <si>
    <t>Issuance 7</t>
  </si>
  <si>
    <t>Issuance 8</t>
  </si>
  <si>
    <t>Issuance 9</t>
  </si>
  <si>
    <t>Issuance 10</t>
  </si>
  <si>
    <t>Issuance 11</t>
  </si>
  <si>
    <t>Issuance 5</t>
  </si>
  <si>
    <t>Issuance 2</t>
  </si>
  <si>
    <t>Issuance 6</t>
  </si>
  <si>
    <t>Issuance 1</t>
  </si>
  <si>
    <t>Issuance 13</t>
  </si>
  <si>
    <t>Issuance 3</t>
  </si>
  <si>
    <t>Issuance 4</t>
  </si>
  <si>
    <t>Issuance 12</t>
  </si>
  <si>
    <t>Book total debt per balance sheet: 43151</t>
  </si>
  <si>
    <t>2025 US dollar notes</t>
  </si>
  <si>
    <t>2025 Euro notes</t>
  </si>
  <si>
    <t>2020 US dollar notes</t>
  </si>
  <si>
    <t>2016 US dollar notes</t>
  </si>
  <si>
    <t>Book total debt per balance sheet: 46547</t>
  </si>
  <si>
    <t>Senior notes 2026-2061</t>
  </si>
  <si>
    <t>Senior notes 2027-2057</t>
  </si>
  <si>
    <t>Senior notes 2028-2065</t>
  </si>
  <si>
    <t>Senior notes 2027-2062</t>
  </si>
  <si>
    <t>Senior notes 2027-2060</t>
  </si>
  <si>
    <t>Senior notes 2027-2032</t>
  </si>
  <si>
    <t>Senior notes 2034-2044</t>
  </si>
  <si>
    <t>Book total debt per balance sheet: 152987</t>
  </si>
  <si>
    <t>2050 Notes</t>
  </si>
  <si>
    <t>2030 Notes</t>
  </si>
  <si>
    <t>2028 Notes</t>
  </si>
  <si>
    <t>2031 Notes</t>
  </si>
  <si>
    <t>2026 Notes</t>
  </si>
  <si>
    <t>2040 Notes</t>
  </si>
  <si>
    <t>2060 Notes</t>
  </si>
  <si>
    <t>Book total debt per balance sheet: 8468</t>
  </si>
  <si>
    <t>November 2025 Notes</t>
  </si>
  <si>
    <t>August 2024 Notes</t>
  </si>
  <si>
    <t>August 2022 Notes</t>
  </si>
  <si>
    <t>May 2023 Notes</t>
  </si>
  <si>
    <t>Book total debt per balance sheet: 58744</t>
  </si>
  <si>
    <t>Not extracted - Tesla FY2025 10-K is IR-hosted PDF; cost of debt derived from interest expense instead</t>
  </si>
  <si>
    <t>Pre-tax cost of debt</t>
  </si>
  <si>
    <t>Lease obligations (debt equivalent)</t>
  </si>
  <si>
    <t>Total capital (market equity + debt + leases)</t>
  </si>
  <si>
    <t>ALTERNATIVE - BOOK VALUE WEIGHTS (not recommended for DCF)</t>
  </si>
  <si>
    <t>Book equity (total stockholders' equity)</t>
  </si>
  <si>
    <t>Debt + lease obligations</t>
  </si>
  <si>
    <t>Book equity weight</t>
  </si>
  <si>
    <t>Book debt weight</t>
  </si>
  <si>
    <t>WACC (book weights)</t>
  </si>
  <si>
    <t>Difference vs market-weighted WACC</t>
  </si>
  <si>
    <t>CREDIT METRICS / BOOK LEVERAGE</t>
  </si>
  <si>
    <t>Net debt</t>
  </si>
  <si>
    <t>Total liabilities</t>
  </si>
  <si>
    <t>Total debt / equity</t>
  </si>
  <si>
    <t>Total liabilities / equity</t>
  </si>
  <si>
    <t>Total debt / total assets</t>
  </si>
  <si>
    <t>Equity / total assets</t>
  </si>
  <si>
    <t>EBITDA</t>
  </si>
  <si>
    <t>Total debt / EBITDA</t>
  </si>
  <si>
    <t>Net debt / EBITDA</t>
  </si>
  <si>
    <t>EBITDA / interest expense</t>
  </si>
  <si>
    <t>Current ratio</t>
  </si>
  <si>
    <t>SENSITIVITY - WACC AT ALTERNATIVE EQUITY RISK PREMIUMS</t>
  </si>
  <si>
    <t>ERP</t>
  </si>
  <si>
    <t>S&amp;P 500 annualised return (market return)</t>
  </si>
  <si>
    <t>BETA - 60 monthly observations vs S&amp;P 500 (McKinsey: 5-year monthly)</t>
  </si>
  <si>
    <t>Adjusted beta (Blume smoothing: 0.33 + 0.67 x raw)</t>
  </si>
  <si>
    <t>Unlevered (asset) beta</t>
  </si>
  <si>
    <t>Re-levered beta at target capital structure</t>
  </si>
  <si>
    <t>METHOD - McKinsey, Valuation: Measuring and Managing the Value of Companies (4th ed.), ch. 10</t>
  </si>
  <si>
    <t>Risk-free rate: 10-year US government bond yield (US Treasury daily par yield curve, 30 Jul 2026).</t>
  </si>
  <si>
    <t>Beta: raw regression of 60 monthly stock returns on S&amp;P 500 returns (market model). Monthly data used per the text's</t>
  </si>
  <si>
    <t xml:space="preserve">   recommendation against daily/weekly frequency. Raw beta then smoothed (0.33 + 0.67 x raw), unlevered, and re-levered</t>
  </si>
  <si>
    <t xml:space="preserve">   to the target capital structure. Text prefers an unlevered INDUSTRY beta re-levered to target; smoothing is its stated</t>
  </si>
  <si>
    <t xml:space="preserve">   fallback where no direct peer set is available. No peer betas are loaded here, so the smoothing route is used.</t>
  </si>
  <si>
    <t>Capital structure: target weights at MARKET values. For mature companies the text approximates target with the current</t>
  </si>
  <si>
    <t xml:space="preserve">   market debt-to-value ratio, and states explicitly that book values should not be used. Debt includes lease obligations.</t>
  </si>
  <si>
    <t>Cost of debt: weighted-average stated coupon from the 10-K debt footnotes (see Debt Schedule tab). The text prefers</t>
  </si>
  <si>
    <t xml:space="preserve">   yield to maturity on long-term debt; YTM is not available from filings alone, so coupon is used as a proxy.</t>
  </si>
  <si>
    <t>Tax: 21% US statutory marginal rate applied to the interest shield.</t>
  </si>
  <si>
    <t>Memo: at realised excess return of 9,98%</t>
  </si>
  <si>
    <t>Memo: realised excess return (index return less risk-free)</t>
  </si>
  <si>
    <t>Real risk-free rate (10-year TIPS)</t>
  </si>
  <si>
    <t>MARKET RISK PREMIUM (real market return less real risk-free)</t>
  </si>
  <si>
    <t>Current (calculated MRP in B12)</t>
  </si>
  <si>
    <t>Market risk premium: CALCULATED as long-run real expected market return (7.0%) less the real risk-free rate (10Y TIPS).</t>
  </si>
  <si>
    <t xml:space="preserve">   Text reverse-engineers the market's cost of equity from a modified key value driver formula and finds the real expected</t>
  </si>
  <si>
    <t xml:space="preserve">   market return is stable at ~7.0% (US, 1962-2002); it then subtracts the TIPS yield, giving 'just under 5 percent'.</t>
  </si>
  <si>
    <t>Long-run return on equity, S&amp;P 500 (McKinsey ch.10)</t>
  </si>
  <si>
    <t>Long-run real GDP growth (McKinsey ch.10)</t>
  </si>
  <si>
    <t>S&amp;P 500 median earnings-to-price ratio (E/P)</t>
  </si>
  <si>
    <t>Real expected market return = E/P x (1 - g/ROE) + g</t>
  </si>
  <si>
    <t>REVENUE DRIVERS &amp; FORECAST</t>
  </si>
  <si>
    <t>TSLA - Revenue Drivers &amp; Forecast</t>
  </si>
  <si>
    <t>FORECAST ASSUMPTIONS</t>
  </si>
  <si>
    <t>Long-run expected inflation (10Y breakeven: nominal UST less TIPS)</t>
  </si>
  <si>
    <t>Nominal revenue CAGR, FY2019-FY2025 (7 years)</t>
  </si>
  <si>
    <t>Real revenue CAGR (nominal less inflation)</t>
  </si>
  <si>
    <t>Long-run real GDP growth ceiling (McKinsey)</t>
  </si>
  <si>
    <t>HISTORICAL REVENUE BY DRIVER (USD m)</t>
  </si>
  <si>
    <t>Driver</t>
  </si>
  <si>
    <t>Automotive sales</t>
  </si>
  <si>
    <t>Automotive regulatory credits</t>
  </si>
  <si>
    <t>Automotive leasing</t>
  </si>
  <si>
    <t>Services and other</t>
  </si>
  <si>
    <t>Energy generation and storage</t>
  </si>
  <si>
    <t>Total revenue (per income statement)</t>
  </si>
  <si>
    <t>Check: drivers less total</t>
  </si>
  <si>
    <t>DRIVER MIX (% of total)</t>
  </si>
  <si>
    <t>QUANTITY x PRICE DECOMPOSITION</t>
  </si>
  <si>
    <t>Vehicle deliveries (units, thousands)</t>
  </si>
  <si>
    <t>Implied ASP (USD per vehicle)</t>
  </si>
  <si>
    <t>FORECAST</t>
  </si>
  <si>
    <t>Total forecast revenue</t>
  </si>
  <si>
    <t>Growth vs prior year</t>
  </si>
  <si>
    <t>AAPL - Revenue Drivers &amp; Forecast</t>
  </si>
  <si>
    <t>Nominal revenue CAGR, 7 years</t>
  </si>
  <si>
    <t>iPhone</t>
  </si>
  <si>
    <t>Mac</t>
  </si>
  <si>
    <t>iPad</t>
  </si>
  <si>
    <t>Wearables, Home and Accessories</t>
  </si>
  <si>
    <t>Services</t>
  </si>
  <si>
    <t>MSFT - Revenue Drivers &amp; Forecast</t>
  </si>
  <si>
    <t>Server products and cloud services</t>
  </si>
  <si>
    <t>Microsoft 365 Commercial</t>
  </si>
  <si>
    <t>Gaming</t>
  </si>
  <si>
    <t>LinkedIn</t>
  </si>
  <si>
    <t>Windows and Devices</t>
  </si>
  <si>
    <t>Search and news advertising</t>
  </si>
  <si>
    <t>Dynamics</t>
  </si>
  <si>
    <t>Enterprise and partner services</t>
  </si>
  <si>
    <t>Microsoft 365 Consumer</t>
  </si>
  <si>
    <t>Other</t>
  </si>
  <si>
    <t>GOOGL - Revenue Drivers &amp; Forecast</t>
  </si>
  <si>
    <t>Google Search &amp; other</t>
  </si>
  <si>
    <t>YouTube ads</t>
  </si>
  <si>
    <t>Google Network</t>
  </si>
  <si>
    <t>Google subscriptions, platforms, and devices</t>
  </si>
  <si>
    <t>Google Cloud</t>
  </si>
  <si>
    <t>Other Bets</t>
  </si>
  <si>
    <t>Hedging gains (losses)</t>
  </si>
  <si>
    <t>AMZN - Revenue Drivers &amp; Forecast</t>
  </si>
  <si>
    <t>Online stores</t>
  </si>
  <si>
    <t>Physical stores</t>
  </si>
  <si>
    <t>Third-party seller services</t>
  </si>
  <si>
    <t>Advertising services</t>
  </si>
  <si>
    <t>Subscription services</t>
  </si>
  <si>
    <t>AWS</t>
  </si>
  <si>
    <t>NVDA - Revenue Drivers &amp; Forecast</t>
  </si>
  <si>
    <t>Compute &amp; Networking</t>
  </si>
  <si>
    <t>Graphics</t>
  </si>
  <si>
    <t>META - Revenue Drivers &amp; Forecast</t>
  </si>
  <si>
    <t>Family of Apps</t>
  </si>
  <si>
    <t>Reality Labs</t>
  </si>
  <si>
    <t>FINANCIAL STATEMENT FORECAST</t>
  </si>
  <si>
    <t>AAPL - Financial Statement Forecast</t>
  </si>
  <si>
    <t>HISTORICAL FORECAST RATIOS</t>
  </si>
  <si>
    <t>Ratio</t>
  </si>
  <si>
    <t>Cost of revenue / revenue</t>
  </si>
  <si>
    <t>Other operating expenses / revenue</t>
  </si>
  <si>
    <t>D&amp;A / net PP&amp;E</t>
  </si>
  <si>
    <t>Interest expense / total debt</t>
  </si>
  <si>
    <t>EBIT margin (memo)</t>
  </si>
  <si>
    <t>FORECAST RATIO SELECTION</t>
  </si>
  <si>
    <t>FORECAST INCOME STATEMENT (USD m)</t>
  </si>
  <si>
    <t>Line item</t>
  </si>
  <si>
    <t>Revenue (from revenue driver sheet)</t>
  </si>
  <si>
    <t>Cost of revenue</t>
  </si>
  <si>
    <t>Gross profit</t>
  </si>
  <si>
    <t>Research &amp; development</t>
  </si>
  <si>
    <t>Selling, general &amp; administrative</t>
  </si>
  <si>
    <t>Other operating expenses</t>
  </si>
  <si>
    <t>Total operating expenses</t>
  </si>
  <si>
    <t>EBIT</t>
  </si>
  <si>
    <t>3-yr mean</t>
  </si>
  <si>
    <t>7-yr mean</t>
  </si>
  <si>
    <t>7-yr median</t>
  </si>
  <si>
    <t>MSFT - Financial Statement Forecast</t>
  </si>
  <si>
    <t>GOOGL - Financial Statement Forecast</t>
  </si>
  <si>
    <t>AMZN - Financial Statement Forecast</t>
  </si>
  <si>
    <t>NVDA - Financial Statement Forecast</t>
  </si>
  <si>
    <t>META - Financial Statement Forecast</t>
  </si>
  <si>
    <t>TSLA - Financial Statement Forecast</t>
  </si>
  <si>
    <t>HISTORICAL BALANCE SHEET RATIOS (% of revenue)</t>
  </si>
  <si>
    <t>Operating working capital / revenue</t>
  </si>
  <si>
    <t>Net PP&amp;E / revenue</t>
  </si>
  <si>
    <t>Goodwill &amp; intangibles / revenue</t>
  </si>
  <si>
    <t>Other net operating assets / revenue</t>
  </si>
  <si>
    <t>Invested capital / revenue (memo)</t>
  </si>
  <si>
    <t>FORECAST INVESTED CAPITAL (USD m)</t>
  </si>
  <si>
    <t>Goodwill &amp; intangibles</t>
  </si>
  <si>
    <t>Other net operating assets</t>
  </si>
  <si>
    <t>Invested capital</t>
  </si>
  <si>
    <t>FREE CASH FLOW (USD m)</t>
  </si>
  <si>
    <t>(Increase) / decrease in operating working capital</t>
  </si>
  <si>
    <t>Investment in goodwill &amp; other operating assets</t>
  </si>
  <si>
    <t>Net PP&amp;E (from invested capital forecast, row 61)</t>
  </si>
  <si>
    <t>Fade period to GDP growth (years)</t>
  </si>
  <si>
    <t>Nominal growth applied by year (faded real growth + inflation)</t>
  </si>
  <si>
    <t>Real growth (faded from 7-yr real CAGR toward GDP ceiling)</t>
  </si>
  <si>
    <t>Starting real growth for fade (input; default = 7-yr real CAGR)</t>
  </si>
  <si>
    <t>Memo: year-1 nominal growth</t>
  </si>
  <si>
    <t>Fade period for ratios (years)</t>
  </si>
  <si>
    <t>FADED RATIOS APPLIED BY YEAR (latest actual fading to Applied target)</t>
  </si>
  <si>
    <t>STEP 5 - NON-OPERATING ASSETS &amp; FINANCING (USD m)</t>
  </si>
  <si>
    <t>Non-operating assets (held at latest actual)</t>
  </si>
  <si>
    <t>Total funds invested</t>
  </si>
  <si>
    <t>Equity (balancing item)</t>
  </si>
  <si>
    <t>Check: funds invested less financing</t>
  </si>
  <si>
    <t>STEP 6 - RETURNS CONSISTENCY CHECK</t>
  </si>
  <si>
    <t>Metric</t>
  </si>
  <si>
    <t>Average invested capital</t>
  </si>
  <si>
    <t>ROIC</t>
  </si>
  <si>
    <t>Net investment / NOPAT (reinvestment rate)</t>
  </si>
  <si>
    <t>Implied growth = RONIC x reinvestment rate</t>
  </si>
  <si>
    <t>Actual revenue growth (memo)</t>
  </si>
  <si>
    <t>Total debt and other liabilities incl. NCI (held at latest actual)</t>
  </si>
  <si>
    <t>DCF VALUATION</t>
  </si>
  <si>
    <t>AAPL - DCF Valuation</t>
  </si>
  <si>
    <t>SCENARIO</t>
  </si>
  <si>
    <t>Starting real revenue growth</t>
  </si>
  <si>
    <t>EBIT margin adjustment (pp)</t>
  </si>
  <si>
    <t>COST OF CAPITAL</t>
  </si>
  <si>
    <t>WACC (from WACC tab)</t>
  </si>
  <si>
    <t>Year</t>
  </si>
  <si>
    <t>Discount factor</t>
  </si>
  <si>
    <t>PV of free cash flow</t>
  </si>
  <si>
    <t>Sum of PV, explicit period</t>
  </si>
  <si>
    <t>Continuing value base revenue</t>
  </si>
  <si>
    <t>Normalised NOPAT</t>
  </si>
  <si>
    <t>Continuing value at end of explicit period</t>
  </si>
  <si>
    <t>PV of continuing value</t>
  </si>
  <si>
    <t>VALUATION BRIDGE</t>
  </si>
  <si>
    <t>Enterprise value</t>
  </si>
  <si>
    <t>less: total debt</t>
  </si>
  <si>
    <t>less: other liabilities and NCI</t>
  </si>
  <si>
    <t>Equity value</t>
  </si>
  <si>
    <t>Shares outstanding (m)</t>
  </si>
  <si>
    <t>Value per share</t>
  </si>
  <si>
    <t>Current share price</t>
  </si>
  <si>
    <t>Upside / (downside)</t>
  </si>
  <si>
    <t>Base</t>
  </si>
  <si>
    <t>Worst</t>
  </si>
  <si>
    <t>Best</t>
  </si>
  <si>
    <t>Active</t>
  </si>
  <si>
    <t>MSFT - DCF Valuation</t>
  </si>
  <si>
    <t>GOOGL - DCF Valuation</t>
  </si>
  <si>
    <t>AMZN - DCF Valuation</t>
  </si>
  <si>
    <t>NVDA - DCF Valuation</t>
  </si>
  <si>
    <t>META - DCF Valuation</t>
  </si>
  <si>
    <t>TSLA - DCF Valuation</t>
  </si>
  <si>
    <t>CONDENSED FORECAST, YEARS 6-15 (revenue growth, margin, capital turnover)</t>
  </si>
  <si>
    <t>Terminal EBIT margin (input; default = year-5 margin)</t>
  </si>
  <si>
    <t>Capital turnover held at year-5 level (revenue / invested capital)</t>
  </si>
  <si>
    <t>Revenue growth (nominal, faded)</t>
  </si>
  <si>
    <t>Increase in invested capital</t>
  </si>
  <si>
    <t>Continuing value growth (nominal; ceiling = nominal GDP)</t>
  </si>
  <si>
    <t>Mid-year adjustment factor</t>
  </si>
  <si>
    <t>CV as % of value of operations</t>
  </si>
  <si>
    <t>Share price (live, Ticker Sheet)</t>
  </si>
  <si>
    <t>Shares outstanding (millions, live, Ticker Sheet)</t>
  </si>
  <si>
    <t>Market P/E (live, Ticker Sheet)</t>
  </si>
  <si>
    <t>Implied P/E at DCF value per share</t>
  </si>
  <si>
    <t>MAGNIFICENT 7 — VALUATION MODEL</t>
  </si>
  <si>
    <t>Enterprise DCF built to McKinsey, Valuation: Measuring and Managing the Value of Companies (4th ed.)</t>
  </si>
  <si>
    <t>Ticker Sheet</t>
  </si>
  <si>
    <t>peer_prices_monthly</t>
  </si>
  <si>
    <t>peer_capital_structure</t>
  </si>
  <si>
    <t>less: employee stock options and unvested RSUs</t>
  </si>
  <si>
    <t>EQUITY BRIDGE (USD m)</t>
  </si>
  <si>
    <t>Options &amp; RSUs</t>
  </si>
  <si>
    <t>Change</t>
  </si>
  <si>
    <t>ticker</t>
  </si>
  <si>
    <t>enterpriseValue</t>
  </si>
  <si>
    <t>marketCap</t>
  </si>
  <si>
    <t>sharesOutstanding</t>
  </si>
  <si>
    <t>currency</t>
  </si>
  <si>
    <t>trailingEps</t>
  </si>
  <si>
    <t>forwardEps</t>
  </si>
  <si>
    <t>trailingPE</t>
  </si>
  <si>
    <t>forwardPE</t>
  </si>
  <si>
    <t>netIncomeToCommon</t>
  </si>
  <si>
    <t>totalRevenue</t>
  </si>
  <si>
    <t>ebitda</t>
  </si>
  <si>
    <t>grossProfits</t>
  </si>
  <si>
    <t>operatingMargins</t>
  </si>
  <si>
    <t>profitMargins</t>
  </si>
  <si>
    <t>Reconciled Depreciation</t>
  </si>
  <si>
    <t>Amortization</t>
  </si>
  <si>
    <t>EBITA</t>
  </si>
  <si>
    <t>returnOnEquity</t>
  </si>
  <si>
    <t>returnOnAssets</t>
  </si>
  <si>
    <t>revenueGrowth</t>
  </si>
  <si>
    <t>earningsGrowth</t>
  </si>
  <si>
    <t>Minority Interest</t>
  </si>
  <si>
    <t>Preferred Stock</t>
  </si>
  <si>
    <t>DELL</t>
  </si>
  <si>
    <t>HPQ</t>
  </si>
  <si>
    <t>SONY</t>
  </si>
  <si>
    <t>ORCL</t>
  </si>
  <si>
    <t>CRM</t>
  </si>
  <si>
    <t>ADBE</t>
  </si>
  <si>
    <t>NOW</t>
  </si>
  <si>
    <t>SAP</t>
  </si>
  <si>
    <t>IBM</t>
  </si>
  <si>
    <t>TTD</t>
  </si>
  <si>
    <t>PINS</t>
  </si>
  <si>
    <t>SNAP</t>
  </si>
  <si>
    <t>WMT</t>
  </si>
  <si>
    <t>COST</t>
  </si>
  <si>
    <t>BABA</t>
  </si>
  <si>
    <t>SHOP</t>
  </si>
  <si>
    <t>TGT</t>
  </si>
  <si>
    <t>EBAY</t>
  </si>
  <si>
    <t>AMD</t>
  </si>
  <si>
    <t>AVGO</t>
  </si>
  <si>
    <t>TSM</t>
  </si>
  <si>
    <t>QCOM</t>
  </si>
  <si>
    <t>MU</t>
  </si>
  <si>
    <t>INTC</t>
  </si>
  <si>
    <t>ARM</t>
  </si>
  <si>
    <t>RDDT</t>
  </si>
  <si>
    <t>GM</t>
  </si>
  <si>
    <t>F</t>
  </si>
  <si>
    <t>RIVN</t>
  </si>
  <si>
    <t>LCID</t>
  </si>
  <si>
    <t>STLA</t>
  </si>
  <si>
    <t>name</t>
  </si>
  <si>
    <t>market_cap</t>
  </si>
  <si>
    <t>total_debt</t>
  </si>
  <si>
    <t>total_cash</t>
  </si>
  <si>
    <t>Apple Inc.</t>
  </si>
  <si>
    <t>Adobe Inc.</t>
  </si>
  <si>
    <t>Advanced Micro Devices, Inc.</t>
  </si>
  <si>
    <t>Amazon.com, Inc.</t>
  </si>
  <si>
    <t>Arm Holdings plc</t>
  </si>
  <si>
    <t>Broadcom Inc.</t>
  </si>
  <si>
    <t>Alibaba Group Holding Limited</t>
  </si>
  <si>
    <t>Costco Wholesale Corporation</t>
  </si>
  <si>
    <t>Salesforce, Inc.</t>
  </si>
  <si>
    <t>Dell Technologies Inc.</t>
  </si>
  <si>
    <t>eBay Inc.</t>
  </si>
  <si>
    <t>Ford Motor Company</t>
  </si>
  <si>
    <t>General Motors Company</t>
  </si>
  <si>
    <t>Alphabet Inc.</t>
  </si>
  <si>
    <t>HP Inc.</t>
  </si>
  <si>
    <t>International Business Machines</t>
  </si>
  <si>
    <t>Intel Corporation</t>
  </si>
  <si>
    <t>Lucid Group, Inc.</t>
  </si>
  <si>
    <t>Meta Platforms, Inc.</t>
  </si>
  <si>
    <t>Microsoft Corporation</t>
  </si>
  <si>
    <t>Micron Technology, Inc.</t>
  </si>
  <si>
    <t>ServiceNow, Inc.</t>
  </si>
  <si>
    <t>NVIDIA Corporation</t>
  </si>
  <si>
    <t>Oracle Corporation</t>
  </si>
  <si>
    <t>Pinterest, Inc.</t>
  </si>
  <si>
    <t>QUALCOMM Incorporated</t>
  </si>
  <si>
    <t>Reddit, Inc.</t>
  </si>
  <si>
    <t>Rivian Automotive, Inc.</t>
  </si>
  <si>
    <t>SAP  SE</t>
  </si>
  <si>
    <t>Shopify Inc.</t>
  </si>
  <si>
    <t>Snap Inc.</t>
  </si>
  <si>
    <t>Sony Group Corporation</t>
  </si>
  <si>
    <t>Stellantis N.V.</t>
  </si>
  <si>
    <t>Target Corporation</t>
  </si>
  <si>
    <t>Tesla, Inc.</t>
  </si>
  <si>
    <t>Taiwan Semiconductor Manufactur</t>
  </si>
  <si>
    <t>The Trade Desk, Inc.</t>
  </si>
  <si>
    <t>Walmart Inc.</t>
  </si>
  <si>
    <t>PEER BETAS — unlevered industry betas re-levered to target capital structure</t>
  </si>
  <si>
    <t>60 monthly returns vs S&amp;P 500. Unlevered beta = raw / (1 + (1 - tax) x D/E), D/E at market values.</t>
  </si>
  <si>
    <t>Raw beta (60 monthly)</t>
  </si>
  <si>
    <t>Market cap</t>
  </si>
  <si>
    <t>D / E (market)</t>
  </si>
  <si>
    <t>Unlevered beta</t>
  </si>
  <si>
    <t>PEER GROUP MEDIANS AND RE-LEVERED BETAS</t>
  </si>
  <si>
    <t>Subject company</t>
  </si>
  <si>
    <t>Peer count</t>
  </si>
  <si>
    <t>Median unlevered beta (peer group)</t>
  </si>
  <si>
    <t>Subject D / E (market, incl. leases)</t>
  </si>
  <si>
    <t>Re-levered industry beta</t>
  </si>
  <si>
    <t>Raw beta (60 monthly, from Peer Betas sheet)</t>
  </si>
  <si>
    <t>SIC industry classification</t>
  </si>
  <si>
    <t>3571 Electronic computers</t>
  </si>
  <si>
    <t>7372 Prepackaged software</t>
  </si>
  <si>
    <t>7370 Computer programming &amp; data proc.</t>
  </si>
  <si>
    <t>5961 Catalog &amp; mail-order retail</t>
  </si>
  <si>
    <t>3674 Semiconductors</t>
  </si>
  <si>
    <t>3711 Motor vehicles</t>
  </si>
  <si>
    <t>Energy / storage sector unlevered beta (no peer set in data — INPUT)</t>
  </si>
  <si>
    <t>SEGMENT-WEIGHTED (MULTIBUSINESS) BETAS — McKinsey ch.19</t>
  </si>
  <si>
    <t>Segment</t>
  </si>
  <si>
    <t>Revenue weight</t>
  </si>
  <si>
    <t>Sector unlev. beta</t>
  </si>
  <si>
    <t>Weighted</t>
  </si>
  <si>
    <t>Notes</t>
  </si>
  <si>
    <t>AAPL weighted unlevered beta</t>
  </si>
  <si>
    <t>AAPL re-levered segment beta</t>
  </si>
  <si>
    <t>MSFT weighted unlevered beta</t>
  </si>
  <si>
    <t>MSFT re-levered segment beta</t>
  </si>
  <si>
    <t>GOOGL weighted unlevered beta</t>
  </si>
  <si>
    <t>GOOGL re-levered segment beta</t>
  </si>
  <si>
    <t>AMZN weighted unlevered beta</t>
  </si>
  <si>
    <t>AMZN re-levered segment beta</t>
  </si>
  <si>
    <t>NVDA weighted unlevered beta</t>
  </si>
  <si>
    <t>NVDA re-levered segment beta</t>
  </si>
  <si>
    <t>META weighted unlevered beta</t>
  </si>
  <si>
    <t>META re-levered segment beta</t>
  </si>
  <si>
    <t>TSLA weighted unlevered beta</t>
  </si>
  <si>
    <t>TSLA re-levered segment beta</t>
  </si>
  <si>
    <t>Beta source (1 = company, 2 = single-SIC industry, 3 = segment-weighted)</t>
  </si>
  <si>
    <t>MULTIPLES VALUATION — SIC-matched peers (McKinsey ch.12)</t>
  </si>
  <si>
    <t>Primary multiple is EV/EBITA, which the book prefers over P/E because it isolates enterprise value from capital structure. Subject company excluded from its own peer median.</t>
  </si>
  <si>
    <t>EV / EBITA</t>
  </si>
  <si>
    <t>EV / Revenue</t>
  </si>
  <si>
    <t>Forward P/E</t>
  </si>
  <si>
    <t>Trailing P/E</t>
  </si>
  <si>
    <t>ROE</t>
  </si>
  <si>
    <t>Revenue growth</t>
  </si>
  <si>
    <t>PEER GROUP MEDIANS (SIC-matched, subject excluded)</t>
  </si>
  <si>
    <t>Subject</t>
  </si>
  <si>
    <t>Median EV / EBITA</t>
  </si>
  <si>
    <t>Median EV / Revenue</t>
  </si>
  <si>
    <t>Median forward P/E</t>
  </si>
  <si>
    <t>Median ROE</t>
  </si>
  <si>
    <t>Median revenue growth</t>
  </si>
  <si>
    <t>IMPLIED VALUATION</t>
  </si>
  <si>
    <t>Subject EBITA (latest FY)</t>
  </si>
  <si>
    <t>Implied EV — EV/EBITA basis</t>
  </si>
  <si>
    <t>Subject revenue (latest FY)</t>
  </si>
  <si>
    <t>Implied EV — EV/Revenue basis</t>
  </si>
  <si>
    <t>Implied equity value (EV/EBITA basis)</t>
  </si>
  <si>
    <t>Implied value per share (EV/EBITA)</t>
  </si>
  <si>
    <t>Implied value per share (EV/Revenue)</t>
  </si>
  <si>
    <t>DCF value per share</t>
  </si>
  <si>
    <t>Market price (live)</t>
  </si>
  <si>
    <t>Include (EBITA &gt; 0)</t>
  </si>
  <si>
    <t>EV/EBITA (incl.)</t>
  </si>
  <si>
    <t>EV/Rev (incl.)</t>
  </si>
  <si>
    <t>Fwd P/E (incl.)</t>
  </si>
  <si>
    <t>Peers included (EBITA &gt; 0)</t>
  </si>
  <si>
    <t>Market price</t>
  </si>
  <si>
    <t>less: unrecognised stock comp (unvested RSUs)</t>
  </si>
  <si>
    <t>Active scenario</t>
  </si>
  <si>
    <t>less: unearned stock comp (unvested RSUs)</t>
  </si>
  <si>
    <t>Operating (ex-finance) debt override</t>
  </si>
  <si>
    <t>TSLA — VALUING FLEXIBILITY (decision tree analysis, McKinsey ch.20)</t>
  </si>
  <si>
    <t>The base DCF values Tesla on current economics only. This sheet values contingent opportunities as separate states of the world, then solves for the probability the market must be assigning.</t>
  </si>
  <si>
    <t>BASE CASE — NO FLEXIBILITY</t>
  </si>
  <si>
    <t>Enterprise value (DCF)</t>
  </si>
  <si>
    <t>Equity value (DCF)</t>
  </si>
  <si>
    <t>Value per share (DCF)</t>
  </si>
  <si>
    <t>Market equity value</t>
  </si>
  <si>
    <t>Value the market ascribes beyond base DCF</t>
  </si>
  <si>
    <t>PARAMETERS</t>
  </si>
  <si>
    <t>Terminal growth</t>
  </si>
  <si>
    <t>CONTINGENT STATES</t>
  </si>
  <si>
    <t>State</t>
  </si>
  <si>
    <t>Robotaxi / autonomy at scale</t>
  </si>
  <si>
    <t>Energy generation &amp; storage scale-up</t>
  </si>
  <si>
    <t>Optimus / robotics</t>
  </si>
  <si>
    <t>Total</t>
  </si>
  <si>
    <t>VALUATION WITH FLEXIBILITY</t>
  </si>
  <si>
    <t>Base equity value (DCF)</t>
  </si>
  <si>
    <t>plus: probability-weighted value of flexibility</t>
  </si>
  <si>
    <t>Equity value with flexibility</t>
  </si>
  <si>
    <t>Value per share with flexibility</t>
  </si>
  <si>
    <t>IMPLIED PROBABILITY (reverse DTA)</t>
  </si>
  <si>
    <t>Value gap to justify market price</t>
  </si>
  <si>
    <t>PV of all upside states at 100% probability</t>
  </si>
  <si>
    <t>Implied probability the market is assigning</t>
  </si>
  <si>
    <t>Probability</t>
  </si>
  <si>
    <t>Incremental revenue at maturity</t>
  </si>
  <si>
    <t>Year of maturity</t>
  </si>
  <si>
    <t>NOPAT at maturity</t>
  </si>
  <si>
    <t>Value at maturity</t>
  </si>
  <si>
    <t>PV today</t>
  </si>
  <si>
    <t>Weighted PV</t>
  </si>
  <si>
    <t>SENSITIVITY — VALUE PER SHARE: WACC vs TERMINAL GROWTH</t>
  </si>
  <si>
    <t>WACC \ g</t>
  </si>
  <si>
    <t>S&amp;P 500 level — start (monthly series)</t>
  </si>
  <si>
    <t>S&amp;P 500 level — end (monthly series)</t>
  </si>
  <si>
    <t>NOPAT margin (margin x turnover)</t>
  </si>
  <si>
    <t>plus: excess cash</t>
  </si>
  <si>
    <t>plus: other non-operating assets</t>
  </si>
  <si>
    <t>Other non-operating assets</t>
  </si>
  <si>
    <t>fiscal_year</t>
  </si>
  <si>
    <t>period_end_date</t>
  </si>
  <si>
    <t>op_lease_liab_current</t>
  </si>
  <si>
    <t>op_lease_liab_noncurrent</t>
  </si>
  <si>
    <t>fin_lease_liab_current</t>
  </si>
  <si>
    <t>fin_lease_liab_noncurrent</t>
  </si>
  <si>
    <t>op_lease_rou_asset</t>
  </si>
  <si>
    <t>fin_lease_rou_asset</t>
  </si>
  <si>
    <t>lease_interest_expense</t>
  </si>
  <si>
    <t>op_lease_cost</t>
  </si>
  <si>
    <t>wavg_discount_rate_op</t>
  </si>
  <si>
    <t>wavg_discount_rate_fin</t>
  </si>
  <si>
    <t>units</t>
  </si>
  <si>
    <t>source_accession</t>
  </si>
  <si>
    <t>source_url</t>
  </si>
  <si>
    <t>source_note_ref</t>
  </si>
  <si>
    <t>notes</t>
  </si>
  <si>
    <t>USD millions</t>
  </si>
  <si>
    <t>Note - Leases (XBRL-derived</t>
  </si>
  <si>
    <t>verify note number in filing)</t>
  </si>
  <si>
    <t>0000320193-20-000096</t>
  </si>
  <si>
    <t>https://www.sec.gov/cgi-bin/browse-edgar?action=getcompany&amp;CIK=0000320193&amp;type=10-K&amp;dateb=&amp;owner=include&amp;count=40</t>
  </si>
  <si>
    <t>0000320193-21-000105</t>
  </si>
  <si>
    <t>0000320193-22-000108</t>
  </si>
  <si>
    <t>0000320193-23-000106</t>
  </si>
  <si>
    <t>0000320193-24-000123</t>
  </si>
  <si>
    <t>0000320193-25-000079</t>
  </si>
  <si>
    <t>0001018724-20-000004</t>
  </si>
  <si>
    <t>https://www.sec.gov/cgi-bin/browse-edgar?action=getcompany&amp;CIK=0001018724&amp;type=10-K&amp;dateb=&amp;owner=include&amp;count=40</t>
  </si>
  <si>
    <t>0001018724-21-000004</t>
  </si>
  <si>
    <t>0001018724-22-000005</t>
  </si>
  <si>
    <t>0001018724-23-000004</t>
  </si>
  <si>
    <t>0001018724-24-000008</t>
  </si>
  <si>
    <t>0001018724-25-000004</t>
  </si>
  <si>
    <t>0001018724-26-000004</t>
  </si>
  <si>
    <t>0001652044-20-000008</t>
  </si>
  <si>
    <t>https://www.sec.gov/cgi-bin/browse-edgar?action=getcompany&amp;CIK=0001652044&amp;type=10-K&amp;dateb=&amp;owner=include&amp;count=40</t>
  </si>
  <si>
    <t>0001652044-21-000010</t>
  </si>
  <si>
    <t>0001652044-22-000019</t>
  </si>
  <si>
    <t>0001652044-23-000016</t>
  </si>
  <si>
    <t>0001652044-24-000022</t>
  </si>
  <si>
    <t>0001652044-25-000014</t>
  </si>
  <si>
    <t>0001652044-26-000018</t>
  </si>
  <si>
    <t>0001326801-20-000013</t>
  </si>
  <si>
    <t>https://www.sec.gov/cgi-bin/browse-edgar?action=getcompany&amp;CIK=0001326801&amp;type=10-K&amp;dateb=&amp;owner=include&amp;count=40</t>
  </si>
  <si>
    <t>0001326801-21-000014</t>
  </si>
  <si>
    <t>0001326801-22-000018</t>
  </si>
  <si>
    <t>0001326801-23-000013</t>
  </si>
  <si>
    <t>0001326801-24-000012</t>
  </si>
  <si>
    <t>0001326801-25-000017</t>
  </si>
  <si>
    <t>0001628280-26-003942</t>
  </si>
  <si>
    <t>0001564590-19-027952</t>
  </si>
  <si>
    <t>https://www.sec.gov/cgi-bin/browse-edgar?action=getcompany&amp;CIK=0000789019&amp;type=10-K&amp;dateb=&amp;owner=include&amp;count=40</t>
  </si>
  <si>
    <t>0001564590-20-034944</t>
  </si>
  <si>
    <t>0001564590-21-039151</t>
  </si>
  <si>
    <t>0001564590-22-026876</t>
  </si>
  <si>
    <t>0000950170-23-035122</t>
  </si>
  <si>
    <t>0000950170-24-087843</t>
  </si>
  <si>
    <t>0000950170-25-100235</t>
  </si>
  <si>
    <t>0001045810-20-000010</t>
  </si>
  <si>
    <t>https://www.sec.gov/cgi-bin/browse-edgar?action=getcompany&amp;CIK=0001045810&amp;type=10-K&amp;dateb=&amp;owner=include&amp;count=40</t>
  </si>
  <si>
    <t>0001045810-21-000010</t>
  </si>
  <si>
    <t>0001045810-22-000036</t>
  </si>
  <si>
    <t>0001045810-23-000017</t>
  </si>
  <si>
    <t>0001045810-24-000029</t>
  </si>
  <si>
    <t>0001045810-25-000023</t>
  </si>
  <si>
    <t>0001564590-20-004475</t>
  </si>
  <si>
    <t>https://www.sec.gov/cgi-bin/browse-edgar?action=getcompany&amp;CIK=0001318605&amp;type=10-K&amp;dateb=&amp;owner=include&amp;count=40</t>
  </si>
  <si>
    <t>0001564590-21-004599</t>
  </si>
  <si>
    <t>0000950170-22-000796</t>
  </si>
  <si>
    <t>0000950170-23-001409</t>
  </si>
  <si>
    <t>0001628280-24-002390</t>
  </si>
  <si>
    <t>0001628280-25-003063</t>
  </si>
  <si>
    <t>0001628280-26-003952</t>
  </si>
  <si>
    <t>total_lease_liability</t>
  </si>
  <si>
    <t>pre-ASC842 for current/finance lease split; MSFT adopted ASC 842 1 Jul 2019. Operating ROU asset and non-current operating lease liability retained from original XBRL pull.</t>
  </si>
  <si>
    <t>less: lease obligations</t>
  </si>
  <si>
    <t>Lease obligations</t>
  </si>
  <si>
    <t>LEASE ADJUSTMENTS (leases treated as debt - McKinsey ch. 10)</t>
  </si>
  <si>
    <t>Ticker (lookup key)</t>
  </si>
  <si>
    <t>Current lease liabilities (operating + finance)</t>
  </si>
  <si>
    <t>Non-current lease liabilities (operating + finance)</t>
  </si>
  <si>
    <t>Total lease liabilities (debt equivalent)</t>
  </si>
  <si>
    <t>Operating lease ROU asset (memo - already within invested capital)</t>
  </si>
  <si>
    <t>Magnificent 7 - Valuation Dashboard</t>
  </si>
  <si>
    <t>Control sheet. Blue cells are inputs - edit here, not on the underlying tabs. Black = calculated, green = linked from another sheet.</t>
  </si>
  <si>
    <t>GLOBAL MARKET ASSUMPTIONS</t>
  </si>
  <si>
    <t>Real risk-free rate (10Y TIPS)</t>
  </si>
  <si>
    <t>Long-run real GDP growth</t>
  </si>
  <si>
    <t>Market risk premium (real market return less real risk-free)</t>
  </si>
  <si>
    <t>SCENARIO SHAPE (applies to all companies)</t>
  </si>
  <si>
    <t>Worst case: EBIT margin adjustment (pp)</t>
  </si>
  <si>
    <t>Best case: EBIT margin adjustment (pp)</t>
  </si>
  <si>
    <t>COMPANY CONTROLS</t>
  </si>
  <si>
    <t>Starting real revenue growth (base case)</t>
  </si>
  <si>
    <t>VALUATION SUMMARY</t>
  </si>
  <si>
    <t>Enterprise value (USD m)</t>
  </si>
  <si>
    <t>Equity value (USD m)</t>
  </si>
  <si>
    <t>Implied value per share - EV/EBITA</t>
  </si>
  <si>
    <t>Implied value per share - EV/Revenue</t>
  </si>
  <si>
    <t>Market capitalisation (USD m)</t>
  </si>
  <si>
    <t>Upside / (downside) - DCF</t>
  </si>
  <si>
    <t>Upside / (downside) - EV/EBITA</t>
  </si>
  <si>
    <t>Implied P/E at DCF value</t>
  </si>
  <si>
    <t>VALUATION RANGE - SCENARIO SNAPSHOT</t>
  </si>
  <si>
    <t>Worst case value per share</t>
  </si>
  <si>
    <t>Base case value per share</t>
  </si>
  <si>
    <t>Best case value per share</t>
  </si>
  <si>
    <t>Current share price (live)</t>
  </si>
  <si>
    <t>Floor</t>
  </si>
  <si>
    <t>Worst to best range</t>
  </si>
  <si>
    <t>Indexed to current share price = 100% (chart source)</t>
  </si>
  <si>
    <t>Current share price (100%)</t>
  </si>
  <si>
    <t>TRIANGULATION - VALUE PER SHARE BY METHOD</t>
  </si>
  <si>
    <t>Multiples - EV/EBITA</t>
  </si>
  <si>
    <t>Multiples - EV/Revenue</t>
  </si>
  <si>
    <t>EV/EBITA premium / (discount) to market</t>
  </si>
  <si>
    <t>MULTIPLE COMPARISON - SUBJECT AT MARKET PRICE vs PEER MEDIAN</t>
  </si>
  <si>
    <t>Subject enterprise value at market price (USD m)</t>
  </si>
  <si>
    <t>Subject EBITA, latest FY (USD m)</t>
  </si>
  <si>
    <t>Subject EV / EBITA at market price</t>
  </si>
  <si>
    <t>Peer median EV / EBITA (SIC-matched)</t>
  </si>
  <si>
    <t>Premium / (discount) to peer median</t>
  </si>
  <si>
    <t>Peers in median (EBITA &gt; 0)</t>
  </si>
  <si>
    <t>Indexed to market price = 100% (chart source)</t>
  </si>
  <si>
    <t>Market price (100%)</t>
  </si>
  <si>
    <t>ECONOMIC-PROFIT VALUATION (cross-check per Appendix B - must equal DCF)</t>
  </si>
  <si>
    <t>Invested capital (end of year)</t>
  </si>
  <si>
    <t>Invested capital (start of year)</t>
  </si>
  <si>
    <t>Capital charge (WACC x opening invested capital)</t>
  </si>
  <si>
    <t>Economic profit</t>
  </si>
  <si>
    <t>PV of economic profit</t>
  </si>
  <si>
    <t>Economic profit, year 16</t>
  </si>
  <si>
    <t>Continuing value of economic profit</t>
  </si>
  <si>
    <t>PV of continuing value of economic profit</t>
  </si>
  <si>
    <t>RECONCILIATION: ECONOMIC PROFIT vs DISCOUNTED FREE CASH FLOW</t>
  </si>
  <si>
    <t>Opening invested capital (latest actual, restated)</t>
  </si>
  <si>
    <t>PV of economic profit, explicit period</t>
  </si>
  <si>
    <t>Value of operations - economic-profit method</t>
  </si>
  <si>
    <t>Value of operations - DCF method</t>
  </si>
  <si>
    <t>Difference</t>
  </si>
  <si>
    <t>Check</t>
  </si>
  <si>
    <t>STEADY-STATE TEST (book p.362 - continuing value is valid only in steady state)</t>
  </si>
  <si>
    <t>Difference (percentage points)</t>
  </si>
  <si>
    <t>Terminal growth assumption</t>
  </si>
  <si>
    <t>Gap: year-15 revenue growth less terminal g</t>
  </si>
  <si>
    <t>Chapter 11 - Verifying Valuation Results</t>
  </si>
  <si>
    <t>Checks prescribed in Koller et al., Valuation, ch.11 pp.361-363: consistency, value-driver economics, back-of-envelope, steady state.</t>
  </si>
  <si>
    <t>CONSISTENCY CHECKS (p.361)</t>
  </si>
  <si>
    <t>Rearranged balance sheet balances, all 7 years (max abs error)</t>
  </si>
  <si>
    <t>Forecast funds invested balances (max abs error)</t>
  </si>
  <si>
    <t>Economic profit equals discounted FCF (difference)</t>
  </si>
  <si>
    <t>VALUE DRIVER ECONOMICS (p.361)</t>
  </si>
  <si>
    <t>ROIC, forecast year 1</t>
  </si>
  <si>
    <t>ROIC exceeds WACC</t>
  </si>
  <si>
    <t>Value of operations</t>
  </si>
  <si>
    <t>Invested capital (restated)</t>
  </si>
  <si>
    <t>Value of operations exceeds invested capital</t>
  </si>
  <si>
    <t>BACK-OF-ENVELOPE (key value driver formula, p.361)</t>
  </si>
  <si>
    <t>Key value driver estimate</t>
  </si>
  <si>
    <t>Value of operations (model)</t>
  </si>
  <si>
    <t>Estimate as multiple of model</t>
  </si>
  <si>
    <t>STEADY STATE (p.362)</t>
  </si>
  <si>
    <t>Steady state reached by year 15</t>
  </si>
  <si>
    <t>SENSITIVITY LOGIC (p.362)</t>
  </si>
  <si>
    <t>Value insensitive to g when RONIC = WACC</t>
  </si>
  <si>
    <t>Net income bottom-up less reported (equals non-controlling interests)</t>
  </si>
  <si>
    <t>Consistent with value driver economics (paired test)</t>
  </si>
  <si>
    <t>All consistency checks pass</t>
  </si>
  <si>
    <t>PROBABILITY-WEIGHTED VALUATION (book ch.11, pp.357-360 &amp; 366-367)</t>
  </si>
  <si>
    <t>Worst case</t>
  </si>
  <si>
    <t>Base case</t>
  </si>
  <si>
    <t>Best case</t>
  </si>
  <si>
    <t>Expected value per share (probability weighted)</t>
  </si>
  <si>
    <t>Expected upside / (downside)</t>
  </si>
  <si>
    <t>VALUATION RANGE (book p.363 - aim for +/- 15%, not a point estimate)</t>
  </si>
  <si>
    <t>Low end (expected value less 15%)</t>
  </si>
  <si>
    <t>High end (expected value plus 15%)</t>
  </si>
  <si>
    <t>Market price falls inside range</t>
  </si>
  <si>
    <t>EXPLICIT FORECAST PERIOD - 10 YEARS (5 detailed + 5 condensed)</t>
  </si>
  <si>
    <t>CONTINUING VALUE (value driver formula, normalised base year, after year 10)</t>
  </si>
  <si>
    <t>Free cash flow growth, year 8 to 9</t>
  </si>
  <si>
    <t>Free cash flow growth, year 9 to 10</t>
  </si>
  <si>
    <t>Revenue growth, year 10</t>
  </si>
  <si>
    <t>ROIC, year 9</t>
  </si>
  <si>
    <t>ROIC, year 10</t>
  </si>
  <si>
    <t>DCF - selected scenario</t>
  </si>
  <si>
    <t>DCF premium / (discount) to market (selected scenario)</t>
  </si>
  <si>
    <t>Snapshot status (auto-check)</t>
  </si>
  <si>
    <t>NVIDIA - High-Growth Valuation (Koller et al., Valuation, ch.23)</t>
  </si>
  <si>
    <t>Method: start from the future (market size x share, sustainable margin, capital turnover), work backward to current performance, then probability-weight discrete scenarios.</t>
  </si>
  <si>
    <t>CURRENT POSITION (anchor - linked from workbook)</t>
  </si>
  <si>
    <t>Revenue, latest FY (USD m)</t>
  </si>
  <si>
    <t>EBITA, latest FY (USD m)</t>
  </si>
  <si>
    <t>EBITA margin</t>
  </si>
  <si>
    <t>Invested capital (USD m)</t>
  </si>
  <si>
    <t>ROIC = margin x (1 - tax) x turnover</t>
  </si>
  <si>
    <t>Terminal growth (nominal GDP)</t>
  </si>
  <si>
    <t>FUTURE STATE AT YEAR 10 - 'START FROM THE FUTURE' (blue = input)</t>
  </si>
  <si>
    <t>Scenario</t>
  </si>
  <si>
    <t>Description</t>
  </si>
  <si>
    <t>Year-10 revenue (market size x share)</t>
  </si>
  <si>
    <t>Implied revenue CAGR, 10 years</t>
  </si>
  <si>
    <t>Year-10 EBITA margin</t>
  </si>
  <si>
    <t>Year-10 capital turnover</t>
  </si>
  <si>
    <t>Implied year-10 ROIC</t>
  </si>
  <si>
    <t>Total probability</t>
  </si>
  <si>
    <t>A</t>
  </si>
  <si>
    <t>B</t>
  </si>
  <si>
    <t>C</t>
  </si>
  <si>
    <t>D</t>
  </si>
  <si>
    <t>Dominant AI platform</t>
  </si>
  <si>
    <t>Margin compression</t>
  </si>
  <si>
    <t>Commoditisation</t>
  </si>
  <si>
    <t>SCENARIO A - Dominant AI platform</t>
  </si>
  <si>
    <t>SCENARIO B - Base case</t>
  </si>
  <si>
    <t>SCENARIO C - Margin compression</t>
  </si>
  <si>
    <t>SCENARIO D - Commoditisation</t>
  </si>
  <si>
    <t>VALUATION BY SCENARIO</t>
  </si>
  <si>
    <t>Sum of PV, explicit period (years 1-10)</t>
  </si>
  <si>
    <t>NOPAT, year 11 (normalised)</t>
  </si>
  <si>
    <t>Continuing value (RONIC = year-10 ROIC)</t>
  </si>
  <si>
    <t>Value of operations (incl. mid-year adjustment)</t>
  </si>
  <si>
    <t>less: unearned stock comp</t>
  </si>
  <si>
    <t>Contribution to expected value</t>
  </si>
  <si>
    <t>PROBABILITY-WEIGHTED RESULT</t>
  </si>
  <si>
    <t>Expected value per share</t>
  </si>
  <si>
    <t>Standard DCF value per share (NVDA DCF sheet)</t>
  </si>
  <si>
    <t>High-growth method vs standard DCF</t>
  </si>
  <si>
    <t>MARKET-IMPLIED EXPECTATIONS</t>
  </si>
  <si>
    <t>Market capitalisation (price x shares)</t>
  </si>
  <si>
    <t>Scenario A equity value (most optimistic)</t>
  </si>
  <si>
    <t>Market cap as multiple of scenario A</t>
  </si>
  <si>
    <t>Implied year-10 revenue at scenario A margin and turns, if market is right</t>
  </si>
  <si>
    <t>Implied NVIDIA share of a USD 2.0tn market, if market is right</t>
  </si>
  <si>
    <t>Chart source: value per share by scenario</t>
  </si>
  <si>
    <t>A Dominant</t>
  </si>
  <si>
    <t>B Base</t>
  </si>
  <si>
    <t>C Margin compression</t>
  </si>
  <si>
    <t>D Commoditisation</t>
  </si>
  <si>
    <t>Expected (weighted)</t>
  </si>
  <si>
    <t>McKinsey Valuation - Methodology Checklist</t>
  </si>
  <si>
    <t>Traces every technique the book prescribes against what exists in this workbook. Status is my assessment; the Live check column is formula-driven and updates itself.</t>
  </si>
  <si>
    <t>Chapter</t>
  </si>
  <si>
    <t>Technique required by the book</t>
  </si>
  <si>
    <t>Status</t>
  </si>
  <si>
    <t>Where in this workbook</t>
  </si>
  <si>
    <t>Live check</t>
  </si>
  <si>
    <t>5 Frameworks</t>
  </si>
  <si>
    <t>Enterprise DCF: FCF discounted at WACC</t>
  </si>
  <si>
    <t>Done</t>
  </si>
  <si>
    <t>[TICKER] DCF rows 14-29</t>
  </si>
  <si>
    <t>Economic-profit valuation, must equal enterprise DCF</t>
  </si>
  <si>
    <t>[TICKER] DCF rows 78-103</t>
  </si>
  <si>
    <t>Adjusted present value (APV)</t>
  </si>
  <si>
    <t>Not done</t>
  </si>
  <si>
    <t>-</t>
  </si>
  <si>
    <t>Equity cash flow method</t>
  </si>
  <si>
    <t>N/A</t>
  </si>
  <si>
    <t>6 ROIC &amp; growth</t>
  </si>
  <si>
    <t>ROIC decomposed into margin x capital turnover</t>
  </si>
  <si>
    <t>[TICKER] Forecast rows 100-105</t>
  </si>
  <si>
    <t>Value creation test: ROIC vs WACC</t>
  </si>
  <si>
    <t>Ch 11 Checks rows 12-18</t>
  </si>
  <si>
    <t>RONIC applied to continuing value</t>
  </si>
  <si>
    <t>[TICKER] DCF rows 9-10</t>
  </si>
  <si>
    <t>Growth / ROIC value matrix</t>
  </si>
  <si>
    <t>Partial</t>
  </si>
  <si>
    <t>Sensitivity grids only</t>
  </si>
  <si>
    <t>7 Historical</t>
  </si>
  <si>
    <t>Statements reorganised into NOPLAT and invested capital</t>
  </si>
  <si>
    <t>[TICKER] - Reconciliation FY</t>
  </si>
  <si>
    <t>Operating leases capitalised as debt equivalent</t>
  </si>
  <si>
    <t>Reconciliation rows 125-130; mag7_leases sheet</t>
  </si>
  <si>
    <t>Non-operating assets separated from operating</t>
  </si>
  <si>
    <t>Reconciliation rows 34-40</t>
  </si>
  <si>
    <t>ROIC with and without goodwill</t>
  </si>
  <si>
    <t>Reconciliation rows 31-32</t>
  </si>
  <si>
    <t>At least five years of history</t>
  </si>
  <si>
    <t>7 years, FY2019-FY2025 (NVDA to FY2026)</t>
  </si>
  <si>
    <t>Credit metrics and coverage ratios</t>
  </si>
  <si>
    <t>Reconciliation rows 107-122</t>
  </si>
  <si>
    <t>Unfunded pension / OPEB adjustment</t>
  </si>
  <si>
    <t>Restructuring reserves adjustment</t>
  </si>
  <si>
    <t>Capitalising R&amp;D (optional treatment)</t>
  </si>
  <si>
    <t>8 Forecasting</t>
  </si>
  <si>
    <t>Revenue built from operating drivers / segments</t>
  </si>
  <si>
    <t>[TICKER] Rev Drivers &amp; Forecast</t>
  </si>
  <si>
    <t>Ratios pegged to revenue, faded over time</t>
  </si>
  <si>
    <t>[TICKER] Forecast rows 75-85</t>
  </si>
  <si>
    <t>Detailed then condensed forecast horizon</t>
  </si>
  <si>
    <t>10 years: 5 detailed + 5 condensed</t>
  </si>
  <si>
    <t>Horizon long enough to reach steady state</t>
  </si>
  <si>
    <t>[TICKER] DCF rows 105-115</t>
  </si>
  <si>
    <t>Balance sheet forecast with balancing item</t>
  </si>
  <si>
    <t>[TICKER] Forecast rows 87-94</t>
  </si>
  <si>
    <t>Scenario-based forecasting</t>
  </si>
  <si>
    <t>Dashboard rows 20-24; NVDA ch23 sheet</t>
  </si>
  <si>
    <t>9 Continuing value</t>
  </si>
  <si>
    <t>Value driver formula, not a naive FCF perpetuity</t>
  </si>
  <si>
    <t>[TICKER] DCF rows 21-27</t>
  </si>
  <si>
    <t>CV growth at or below nominal GDP growth</t>
  </si>
  <si>
    <t>6.03% = real GDP 3.50% + inflation 2.53%</t>
  </si>
  <si>
    <t>RONIC stated explicitly, not assumed = ROIC</t>
  </si>
  <si>
    <t>CV as a percentage of total value disclosed</t>
  </si>
  <si>
    <t>[TICKER] DCF row 28</t>
  </si>
  <si>
    <t>Normalised base year for CV (not a peak year)</t>
  </si>
  <si>
    <t>[TICKER] DCF rows 22-24</t>
  </si>
  <si>
    <t>Sensitivity of CV to key assumptions</t>
  </si>
  <si>
    <t>[TICKER] DCF rows 69-75</t>
  </si>
  <si>
    <t>10 Cost of capital</t>
  </si>
  <si>
    <t>Market-value capital structure weights, not book</t>
  </si>
  <si>
    <t>WACC rows 31-39</t>
  </si>
  <si>
    <t>CAPM cost of equity</t>
  </si>
  <si>
    <t>WACC rows 25-29</t>
  </si>
  <si>
    <t>Beta from regression, smoothed, industry re-levered</t>
  </si>
  <si>
    <t>Peer Betas; WACC rows 16-24</t>
  </si>
  <si>
    <t>Forward-looking ERP, not realised excess return</t>
  </si>
  <si>
    <t>Dashboard rows 5-11; 4.85%</t>
  </si>
  <si>
    <t>Cost of debt from yield / rating, not coupon</t>
  </si>
  <si>
    <t>Debt Schedule; WACC rows 41-43</t>
  </si>
  <si>
    <t>Lease obligations included in capital structure</t>
  </si>
  <si>
    <t>WACC row 36 (linked to lease dataset)</t>
  </si>
  <si>
    <t>WACC re-estimated if capital structure changes</t>
  </si>
  <si>
    <t>Constant WACC assumed</t>
  </si>
  <si>
    <t>11 Results</t>
  </si>
  <si>
    <t>Value of operations then equity bridge</t>
  </si>
  <si>
    <t>[TICKER] DCF rows 30-42</t>
  </si>
  <si>
    <t>Debt equivalents deducted (incl. leases)</t>
  </si>
  <si>
    <t>Bridge row 35</t>
  </si>
  <si>
    <t>Hybrid claims: employee options / unvested RSUs</t>
  </si>
  <si>
    <t>Bridge row 37</t>
  </si>
  <si>
    <t>Hybrid claims: convertible debt</t>
  </si>
  <si>
    <t>Non-equity claims: minority interest</t>
  </si>
  <si>
    <t>Bridge row 36</t>
  </si>
  <si>
    <t>Valuation under multiple scenarios, probability weighted</t>
  </si>
  <si>
    <t>Dashboard rows 126-139</t>
  </si>
  <si>
    <t>Consistency check</t>
  </si>
  <si>
    <t>Ch 11 Checks rows 4-10</t>
  </si>
  <si>
    <t>Sensitivity analysis</t>
  </si>
  <si>
    <t>[TICKER] DCF rows 69-75 + Ch 11 Checks row 28</t>
  </si>
  <si>
    <t>Plausibility analysis vs market and multiples</t>
  </si>
  <si>
    <t>Dashboard rows 78-94</t>
  </si>
  <si>
    <t>Report a range (book suggests +/- 15%)</t>
  </si>
  <si>
    <t>Dashboard rows 141-144</t>
  </si>
  <si>
    <t>12 Multiples</t>
  </si>
  <si>
    <t>EV/EBITA preferred over P/E</t>
  </si>
  <si>
    <t>Multiples rows 44-62</t>
  </si>
  <si>
    <t>Peer group by business similarity / SIC</t>
  </si>
  <si>
    <t>Multiples rows 1-45</t>
  </si>
  <si>
    <t>Forward-looking multiples</t>
  </si>
  <si>
    <t>Non-operating items adjusted out of EV</t>
  </si>
  <si>
    <t>Multiples rows 60-62 (mirrors DCF bridge)</t>
  </si>
  <si>
    <t>Peer group large enough to be meaningful</t>
  </si>
  <si>
    <t>REVIEW</t>
  </si>
  <si>
    <t>19 Multibusiness</t>
  </si>
  <si>
    <t>Sum-of-the-parts valuation by business unit</t>
  </si>
  <si>
    <t>Corporate overhead allocated to units</t>
  </si>
  <si>
    <t>Segment-level ROIC and capital</t>
  </si>
  <si>
    <t>Segment revenue only, on Rev Drivers sheets</t>
  </si>
  <si>
    <t>20 Flexibility</t>
  </si>
  <si>
    <t>Real options / decision tree analysis</t>
  </si>
  <si>
    <t>TSLA Flexibility sheet</t>
  </si>
  <si>
    <t>21 Cross-border</t>
  </si>
  <si>
    <t>Currency, country risk, cross-border tax</t>
  </si>
  <si>
    <t>23 High growth</t>
  </si>
  <si>
    <t>Start from the future: market size x share</t>
  </si>
  <si>
    <t>NVDA High-Growth Ch23 rows 17-28</t>
  </si>
  <si>
    <t>Work backward to current performance</t>
  </si>
  <si>
    <t>NVDA High-Growth Ch23 rows 30-83</t>
  </si>
  <si>
    <t>Discrete scenarios, probability weighted</t>
  </si>
  <si>
    <t>NVDA High-Growth Ch23 rows 86-110</t>
  </si>
  <si>
    <t>Probabilities anchored in historical evidence</t>
  </si>
  <si>
    <t>Applied to every high-growth name in scope</t>
  </si>
  <si>
    <t>NVDA only</t>
  </si>
  <si>
    <t>24 Cyclical</t>
  </si>
  <si>
    <t>Cycle-adjusted forecasts / scenario cycles</t>
  </si>
  <si>
    <t>Only needed when capital structure changes materially; it does not here</t>
  </si>
  <si>
    <t>Book reserves this for financial institutions (ch.25)</t>
  </si>
  <si>
    <t>No explicit matrix built; sensitivity grids cover the same ground</t>
  </si>
  <si>
    <t>Materiality never verified - open item</t>
  </si>
  <si>
    <t>Growth columns above the nominal GDP ceiling are flagged with notes</t>
  </si>
  <si>
    <t>Defensible: these firms are roughly 92-99% equity financed</t>
  </si>
  <si>
    <t>AMZN and GOOGL are single consolidated DCFs - recommended next</t>
  </si>
  <si>
    <t>Deliberately parked earlier in the project</t>
  </si>
  <si>
    <t>All seven report in USD; foreign operations not separately valued</t>
  </si>
  <si>
    <t>NVDA only; consider for AMZN</t>
  </si>
  <si>
    <t>Arguably relevant to NVDA (semiconductor cycle) and TSLA (autos)</t>
  </si>
  <si>
    <t>SUMMARY</t>
  </si>
  <si>
    <t>Total techniques tracked</t>
  </si>
  <si>
    <t>Derived from S&amp;P 500 E/P and long-run ROE, not realised excess returns</t>
  </si>
  <si>
    <t>CHECKS &amp; METHODOLOGY</t>
  </si>
  <si>
    <t>Verification of results (ch.11) and a traceable checklist of every technique the book prescribes.</t>
  </si>
  <si>
    <t>REORGANISED STATEMENTS</t>
  </si>
  <si>
    <t>Reported statements restated into NOPLAT, invested capital, non-operating assets and financing (ch.7). Leases treated as debt.</t>
  </si>
  <si>
    <t>Beta by SIC peer group, forward-looking ERP, market-value weights and blended cost of debt (ch.10).</t>
  </si>
  <si>
    <t>MULTIPLES &amp; SPECIAL ANALYSIS</t>
  </si>
  <si>
    <t>Multiples triangulation (ch.12), flexibility and real options (ch.20), high-growth valuation (ch.23).</t>
  </si>
  <si>
    <t>Base case: EBIT margin adjustment (pp)</t>
  </si>
  <si>
    <t>CELL COLOUR CONVENTION - HOW TO TRACE ANY NUMBER</t>
  </si>
  <si>
    <t>Blue font</t>
  </si>
  <si>
    <t>Hardcoded input. Change these to drive the model. Sourced figures carry a cell note citing the filing.</t>
  </si>
  <si>
    <t>Black font</t>
  </si>
  <si>
    <t>Formula referencing cells on the same sheet.</t>
  </si>
  <si>
    <t>Green font</t>
  </si>
  <si>
    <t>Formula referencing ANOTHER sheet. Click the cell and read the formula bar, or use Formulas &gt; Trace Precedents, to jump to the source.</t>
  </si>
  <si>
    <t>Yellow fill</t>
  </si>
  <si>
    <t>Input needing attention or judgement, or a figure flagged as requiring verification.</t>
  </si>
  <si>
    <t>To trace a number</t>
  </si>
  <si>
    <t>1. Click the cell. 2. If green, the formula bar names the source sheet and cell. 3. Press Ctrl+[ to jump straight to the precedent. 4. Repeat until you reach a blue input or source data.</t>
  </si>
  <si>
    <t>Source data</t>
  </si>
  <si>
    <t>The statement sheets (Income Statement / Balance Sheet / Cash Flow) and the peer_* sheets are imported source data and are the origin of the chain.</t>
  </si>
  <si>
    <t>FRONT &amp; NAVIGATION</t>
  </si>
  <si>
    <t>Valuation Dashboard</t>
  </si>
  <si>
    <t>Introduction</t>
  </si>
  <si>
    <t>This sheet - contents, and the cell colour convention for tracing any number</t>
  </si>
  <si>
    <t>CHECKS &amp; METHODOLOGY (ch.11)</t>
  </si>
  <si>
    <t>Ch 11 Checks</t>
  </si>
  <si>
    <t>Methodology Checklist</t>
  </si>
  <si>
    <t>RAW DATA</t>
  </si>
  <si>
    <t>Live prices, P/E, shares outstanding, market capitalisation</t>
  </si>
  <si>
    <t>peer_fundamentals</t>
  </si>
  <si>
    <t>Peer group EV, EBITDA, EBITA, EPS, ROIC and growth metrics</t>
  </si>
  <si>
    <t>Peer market capitalisation, debt and cash</t>
  </si>
  <si>
    <t>mag7_leases_fy2019_fy2025</t>
  </si>
  <si>
    <t>REORGANISED STATEMENTS - NOPLAT &amp; INVESTED CAPITAL (ch.7)</t>
  </si>
  <si>
    <t>Invested capital, NOPAT, FCF, ROIC tree, credit metrics, lease adjustments (rows 125-130)</t>
  </si>
  <si>
    <t>COST OF CAPITAL (ch.10)</t>
  </si>
  <si>
    <t>60-month regression betas by SIC peer group, unlevered and re-levered, segment-weighted</t>
  </si>
  <si>
    <t>Risk-free rate, forward-looking ERP, beta, market-value weights, cost of debt, WACC by company</t>
  </si>
  <si>
    <t>REVENUE DRIVERS &amp; REVENUE FORECAST (ch.8)</t>
  </si>
  <si>
    <t>FINANCIAL STATEMENT FORECAST (ch.8)</t>
  </si>
  <si>
    <t>Forecast ratios, income statement, invested capital, FCF; 5 detailed years plus 5 condensed</t>
  </si>
  <si>
    <t>DCF VALUATION (ch.9 &amp; 11)</t>
  </si>
  <si>
    <t>10-year DCF, continuing value, equity bridge, economic-profit cross-check, steady-state test, sensitivity</t>
  </si>
  <si>
    <t>MULTIPLES &amp; SPECIAL ANALYSIS (ch.12, 20 &amp; 23)</t>
  </si>
  <si>
    <t>EV/EBITA and EV/Revenue by SIC peer group; implied value per share versus DCF and market</t>
  </si>
  <si>
    <t>Master controls: scenario selectors, global assumptions, valuation summary, triangulation, charts</t>
  </si>
  <si>
    <t>[ section divider ]</t>
  </si>
  <si>
    <t>Consistency, value-driver economics, back-of-envelope and steady-state checks, all seven companies</t>
  </si>
  <si>
    <t>62 techniques from the book traced to where each lives, with self-updating live checks</t>
  </si>
  <si>
    <t>61 monthly closes, peer group and S&amp;P 500 - source for the beta regressions</t>
  </si>
  <si>
    <t>Operating and finance lease liabilities, ROU assets, lease interest, FY2019-FY2025</t>
  </si>
  <si>
    <t>FINANCIAL STATEMENT DATA (ch.7) - as reported, FY2019-FY2025</t>
  </si>
  <si>
    <t xml:space="preserve">    AAPL - Income Statement FY</t>
  </si>
  <si>
    <t>Revenue through net income, with EBITA</t>
  </si>
  <si>
    <t xml:space="preserve">    AAPL - Balance Sheet FY</t>
  </si>
  <si>
    <t>Assets, liabilities and equity</t>
  </si>
  <si>
    <t xml:space="preserve">    AAPL - Cash Flow FY</t>
  </si>
  <si>
    <t>Operating, investing and financing cash flow</t>
  </si>
  <si>
    <t xml:space="preserve">    AAPL - Key Metrics FY</t>
  </si>
  <si>
    <t>Per-share and ratio metrics</t>
  </si>
  <si>
    <t xml:space="preserve">    AAPL - Financial Growth FY</t>
  </si>
  <si>
    <t>Year-on-year growth rates</t>
  </si>
  <si>
    <t xml:space="preserve">    MSFT - Income Statement FY</t>
  </si>
  <si>
    <t xml:space="preserve">    MSFT - Balance Sheet FY</t>
  </si>
  <si>
    <t xml:space="preserve">    MSFT - Cash Flow FY</t>
  </si>
  <si>
    <t xml:space="preserve">    MSFT - Key Metrics FY</t>
  </si>
  <si>
    <t xml:space="preserve">    MSFT - Financial Growth FY</t>
  </si>
  <si>
    <t xml:space="preserve">    GOOGL - Income Statement FY</t>
  </si>
  <si>
    <t xml:space="preserve">    GOOGL - Balance Sheet FY</t>
  </si>
  <si>
    <t xml:space="preserve">    GOOGL - Cash Flow FY</t>
  </si>
  <si>
    <t xml:space="preserve">    GOOGL - Key Metrics FY</t>
  </si>
  <si>
    <t xml:space="preserve">    GOOGL - Financial Growth FY</t>
  </si>
  <si>
    <t xml:space="preserve">    AMZN - Income Statement FY</t>
  </si>
  <si>
    <t xml:space="preserve">    AMZN - Balance Sheet FY</t>
  </si>
  <si>
    <t xml:space="preserve">    AMZN - Cash Flow FY</t>
  </si>
  <si>
    <t xml:space="preserve">    AMZN - Key Metrics FY</t>
  </si>
  <si>
    <t xml:space="preserve">    AMZN - Financial Growth FY</t>
  </si>
  <si>
    <t xml:space="preserve">    NVDA - Income Statement FY</t>
  </si>
  <si>
    <t xml:space="preserve">    NVDA - Balance Sheet FY</t>
  </si>
  <si>
    <t xml:space="preserve">    NVDA - Cash Flow FY</t>
  </si>
  <si>
    <t xml:space="preserve">    NVDA - Key Metrics FY</t>
  </si>
  <si>
    <t xml:space="preserve">    NVDA - Financial Growth FY</t>
  </si>
  <si>
    <t xml:space="preserve">    META - Income Statement FY</t>
  </si>
  <si>
    <t xml:space="preserve">    META - Balance Sheet FY</t>
  </si>
  <si>
    <t xml:space="preserve">    META - Cash Flow FY</t>
  </si>
  <si>
    <t xml:space="preserve">    META - Key Metrics FY</t>
  </si>
  <si>
    <t xml:space="preserve">    META - Financial Growth FY</t>
  </si>
  <si>
    <t xml:space="preserve">    TSLA - Income Statement FY</t>
  </si>
  <si>
    <t xml:space="preserve">    TSLA - Balance Sheet FY</t>
  </si>
  <si>
    <t xml:space="preserve">    TSLA - Cash Flow FY</t>
  </si>
  <si>
    <t xml:space="preserve">    TSLA - Key Metrics FY</t>
  </si>
  <si>
    <t xml:space="preserve">    TSLA - Financial Growth FY</t>
  </si>
  <si>
    <t xml:space="preserve">    AAPL - Reconciliation FY</t>
  </si>
  <si>
    <t xml:space="preserve">    MSFT - Reconciliation FY</t>
  </si>
  <si>
    <t xml:space="preserve">    GOOGL - Reconciliation FY</t>
  </si>
  <si>
    <t xml:space="preserve">    AMZN - Reconciliation FY</t>
  </si>
  <si>
    <t xml:space="preserve">    NVDA - Reconciliation FY</t>
  </si>
  <si>
    <t xml:space="preserve">    META - Reconciliation FY</t>
  </si>
  <si>
    <t xml:space="preserve">    TSLA - Reconciliation FY</t>
  </si>
  <si>
    <t xml:space="preserve">    Peer Betas</t>
  </si>
  <si>
    <t xml:space="preserve">    WACC</t>
  </si>
  <si>
    <t xml:space="preserve">    Debt Schedule</t>
  </si>
  <si>
    <t>Debt by tranche, coupon and maturity; blended pre-tax cost of debt</t>
  </si>
  <si>
    <t xml:space="preserve">    AAPL Rev Drivers &amp; Forecast</t>
  </si>
  <si>
    <t>Segment drivers, historical CAGR, growth fade to nominal GDP (fade period input at B10)</t>
  </si>
  <si>
    <t xml:space="preserve">    MSFT Rev Drivers &amp; Forecast</t>
  </si>
  <si>
    <t xml:space="preserve">    GOOGL Rev Drivers &amp; Forecast</t>
  </si>
  <si>
    <t xml:space="preserve">    AMZN Rev Drivers &amp; Forecast</t>
  </si>
  <si>
    <t xml:space="preserve">    NVDA Rev Drivers &amp; Forecast</t>
  </si>
  <si>
    <t xml:space="preserve">    META Rev Drivers &amp; Forecast</t>
  </si>
  <si>
    <t xml:space="preserve">    TSLA Rev Drivers &amp; Forecast</t>
  </si>
  <si>
    <t xml:space="preserve">    AAPL Forecast</t>
  </si>
  <si>
    <t xml:space="preserve">    MSFT Forecast</t>
  </si>
  <si>
    <t xml:space="preserve">    GOOGL Forecast</t>
  </si>
  <si>
    <t xml:space="preserve">    AMZN Forecast</t>
  </si>
  <si>
    <t xml:space="preserve">    NVDA Forecast</t>
  </si>
  <si>
    <t xml:space="preserve">    META Forecast</t>
  </si>
  <si>
    <t xml:space="preserve">    TSLA Forecast</t>
  </si>
  <si>
    <t xml:space="preserve">    AAPL DCF</t>
  </si>
  <si>
    <t xml:space="preserve">    MSFT DCF</t>
  </si>
  <si>
    <t xml:space="preserve">    GOOGL DCF</t>
  </si>
  <si>
    <t xml:space="preserve">    AMZN DCF</t>
  </si>
  <si>
    <t xml:space="preserve">    NVDA DCF</t>
  </si>
  <si>
    <t xml:space="preserve">    META DCF</t>
  </si>
  <si>
    <t xml:space="preserve">    TSLA DCF</t>
  </si>
  <si>
    <t xml:space="preserve">    Multiples</t>
  </si>
  <si>
    <t xml:space="preserve">    NVDA High-Growth Ch23</t>
  </si>
  <si>
    <t>Start from the future: market size x share, four scenarios, probability weighted</t>
  </si>
  <si>
    <t xml:space="preserve">    TSLA Flexibility</t>
  </si>
  <si>
    <t>Decision-tree framing of optionality the DCF cannot capture</t>
  </si>
  <si>
    <t>All figures in USD millions unless stated. Blue cells are inputs; green cells link to another sheet. Click any sheet name below to jump to it. 88 sheets, all linked.</t>
  </si>
  <si>
    <t>R&amp;D CAPITALISATION (ch.7 - optional treatment to make ROIC economically meaningful)</t>
  </si>
  <si>
    <t>Amortisation life (years; max 5, limited by 7 years of history)</t>
  </si>
  <si>
    <t>R&amp;D expense as reported</t>
  </si>
  <si>
    <t>Capitalised R&amp;D asset, net of amortisation</t>
  </si>
  <si>
    <t>R&amp;D amortisation for the year</t>
  </si>
  <si>
    <t>EBIT as reported</t>
  </si>
  <si>
    <t>Adjusted EBIT (reported + R&amp;D expense - R&amp;D amortisation)</t>
  </si>
  <si>
    <t>Adjusted NOPAT</t>
  </si>
  <si>
    <t>Invested capital as reported</t>
  </si>
  <si>
    <t>Adjusted invested capital (reported + R&amp;D asset)</t>
  </si>
  <si>
    <t>ROIC as reported</t>
  </si>
  <si>
    <t>ROIC with R&amp;D capitalised</t>
  </si>
  <si>
    <t>MARKET-IMPLIED EXPECTATIONS - REVERSE DCF (what must be true for today's price?)</t>
  </si>
  <si>
    <t>Equity bridge items, net</t>
  </si>
  <si>
    <t>Implied value of operations (from market price)</t>
  </si>
  <si>
    <t>Model value of operations</t>
  </si>
  <si>
    <t>Market as a multiple of model</t>
  </si>
  <si>
    <t>PV of explicit free cash flow, years 1-10</t>
  </si>
  <si>
    <t>Required PV of continuing value</t>
  </si>
  <si>
    <t>Required continuing value at year 10</t>
  </si>
  <si>
    <t>MARKET-IMPLIED continuing-value growth</t>
  </si>
  <si>
    <t>Model continuing-value growth (nominal GDP)</t>
  </si>
  <si>
    <t>Implied growth less model growth</t>
  </si>
  <si>
    <t>Is the growth solve meaningful? (needs RONIC &lt;&gt; WACC)</t>
  </si>
  <si>
    <t>MARKET-IMPLIED RONIC (holding growth at nominal GDP)</t>
  </si>
  <si>
    <t>Model RONIC</t>
  </si>
  <si>
    <t>Approximation: the solve holds normalised NOPAT (DCF B24) fixed, though it depends slightly on the growth rate itself. Treat implied figures as close indications, not exact solutions. Row 165 is only valid where row 168 says yes; use row 169 otherwise.</t>
  </si>
  <si>
    <t>Maximum continuing value attainable at GDP growth (RONIC unbounded)</t>
  </si>
  <si>
    <t>Is today's price attainable at nominal GDP growth?</t>
  </si>
  <si>
    <t>FORWARD-LOOKING MULTIPLES (ch.12 prefers forward over trailing)</t>
  </si>
  <si>
    <t>Subject forward EBITA (forecast year 1)</t>
  </si>
  <si>
    <t>Subject EV at current market price</t>
  </si>
  <si>
    <t>Implied FORWARD EV/EBITA at market price</t>
  </si>
  <si>
    <t>Implied TRAILING EV/EBITA at market price</t>
  </si>
  <si>
    <t>Peer median trailing EV/EBITA</t>
  </si>
  <si>
    <t>Peer forward EV/EBITA</t>
  </si>
  <si>
    <t>no peer forecasts</t>
  </si>
  <si>
    <t>Peer forward multiples cannot be computed: peer_fundamentals holds trailing figures only, with no consensus or forecast EBITA. Comparing the subject's forward multiple against a peer TRAILING median would be inconsistent. Peer forecast data is required.</t>
  </si>
  <si>
    <t>DATA SOURCES &amp; AS-OF DATES</t>
  </si>
  <si>
    <t>Input</t>
  </si>
  <si>
    <t>Current value</t>
  </si>
  <si>
    <t>As of</t>
  </si>
  <si>
    <t>Share prices, P/E, shares outstanding</t>
  </si>
  <si>
    <t>live</t>
  </si>
  <si>
    <t>Refreshes automatically (Ticker Sheet)</t>
  </si>
  <si>
    <t>10-year US Treasury yield</t>
  </si>
  <si>
    <t>Static - re-check Treasury.gov</t>
  </si>
  <si>
    <t>10-year TIPS real yield</t>
  </si>
  <si>
    <t>S&amp;P 500 monthly closes</t>
  </si>
  <si>
    <t>through Aug 2026</t>
  </si>
  <si>
    <t>Static - 61 observations for beta</t>
  </si>
  <si>
    <t>Long-run S&amp;P 500 ROE</t>
  </si>
  <si>
    <t>book ch.10</t>
  </si>
  <si>
    <t>Judgement input</t>
  </si>
  <si>
    <t>S&amp;P 500 median E/P</t>
  </si>
  <si>
    <t>Static - drives the ERP</t>
  </si>
  <si>
    <t>US statutory</t>
  </si>
  <si>
    <t>Financial statements</t>
  </si>
  <si>
    <t>FY2019-FY2025</t>
  </si>
  <si>
    <t>Lease data</t>
  </si>
  <si>
    <t>Unrecognised stock compensation</t>
  </si>
  <si>
    <t>latest 10-K</t>
  </si>
  <si>
    <t>Filing URL not captured - re-verify</t>
  </si>
  <si>
    <t>Debt schedule by tranche</t>
  </si>
  <si>
    <t>Static</t>
  </si>
  <si>
    <t>Peer fundamentals (EV, EBITA, ROIC)</t>
  </si>
  <si>
    <t>not recorded</t>
  </si>
  <si>
    <t>NVDA ch.23 industry size</t>
  </si>
  <si>
    <t>placeholder</t>
  </si>
  <si>
    <t>GAP - no as-of date captured; trailing figures only</t>
  </si>
  <si>
    <t>Rows marked GAP or NOT SOURCED are the ones that would mislead if relied on without checking first.</t>
  </si>
  <si>
    <t>Reconciliation rows 135-146</t>
  </si>
  <si>
    <t>Multiples rows 64-71</t>
  </si>
  <si>
    <t>Subject forward EV/EBITA built; peer forward multiples blocked - no peer forecast data</t>
  </si>
  <si>
    <t>Reverse DCF: what must be true for today's price</t>
  </si>
  <si>
    <t>Valuation Dashboard rows 155-173</t>
  </si>
  <si>
    <t>Implied CV growth, implied RONIC, attainability test</t>
  </si>
  <si>
    <t>Plausibility: price inside the valuation range</t>
  </si>
  <si>
    <t>Valuation Dashboard rows 141-144</t>
  </si>
  <si>
    <t>Currently outside the range on all seven</t>
  </si>
  <si>
    <t>Model hygiene</t>
  </si>
  <si>
    <t>Source and as-of date recorded for every input</t>
  </si>
  <si>
    <t>Introduction rows 12-30</t>
  </si>
  <si>
    <t>Two gaps flagged: peer fundamentals date, NVDA ch.23 industry size</t>
  </si>
  <si>
    <t>NVIDIA - HIGH-GROWTH CROSS-CHECK (ch.23; detail on the NVDA High-Growth Ch23 sheet)</t>
  </si>
  <si>
    <t>Manual exclusions - verified data errors</t>
  </si>
  <si>
    <t>EV of 3,350,226 is inconsistent with SAP's own market capitalisation by roughly 15x - enterprise value is corrupt in the source data</t>
  </si>
  <si>
    <t>Year-10 annual AI infrastructure spend (USD m)</t>
  </si>
  <si>
    <t>NVIDIA share of that spend</t>
  </si>
  <si>
    <t>NVIDIA implied share of that spend base today</t>
  </si>
  <si>
    <t>CALIBRATION ANCHOR - is the share assumption grounded?</t>
  </si>
  <si>
    <t>Top-four cloud provider capex, current annual run rate (NVIDIA management)</t>
  </si>
  <si>
    <t>NVIDIA revenue, latest fiscal year</t>
  </si>
  <si>
    <t>Row 21 scenarios flex around this ~36% anchor rather than being invented. Source: Jensen Huang, NVIDIA earnings call - top-four CSP capex doubled to $600bn over two years.</t>
  </si>
  <si>
    <t>Multiples row 46; data screen at column P</t>
  </si>
  <si>
    <t>Screen added for currency/unit corruption (SONY, SAP, BABA excluded). AAPL widened to 3 peers with IBM. TSLA still 1 - needs new peer data.</t>
  </si>
  <si>
    <t>Peer data screened for unit and currency errors</t>
  </si>
  <si>
    <t>Multiples column P + manual list at R5</t>
  </si>
  <si>
    <t>Data check (0 = excluded: unit/currency error)</t>
  </si>
  <si>
    <t>GLOBAL FORECAST RATIO BASIS (applies to all seven forecast sheets)</t>
  </si>
  <si>
    <t>Ratio basis for all forecast ratios</t>
  </si>
  <si>
    <t>3-year mean</t>
  </si>
  <si>
    <t>Index</t>
  </si>
  <si>
    <t>Drives cost of revenue, R&amp;D, SG&amp;A, other opex, D&amp;A rate, interest rate, working capital, net PP&amp;E, goodwill and other operating assets on every forecast sheet. 'Custom' uses the manual values preserved in column F of each forecast sheet.</t>
  </si>
  <si>
    <t>Custom (manual)</t>
  </si>
  <si>
    <t>Ratio basis is explicit and switchable, not a hidden default</t>
  </si>
  <si>
    <t>Valuation Dashboard rows 146-149</t>
  </si>
  <si>
    <t>3-yr mean / 7-yr mean / 7-yr median / Custom, applied to all seven forecast sheets</t>
  </si>
  <si>
    <t>Applied (from dashboard)</t>
  </si>
  <si>
    <t>MODEL HEALTH - AUTOMATED TRIPWIRES (self-updating; no manual check needed)</t>
  </si>
  <si>
    <t>Error cells on the DCF sheet</t>
  </si>
  <si>
    <t>Error cells on the Forecast sheet</t>
  </si>
  <si>
    <t>Error cells on the Reconciliation sheet</t>
  </si>
  <si>
    <t>Economic profit less DCF (must be 0)</t>
  </si>
  <si>
    <t>Balance check, worst year (must be 0)</t>
  </si>
  <si>
    <t>Steady state reached by the terminal year</t>
  </si>
  <si>
    <t>Terminal growth at or below nominal GDP</t>
  </si>
  <si>
    <t>Scenario selection is a valid choice</t>
  </si>
  <si>
    <t>WORKBOOK-LEVEL TRIPWIRES</t>
  </si>
  <si>
    <t>Total error cells across the seven company chains</t>
  </si>
  <si>
    <t>Forecast ratio basis index is valid (1-4)</t>
  </si>
  <si>
    <t>Base/worst/best snapshot is current</t>
  </si>
  <si>
    <t>Peer groups with fewer than three peers</t>
  </si>
  <si>
    <t>Peers excluded by the unit/currency screen</t>
  </si>
  <si>
    <t>Lease dataset covers the latest fiscal year for every company</t>
  </si>
  <si>
    <t>OVERALL MODEL STATUS</t>
  </si>
  <si>
    <t>Advisory (not failures): steady state, snapshot currency, thin peer groups and screened peers are judgement items, listed above but excluded from the overall status.</t>
  </si>
  <si>
    <t>Error cells on dashboard (from row 4), checks, multiples and ch.23</t>
  </si>
  <si>
    <t>banner rows 1-3 excluded to avoid a circular reference</t>
  </si>
  <si>
    <t>Automated tripwires detect breakage without manual review</t>
  </si>
  <si>
    <t>Ch 11 Checks rows 31-53; banner on dashboard A3</t>
  </si>
  <si>
    <t>Tested by deliberately injecting a #DIV/0! - status flipped to ATTENTION and back</t>
  </si>
  <si>
    <t>Input guards prevent implausible values being typed</t>
  </si>
  <si>
    <t>Valuation Dashboard - data validation on inputs</t>
  </si>
  <si>
    <t>Ranges enforced on rates, multipliers, growth, RONIC ceiling, probabilities</t>
  </si>
  <si>
    <t>0001045810-26-000021</t>
  </si>
  <si>
    <t>https://www.sec.gov/Archives/edgar/data/1045810/000104581026000021/nvda-20260125.htm</t>
  </si>
  <si>
    <t>Leases note (Notes to the Consolidated Financial Statements)</t>
  </si>
  <si>
    <t>No separate finance lease liability is disclosed - NVIDIA reports leasehold improvements and finance leases together within property and equipment (accumulated amortisation $519m), with no finance lease liability on the balance sheet. Treated as nil, consistent with FY2020-FY2025. Lease interest expense is not separately disclosed for operating leases; the $680m 'less imputed interest' in the maturity table is the cumulative discount, not an annual charge.</t>
  </si>
  <si>
    <t>IMPLIED LEASE INTEREST (ch.10 consistency - leases are debt, so their interest is financing, not operating)</t>
  </si>
  <si>
    <t>Weighted-average lease discount rate (from filings)</t>
  </si>
  <si>
    <t>Implied interest on lease liabilities</t>
  </si>
  <si>
    <t>Implied interest as % of revenue</t>
  </si>
  <si>
    <t>Adjusted EBIT (reported + implied lease interest)</t>
  </si>
  <si>
    <t>Data status - is a lease discount rate available?</t>
  </si>
  <si>
    <t>Lease discount rate available for the implied-interest add-back</t>
  </si>
  <si>
    <t>Companies missing a lease discount rate</t>
  </si>
  <si>
    <t>MAGNIFICENT 7 - ENTERPRISE DCF VALUATION SUMMARY</t>
  </si>
  <si>
    <t>GLOBAL ASSUMPTIONS</t>
  </si>
  <si>
    <t>Risk-free rate (10Y UST)</t>
  </si>
  <si>
    <t>Explicit forecast period</t>
  </si>
  <si>
    <t>Forecast ratio basis</t>
  </si>
  <si>
    <t>10 years</t>
  </si>
  <si>
    <t>Debt equivalent</t>
  </si>
  <si>
    <t>Value driver formula</t>
  </si>
  <si>
    <t>VALUATION BY METHOD</t>
  </si>
  <si>
    <t>Scenario applied</t>
  </si>
  <si>
    <t>Multiples - EV/EBITA implied</t>
  </si>
  <si>
    <t>Expected value (probability weighted)</t>
  </si>
  <si>
    <t>Upside / (downside) on DCF</t>
  </si>
  <si>
    <t>Valuation range, low (-15%)</t>
  </si>
  <si>
    <t>Valuation range, high (+15%)</t>
  </si>
  <si>
    <t>Market price inside the range?</t>
  </si>
  <si>
    <t>WHAT THE MARKET PRICE IMPLIES (reverse DCF)</t>
  </si>
  <si>
    <t>Market as a multiple of model value of operations</t>
  </si>
  <si>
    <t>Market-implied continuing-value growth</t>
  </si>
  <si>
    <t>Market-implied RONIC (at nominal GDP growth)</t>
  </si>
  <si>
    <t>VERDICT</t>
  </si>
  <si>
    <t>Signal on DCF basis</t>
  </si>
  <si>
    <t>METHOD AND CAVEATS</t>
  </si>
  <si>
    <t>1.  Enterprise DCF: 10-year explicit forecast (5 detailed, 5 condensed), growth faded to nominal GDP by year 8, continuing value on the value driver formula. Cross-checked against an economic-profit valuation, which ties to the cent on all seven.</t>
  </si>
  <si>
    <t>2.  Leases are treated as debt: removed from operating liabilities in invested capital, ROU asset retained, included in the WACC capital structure, and deducted in each equity bridge.</t>
  </si>
  <si>
    <t>3.  Equity bridge: enterprise value + excess cash + other non-operating assets - total debt - lease obligations - other liabilities and NCI - unrecognised stock compensation.</t>
  </si>
  <si>
    <t>6.  Reported ROIC is inflated because R&amp;D is expensed. An R&amp;D capitalisation view is available on each Reconciliation sheet; it is not applied in the figures above.</t>
  </si>
  <si>
    <t>7.  Known data gaps: Apple's lease discount rate is not in the dataset, so its implied-lease-interest add-back is omitted. NVIDIA's ch.23 industry-size inputs are anchored on management guidance, not an independent forecast.</t>
  </si>
  <si>
    <t>CV method</t>
  </si>
  <si>
    <t>Leases</t>
  </si>
  <si>
    <t>CONTINUING-VALUE RONIC - BASIS AND RATIONALE (book ch.9)</t>
  </si>
  <si>
    <t>RONIC basis (set here, mirrored in row 24)</t>
  </si>
  <si>
    <t>Option 1: forecast ROIC, year 10</t>
  </si>
  <si>
    <t>Option 2: R&amp;D-capitalised ROIC (economically meaningful)</t>
  </si>
  <si>
    <t>Option 3: WACC (no durable advantage assumed)</t>
  </si>
  <si>
    <t>Option 4: manual</t>
  </si>
  <si>
    <t>RONIC applied</t>
  </si>
  <si>
    <t>Competitive-advantage rationale</t>
  </si>
  <si>
    <t>R&amp;D-adjusted ROIC</t>
  </si>
  <si>
    <t>Durable: ecosystem lock-in and brand pricing power sustain returns on new capital</t>
  </si>
  <si>
    <t>Durable: enterprise switching costs and installed base across Office, Azure, Windows</t>
  </si>
  <si>
    <t>Durable: search share and data advantage, though regulatory action is a live risk</t>
  </si>
  <si>
    <t>Not durable: retail is structurally competitive; AWS advantage is not separable in a consolidated model</t>
  </si>
  <si>
    <t>Not durable: accelerated-computing entry from hyperscaler custom silicon and AMD is likely over a decade</t>
  </si>
  <si>
    <t>Durable: network effects across Family of Apps, offset by Reality Labs capital burn</t>
  </si>
  <si>
    <t>Not durable: current ROIC sits below WACC, so no advantage is evidenced</t>
  </si>
  <si>
    <t>RONIC basis (set at rows 199-207)</t>
  </si>
  <si>
    <t>Continuing value RONIC (basis set on dashboard)</t>
  </si>
  <si>
    <t>RONIC manual input (used only when basis = Manual)</t>
  </si>
  <si>
    <t>Valuation Dashboard rows 199-207; DCF row 9</t>
  </si>
  <si>
    <t>Per-company basis with documented competitive-advantage rationale. The former arbitrary 25% ceiling has been removed.</t>
  </si>
  <si>
    <t>R&amp;D-capitalised ROIC computed on every Reconciliation sheet and now feeds continuing value for the durable-advantage names</t>
  </si>
  <si>
    <t>Probabilities weighted on the book's growth-persistence evidence (Exhibit 6.20) - see rows 209-216</t>
  </si>
  <si>
    <t>SCENARIO PROBABILITY EVIDENCE (Koller et al., ch.6, Exhibit 6.20 - revenue growth transition probabilities, 1994-2003)</t>
  </si>
  <si>
    <t>Real revenue growth at start</t>
  </si>
  <si>
    <t>Ended below 5% real growth 10 years later</t>
  </si>
  <si>
    <t>Ended in the middle buckets</t>
  </si>
  <si>
    <t>Sustained above 20% real growth</t>
  </si>
  <si>
    <t>Above 20%</t>
  </si>
  <si>
    <t>15% to 20%</t>
  </si>
  <si>
    <t>10% to 15%</t>
  </si>
  <si>
    <t>5% to 10%</t>
  </si>
  <si>
    <t>Below 5%</t>
  </si>
  <si>
    <t>Applied as the worst / base / best weights on each company's starting real growth rate (row 23). The book states plainly that high growth decays fast: companies growing above 20% real typically grow at 8% within five years and 5% within ten, and only 13% sustain 20% growth for a decade. It also warns that scenario probabilities are 'unobservable and highly subjective' and must be calibrated against the historical record. Treating 'worst' as the below-trend bucket and 'best' as the above-trend bucket is my interpretation; the percentages themselves are the book's data, not mine.</t>
  </si>
  <si>
    <t>Scenario probabilities sum to 100% for every company</t>
  </si>
  <si>
    <t>4.  Expected value is probability weighted using the book's own growth-persistence data (ch.6, Exhibit 6.20): weights vary by each company's starting growth, from 67/30/3 worst/base/best for sub-5% growers to 56/31/13 for those above 20%. Symmetric weighting is not supportable - the historical record is strongly skewed to the downside. Built from a scenario SNAPSHOT; the DCF and multiples rows above are live.</t>
  </si>
  <si>
    <t>Worst case: starting real growth (Fortune 50 stall evidence, Exh. 6.19)</t>
  </si>
  <si>
    <t>Best case: starting real growth (3rd quartile, 40yr distribution, Exh. 6.15)</t>
  </si>
  <si>
    <t>Scenario growth paths are no longer scalar multipliers. Worst case uses the Fortune 50 stall-point evidence (Exhibit 6.19): companies entering the Fortune 50 average roughly 1% real revenue growth over the following 15 years, and shrink in 5 of those 15. Best case uses the third quartile of the 40-year real revenue growth distribution (Exhibit 6.15: median 6.3%, 3rd quartile 15.4%, 1st quartile -0.2%), floored at the base case so it is never below it. Where a company's base already exceeds the third quartile (NVIDIA), the evidence offers no support for a higher case, so best equals base.</t>
  </si>
  <si>
    <t>Valuation Dashboard rows 15-16, 128-131, 209-217</t>
  </si>
  <si>
    <t>Probabilities from Exhibit 6.20 transition matrix; worst case from Exhibit 6.19 Fortune 50 stall points; best case from Exhibit 6.15 third quartile</t>
  </si>
  <si>
    <t>5.  Scenario growth paths come from the book's empirical record, not from scalar multipliers: worst case 1% real (Fortune 50 stall points, Exh. 6.19), best case 15.4% real (third quartile of the 40-year distribution, Exh. 6.15) floored at base. Multiples use EV/EBITA against SIC-matched peers screened for unit and currency errors; Apple rests on 3 peers and Tesla on 1.</t>
  </si>
  <si>
    <t>MARGIN SCENARIO CALIBRATION (company-specific, from realised EBITA margin volatility FY2019-FY2025)</t>
  </si>
  <si>
    <t>EBITA margin, latest fiscal year</t>
  </si>
  <si>
    <t>EBITA margin, 7-year mean</t>
  </si>
  <si>
    <t>EBITA margin, 7-year standard deviation</t>
  </si>
  <si>
    <t>Worst case adjustment (-1 standard deviation)</t>
  </si>
  <si>
    <t>Best case adjustment (+1 standard deviation)</t>
  </si>
  <si>
    <t>Lowest EBITA margin achieved, FY2019-FY2025</t>
  </si>
  <si>
    <t>Highest EBITA margin achieved, FY2019-FY2025</t>
  </si>
  <si>
    <t>One standard deviation of realised EBITA margin, capped so neither case implies a margin the company has never achieved. NVIDIA's raw deviation is 18.6pp because its margin ranged from 15.7% to 62.4% over the period; uncapped, the best case would exceed its gross margin.</t>
  </si>
  <si>
    <t>CONTEMPORARY REALITY CHECK - the book's base rates (data to 2003) versus what these seven actually did</t>
  </si>
  <si>
    <t>Realised nominal revenue CAGR, 7 years</t>
  </si>
  <si>
    <t>Less long-run expected inflation</t>
  </si>
  <si>
    <t>Realised REAL revenue CAGR</t>
  </si>
  <si>
    <t>Book's Fortune 50 stall rate (applied as worst case)</t>
  </si>
  <si>
    <t>Realised real growth as a multiple of the stall rate</t>
  </si>
  <si>
    <t>The stall-point study (Corporate Executive Board, 1998) predates all seven. Every one of them has grown far faster in real terms than the base rate now applied as their worst case. That does not make the worst case wrong - it is a base rate that is deliberately not conditioned on continued exceptionalism - but it should be read as 'the exceptionalism ends', not as a likely outcome. Levels in the book's data (median ROIC 9-11%, median real growth 6.3%) come from a 1963-2003 universe dominated by asset-heavy industrials and understate what asset-light platforms earn. The structural findings - that ROIC mean-reverts slowly and growth decays fast - are far more durable than the levels.</t>
  </si>
  <si>
    <t>CONTINUING VALUE OF ECONOMIC PROFIT (after year 10)</t>
  </si>
  <si>
    <t>Normalised NOPAT, year 11</t>
  </si>
  <si>
    <t>Invested capital, end of year 10</t>
  </si>
  <si>
    <t>Terminal EBIT margin (year 10)</t>
  </si>
  <si>
    <t>8.  Sources: income statements, balance sheets and cash flow statements are standardised third-party data, not keyed from filings - field names such as 'Ebitdaratio' betray the provider. Leases, the debt schedule, stock compensation and NVIDIA's ch.23 anchors ARE read from SEC EDGAR filings. Treasury.gov for the risk-free and TIPS rates; live market data for prices and shares. Model health tripwires on the Ch 11 Checks sheet.</t>
  </si>
  <si>
    <t>FY2019-FY2026</t>
  </si>
  <si>
    <t>SEC EDGAR, read from filed 10-K HTML. NVDA FY2026 added; Apple discount rate still missing</t>
  </si>
  <si>
    <t>STANDARDISED THIRD-PARTY DATA, not keyed from filings - field names such as 'Ebitdaratio' show the provider. Verify before relying on line-item detail.</t>
  </si>
  <si>
    <t>Anchored on NVIDIA management guidance; share, margin and turnover scenarios are the model's own judgement</t>
  </si>
  <si>
    <t>SENSITIVITY - VALUE PER SHARE: WACC vs RONIC</t>
  </si>
  <si>
    <t>WACC \ RONIC</t>
  </si>
  <si>
    <t>SENSITIVITY - VALUE PER SHARE: WACC vs TERMINAL EBIT MARGIN</t>
  </si>
  <si>
    <t>WACC \ EBIT margin</t>
  </si>
  <si>
    <t>SENSITIVITY - VALUE PER SHARE vs STARTING REAL REVENUE GROWTH (snapshot, not live)</t>
  </si>
  <si>
    <t>Value per share at current WACC</t>
  </si>
  <si>
    <t>STATIC SNAPSHOT. Changing revenue growth re-runs the whole forecast, which no cell formula can reproduce, so these are captured values rather than live ones. They were taken at the WACC and assumptions in force when written; re-capture after changing any global assumption. The other three grids on this sheet are live.</t>
  </si>
  <si>
    <t>LEASE TREATMENT (ch.10) - leases are debt, so their implied interest is a financing cost</t>
  </si>
  <si>
    <t>Add implied lease interest back to EBIT</t>
  </si>
  <si>
    <t>Yes</t>
  </si>
  <si>
    <t>Operating lease cost sits entirely in operating expenses, but if the lease liability is treated as debt its interest component is financing, not operating. This adds it back to EBIT across the forecast. The rate is each company's disclosed weighted-average lease discount rate; the ratio to revenue is held at the latest actual year, which is a simplification since lease books grow.</t>
  </si>
  <si>
    <t>FORMULA INTEGRITY (detects a formula overwritten by a typed value)</t>
  </si>
  <si>
    <t>Dashboard summary cells no longer holding a formula</t>
  </si>
  <si>
    <t>Dashboard reverse-DCF cells no longer holding a formula</t>
  </si>
  <si>
    <t>DCF equity-bridge cells no longer holding a formula (stock comp excluded)</t>
  </si>
  <si>
    <t>Total broken formula cells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</si>
</sst>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7">
    <numFmt numFmtId="164" formatCode="0.00_);\(0.00\)"/>
    <numFmt numFmtId="165" formatCode="0.0%"/>
    <numFmt numFmtId="166" formatCode="0.00&quot;x&quot;"/>
    <numFmt numFmtId="167" formatCode="yyyy\-mm\-dd"/>
    <numFmt numFmtId="168" formatCode="0.000"/>
    <numFmt numFmtId="169" formatCode="_([$$-409]* #,##0.00_);_([$$-409]* \(#,##0.00\);_([$$-409]* &quot;-&quot;??_);_(@_)"/>
    <numFmt numFmtId="170" formatCode="_([$$-409]* #,##0_);_([$$-409]* \(#,##0\);_([$$-409]* &quot;-&quot;_);_(@_)"/>
    <numFmt numFmtId="171" formatCode="0.0"/>
    <numFmt numFmtId="172" formatCode="0.0&quot;x&quot;"/>
    <numFmt numFmtId="173" formatCode="0.0000%"/>
    <numFmt numFmtId="174" formatCode="#,##0.0"/>
    <numFmt numFmtId="175" formatCode="0.00\x"/>
    <numFmt numFmtId="176" formatCode="&quot;$&quot;#,##0.00"/>
    <numFmt numFmtId="177" formatCode="0.0%;\(0.0%\)"/>
    <numFmt numFmtId="178" formatCode="0.0\x"/>
    <numFmt numFmtId="179" formatCode="#,##0.000"/>
    <numFmt numFmtId="180" formatCode="yyyy"/>
  </numFmts>
  <fonts count="50" x14ac:knownFonts="1">
    <font>
      <sz val="11"/>
      <color theme="1"/>
      <name val="Aptos Narrow"/>
      <family val="2"/>
      <scheme val="minor"/>
    </font>
    <font>
      <b/>
      <sz val="11"/>
      <color theme="1"/>
      <name val="Aptos Narrow"/>
      <family val="2"/>
      <scheme val="minor"/>
    </font>
    <font>
      <b/>
      <sz val="11"/>
      <color rgb="FF364165"/>
      <name val="Aptos Narrow"/>
      <family val="2"/>
      <scheme val="minor"/>
    </font>
    <font>
      <sz val="11"/>
      <color rgb="FF000000"/>
      <name val="Aptos Narrow"/>
      <family val="2"/>
      <scheme val="minor"/>
    </font>
    <font>
      <i/>
      <sz val="11"/>
      <color theme="1"/>
      <name val="Aptos Narrow"/>
      <family val="2"/>
      <scheme val="minor"/>
    </font>
    <font>
      <b/>
      <sz val="12"/>
      <color rgb="FF364165"/>
      <name val="Aptos Narrow"/>
      <family val="2"/>
      <scheme val="minor"/>
    </font>
    <font>
      <b/>
      <sz val="12"/>
      <color rgb="FF364165"/>
      <name val="Aptos Narrow"/>
      <scheme val="minor"/>
    </font>
    <font>
      <sz val="11"/>
      <color theme="1"/>
      <name val="Aptos Narrow"/>
      <scheme val="minor"/>
    </font>
    <font>
      <b/>
      <sz val="11"/>
      <color theme="1"/>
      <name val="Aptos Narrow"/>
      <scheme val="minor"/>
    </font>
    <font>
      <b/>
      <sz val="11"/>
      <color rgb="FF364165"/>
      <name val="Aptos Narrow"/>
      <scheme val="minor"/>
    </font>
    <font>
      <sz val="11"/>
      <color rgb="FF0000FF"/>
      <name val="Aptos Narrow"/>
      <scheme val="minor"/>
    </font>
    <font>
      <i/>
      <sz val="11"/>
      <color theme="1"/>
      <name val="Aptos Narrow"/>
      <scheme val="minor"/>
    </font>
    <font>
      <sz val="11"/>
      <color rgb="FF0000FF"/>
      <name val="Aptos Narrow"/>
      <family val="2"/>
      <scheme val="minor"/>
    </font>
    <font>
      <b/>
      <sz val="11"/>
      <color rgb="FF9C0006"/>
      <name val="Aptos Narrow"/>
      <family val="2"/>
      <scheme val="minor"/>
    </font>
    <font>
      <b/>
      <sz val="11"/>
      <color rgb="FF0000FF"/>
      <name val="Aptos Narrow"/>
      <family val="2"/>
      <scheme val="minor"/>
    </font>
    <font>
      <i/>
      <sz val="9"/>
      <color theme="1"/>
      <name val="Aptos Narrow"/>
      <family val="2"/>
      <scheme val="minor"/>
    </font>
    <font>
      <i/>
      <sz val="11"/>
      <color rgb="FF000000"/>
      <name val="Aptos Narrow"/>
      <family val="2"/>
      <scheme val="minor"/>
    </font>
    <font>
      <b/>
      <sz val="11"/>
      <color rgb="FF000000"/>
      <name val="Aptos Narrow"/>
      <family val="2"/>
      <scheme val="minor"/>
    </font>
    <font>
      <b/>
      <sz val="14"/>
      <color rgb="FF364165"/>
      <name val="Aptos Narrow"/>
      <family val="2"/>
      <scheme val="minor"/>
    </font>
    <font>
      <u/>
      <sz val="11"/>
      <color theme="10"/>
      <name val="Aptos Narrow"/>
      <family val="2"/>
      <scheme val="minor"/>
    </font>
    <font>
      <b/>
      <sz val="11"/>
      <color rgb="FFFFFFFF"/>
      <name val="Aptos Narrow"/>
      <family val="2"/>
      <scheme val="minor"/>
    </font>
    <font>
      <b/>
      <sz val="16"/>
      <color rgb="FF364165"/>
      <name val="Aptos Narrow"/>
      <family val="2"/>
      <scheme val="minor"/>
    </font>
    <font>
      <b/>
      <i/>
      <sz val="11"/>
      <color rgb="FF364165"/>
      <name val="Aptos Narrow"/>
      <family val="2"/>
      <scheme val="minor"/>
    </font>
    <font>
      <i/>
      <sz val="11"/>
      <color rgb="FF808080"/>
      <name val="Aptos Narrow"/>
      <family val="2"/>
      <scheme val="minor"/>
    </font>
    <font>
      <sz val="9"/>
      <color indexed="81"/>
      <name val="Tahoma"/>
      <charset val="1"/>
    </font>
    <font>
      <b/>
      <sz val="9"/>
      <color indexed="81"/>
      <name val="Tahoma"/>
      <charset val="1"/>
    </font>
    <font>
      <b/>
      <sz val="16"/>
      <color theme="1"/>
      <name val="Aptos Narrow"/>
      <family val="2"/>
      <scheme val="minor"/>
    </font>
    <font>
      <i/>
      <sz val="11"/>
      <color rgb="FF666666"/>
      <name val="Aptos Narrow"/>
      <family val="2"/>
      <scheme val="minor"/>
    </font>
    <font>
      <sz val="11"/>
      <color rgb="FF008000"/>
      <name val="Aptos Narrow"/>
      <family val="2"/>
      <scheme val="minor"/>
    </font>
    <font>
      <i/>
      <sz val="11"/>
      <color rgb="FF008000"/>
      <name val="Aptos Narrow"/>
      <family val="2"/>
      <scheme val="minor"/>
    </font>
    <font>
      <b/>
      <sz val="11"/>
      <color rgb="FF008000"/>
      <name val="Aptos Narrow"/>
      <family val="2"/>
      <scheme val="minor"/>
    </font>
    <font>
      <b/>
      <sz val="20"/>
      <color theme="1"/>
      <name val="Aptos Narrow"/>
      <family val="2"/>
      <scheme val="minor"/>
    </font>
    <font>
      <sz val="11"/>
      <color rgb="FF008000"/>
      <name val="Aptos Narrow"/>
      <scheme val="minor"/>
    </font>
    <font>
      <b/>
      <sz val="11"/>
      <color rgb="FF000000"/>
      <name val="Aptos Narrow"/>
      <scheme val="minor"/>
    </font>
    <font>
      <sz val="11"/>
      <color rgb="FF000000"/>
      <name val="Aptos Narrow"/>
      <scheme val="minor"/>
    </font>
    <font>
      <i/>
      <sz val="11"/>
      <color rgb="FF008000"/>
      <name val="Aptos Narrow"/>
      <scheme val="minor"/>
    </font>
    <font>
      <b/>
      <sz val="12"/>
      <color rgb="FFFFFFFF"/>
      <name val="Aptos Narrow"/>
      <family val="2"/>
      <scheme val="minor"/>
    </font>
    <font>
      <b/>
      <i/>
      <sz val="11"/>
      <color rgb="FFC00000"/>
      <name val="Aptos Narrow"/>
      <family val="2"/>
      <scheme val="minor"/>
    </font>
    <font>
      <b/>
      <sz val="12"/>
      <color theme="1"/>
      <name val="Aptos Narrow"/>
      <family val="2"/>
      <scheme val="minor"/>
    </font>
    <font>
      <i/>
      <sz val="11"/>
      <color rgb="FFC00000"/>
      <name val="Aptos Narrow"/>
      <family val="2"/>
      <scheme val="minor"/>
    </font>
    <font>
      <b/>
      <sz val="15"/>
      <color theme="1"/>
      <name val="Aptos Narrow"/>
      <family val="2"/>
      <scheme val="minor"/>
    </font>
    <font>
      <sz val="8"/>
      <color rgb="FF444444"/>
      <name val="Aptos Narrow"/>
      <family val="2"/>
      <scheme val="minor"/>
    </font>
    <font>
      <b/>
      <sz val="10"/>
      <color theme="1"/>
      <name val="Aptos Narrow"/>
      <family val="2"/>
      <scheme val="minor"/>
    </font>
    <font>
      <sz val="10"/>
      <color theme="1"/>
      <name val="Aptos Narrow"/>
      <family val="2"/>
      <scheme val="minor"/>
    </font>
    <font>
      <b/>
      <sz val="10"/>
      <color rgb="FFFFFFFF"/>
      <name val="Aptos Narrow"/>
      <family val="2"/>
      <scheme val="minor"/>
    </font>
    <font>
      <i/>
      <sz val="9"/>
      <color rgb="FF666666"/>
      <name val="Aptos Narrow"/>
      <family val="2"/>
      <scheme val="minor"/>
    </font>
    <font>
      <sz val="11"/>
      <color rgb="FFFFFFFF"/>
      <name val="Aptos Narrow"/>
      <family val="2"/>
      <scheme val="minor"/>
    </font>
    <font>
      <i/>
      <sz val="8"/>
      <color theme="1"/>
      <name val="Aptos Narrow"/>
      <family val="2"/>
      <scheme val="minor"/>
    </font>
    <font>
      <sz val="11"/>
      <color rgb="FFC00000"/>
      <name val="Aptos Narrow"/>
      <family val="2"/>
      <scheme val="minor"/>
    </font>
    <font>
      <i/>
      <sz val="9"/>
      <color rgb="FF806000"/>
      <name val="Aptos Narrow"/>
      <family val="2"/>
      <scheme val="minor"/>
    </font>
  </fonts>
  <fills count="15">
    <fill>
      <patternFill patternType="none"/>
    </fill>
    <fill>
      <patternFill patternType="gray125"/>
    </fill>
    <fill>
      <patternFill patternType="solid">
        <fgColor rgb="FFF7F8F8"/>
        <bgColor indexed="64"/>
      </patternFill>
    </fill>
    <fill>
      <patternFill patternType="solid">
        <fgColor rgb="FFEDEFF3"/>
        <bgColor indexed="64"/>
      </patternFill>
    </fill>
    <fill>
      <patternFill patternType="solid">
        <fgColor rgb="FFFFFF00"/>
        <bgColor indexed="64"/>
      </patternFill>
    </fill>
    <fill>
      <patternFill patternType="solid">
        <fgColor rgb="FFFFC7CE"/>
        <bgColor indexed="64"/>
      </patternFill>
    </fill>
    <fill>
      <patternFill patternType="solid">
        <fgColor rgb="FFFFF2CC"/>
        <bgColor indexed="64"/>
      </patternFill>
    </fill>
    <fill>
      <patternFill patternType="solid">
        <fgColor rgb="FFFFFFFF"/>
        <bgColor indexed="64"/>
      </patternFill>
    </fill>
    <fill>
      <patternFill patternType="solid">
        <fgColor rgb="FF364165"/>
        <bgColor indexed="64"/>
      </patternFill>
    </fill>
    <fill>
      <patternFill patternType="solid">
        <fgColor rgb="FFD9E1F2"/>
        <bgColor indexed="64"/>
      </patternFill>
    </fill>
    <fill>
      <patternFill patternType="solid">
        <fgColor rgb="FF31456A"/>
        <bgColor indexed="64"/>
      </patternFill>
    </fill>
    <fill>
      <patternFill patternType="solid">
        <fgColor rgb="FF8FAADC"/>
        <bgColor indexed="64"/>
      </patternFill>
    </fill>
    <fill>
      <patternFill patternType="solid">
        <fgColor rgb="FF1F3864"/>
        <bgColor indexed="64"/>
      </patternFill>
    </fill>
    <fill>
      <patternFill patternType="solid">
        <fgColor rgb="FFC00000"/>
        <bgColor indexed="64"/>
      </patternFill>
    </fill>
    <fill>
      <patternFill patternType="solid">
        <fgColor rgb="FF806000"/>
        <bgColor indexed="64"/>
      </patternFill>
    </fill>
  </fills>
  <borders count="6">
    <border>
      <left/>
      <right/>
      <top/>
      <bottom/>
      <diagonal/>
    </border>
    <border>
      <left/>
      <right/>
      <top style="thin">
        <color rgb="FF000000"/>
      </top>
      <bottom/>
      <diagonal/>
    </border>
    <border>
      <left/>
      <right/>
      <top style="thin">
        <color rgb="FF000000"/>
      </top>
      <bottom style="thin">
        <color rgb="FF000000"/>
      </bottom>
      <diagonal/>
    </border>
    <border>
      <left/>
      <right/>
      <top style="thin">
        <color auto="1"/>
      </top>
      <bottom/>
      <diagonal/>
    </border>
    <border>
      <left style="thin">
        <color rgb="FFB4C6E7"/>
      </left>
      <right/>
      <top/>
      <bottom/>
      <diagonal/>
    </border>
    <border>
      <left style="thin">
        <color rgb="FFB4C6E7"/>
      </left>
      <right style="thin">
        <color rgb="FFB4C6E7"/>
      </right>
      <top style="thin">
        <color rgb="FFB4C6E7"/>
      </top>
      <bottom style="thin">
        <color rgb="FFB4C6E7"/>
      </bottom>
      <diagonal/>
    </border>
  </borders>
  <cellStyleXfs count="2">
    <xf numFmtId="0" fontId="0" fillId="0" borderId="0"/>
    <xf numFmtId="0" fontId="19" fillId="0" borderId="0" applyNumberFormat="0" applyFill="0" applyBorder="0" applyAlignment="0" applyProtection="0"/>
  </cellStyleXfs>
  <cellXfs count="238">
    <xf numFmtId="0" fontId="0" fillId="0" borderId="0" xfId="0"/>
    <xf numFmtId="39" fontId="0" fillId="0" borderId="0" xfId="0" applyNumberFormat="1"/>
    <xf numFmtId="164" fontId="0" fillId="0" borderId="0" xfId="0" applyNumberFormat="1"/>
    <xf numFmtId="10" fontId="0" fillId="0" borderId="0" xfId="0" applyNumberFormat="1"/>
    <xf numFmtId="39" fontId="0" fillId="0" borderId="1" xfId="0" applyNumberFormat="1" applyBorder="1"/>
    <xf numFmtId="39" fontId="0" fillId="0" borderId="2" xfId="0" applyNumberFormat="1" applyBorder="1"/>
    <xf numFmtId="39" fontId="1" fillId="0" borderId="0" xfId="0" applyNumberFormat="1" applyFont="1"/>
    <xf numFmtId="10" fontId="0" fillId="0" borderId="1" xfId="0" applyNumberFormat="1" applyBorder="1"/>
    <xf numFmtId="14" fontId="0" fillId="0" borderId="1" xfId="0" applyNumberFormat="1" applyBorder="1"/>
    <xf numFmtId="0" fontId="1" fillId="0" borderId="0" xfId="0" applyFont="1"/>
    <xf numFmtId="0" fontId="2" fillId="2" borderId="0" xfId="0" applyFont="1" applyFill="1"/>
    <xf numFmtId="39" fontId="3" fillId="0" borderId="0" xfId="0" applyNumberFormat="1" applyFont="1"/>
    <xf numFmtId="39" fontId="4" fillId="0" borderId="0" xfId="0" applyNumberFormat="1" applyFont="1"/>
    <xf numFmtId="164" fontId="4" fillId="0" borderId="0" xfId="0" applyNumberFormat="1" applyFont="1"/>
    <xf numFmtId="10" fontId="4" fillId="0" borderId="0" xfId="0" applyNumberFormat="1" applyFont="1"/>
    <xf numFmtId="0" fontId="5" fillId="0" borderId="0" xfId="0" applyFont="1"/>
    <xf numFmtId="0" fontId="6" fillId="2" borderId="0" xfId="0" applyFont="1" applyFill="1"/>
    <xf numFmtId="0" fontId="7" fillId="0" borderId="0" xfId="0" applyFont="1"/>
    <xf numFmtId="39" fontId="7" fillId="0" borderId="0" xfId="0" applyNumberFormat="1" applyFont="1"/>
    <xf numFmtId="0" fontId="8" fillId="0" borderId="0" xfId="0" applyFont="1"/>
    <xf numFmtId="0" fontId="9" fillId="3" borderId="0" xfId="0" applyFont="1" applyFill="1"/>
    <xf numFmtId="165" fontId="10" fillId="4" borderId="0" xfId="0" applyNumberFormat="1" applyFont="1" applyFill="1"/>
    <xf numFmtId="0" fontId="11" fillId="0" borderId="0" xfId="0" applyFont="1"/>
    <xf numFmtId="167" fontId="0" fillId="0" borderId="0" xfId="0" applyNumberFormat="1"/>
    <xf numFmtId="0" fontId="2" fillId="3" borderId="0" xfId="0" applyFont="1" applyFill="1"/>
    <xf numFmtId="10" fontId="12" fillId="4" borderId="0" xfId="0" applyNumberFormat="1" applyFont="1" applyFill="1"/>
    <xf numFmtId="4" fontId="0" fillId="0" borderId="0" xfId="0" applyNumberFormat="1"/>
    <xf numFmtId="2" fontId="0" fillId="0" borderId="0" xfId="0" applyNumberFormat="1"/>
    <xf numFmtId="165" fontId="0" fillId="0" borderId="0" xfId="0" applyNumberFormat="1"/>
    <xf numFmtId="10" fontId="1" fillId="0" borderId="0" xfId="0" applyNumberFormat="1" applyFont="1"/>
    <xf numFmtId="165" fontId="1" fillId="0" borderId="0" xfId="0" applyNumberFormat="1" applyFont="1"/>
    <xf numFmtId="165" fontId="12" fillId="4" borderId="0" xfId="0" applyNumberFormat="1" applyFont="1" applyFill="1"/>
    <xf numFmtId="0" fontId="1" fillId="3" borderId="0" xfId="0" applyFont="1" applyFill="1"/>
    <xf numFmtId="0" fontId="4" fillId="0" borderId="0" xfId="0" applyFont="1"/>
    <xf numFmtId="3" fontId="2" fillId="3" borderId="0" xfId="0" applyNumberFormat="1" applyFont="1" applyFill="1"/>
    <xf numFmtId="3" fontId="0" fillId="0" borderId="0" xfId="0" applyNumberFormat="1"/>
    <xf numFmtId="3" fontId="1" fillId="0" borderId="0" xfId="0" applyNumberFormat="1" applyFont="1"/>
    <xf numFmtId="3" fontId="1" fillId="3" borderId="0" xfId="0" applyNumberFormat="1" applyFont="1" applyFill="1"/>
    <xf numFmtId="10" fontId="2" fillId="3" borderId="0" xfId="0" applyNumberFormat="1" applyFont="1" applyFill="1"/>
    <xf numFmtId="10" fontId="1" fillId="3" borderId="0" xfId="0" applyNumberFormat="1" applyFont="1" applyFill="1"/>
    <xf numFmtId="0" fontId="13" fillId="5" borderId="0" xfId="0" applyFont="1" applyFill="1"/>
    <xf numFmtId="0" fontId="1" fillId="6" borderId="0" xfId="0" applyFont="1" applyFill="1"/>
    <xf numFmtId="2" fontId="1" fillId="0" borderId="0" xfId="0" applyNumberFormat="1" applyFont="1"/>
    <xf numFmtId="0" fontId="15" fillId="0" borderId="0" xfId="0" applyFont="1"/>
    <xf numFmtId="10" fontId="16" fillId="7" borderId="0" xfId="0" applyNumberFormat="1" applyFont="1" applyFill="1"/>
    <xf numFmtId="10" fontId="17" fillId="7" borderId="0" xfId="0" applyNumberFormat="1" applyFont="1" applyFill="1"/>
    <xf numFmtId="0" fontId="18" fillId="0" borderId="0" xfId="0" applyFont="1"/>
    <xf numFmtId="14" fontId="0" fillId="0" borderId="0" xfId="0" applyNumberFormat="1"/>
    <xf numFmtId="4" fontId="0" fillId="6" borderId="0" xfId="0" applyNumberFormat="1" applyFill="1"/>
    <xf numFmtId="14" fontId="1" fillId="0" borderId="0" xfId="0" applyNumberFormat="1" applyFont="1"/>
    <xf numFmtId="1" fontId="12" fillId="4" borderId="0" xfId="0" applyNumberFormat="1" applyFont="1" applyFill="1"/>
    <xf numFmtId="168" fontId="0" fillId="0" borderId="0" xfId="0" applyNumberFormat="1"/>
    <xf numFmtId="169" fontId="1" fillId="0" borderId="0" xfId="0" applyNumberFormat="1" applyFont="1"/>
    <xf numFmtId="170" fontId="0" fillId="0" borderId="0" xfId="0" applyNumberFormat="1"/>
    <xf numFmtId="0" fontId="20" fillId="8" borderId="0" xfId="0" applyFont="1" applyFill="1"/>
    <xf numFmtId="0" fontId="19" fillId="0" borderId="0" xfId="1"/>
    <xf numFmtId="0" fontId="21" fillId="0" borderId="0" xfId="0" applyFont="1"/>
    <xf numFmtId="0" fontId="22" fillId="3" borderId="0" xfId="0" applyFont="1" applyFill="1"/>
    <xf numFmtId="2" fontId="12" fillId="5" borderId="0" xfId="0" applyNumberFormat="1" applyFont="1" applyFill="1"/>
    <xf numFmtId="1" fontId="0" fillId="0" borderId="0" xfId="0" applyNumberFormat="1"/>
    <xf numFmtId="3" fontId="0" fillId="6" borderId="0" xfId="0" applyNumberFormat="1" applyFill="1"/>
    <xf numFmtId="3" fontId="12" fillId="4" borderId="0" xfId="0" applyNumberFormat="1" applyFont="1" applyFill="1"/>
    <xf numFmtId="0" fontId="0" fillId="0" borderId="0" xfId="0" applyAlignment="1">
      <alignment horizontal="center"/>
    </xf>
    <xf numFmtId="0" fontId="1" fillId="9" borderId="0" xfId="0" applyFont="1" applyFill="1"/>
    <xf numFmtId="174" fontId="0" fillId="0" borderId="0" xfId="0" applyNumberFormat="1"/>
    <xf numFmtId="0" fontId="26" fillId="0" borderId="0" xfId="0" applyFont="1"/>
    <xf numFmtId="0" fontId="27" fillId="0" borderId="0" xfId="0" applyFont="1"/>
    <xf numFmtId="0" fontId="20" fillId="10" borderId="0" xfId="0" applyFont="1" applyFill="1"/>
    <xf numFmtId="0" fontId="12" fillId="0" borderId="0" xfId="0" applyFont="1"/>
    <xf numFmtId="10" fontId="12" fillId="0" borderId="0" xfId="0" applyNumberFormat="1" applyFont="1"/>
    <xf numFmtId="165" fontId="12" fillId="0" borderId="0" xfId="0" applyNumberFormat="1" applyFont="1"/>
    <xf numFmtId="175" fontId="12" fillId="0" borderId="0" xfId="0" applyNumberFormat="1" applyFont="1"/>
    <xf numFmtId="10" fontId="28" fillId="4" borderId="0" xfId="0" applyNumberFormat="1" applyFont="1" applyFill="1"/>
    <xf numFmtId="10" fontId="29" fillId="4" borderId="0" xfId="0" applyNumberFormat="1" applyFont="1" applyFill="1"/>
    <xf numFmtId="10" fontId="29" fillId="5" borderId="0" xfId="0" applyNumberFormat="1" applyFont="1" applyFill="1"/>
    <xf numFmtId="10" fontId="30" fillId="4" borderId="0" xfId="0" applyNumberFormat="1" applyFont="1" applyFill="1"/>
    <xf numFmtId="165" fontId="28" fillId="4" borderId="0" xfId="0" applyNumberFormat="1" applyFont="1" applyFill="1"/>
    <xf numFmtId="0" fontId="1" fillId="9" borderId="0" xfId="0" applyFont="1" applyFill="1" applyAlignment="1">
      <alignment horizontal="center"/>
    </xf>
    <xf numFmtId="0" fontId="30" fillId="4" borderId="0" xfId="0" applyFont="1" applyFill="1"/>
    <xf numFmtId="10" fontId="28" fillId="0" borderId="0" xfId="0" applyNumberFormat="1" applyFont="1"/>
    <xf numFmtId="3" fontId="28" fillId="0" borderId="0" xfId="0" applyNumberFormat="1" applyFont="1"/>
    <xf numFmtId="176" fontId="28" fillId="0" borderId="0" xfId="0" applyNumberFormat="1" applyFont="1"/>
    <xf numFmtId="178" fontId="28" fillId="0" borderId="0" xfId="0" applyNumberFormat="1" applyFont="1"/>
    <xf numFmtId="0" fontId="0" fillId="0" borderId="5" xfId="0" applyBorder="1"/>
    <xf numFmtId="10" fontId="12" fillId="0" borderId="5" xfId="0" applyNumberFormat="1" applyFont="1" applyBorder="1"/>
    <xf numFmtId="165" fontId="12" fillId="0" borderId="5" xfId="0" applyNumberFormat="1" applyFont="1" applyBorder="1"/>
    <xf numFmtId="0" fontId="1" fillId="9" borderId="5" xfId="0" applyFont="1" applyFill="1" applyBorder="1" applyAlignment="1">
      <alignment horizontal="center"/>
    </xf>
    <xf numFmtId="0" fontId="12" fillId="6" borderId="5" xfId="0" applyFont="1" applyFill="1" applyBorder="1" applyAlignment="1">
      <alignment horizontal="center"/>
    </xf>
    <xf numFmtId="10" fontId="28" fillId="0" borderId="5" xfId="0" applyNumberFormat="1" applyFont="1" applyBorder="1"/>
    <xf numFmtId="3" fontId="28" fillId="0" borderId="5" xfId="0" applyNumberFormat="1" applyFont="1" applyBorder="1"/>
    <xf numFmtId="176" fontId="28" fillId="0" borderId="5" xfId="0" applyNumberFormat="1" applyFont="1" applyBorder="1"/>
    <xf numFmtId="177" fontId="28" fillId="0" borderId="5" xfId="0" applyNumberFormat="1" applyFont="1" applyBorder="1"/>
    <xf numFmtId="178" fontId="28" fillId="0" borderId="5" xfId="0" applyNumberFormat="1" applyFont="1" applyBorder="1"/>
    <xf numFmtId="176" fontId="12" fillId="0" borderId="0" xfId="0" applyNumberFormat="1" applyFont="1"/>
    <xf numFmtId="0" fontId="23" fillId="0" borderId="0" xfId="0" applyFont="1"/>
    <xf numFmtId="9" fontId="0" fillId="0" borderId="0" xfId="0" applyNumberFormat="1"/>
    <xf numFmtId="1" fontId="28" fillId="0" borderId="0" xfId="0" applyNumberFormat="1" applyFont="1"/>
    <xf numFmtId="9" fontId="12" fillId="0" borderId="0" xfId="0" applyNumberFormat="1" applyFont="1"/>
    <xf numFmtId="180" fontId="0" fillId="0" borderId="0" xfId="0" applyNumberFormat="1"/>
    <xf numFmtId="0" fontId="1" fillId="11" borderId="0" xfId="0" applyFont="1" applyFill="1"/>
    <xf numFmtId="0" fontId="0" fillId="0" borderId="0" xfId="0" applyAlignment="1">
      <alignment vertical="top"/>
    </xf>
    <xf numFmtId="0" fontId="20" fillId="10" borderId="5" xfId="0" applyFont="1" applyFill="1" applyBorder="1"/>
    <xf numFmtId="0" fontId="0" fillId="0" borderId="5" xfId="0" applyBorder="1" applyAlignment="1">
      <alignment vertical="top"/>
    </xf>
    <xf numFmtId="0" fontId="0" fillId="0" borderId="5" xfId="0" applyBorder="1" applyAlignment="1">
      <alignment horizontal="center" vertical="top"/>
    </xf>
    <xf numFmtId="0" fontId="28" fillId="0" borderId="5" xfId="0" applyFont="1" applyBorder="1" applyAlignment="1">
      <alignment vertical="top"/>
    </xf>
    <xf numFmtId="0" fontId="27" fillId="0" borderId="5" xfId="0" applyFont="1" applyBorder="1" applyAlignment="1">
      <alignment vertical="top"/>
    </xf>
    <xf numFmtId="0" fontId="20" fillId="10" borderId="4" xfId="0" applyFont="1" applyFill="1" applyBorder="1"/>
    <xf numFmtId="10" fontId="28" fillId="0" borderId="5" xfId="0" applyNumberFormat="1" applyFont="1" applyBorder="1" applyAlignment="1">
      <alignment vertical="top"/>
    </xf>
    <xf numFmtId="0" fontId="31" fillId="0" borderId="0" xfId="0" applyFont="1"/>
    <xf numFmtId="4" fontId="28" fillId="0" borderId="0" xfId="0" applyNumberFormat="1" applyFont="1"/>
    <xf numFmtId="2" fontId="12" fillId="0" borderId="0" xfId="0" applyNumberFormat="1" applyFont="1"/>
    <xf numFmtId="10" fontId="3" fillId="0" borderId="0" xfId="0" applyNumberFormat="1" applyFont="1"/>
    <xf numFmtId="2" fontId="28" fillId="0" borderId="0" xfId="0" applyNumberFormat="1" applyFont="1"/>
    <xf numFmtId="165" fontId="28" fillId="0" borderId="0" xfId="0" applyNumberFormat="1" applyFont="1"/>
    <xf numFmtId="0" fontId="28" fillId="0" borderId="0" xfId="0" applyFont="1"/>
    <xf numFmtId="2" fontId="3" fillId="0" borderId="0" xfId="0" applyNumberFormat="1" applyFont="1"/>
    <xf numFmtId="2" fontId="17" fillId="0" borderId="0" xfId="0" applyNumberFormat="1" applyFont="1"/>
    <xf numFmtId="10" fontId="17" fillId="0" borderId="0" xfId="0" applyNumberFormat="1" applyFont="1"/>
    <xf numFmtId="4" fontId="28" fillId="4" borderId="0" xfId="0" applyNumberFormat="1" applyFont="1" applyFill="1"/>
    <xf numFmtId="4" fontId="3" fillId="0" borderId="0" xfId="0" applyNumberFormat="1" applyFont="1"/>
    <xf numFmtId="173" fontId="3" fillId="0" borderId="0" xfId="0" applyNumberFormat="1" applyFont="1"/>
    <xf numFmtId="10" fontId="16" fillId="0" borderId="0" xfId="0" applyNumberFormat="1" applyFont="1"/>
    <xf numFmtId="0" fontId="17" fillId="0" borderId="0" xfId="0" applyFont="1"/>
    <xf numFmtId="165" fontId="12" fillId="6" borderId="0" xfId="0" applyNumberFormat="1" applyFont="1" applyFill="1"/>
    <xf numFmtId="3" fontId="12" fillId="6" borderId="0" xfId="0" applyNumberFormat="1" applyFont="1" applyFill="1"/>
    <xf numFmtId="168" fontId="28" fillId="0" borderId="0" xfId="0" applyNumberFormat="1" applyFont="1"/>
    <xf numFmtId="167" fontId="28" fillId="0" borderId="0" xfId="0" applyNumberFormat="1" applyFont="1"/>
    <xf numFmtId="2" fontId="30" fillId="0" borderId="0" xfId="0" applyNumberFormat="1" applyFont="1"/>
    <xf numFmtId="3" fontId="12" fillId="0" borderId="0" xfId="0" applyNumberFormat="1" applyFont="1"/>
    <xf numFmtId="3" fontId="14" fillId="0" borderId="3" xfId="0" applyNumberFormat="1" applyFont="1" applyBorder="1"/>
    <xf numFmtId="10" fontId="14" fillId="0" borderId="0" xfId="0" applyNumberFormat="1" applyFont="1"/>
    <xf numFmtId="172" fontId="3" fillId="0" borderId="0" xfId="0" applyNumberFormat="1" applyFont="1"/>
    <xf numFmtId="172" fontId="28" fillId="0" borderId="0" xfId="0" applyNumberFormat="1" applyFont="1"/>
    <xf numFmtId="0" fontId="3" fillId="0" borderId="0" xfId="0" applyFont="1"/>
    <xf numFmtId="165" fontId="3" fillId="0" borderId="0" xfId="0" applyNumberFormat="1" applyFont="1"/>
    <xf numFmtId="3" fontId="3" fillId="0" borderId="0" xfId="0" applyNumberFormat="1" applyFont="1"/>
    <xf numFmtId="4" fontId="30" fillId="0" borderId="0" xfId="0" applyNumberFormat="1" applyFont="1"/>
    <xf numFmtId="165" fontId="17" fillId="0" borderId="0" xfId="0" applyNumberFormat="1" applyFont="1"/>
    <xf numFmtId="175" fontId="3" fillId="0" borderId="0" xfId="0" applyNumberFormat="1" applyFont="1"/>
    <xf numFmtId="9" fontId="3" fillId="0" borderId="0" xfId="0" applyNumberFormat="1" applyFont="1"/>
    <xf numFmtId="168" fontId="3" fillId="0" borderId="0" xfId="0" applyNumberFormat="1" applyFont="1"/>
    <xf numFmtId="0" fontId="17" fillId="9" borderId="0" xfId="0" applyFont="1" applyFill="1" applyAlignment="1">
      <alignment horizontal="center"/>
    </xf>
    <xf numFmtId="176" fontId="17" fillId="0" borderId="0" xfId="0" applyNumberFormat="1" applyFont="1"/>
    <xf numFmtId="176" fontId="3" fillId="0" borderId="0" xfId="0" applyNumberFormat="1" applyFont="1"/>
    <xf numFmtId="177" fontId="3" fillId="0" borderId="0" xfId="0" applyNumberFormat="1" applyFont="1"/>
    <xf numFmtId="3" fontId="3" fillId="4" borderId="0" xfId="0" applyNumberFormat="1" applyFont="1" applyFill="1"/>
    <xf numFmtId="165" fontId="3" fillId="4" borderId="0" xfId="0" applyNumberFormat="1" applyFont="1" applyFill="1"/>
    <xf numFmtId="4" fontId="17" fillId="0" borderId="0" xfId="0" applyNumberFormat="1" applyFont="1"/>
    <xf numFmtId="179" fontId="28" fillId="0" borderId="0" xfId="0" applyNumberFormat="1" applyFont="1"/>
    <xf numFmtId="0" fontId="32" fillId="0" borderId="0" xfId="0" applyFont="1"/>
    <xf numFmtId="0" fontId="32" fillId="0" borderId="0" xfId="0" applyFont="1" applyAlignment="1">
      <alignment horizontal="center"/>
    </xf>
    <xf numFmtId="14" fontId="32" fillId="0" borderId="0" xfId="0" applyNumberFormat="1" applyFont="1"/>
    <xf numFmtId="39" fontId="32" fillId="0" borderId="0" xfId="0" applyNumberFormat="1" applyFont="1"/>
    <xf numFmtId="39" fontId="33" fillId="0" borderId="0" xfId="0" applyNumberFormat="1" applyFont="1"/>
    <xf numFmtId="39" fontId="33" fillId="0" borderId="3" xfId="0" applyNumberFormat="1" applyFont="1" applyBorder="1"/>
    <xf numFmtId="39" fontId="33" fillId="3" borderId="3" xfId="0" applyNumberFormat="1" applyFont="1" applyFill="1" applyBorder="1"/>
    <xf numFmtId="39" fontId="34" fillId="0" borderId="0" xfId="0" applyNumberFormat="1" applyFont="1"/>
    <xf numFmtId="39" fontId="35" fillId="0" borderId="0" xfId="0" applyNumberFormat="1" applyFont="1"/>
    <xf numFmtId="165" fontId="34" fillId="0" borderId="0" xfId="0" applyNumberFormat="1" applyFont="1"/>
    <xf numFmtId="165" fontId="32" fillId="0" borderId="0" xfId="0" applyNumberFormat="1" applyFont="1"/>
    <xf numFmtId="166" fontId="32" fillId="0" borderId="0" xfId="0" applyNumberFormat="1" applyFont="1"/>
    <xf numFmtId="166" fontId="28" fillId="0" borderId="0" xfId="0" applyNumberFormat="1" applyFont="1"/>
    <xf numFmtId="39" fontId="28" fillId="0" borderId="0" xfId="0" applyNumberFormat="1" applyFont="1"/>
    <xf numFmtId="166" fontId="3" fillId="0" borderId="0" xfId="0" applyNumberFormat="1" applyFont="1"/>
    <xf numFmtId="14" fontId="28" fillId="0" borderId="0" xfId="0" applyNumberFormat="1" applyFont="1"/>
    <xf numFmtId="4" fontId="12" fillId="0" borderId="0" xfId="0" applyNumberFormat="1" applyFont="1"/>
    <xf numFmtId="14" fontId="3" fillId="0" borderId="0" xfId="0" applyNumberFormat="1" applyFont="1"/>
    <xf numFmtId="14" fontId="30" fillId="0" borderId="0" xfId="0" applyNumberFormat="1" applyFont="1"/>
    <xf numFmtId="14" fontId="17" fillId="0" borderId="0" xfId="0" applyNumberFormat="1" applyFont="1"/>
    <xf numFmtId="2" fontId="3" fillId="4" borderId="0" xfId="0" applyNumberFormat="1" applyFont="1" applyFill="1"/>
    <xf numFmtId="1" fontId="16" fillId="0" borderId="0" xfId="0" applyNumberFormat="1" applyFont="1"/>
    <xf numFmtId="171" fontId="29" fillId="0" borderId="0" xfId="0" applyNumberFormat="1" applyFont="1"/>
    <xf numFmtId="171" fontId="16" fillId="0" borderId="0" xfId="0" applyNumberFormat="1" applyFont="1"/>
    <xf numFmtId="4" fontId="3" fillId="4" borderId="0" xfId="0" applyNumberFormat="1" applyFont="1" applyFill="1"/>
    <xf numFmtId="180" fontId="3" fillId="0" borderId="0" xfId="0" applyNumberFormat="1" applyFont="1"/>
    <xf numFmtId="4" fontId="28" fillId="5" borderId="0" xfId="0" applyNumberFormat="1" applyFont="1" applyFill="1"/>
    <xf numFmtId="10" fontId="3" fillId="0" borderId="5" xfId="0" applyNumberFormat="1" applyFont="1" applyBorder="1"/>
    <xf numFmtId="177" fontId="3" fillId="0" borderId="5" xfId="0" applyNumberFormat="1" applyFont="1" applyBorder="1"/>
    <xf numFmtId="0" fontId="16" fillId="0" borderId="0" xfId="0" applyFont="1"/>
    <xf numFmtId="178" fontId="3" fillId="0" borderId="0" xfId="0" applyNumberFormat="1" applyFont="1"/>
    <xf numFmtId="165" fontId="32" fillId="4" borderId="0" xfId="0" applyNumberFormat="1" applyFont="1" applyFill="1"/>
    <xf numFmtId="0" fontId="36" fillId="12" borderId="0" xfId="0" applyFont="1" applyFill="1" applyAlignment="1">
      <alignment vertical="top"/>
    </xf>
    <xf numFmtId="0" fontId="14" fillId="0" borderId="0" xfId="0" applyFont="1" applyAlignment="1">
      <alignment vertical="top"/>
    </xf>
    <xf numFmtId="0" fontId="0" fillId="0" borderId="0" xfId="0" applyAlignment="1">
      <alignment vertical="top" wrapText="1"/>
    </xf>
    <xf numFmtId="0" fontId="17" fillId="0" borderId="0" xfId="0" applyFont="1" applyAlignment="1">
      <alignment vertical="top"/>
    </xf>
    <xf numFmtId="0" fontId="30" fillId="0" borderId="0" xfId="0" applyFont="1" applyAlignment="1">
      <alignment vertical="top"/>
    </xf>
    <xf numFmtId="0" fontId="1" fillId="4" borderId="0" xfId="0" applyFont="1" applyFill="1" applyAlignment="1">
      <alignment vertical="top"/>
    </xf>
    <xf numFmtId="0" fontId="1" fillId="0" borderId="0" xfId="0" applyFont="1" applyAlignment="1">
      <alignment vertical="top"/>
    </xf>
    <xf numFmtId="0" fontId="20" fillId="12" borderId="0" xfId="0" applyFont="1" applyFill="1"/>
    <xf numFmtId="0" fontId="0" fillId="12" borderId="0" xfId="0" applyFill="1"/>
    <xf numFmtId="1" fontId="12" fillId="0" borderId="0" xfId="0" applyNumberFormat="1" applyFont="1"/>
    <xf numFmtId="0" fontId="12" fillId="6" borderId="0" xfId="0" applyFont="1" applyFill="1" applyAlignment="1">
      <alignment horizontal="center"/>
    </xf>
    <xf numFmtId="175" fontId="0" fillId="0" borderId="0" xfId="0" applyNumberFormat="1"/>
    <xf numFmtId="3" fontId="17" fillId="0" borderId="0" xfId="0" applyNumberFormat="1" applyFont="1"/>
    <xf numFmtId="178" fontId="0" fillId="0" borderId="0" xfId="0" applyNumberFormat="1"/>
    <xf numFmtId="178" fontId="20" fillId="8" borderId="0" xfId="0" applyNumberFormat="1" applyFont="1" applyFill="1"/>
    <xf numFmtId="0" fontId="37" fillId="0" borderId="0" xfId="0" applyFont="1" applyAlignment="1">
      <alignment horizontal="center"/>
    </xf>
    <xf numFmtId="0" fontId="38" fillId="0" borderId="0" xfId="0" applyFont="1"/>
    <xf numFmtId="0" fontId="36" fillId="12" borderId="0" xfId="0" applyFont="1" applyFill="1"/>
    <xf numFmtId="15" fontId="0" fillId="0" borderId="0" xfId="0" applyNumberFormat="1"/>
    <xf numFmtId="0" fontId="39" fillId="0" borderId="0" xfId="0" applyFont="1"/>
    <xf numFmtId="0" fontId="20" fillId="13" borderId="0" xfId="0" applyFont="1" applyFill="1"/>
    <xf numFmtId="179" fontId="0" fillId="0" borderId="0" xfId="0" applyNumberFormat="1"/>
    <xf numFmtId="0" fontId="40" fillId="0" borderId="0" xfId="0" applyFont="1"/>
    <xf numFmtId="0" fontId="41" fillId="0" borderId="0" xfId="0" applyFont="1"/>
    <xf numFmtId="0" fontId="43" fillId="0" borderId="0" xfId="0" applyFont="1"/>
    <xf numFmtId="0" fontId="44" fillId="12" borderId="0" xfId="0" applyFont="1" applyFill="1"/>
    <xf numFmtId="10" fontId="43" fillId="0" borderId="0" xfId="0" applyNumberFormat="1" applyFont="1"/>
    <xf numFmtId="165" fontId="43" fillId="0" borderId="0" xfId="0" applyNumberFormat="1" applyFont="1"/>
    <xf numFmtId="0" fontId="43" fillId="0" borderId="0" xfId="0" applyFont="1" applyAlignment="1">
      <alignment horizontal="center"/>
    </xf>
    <xf numFmtId="0" fontId="42" fillId="0" borderId="0" xfId="0" applyFont="1" applyAlignment="1">
      <alignment horizontal="center"/>
    </xf>
    <xf numFmtId="0" fontId="45" fillId="0" borderId="0" xfId="0" applyFont="1"/>
    <xf numFmtId="0" fontId="43" fillId="0" borderId="5" xfId="0" applyFont="1" applyBorder="1"/>
    <xf numFmtId="0" fontId="42" fillId="9" borderId="5" xfId="0" applyFont="1" applyFill="1" applyBorder="1" applyAlignment="1">
      <alignment horizontal="center"/>
    </xf>
    <xf numFmtId="0" fontId="43" fillId="0" borderId="5" xfId="0" applyFont="1" applyBorder="1" applyAlignment="1">
      <alignment horizontal="center"/>
    </xf>
    <xf numFmtId="10" fontId="43" fillId="0" borderId="5" xfId="0" applyNumberFormat="1" applyFont="1" applyBorder="1"/>
    <xf numFmtId="3" fontId="43" fillId="0" borderId="5" xfId="0" applyNumberFormat="1" applyFont="1" applyBorder="1"/>
    <xf numFmtId="176" fontId="42" fillId="0" borderId="5" xfId="0" applyNumberFormat="1" applyFont="1" applyBorder="1"/>
    <xf numFmtId="176" fontId="43" fillId="0" borderId="5" xfId="0" applyNumberFormat="1" applyFont="1" applyBorder="1"/>
    <xf numFmtId="177" fontId="43" fillId="0" borderId="5" xfId="0" applyNumberFormat="1" applyFont="1" applyBorder="1"/>
    <xf numFmtId="175" fontId="43" fillId="0" borderId="5" xfId="0" applyNumberFormat="1" applyFont="1" applyBorder="1"/>
    <xf numFmtId="10" fontId="43" fillId="0" borderId="5" xfId="0" applyNumberFormat="1" applyFont="1" applyBorder="1" applyAlignment="1">
      <alignment horizontal="center"/>
    </xf>
    <xf numFmtId="0" fontId="46" fillId="10" borderId="0" xfId="0" applyFont="1" applyFill="1"/>
    <xf numFmtId="0" fontId="47" fillId="0" borderId="0" xfId="0" applyFont="1" applyAlignment="1">
      <alignment wrapText="1"/>
    </xf>
    <xf numFmtId="0" fontId="28" fillId="0" borderId="5" xfId="0" applyFont="1" applyBorder="1" applyAlignment="1">
      <alignment horizontal="center"/>
    </xf>
    <xf numFmtId="9" fontId="28" fillId="0" borderId="0" xfId="0" applyNumberFormat="1" applyFont="1" applyAlignment="1">
      <alignment horizontal="center"/>
    </xf>
    <xf numFmtId="9" fontId="3" fillId="0" borderId="0" xfId="0" applyNumberFormat="1" applyFont="1" applyAlignment="1">
      <alignment horizontal="center"/>
    </xf>
    <xf numFmtId="9" fontId="0" fillId="0" borderId="0" xfId="0" applyNumberFormat="1" applyAlignment="1">
      <alignment horizontal="center"/>
    </xf>
    <xf numFmtId="0" fontId="1" fillId="9" borderId="0" xfId="0" applyFont="1" applyFill="1" applyAlignment="1">
      <alignment wrapText="1"/>
    </xf>
    <xf numFmtId="0" fontId="45" fillId="0" borderId="0" xfId="0" applyFont="1" applyAlignment="1">
      <alignment wrapText="1"/>
    </xf>
    <xf numFmtId="0" fontId="46" fillId="13" borderId="0" xfId="0" applyFont="1" applyFill="1"/>
    <xf numFmtId="178" fontId="1" fillId="0" borderId="0" xfId="0" applyNumberFormat="1" applyFont="1"/>
    <xf numFmtId="0" fontId="48" fillId="0" borderId="0" xfId="0" applyFont="1"/>
    <xf numFmtId="0" fontId="20" fillId="14" borderId="0" xfId="0" applyFont="1" applyFill="1"/>
    <xf numFmtId="0" fontId="49" fillId="0" borderId="0" xfId="0" applyFont="1"/>
    <xf numFmtId="4" fontId="0" fillId="4" borderId="0" xfId="0" applyNumberFormat="1" applyFill="1"/>
    <xf numFmtId="0" fontId="0" fillId="0" borderId="0" xfId="0" applyAlignment="1">
      <alignment horizontal="center"/>
    </xf>
    <xf numFmtId="0" fontId="27" fillId="0" borderId="0" xfId="0" applyFont="1" applyAlignment="1">
      <alignment wrapText="1"/>
    </xf>
  </cellXfs>
  <cellStyles count="2">
    <cellStyle name="Hyperlink" xfId="1" builtinId="8"/>
    <cellStyle name="Normal" xfId="0" builtinId="0"/>
  </cellStyles>
  <dxfs count="30">
    <dxf>
      <font>
        <color rgb="FF7F0000"/>
      </font>
      <fill>
        <patternFill patternType="solid">
          <fgColor indexed="64"/>
          <bgColor rgb="FFF8696B"/>
        </patternFill>
      </fill>
    </dxf>
    <dxf>
      <font>
        <color rgb="FF9C0006"/>
      </font>
      <fill>
        <patternFill patternType="solid">
          <fgColor indexed="64"/>
          <bgColor rgb="FFFFC7CE"/>
        </patternFill>
      </fill>
    </dxf>
    <dxf>
      <font>
        <color rgb="FF7F0000"/>
      </font>
      <fill>
        <patternFill patternType="solid">
          <fgColor indexed="64"/>
          <bgColor rgb="FFF8696B"/>
        </patternFill>
      </fill>
    </dxf>
    <dxf>
      <font>
        <color rgb="FF9C0006"/>
      </font>
      <fill>
        <patternFill patternType="solid">
          <fgColor indexed="64"/>
          <bgColor rgb="FFFFC7CE"/>
        </patternFill>
      </fill>
    </dxf>
    <dxf>
      <font>
        <color rgb="FF7F0000"/>
      </font>
      <fill>
        <patternFill patternType="solid">
          <fgColor indexed="64"/>
          <bgColor rgb="FFF8696B"/>
        </patternFill>
      </fill>
    </dxf>
    <dxf>
      <font>
        <color rgb="FF9C0006"/>
      </font>
      <fill>
        <patternFill patternType="solid">
          <fgColor indexed="64"/>
          <bgColor rgb="FFFFC7CE"/>
        </patternFill>
      </fill>
    </dxf>
    <dxf>
      <font>
        <color rgb="FF7F0000"/>
      </font>
      <fill>
        <patternFill patternType="solid">
          <fgColor indexed="64"/>
          <bgColor rgb="FFF8696B"/>
        </patternFill>
      </fill>
    </dxf>
    <dxf>
      <font>
        <color rgb="FF9C0006"/>
      </font>
      <fill>
        <patternFill patternType="solid">
          <fgColor indexed="64"/>
          <bgColor rgb="FFFFC7CE"/>
        </patternFill>
      </fill>
    </dxf>
    <dxf>
      <font>
        <color rgb="FF7F0000"/>
      </font>
      <fill>
        <patternFill patternType="solid">
          <fgColor indexed="64"/>
          <bgColor rgb="FFF8696B"/>
        </patternFill>
      </fill>
    </dxf>
    <dxf>
      <font>
        <color rgb="FF9C0006"/>
      </font>
      <fill>
        <patternFill patternType="solid">
          <fgColor indexed="64"/>
          <bgColor rgb="FFFFC7CE"/>
        </patternFill>
      </fill>
    </dxf>
    <dxf>
      <font>
        <color rgb="FF7F0000"/>
      </font>
      <fill>
        <patternFill patternType="solid">
          <fgColor indexed="64"/>
          <bgColor rgb="FFF8696B"/>
        </patternFill>
      </fill>
    </dxf>
    <dxf>
      <font>
        <color rgb="FF9C0006"/>
      </font>
      <fill>
        <patternFill patternType="solid">
          <fgColor indexed="64"/>
          <bgColor rgb="FFFFC7CE"/>
        </patternFill>
      </fill>
    </dxf>
    <dxf>
      <font>
        <color rgb="FF7F0000"/>
      </font>
      <fill>
        <patternFill patternType="solid">
          <fgColor indexed="64"/>
          <bgColor rgb="FFF8696B"/>
        </patternFill>
      </fill>
    </dxf>
    <dxf>
      <font>
        <color rgb="FF9C0006"/>
      </font>
      <fill>
        <patternFill patternType="solid">
          <fgColor indexed="64"/>
          <bgColor rgb="FFFFC7CE"/>
        </patternFill>
      </fill>
    </dxf>
    <dxf>
      <font>
        <color rgb="FF006100"/>
      </font>
      <fill>
        <patternFill patternType="solid">
          <fgColor indexed="64"/>
          <bgColor rgb="FF63BE7B"/>
        </patternFill>
      </fill>
    </dxf>
    <dxf>
      <font>
        <color rgb="FF595959"/>
      </font>
      <fill>
        <patternFill patternType="solid">
          <fgColor indexed="64"/>
          <bgColor rgb="FFD9D9D9"/>
        </patternFill>
      </fill>
    </dxf>
    <dxf>
      <font>
        <color rgb="FF7F6000"/>
      </font>
      <fill>
        <patternFill patternType="solid">
          <fgColor indexed="64"/>
          <bgColor rgb="FFFFEB84"/>
        </patternFill>
      </fill>
    </dxf>
    <dxf>
      <font>
        <color rgb="FF7F4000"/>
      </font>
      <fill>
        <patternFill patternType="solid">
          <fgColor indexed="64"/>
          <bgColor rgb="FFFFC000"/>
        </patternFill>
      </fill>
    </dxf>
    <dxf>
      <font>
        <color rgb="FF7F0000"/>
      </font>
      <fill>
        <patternFill patternType="solid">
          <fgColor indexed="64"/>
          <bgColor rgb="FFF8696B"/>
        </patternFill>
      </fill>
    </dxf>
    <dxf>
      <font>
        <color rgb="FF7F0000"/>
      </font>
      <fill>
        <patternFill patternType="solid">
          <fgColor indexed="64"/>
          <bgColor rgb="FFF8696B"/>
        </patternFill>
      </fill>
    </dxf>
    <dxf>
      <font>
        <color rgb="FF006100"/>
      </font>
      <fill>
        <patternFill patternType="solid">
          <fgColor indexed="64"/>
          <bgColor rgb="FF63BE7B"/>
        </patternFill>
      </fill>
    </dxf>
    <dxf>
      <font>
        <color rgb="FF7F6000"/>
      </font>
      <fill>
        <patternFill patternType="solid">
          <fgColor indexed="64"/>
          <bgColor rgb="FFFFEB84"/>
        </patternFill>
      </fill>
    </dxf>
    <dxf>
      <font>
        <color rgb="FF006100"/>
      </font>
      <fill>
        <patternFill patternType="solid">
          <fgColor indexed="64"/>
          <bgColor rgb="FFC6EFCE"/>
        </patternFill>
      </fill>
    </dxf>
    <dxf>
      <font>
        <color rgb="FF9C0006"/>
      </font>
      <fill>
        <patternFill patternType="solid">
          <fgColor indexed="64"/>
          <bgColor rgb="FFFFC7CE"/>
        </patternFill>
      </fill>
    </dxf>
    <dxf>
      <font>
        <color rgb="FF006100"/>
      </font>
      <fill>
        <patternFill patternType="solid">
          <fgColor indexed="64"/>
          <bgColor rgb="FF63BE7B"/>
        </patternFill>
      </fill>
    </dxf>
    <dxf>
      <font>
        <color rgb="FF7F0000"/>
      </font>
      <fill>
        <patternFill patternType="solid">
          <fgColor indexed="64"/>
          <bgColor rgb="FFF8696B"/>
        </patternFill>
      </fill>
    </dxf>
    <dxf>
      <font>
        <color rgb="FF7F0000"/>
      </font>
      <fill>
        <patternFill patternType="solid">
          <fgColor indexed="64"/>
          <bgColor rgb="FFF8696B"/>
        </patternFill>
      </fill>
    </dxf>
    <dxf>
      <font>
        <color rgb="FF006100"/>
      </font>
      <fill>
        <patternFill patternType="solid">
          <fgColor indexed="64"/>
          <bgColor rgb="FF63BE7B"/>
        </patternFill>
      </fill>
    </dxf>
    <dxf>
      <numFmt numFmtId="0" formatCode="General"/>
    </dxf>
    <dxf>
      <numFmt numFmtId="0" formatCode="Genera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theme" Target="theme/theme1.xml"/><Relationship Id="rId16" Type="http://schemas.openxmlformats.org/officeDocument/2006/relationships/worksheet" Target="worksheets/sheet16.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102" Type="http://schemas.openxmlformats.org/officeDocument/2006/relationships/customXml" Target="../customXml/item1.xml"/><Relationship Id="rId5" Type="http://schemas.openxmlformats.org/officeDocument/2006/relationships/worksheet" Target="worksheets/sheet5.xml"/><Relationship Id="rId90" Type="http://schemas.openxmlformats.org/officeDocument/2006/relationships/connections" Target="connections.xml"/><Relationship Id="rId95" Type="http://schemas.microsoft.com/office/2017/06/relationships/rdRichValueStructure" Target="richData/rdrichvaluestructure.xml"/><Relationship Id="rId22" Type="http://schemas.openxmlformats.org/officeDocument/2006/relationships/worksheet" Target="worksheets/sheet22.xml"/><Relationship Id="rId27" Type="http://schemas.openxmlformats.org/officeDocument/2006/relationships/worksheet" Target="worksheets/sheet27.xml"/><Relationship Id="rId43" Type="http://schemas.openxmlformats.org/officeDocument/2006/relationships/worksheet" Target="worksheets/sheet43.xml"/><Relationship Id="rId48" Type="http://schemas.openxmlformats.org/officeDocument/2006/relationships/worksheet" Target="worksheets/sheet48.xml"/><Relationship Id="rId64" Type="http://schemas.openxmlformats.org/officeDocument/2006/relationships/worksheet" Target="worksheets/sheet64.xml"/><Relationship Id="rId69" Type="http://schemas.openxmlformats.org/officeDocument/2006/relationships/worksheet" Target="worksheets/sheet69.xml"/><Relationship Id="rId80" Type="http://schemas.openxmlformats.org/officeDocument/2006/relationships/worksheet" Target="worksheets/sheet80.xml"/><Relationship Id="rId85" Type="http://schemas.openxmlformats.org/officeDocument/2006/relationships/worksheet" Target="worksheets/sheet85.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worksheet" Target="worksheets/sheet75.xml"/><Relationship Id="rId83" Type="http://schemas.openxmlformats.org/officeDocument/2006/relationships/worksheet" Target="worksheets/sheet83.xml"/><Relationship Id="rId88" Type="http://schemas.openxmlformats.org/officeDocument/2006/relationships/worksheet" Target="worksheets/sheet88.xml"/><Relationship Id="rId91" Type="http://schemas.openxmlformats.org/officeDocument/2006/relationships/styles" Target="styles.xml"/><Relationship Id="rId96" Type="http://schemas.microsoft.com/office/2017/06/relationships/richStyles" Target="richData/richStyles.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worksheet" Target="worksheets/sheet78.xml"/><Relationship Id="rId81" Type="http://schemas.openxmlformats.org/officeDocument/2006/relationships/worksheet" Target="worksheets/sheet81.xml"/><Relationship Id="rId86" Type="http://schemas.openxmlformats.org/officeDocument/2006/relationships/worksheet" Target="worksheets/sheet86.xml"/><Relationship Id="rId94" Type="http://schemas.microsoft.com/office/2017/06/relationships/rdRichValue" Target="richData/rdrichvalue.xml"/><Relationship Id="rId99" Type="http://schemas.microsoft.com/office/2017/06/relationships/rdRichValueTypes" Target="richData/rdRichValueTypes.xml"/><Relationship Id="rId101"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microsoft.com/office/2017/06/relationships/rdSupportingPropertyBagStructure" Target="richData/rdsupportingpropertybagstructure.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sharedStrings" Target="sharedStrings.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61" Type="http://schemas.openxmlformats.org/officeDocument/2006/relationships/worksheet" Target="worksheets/sheet61.xml"/><Relationship Id="rId82" Type="http://schemas.openxmlformats.org/officeDocument/2006/relationships/worksheet" Target="worksheets/sheet82.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 Id="rId100" Type="http://schemas.microsoft.com/office/2017/10/relationships/person" Target="persons/person.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93" Type="http://schemas.openxmlformats.org/officeDocument/2006/relationships/sheetMetadata" Target="metadata.xml"/><Relationship Id="rId98" Type="http://schemas.microsoft.com/office/2017/06/relationships/rdSupportingPropertyBag" Target="richData/rdsupportingpropertybag.xml"/><Relationship Id="rId3" Type="http://schemas.openxmlformats.org/officeDocument/2006/relationships/worksheet" Target="worksheets/sheet3.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1" i="0" u="none" strike="noStrike" kern="1200" spc="0" baseline="0">
                <a:solidFill>
                  <a:schemeClr val="tx1">
                    <a:lumMod val="65000"/>
                    <a:lumOff val="35000"/>
                  </a:schemeClr>
                </a:solidFill>
                <a:latin typeface="+mn-lt"/>
                <a:ea typeface="+mn-ea"/>
                <a:cs typeface="+mn-cs"/>
              </a:defRPr>
            </a:pPr>
            <a:r>
              <a:rPr lang="en-US"/>
              <a:t>Mag 7 - DCF valuation range vs market price (current price = 100%)</a:t>
            </a:r>
          </a:p>
        </c:rich>
      </c:tx>
      <c:overlay val="0"/>
      <c:spPr>
        <a:noFill/>
        <a:ln>
          <a:noFill/>
        </a:ln>
        <a:effectLst/>
      </c:spPr>
      <c:txPr>
        <a:bodyPr rot="0" spcFirstLastPara="1" vertOverflow="ellipsis" vert="horz" wrap="square" anchor="ctr" anchorCtr="1"/>
        <a:lstStyle/>
        <a:p>
          <a:pPr>
            <a:defRPr sz="1200" b="1" i="0" u="none" strike="noStrike" kern="1200" spc="0" baseline="0">
              <a:solidFill>
                <a:schemeClr val="tx1">
                  <a:lumMod val="65000"/>
                  <a:lumOff val="35000"/>
                </a:schemeClr>
              </a:solidFill>
              <a:latin typeface="+mn-lt"/>
              <a:ea typeface="+mn-ea"/>
              <a:cs typeface="+mn-cs"/>
            </a:defRPr>
          </a:pPr>
          <a:endParaRPr lang="da-DK"/>
        </a:p>
      </c:txPr>
    </c:title>
    <c:autoTitleDeleted val="0"/>
    <c:plotArea>
      <c:layout/>
      <c:barChart>
        <c:barDir val="col"/>
        <c:grouping val="stacked"/>
        <c:varyColors val="0"/>
        <c:ser>
          <c:idx val="0"/>
          <c:order val="0"/>
          <c:tx>
            <c:strRef>
              <c:f>'Valuation Dashboard'!$A$52</c:f>
              <c:strCache>
                <c:ptCount val="1"/>
                <c:pt idx="0">
                  <c:v>Floor</c:v>
                </c:pt>
              </c:strCache>
            </c:strRef>
          </c:tx>
          <c:spPr>
            <a:noFill/>
            <a:ln>
              <a:noFill/>
            </a:ln>
            <a:effectLst/>
          </c:spPr>
          <c:invertIfNegative val="0"/>
          <c:cat>
            <c:strRef>
              <c:f>'Valuation Dashboard'!$B$51:$H$51</c:f>
              <c:strCache>
                <c:ptCount val="7"/>
                <c:pt idx="0">
                  <c:v>AAPL</c:v>
                </c:pt>
                <c:pt idx="1">
                  <c:v>MSFT</c:v>
                </c:pt>
                <c:pt idx="2">
                  <c:v>GOOGL</c:v>
                </c:pt>
                <c:pt idx="3">
                  <c:v>AMZN</c:v>
                </c:pt>
                <c:pt idx="4">
                  <c:v>NVDA</c:v>
                </c:pt>
                <c:pt idx="5">
                  <c:v>META</c:v>
                </c:pt>
                <c:pt idx="6">
                  <c:v>TSLA</c:v>
                </c:pt>
              </c:strCache>
            </c:strRef>
          </c:cat>
          <c:val>
            <c:numRef>
              <c:f>'Valuation Dashboard'!$B$52:$H$52</c:f>
              <c:numCache>
                <c:formatCode>0%</c:formatCode>
                <c:ptCount val="7"/>
                <c:pt idx="0">
                  <c:v>0.46564485698436897</c:v>
                </c:pt>
                <c:pt idx="1">
                  <c:v>0.48058425069501415</c:v>
                </c:pt>
                <c:pt idx="2">
                  <c:v>0.44182596866767565</c:v>
                </c:pt>
                <c:pt idx="3">
                  <c:v>0.21374958986095072</c:v>
                </c:pt>
                <c:pt idx="4">
                  <c:v>0.16890152034047701</c:v>
                </c:pt>
                <c:pt idx="5">
                  <c:v>0.76768059440372638</c:v>
                </c:pt>
                <c:pt idx="6">
                  <c:v>3.7227931257471009E-2</c:v>
                </c:pt>
              </c:numCache>
            </c:numRef>
          </c:val>
          <c:extLst>
            <c:ext xmlns:c16="http://schemas.microsoft.com/office/drawing/2014/chart" uri="{C3380CC4-5D6E-409C-BE32-E72D297353CC}">
              <c16:uniqueId val="{00000000-FC09-4DF8-8430-7019A3D04D0D}"/>
            </c:ext>
          </c:extLst>
        </c:ser>
        <c:ser>
          <c:idx val="1"/>
          <c:order val="1"/>
          <c:tx>
            <c:strRef>
              <c:f>'Valuation Dashboard'!$A$53</c:f>
              <c:strCache>
                <c:ptCount val="1"/>
                <c:pt idx="0">
                  <c:v>Worst to best range</c:v>
                </c:pt>
              </c:strCache>
            </c:strRef>
          </c:tx>
          <c:spPr>
            <a:solidFill>
              <a:srgbClr val="8FAADC"/>
            </a:solidFill>
            <a:ln>
              <a:noFill/>
            </a:ln>
            <a:effectLst/>
          </c:spPr>
          <c:invertIfNegative val="0"/>
          <c:cat>
            <c:strRef>
              <c:f>'Valuation Dashboard'!$B$51:$H$51</c:f>
              <c:strCache>
                <c:ptCount val="7"/>
                <c:pt idx="0">
                  <c:v>AAPL</c:v>
                </c:pt>
                <c:pt idx="1">
                  <c:v>MSFT</c:v>
                </c:pt>
                <c:pt idx="2">
                  <c:v>GOOGL</c:v>
                </c:pt>
                <c:pt idx="3">
                  <c:v>AMZN</c:v>
                </c:pt>
                <c:pt idx="4">
                  <c:v>NVDA</c:v>
                </c:pt>
                <c:pt idx="5">
                  <c:v>META</c:v>
                </c:pt>
                <c:pt idx="6">
                  <c:v>TSLA</c:v>
                </c:pt>
              </c:strCache>
            </c:strRef>
          </c:cat>
          <c:val>
            <c:numRef>
              <c:f>'Valuation Dashboard'!$B$53:$H$53</c:f>
              <c:numCache>
                <c:formatCode>0%</c:formatCode>
                <c:ptCount val="7"/>
                <c:pt idx="0">
                  <c:v>0.48566517815857224</c:v>
                </c:pt>
                <c:pt idx="1">
                  <c:v>0.4150411530252846</c:v>
                </c:pt>
                <c:pt idx="2">
                  <c:v>0.41701925485973118</c:v>
                </c:pt>
                <c:pt idx="3">
                  <c:v>0.13347452042937449</c:v>
                </c:pt>
                <c:pt idx="4">
                  <c:v>0.16654529008705277</c:v>
                </c:pt>
                <c:pt idx="5">
                  <c:v>0.82602800264935816</c:v>
                </c:pt>
                <c:pt idx="6">
                  <c:v>3.524077755058843E-2</c:v>
                </c:pt>
              </c:numCache>
            </c:numRef>
          </c:val>
          <c:extLst>
            <c:ext xmlns:c16="http://schemas.microsoft.com/office/drawing/2014/chart" uri="{C3380CC4-5D6E-409C-BE32-E72D297353CC}">
              <c16:uniqueId val="{00000001-FC09-4DF8-8430-7019A3D04D0D}"/>
            </c:ext>
          </c:extLst>
        </c:ser>
        <c:dLbls>
          <c:showLegendKey val="0"/>
          <c:showVal val="0"/>
          <c:showCatName val="0"/>
          <c:showSerName val="0"/>
          <c:showPercent val="0"/>
          <c:showBubbleSize val="0"/>
        </c:dLbls>
        <c:gapWidth val="40"/>
        <c:overlap val="100"/>
        <c:axId val="419519199"/>
        <c:axId val="532115439"/>
      </c:barChart>
      <c:lineChart>
        <c:grouping val="standard"/>
        <c:varyColors val="0"/>
        <c:ser>
          <c:idx val="2"/>
          <c:order val="2"/>
          <c:tx>
            <c:strRef>
              <c:f>'Valuation Dashboard'!$A$54</c:f>
              <c:strCache>
                <c:ptCount val="1"/>
                <c:pt idx="0">
                  <c:v>DCF - selected scenario</c:v>
                </c:pt>
              </c:strCache>
            </c:strRef>
          </c:tx>
          <c:spPr>
            <a:ln w="25400" cap="rnd">
              <a:noFill/>
              <a:round/>
            </a:ln>
            <a:effectLst/>
          </c:spPr>
          <c:marker>
            <c:symbol val="diamond"/>
            <c:size val="9"/>
            <c:spPr>
              <a:solidFill>
                <a:srgbClr val="31456A"/>
              </a:solidFill>
              <a:ln w="9525">
                <a:solidFill>
                  <a:srgbClr val="FFFFFF"/>
                </a:solidFill>
                <a:prstDash val="solid"/>
              </a:ln>
              <a:effectLst/>
            </c:spPr>
          </c:marker>
          <c:dLbls>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75000"/>
                        <a:lumOff val="25000"/>
                      </a:schemeClr>
                    </a:solidFill>
                    <a:latin typeface="+mn-lt"/>
                    <a:ea typeface="+mn-ea"/>
                    <a:cs typeface="+mn-cs"/>
                  </a:defRPr>
                </a:pPr>
                <a:endParaRPr lang="da-DK"/>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'Valuation Dashboard'!$B$51:$H$51</c:f>
              <c:strCache>
                <c:ptCount val="7"/>
                <c:pt idx="0">
                  <c:v>AAPL</c:v>
                </c:pt>
                <c:pt idx="1">
                  <c:v>MSFT</c:v>
                </c:pt>
                <c:pt idx="2">
                  <c:v>GOOGL</c:v>
                </c:pt>
                <c:pt idx="3">
                  <c:v>AMZN</c:v>
                </c:pt>
                <c:pt idx="4">
                  <c:v>NVDA</c:v>
                </c:pt>
                <c:pt idx="5">
                  <c:v>META</c:v>
                </c:pt>
                <c:pt idx="6">
                  <c:v>TSLA</c:v>
                </c:pt>
              </c:strCache>
            </c:strRef>
          </c:cat>
          <c:val>
            <c:numRef>
              <c:f>'Valuation Dashboard'!$B$54:$H$54</c:f>
              <c:numCache>
                <c:formatCode>0%</c:formatCode>
                <c:ptCount val="7"/>
                <c:pt idx="0">
                  <c:v>0.67965102078110018</c:v>
                </c:pt>
                <c:pt idx="1">
                  <c:v>0.77615656899009355</c:v>
                </c:pt>
                <c:pt idx="2">
                  <c:v>0.74353906074686582</c:v>
                </c:pt>
                <c:pt idx="3">
                  <c:v>0.31617049770906053</c:v>
                </c:pt>
                <c:pt idx="4">
                  <c:v>0.33124096177853285</c:v>
                </c:pt>
                <c:pt idx="5">
                  <c:v>1.4321679221523478</c:v>
                </c:pt>
                <c:pt idx="6">
                  <c:v>5.0193755677320283E-2</c:v>
                </c:pt>
              </c:numCache>
            </c:numRef>
          </c:val>
          <c:smooth val="0"/>
          <c:extLst>
            <c:ext xmlns:c16="http://schemas.microsoft.com/office/drawing/2014/chart" uri="{C3380CC4-5D6E-409C-BE32-E72D297353CC}">
              <c16:uniqueId val="{00000002-FC09-4DF8-8430-7019A3D04D0D}"/>
            </c:ext>
          </c:extLst>
        </c:ser>
        <c:ser>
          <c:idx val="3"/>
          <c:order val="3"/>
          <c:tx>
            <c:strRef>
              <c:f>'Valuation Dashboard'!$A$55</c:f>
              <c:strCache>
                <c:ptCount val="1"/>
                <c:pt idx="0">
                  <c:v>Current share price (100%)</c:v>
                </c:pt>
              </c:strCache>
            </c:strRef>
          </c:tx>
          <c:spPr>
            <a:ln w="28575" cap="rnd">
              <a:solidFill>
                <a:srgbClr val="C0392B"/>
              </a:solidFill>
              <a:prstDash val="solid"/>
              <a:round/>
            </a:ln>
            <a:effectLst/>
          </c:spPr>
          <c:marker>
            <c:symbol val="none"/>
          </c:marker>
          <c:cat>
            <c:strRef>
              <c:f>'Valuation Dashboard'!$B$51:$H$51</c:f>
              <c:strCache>
                <c:ptCount val="7"/>
                <c:pt idx="0">
                  <c:v>AAPL</c:v>
                </c:pt>
                <c:pt idx="1">
                  <c:v>MSFT</c:v>
                </c:pt>
                <c:pt idx="2">
                  <c:v>GOOGL</c:v>
                </c:pt>
                <c:pt idx="3">
                  <c:v>AMZN</c:v>
                </c:pt>
                <c:pt idx="4">
                  <c:v>NVDA</c:v>
                </c:pt>
                <c:pt idx="5">
                  <c:v>META</c:v>
                </c:pt>
                <c:pt idx="6">
                  <c:v>TSLA</c:v>
                </c:pt>
              </c:strCache>
            </c:strRef>
          </c:cat>
          <c:val>
            <c:numRef>
              <c:f>'Valuation Dashboard'!$B$55:$H$55</c:f>
              <c:numCache>
                <c:formatCode>0%</c:formatCode>
                <c:ptCount val="7"/>
                <c:pt idx="0">
                  <c:v>1</c:v>
                </c:pt>
                <c:pt idx="1">
                  <c:v>1</c:v>
                </c:pt>
                <c:pt idx="2">
                  <c:v>1</c:v>
                </c:pt>
                <c:pt idx="3">
                  <c:v>1</c:v>
                </c:pt>
                <c:pt idx="4">
                  <c:v>1</c:v>
                </c:pt>
                <c:pt idx="5">
                  <c:v>1</c:v>
                </c:pt>
                <c:pt idx="6">
                  <c:v>1</c:v>
                </c:pt>
              </c:numCache>
            </c:numRef>
          </c:val>
          <c:smooth val="0"/>
          <c:extLst>
            <c:ext xmlns:c16="http://schemas.microsoft.com/office/drawing/2014/chart" uri="{C3380CC4-5D6E-409C-BE32-E72D297353CC}">
              <c16:uniqueId val="{00000003-FC09-4DF8-8430-7019A3D04D0D}"/>
            </c:ext>
          </c:extLst>
        </c:ser>
        <c:dLbls>
          <c:showLegendKey val="0"/>
          <c:showVal val="0"/>
          <c:showCatName val="0"/>
          <c:showSerName val="0"/>
          <c:showPercent val="0"/>
          <c:showBubbleSize val="0"/>
        </c:dLbls>
        <c:marker val="1"/>
        <c:smooth val="0"/>
        <c:axId val="419519199"/>
        <c:axId val="532115439"/>
      </c:lineChart>
      <c:catAx>
        <c:axId val="41951919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532115439"/>
        <c:crosses val="autoZero"/>
        <c:auto val="1"/>
        <c:lblAlgn val="ctr"/>
        <c:lblOffset val="100"/>
        <c:noMultiLvlLbl val="0"/>
      </c:catAx>
      <c:valAx>
        <c:axId val="532115439"/>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419519199"/>
        <c:crosses val="autoZero"/>
        <c:crossBetween val="between"/>
      </c:valAx>
      <c:spPr>
        <a:noFill/>
        <a:ln>
          <a:noFill/>
        </a:ln>
        <a:effectLst/>
      </c:spPr>
    </c:plotArea>
    <c:legend>
      <c:legendPos val="b"/>
      <c:legendEntry>
        <c:idx val="0"/>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1" i="0" u="none" strike="noStrike" kern="1200" spc="0" baseline="0">
                <a:solidFill>
                  <a:schemeClr val="tx1">
                    <a:lumMod val="65000"/>
                    <a:lumOff val="35000"/>
                  </a:schemeClr>
                </a:solidFill>
                <a:latin typeface="+mn-lt"/>
                <a:ea typeface="+mn-ea"/>
                <a:cs typeface="+mn-cs"/>
              </a:defRPr>
            </a:pPr>
            <a:r>
              <a:rPr lang="en-US"/>
              <a:t>Mag 7 - DCF vs multiples vs market price (market = 100%)</a:t>
            </a:r>
          </a:p>
        </c:rich>
      </c:tx>
      <c:overlay val="0"/>
      <c:spPr>
        <a:noFill/>
        <a:ln>
          <a:noFill/>
        </a:ln>
        <a:effectLst/>
      </c:spPr>
      <c:txPr>
        <a:bodyPr rot="0" spcFirstLastPara="1" vertOverflow="ellipsis" vert="horz" wrap="square" anchor="ctr" anchorCtr="1"/>
        <a:lstStyle/>
        <a:p>
          <a:pPr>
            <a:defRPr sz="1200" b="1" i="0" u="none" strike="noStrike" kern="1200" spc="0" baseline="0">
              <a:solidFill>
                <a:schemeClr val="tx1">
                  <a:lumMod val="65000"/>
                  <a:lumOff val="35000"/>
                </a:schemeClr>
              </a:solidFill>
              <a:latin typeface="+mn-lt"/>
              <a:ea typeface="+mn-ea"/>
              <a:cs typeface="+mn-cs"/>
            </a:defRPr>
          </a:pPr>
          <a:endParaRPr lang="da-DK"/>
        </a:p>
      </c:txPr>
    </c:title>
    <c:autoTitleDeleted val="0"/>
    <c:plotArea>
      <c:layout/>
      <c:barChart>
        <c:barDir val="col"/>
        <c:grouping val="clustered"/>
        <c:varyColors val="0"/>
        <c:ser>
          <c:idx val="0"/>
          <c:order val="0"/>
          <c:tx>
            <c:strRef>
              <c:f>'Valuation Dashboard'!$A$98</c:f>
              <c:strCache>
                <c:ptCount val="1"/>
                <c:pt idx="0">
                  <c:v>DCF - selected scenario</c:v>
                </c:pt>
              </c:strCache>
            </c:strRef>
          </c:tx>
          <c:spPr>
            <a:solidFill>
              <a:srgbClr val="31456A"/>
            </a:solidFill>
            <a:ln>
              <a:noFill/>
            </a:ln>
            <a:effectLst/>
          </c:spPr>
          <c:invertIfNegative val="0"/>
          <c:cat>
            <c:strRef>
              <c:f>'Valuation Dashboard'!$B$97:$H$97</c:f>
              <c:strCache>
                <c:ptCount val="7"/>
                <c:pt idx="0">
                  <c:v>AAPL</c:v>
                </c:pt>
                <c:pt idx="1">
                  <c:v>MSFT</c:v>
                </c:pt>
                <c:pt idx="2">
                  <c:v>GOOGL</c:v>
                </c:pt>
                <c:pt idx="3">
                  <c:v>AMZN</c:v>
                </c:pt>
                <c:pt idx="4">
                  <c:v>NVDA</c:v>
                </c:pt>
                <c:pt idx="5">
                  <c:v>META</c:v>
                </c:pt>
                <c:pt idx="6">
                  <c:v>TSLA</c:v>
                </c:pt>
              </c:strCache>
            </c:strRef>
          </c:cat>
          <c:val>
            <c:numRef>
              <c:f>'Valuation Dashboard'!$B$98:$H$98</c:f>
              <c:numCache>
                <c:formatCode>0%</c:formatCode>
                <c:ptCount val="7"/>
                <c:pt idx="0">
                  <c:v>0.67965102078110018</c:v>
                </c:pt>
                <c:pt idx="1">
                  <c:v>0.77615656899009355</c:v>
                </c:pt>
                <c:pt idx="2">
                  <c:v>0.74353906074686582</c:v>
                </c:pt>
                <c:pt idx="3">
                  <c:v>0.31617049770906053</c:v>
                </c:pt>
                <c:pt idx="4">
                  <c:v>0.33124096177853285</c:v>
                </c:pt>
                <c:pt idx="5">
                  <c:v>1.4321679221523478</c:v>
                </c:pt>
                <c:pt idx="6">
                  <c:v>5.0193755677320283E-2</c:v>
                </c:pt>
              </c:numCache>
            </c:numRef>
          </c:val>
          <c:extLst>
            <c:ext xmlns:c16="http://schemas.microsoft.com/office/drawing/2014/chart" uri="{C3380CC4-5D6E-409C-BE32-E72D297353CC}">
              <c16:uniqueId val="{00000000-FD1E-40DF-BAD2-C3AA2805E7F4}"/>
            </c:ext>
          </c:extLst>
        </c:ser>
        <c:ser>
          <c:idx val="1"/>
          <c:order val="1"/>
          <c:tx>
            <c:strRef>
              <c:f>'Valuation Dashboard'!$A$99</c:f>
              <c:strCache>
                <c:ptCount val="1"/>
                <c:pt idx="0">
                  <c:v>Multiples - EV/EBITA</c:v>
                </c:pt>
              </c:strCache>
            </c:strRef>
          </c:tx>
          <c:spPr>
            <a:solidFill>
              <a:srgbClr val="8FAADC"/>
            </a:solidFill>
            <a:ln>
              <a:noFill/>
            </a:ln>
            <a:effectLst/>
          </c:spPr>
          <c:invertIfNegative val="0"/>
          <c:cat>
            <c:strRef>
              <c:f>'Valuation Dashboard'!$B$97:$H$97</c:f>
              <c:strCache>
                <c:ptCount val="7"/>
                <c:pt idx="0">
                  <c:v>AAPL</c:v>
                </c:pt>
                <c:pt idx="1">
                  <c:v>MSFT</c:v>
                </c:pt>
                <c:pt idx="2">
                  <c:v>GOOGL</c:v>
                </c:pt>
                <c:pt idx="3">
                  <c:v>AMZN</c:v>
                </c:pt>
                <c:pt idx="4">
                  <c:v>NVDA</c:v>
                </c:pt>
                <c:pt idx="5">
                  <c:v>META</c:v>
                </c:pt>
                <c:pt idx="6">
                  <c:v>TSLA</c:v>
                </c:pt>
              </c:strCache>
            </c:strRef>
          </c:cat>
          <c:val>
            <c:numRef>
              <c:f>'Valuation Dashboard'!$B$99:$H$99</c:f>
              <c:numCache>
                <c:formatCode>0%</c:formatCode>
                <c:ptCount val="7"/>
                <c:pt idx="0">
                  <c:v>0.68163085138338275</c:v>
                </c:pt>
                <c:pt idx="1">
                  <c:v>0.76973584144049256</c:v>
                </c:pt>
                <c:pt idx="2">
                  <c:v>0.55479928390323174</c:v>
                </c:pt>
                <c:pt idx="3">
                  <c:v>0.78378616420377178</c:v>
                </c:pt>
                <c:pt idx="4">
                  <c:v>2.3045622869409996</c:v>
                </c:pt>
                <c:pt idx="5">
                  <c:v>1.8662168877383565</c:v>
                </c:pt>
                <c:pt idx="6">
                  <c:v>0.17352618128924674</c:v>
                </c:pt>
              </c:numCache>
            </c:numRef>
          </c:val>
          <c:extLst>
            <c:ext xmlns:c16="http://schemas.microsoft.com/office/drawing/2014/chart" uri="{C3380CC4-5D6E-409C-BE32-E72D297353CC}">
              <c16:uniqueId val="{00000001-FD1E-40DF-BAD2-C3AA2805E7F4}"/>
            </c:ext>
          </c:extLst>
        </c:ser>
        <c:ser>
          <c:idx val="2"/>
          <c:order val="2"/>
          <c:tx>
            <c:strRef>
              <c:f>'Valuation Dashboard'!$A$100</c:f>
              <c:strCache>
                <c:ptCount val="1"/>
                <c:pt idx="0">
                  <c:v>Multiples - EV/Revenue</c:v>
                </c:pt>
              </c:strCache>
            </c:strRef>
          </c:tx>
          <c:spPr>
            <a:solidFill>
              <a:srgbClr val="C9D5EA"/>
            </a:solidFill>
            <a:ln>
              <a:noFill/>
            </a:ln>
            <a:effectLst/>
          </c:spPr>
          <c:invertIfNegative val="0"/>
          <c:cat>
            <c:strRef>
              <c:f>'Valuation Dashboard'!$B$97:$H$97</c:f>
              <c:strCache>
                <c:ptCount val="7"/>
                <c:pt idx="0">
                  <c:v>AAPL</c:v>
                </c:pt>
                <c:pt idx="1">
                  <c:v>MSFT</c:v>
                </c:pt>
                <c:pt idx="2">
                  <c:v>GOOGL</c:v>
                </c:pt>
                <c:pt idx="3">
                  <c:v>AMZN</c:v>
                </c:pt>
                <c:pt idx="4">
                  <c:v>NVDA</c:v>
                </c:pt>
                <c:pt idx="5">
                  <c:v>META</c:v>
                </c:pt>
                <c:pt idx="6">
                  <c:v>TSLA</c:v>
                </c:pt>
              </c:strCache>
            </c:strRef>
          </c:cat>
          <c:val>
            <c:numRef>
              <c:f>'Valuation Dashboard'!$B$100:$H$100</c:f>
              <c:numCache>
                <c:formatCode>0%</c:formatCode>
                <c:ptCount val="7"/>
                <c:pt idx="0">
                  <c:v>0.21803818627981963</c:v>
                </c:pt>
                <c:pt idx="1">
                  <c:v>0.48151585010629522</c:v>
                </c:pt>
                <c:pt idx="2">
                  <c:v>0.29748016524243315</c:v>
                </c:pt>
                <c:pt idx="3">
                  <c:v>0.30342881324593951</c:v>
                </c:pt>
                <c:pt idx="4">
                  <c:v>0.43643411951392375</c:v>
                </c:pt>
                <c:pt idx="5">
                  <c:v>0.80686445207019897</c:v>
                </c:pt>
                <c:pt idx="6">
                  <c:v>8.9559719631661247E-2</c:v>
                </c:pt>
              </c:numCache>
            </c:numRef>
          </c:val>
          <c:extLst>
            <c:ext xmlns:c16="http://schemas.microsoft.com/office/drawing/2014/chart" uri="{C3380CC4-5D6E-409C-BE32-E72D297353CC}">
              <c16:uniqueId val="{00000002-FD1E-40DF-BAD2-C3AA2805E7F4}"/>
            </c:ext>
          </c:extLst>
        </c:ser>
        <c:dLbls>
          <c:showLegendKey val="0"/>
          <c:showVal val="0"/>
          <c:showCatName val="0"/>
          <c:showSerName val="0"/>
          <c:showPercent val="0"/>
          <c:showBubbleSize val="0"/>
        </c:dLbls>
        <c:gapWidth val="60"/>
        <c:overlap val="-27"/>
        <c:axId val="419634735"/>
        <c:axId val="532028079"/>
      </c:barChart>
      <c:lineChart>
        <c:grouping val="standard"/>
        <c:varyColors val="0"/>
        <c:ser>
          <c:idx val="3"/>
          <c:order val="3"/>
          <c:tx>
            <c:strRef>
              <c:f>'Valuation Dashboard'!$A$101</c:f>
              <c:strCache>
                <c:ptCount val="1"/>
                <c:pt idx="0">
                  <c:v>Market price (100%)</c:v>
                </c:pt>
              </c:strCache>
            </c:strRef>
          </c:tx>
          <c:spPr>
            <a:ln w="28575" cap="rnd">
              <a:solidFill>
                <a:srgbClr val="C0392B"/>
              </a:solidFill>
              <a:prstDash val="solid"/>
              <a:round/>
            </a:ln>
            <a:effectLst/>
          </c:spPr>
          <c:marker>
            <c:symbol val="none"/>
          </c:marker>
          <c:cat>
            <c:strRef>
              <c:f>'Valuation Dashboard'!$B$97:$H$97</c:f>
              <c:strCache>
                <c:ptCount val="7"/>
                <c:pt idx="0">
                  <c:v>AAPL</c:v>
                </c:pt>
                <c:pt idx="1">
                  <c:v>MSFT</c:v>
                </c:pt>
                <c:pt idx="2">
                  <c:v>GOOGL</c:v>
                </c:pt>
                <c:pt idx="3">
                  <c:v>AMZN</c:v>
                </c:pt>
                <c:pt idx="4">
                  <c:v>NVDA</c:v>
                </c:pt>
                <c:pt idx="5">
                  <c:v>META</c:v>
                </c:pt>
                <c:pt idx="6">
                  <c:v>TSLA</c:v>
                </c:pt>
              </c:strCache>
            </c:strRef>
          </c:cat>
          <c:val>
            <c:numRef>
              <c:f>'Valuation Dashboard'!$B$101:$H$101</c:f>
              <c:numCache>
                <c:formatCode>0%</c:formatCode>
                <c:ptCount val="7"/>
                <c:pt idx="0">
                  <c:v>1</c:v>
                </c:pt>
                <c:pt idx="1">
                  <c:v>1</c:v>
                </c:pt>
                <c:pt idx="2">
                  <c:v>1</c:v>
                </c:pt>
                <c:pt idx="3">
                  <c:v>1</c:v>
                </c:pt>
                <c:pt idx="4">
                  <c:v>1</c:v>
                </c:pt>
                <c:pt idx="5">
                  <c:v>1</c:v>
                </c:pt>
                <c:pt idx="6">
                  <c:v>1</c:v>
                </c:pt>
              </c:numCache>
            </c:numRef>
          </c:val>
          <c:smooth val="0"/>
          <c:extLst>
            <c:ext xmlns:c16="http://schemas.microsoft.com/office/drawing/2014/chart" uri="{C3380CC4-5D6E-409C-BE32-E72D297353CC}">
              <c16:uniqueId val="{00000003-FD1E-40DF-BAD2-C3AA2805E7F4}"/>
            </c:ext>
          </c:extLst>
        </c:ser>
        <c:dLbls>
          <c:showLegendKey val="0"/>
          <c:showVal val="0"/>
          <c:showCatName val="0"/>
          <c:showSerName val="0"/>
          <c:showPercent val="0"/>
          <c:showBubbleSize val="0"/>
        </c:dLbls>
        <c:marker val="1"/>
        <c:smooth val="0"/>
        <c:axId val="419634735"/>
        <c:axId val="532028079"/>
      </c:lineChart>
      <c:catAx>
        <c:axId val="41963473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532028079"/>
        <c:crosses val="autoZero"/>
        <c:auto val="1"/>
        <c:lblAlgn val="ctr"/>
        <c:lblOffset val="100"/>
        <c:noMultiLvlLbl val="0"/>
      </c:catAx>
      <c:valAx>
        <c:axId val="532028079"/>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419634735"/>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1" i="0" u="none" strike="noStrike" kern="1200" spc="0" baseline="0">
                <a:solidFill>
                  <a:schemeClr val="tx1">
                    <a:lumMod val="65000"/>
                    <a:lumOff val="35000"/>
                  </a:schemeClr>
                </a:solidFill>
                <a:latin typeface="+mn-lt"/>
                <a:ea typeface="+mn-ea"/>
                <a:cs typeface="+mn-cs"/>
              </a:defRPr>
            </a:pPr>
            <a:r>
              <a:rPr lang="en-US"/>
              <a:t>NVIDIA - high-growth scenarios vs market price (ch.23 method)</a:t>
            </a:r>
          </a:p>
        </c:rich>
      </c:tx>
      <c:overlay val="0"/>
      <c:spPr>
        <a:noFill/>
        <a:ln>
          <a:noFill/>
        </a:ln>
        <a:effectLst/>
      </c:spPr>
      <c:txPr>
        <a:bodyPr rot="0" spcFirstLastPara="1" vertOverflow="ellipsis" vert="horz" wrap="square" anchor="ctr" anchorCtr="1"/>
        <a:lstStyle/>
        <a:p>
          <a:pPr>
            <a:defRPr sz="1200" b="1" i="0" u="none" strike="noStrike" kern="1200" spc="0" baseline="0">
              <a:solidFill>
                <a:schemeClr val="tx1">
                  <a:lumMod val="65000"/>
                  <a:lumOff val="35000"/>
                </a:schemeClr>
              </a:solidFill>
              <a:latin typeface="+mn-lt"/>
              <a:ea typeface="+mn-ea"/>
              <a:cs typeface="+mn-cs"/>
            </a:defRPr>
          </a:pPr>
          <a:endParaRPr lang="da-DK"/>
        </a:p>
      </c:txPr>
    </c:title>
    <c:autoTitleDeleted val="0"/>
    <c:plotArea>
      <c:layout/>
      <c:barChart>
        <c:barDir val="col"/>
        <c:grouping val="clustered"/>
        <c:varyColors val="0"/>
        <c:ser>
          <c:idx val="0"/>
          <c:order val="0"/>
          <c:tx>
            <c:strRef>
              <c:f>'NVDA High-Growth Ch23'!$A$122</c:f>
              <c:strCache>
                <c:ptCount val="1"/>
                <c:pt idx="0">
                  <c:v>Value per share</c:v>
                </c:pt>
              </c:strCache>
            </c:strRef>
          </c:tx>
          <c:spPr>
            <a:solidFill>
              <a:srgbClr val="31456A"/>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'NVDA High-Growth Ch23'!$B$121:$F$121</c:f>
              <c:strCache>
                <c:ptCount val="5"/>
                <c:pt idx="0">
                  <c:v>A Dominant</c:v>
                </c:pt>
                <c:pt idx="1">
                  <c:v>B Base</c:v>
                </c:pt>
                <c:pt idx="2">
                  <c:v>C Margin compression</c:v>
                </c:pt>
                <c:pt idx="3">
                  <c:v>D Commoditisation</c:v>
                </c:pt>
                <c:pt idx="4">
                  <c:v>Expected (weighted)</c:v>
                </c:pt>
              </c:strCache>
            </c:strRef>
          </c:cat>
          <c:val>
            <c:numRef>
              <c:f>'NVDA High-Growth Ch23'!$B$122:$F$122</c:f>
              <c:numCache>
                <c:formatCode>"$"#,##0.00</c:formatCode>
                <c:ptCount val="5"/>
                <c:pt idx="0">
                  <c:v>103.89436996380252</c:v>
                </c:pt>
                <c:pt idx="1">
                  <c:v>58.879567569500452</c:v>
                </c:pt>
                <c:pt idx="2">
                  <c:v>38.072939268011936</c:v>
                </c:pt>
                <c:pt idx="3">
                  <c:v>24.180642479040067</c:v>
                </c:pt>
                <c:pt idx="4">
                  <c:v>54.184960674630155</c:v>
                </c:pt>
              </c:numCache>
            </c:numRef>
          </c:val>
          <c:extLst>
            <c:ext xmlns:c16="http://schemas.microsoft.com/office/drawing/2014/chart" uri="{C3380CC4-5D6E-409C-BE32-E72D297353CC}">
              <c16:uniqueId val="{00000000-2C2E-4094-A0C2-633BCFA803F2}"/>
            </c:ext>
          </c:extLst>
        </c:ser>
        <c:dLbls>
          <c:showLegendKey val="0"/>
          <c:showVal val="0"/>
          <c:showCatName val="0"/>
          <c:showSerName val="0"/>
          <c:showPercent val="0"/>
          <c:showBubbleSize val="0"/>
        </c:dLbls>
        <c:gapWidth val="60"/>
        <c:overlap val="-27"/>
        <c:axId val="392379647"/>
        <c:axId val="532053039"/>
      </c:barChart>
      <c:lineChart>
        <c:grouping val="standard"/>
        <c:varyColors val="0"/>
        <c:ser>
          <c:idx val="1"/>
          <c:order val="1"/>
          <c:tx>
            <c:strRef>
              <c:f>'NVDA High-Growth Ch23'!$A$123</c:f>
              <c:strCache>
                <c:ptCount val="1"/>
                <c:pt idx="0">
                  <c:v>Current share price</c:v>
                </c:pt>
              </c:strCache>
            </c:strRef>
          </c:tx>
          <c:spPr>
            <a:ln w="28575" cap="rnd">
              <a:solidFill>
                <a:srgbClr val="C0392B"/>
              </a:solidFill>
              <a:prstDash val="solid"/>
              <a:round/>
            </a:ln>
            <a:effectLst/>
          </c:spPr>
          <c:marker>
            <c:symbol val="none"/>
          </c:marker>
          <c:cat>
            <c:strRef>
              <c:f>'NVDA High-Growth Ch23'!$B$121:$F$121</c:f>
              <c:strCache>
                <c:ptCount val="5"/>
                <c:pt idx="0">
                  <c:v>A Dominant</c:v>
                </c:pt>
                <c:pt idx="1">
                  <c:v>B Base</c:v>
                </c:pt>
                <c:pt idx="2">
                  <c:v>C Margin compression</c:v>
                </c:pt>
                <c:pt idx="3">
                  <c:v>D Commoditisation</c:v>
                </c:pt>
                <c:pt idx="4">
                  <c:v>Expected (weighted)</c:v>
                </c:pt>
              </c:strCache>
            </c:strRef>
          </c:cat>
          <c:val>
            <c:numRef>
              <c:f>'NVDA High-Growth Ch23'!$B$123:$F$123</c:f>
              <c:numCache>
                <c:formatCode>"$"#,##0.00</c:formatCode>
                <c:ptCount val="5"/>
                <c:pt idx="0">
                  <c:v>225.16</c:v>
                </c:pt>
                <c:pt idx="1">
                  <c:v>225.16</c:v>
                </c:pt>
                <c:pt idx="2">
                  <c:v>225.16</c:v>
                </c:pt>
                <c:pt idx="3">
                  <c:v>225.16</c:v>
                </c:pt>
                <c:pt idx="4">
                  <c:v>225.16</c:v>
                </c:pt>
              </c:numCache>
            </c:numRef>
          </c:val>
          <c:smooth val="0"/>
          <c:extLst>
            <c:ext xmlns:c16="http://schemas.microsoft.com/office/drawing/2014/chart" uri="{C3380CC4-5D6E-409C-BE32-E72D297353CC}">
              <c16:uniqueId val="{00000001-2C2E-4094-A0C2-633BCFA803F2}"/>
            </c:ext>
          </c:extLst>
        </c:ser>
        <c:dLbls>
          <c:showLegendKey val="0"/>
          <c:showVal val="0"/>
          <c:showCatName val="0"/>
          <c:showSerName val="0"/>
          <c:showPercent val="0"/>
          <c:showBubbleSize val="0"/>
        </c:dLbls>
        <c:marker val="1"/>
        <c:smooth val="0"/>
        <c:axId val="392379647"/>
        <c:axId val="532053039"/>
      </c:lineChart>
      <c:catAx>
        <c:axId val="39237964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532053039"/>
        <c:crosses val="autoZero"/>
        <c:auto val="1"/>
        <c:lblAlgn val="ctr"/>
        <c:lblOffset val="100"/>
        <c:noMultiLvlLbl val="0"/>
      </c:catAx>
      <c:valAx>
        <c:axId val="532053039"/>
        <c:scaling>
          <c:orientation val="minMax"/>
        </c:scaling>
        <c:delete val="0"/>
        <c:axPos val="l"/>
        <c:majorGridlines>
          <c:spPr>
            <a:ln w="9525" cap="flat" cmpd="sng" algn="ctr">
              <a:solidFill>
                <a:schemeClr val="tx1">
                  <a:lumMod val="15000"/>
                  <a:lumOff val="85000"/>
                </a:schemeClr>
              </a:solidFill>
              <a:round/>
            </a:ln>
            <a:effectLst/>
          </c:spPr>
        </c:majorGridlines>
        <c:numFmt formatCode="&quot;$&quot;#.##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392379647"/>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AAPL — Equity Bridge (USD m)</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a-DK"/>
        </a:p>
      </c:txPr>
    </c:title>
    <c:autoTitleDeleted val="0"/>
    <c:plotArea>
      <c:layout/>
      <c:barChart>
        <c:barDir val="col"/>
        <c:grouping val="stacked"/>
        <c:varyColors val="0"/>
        <c:ser>
          <c:idx val="0"/>
          <c:order val="0"/>
          <c:tx>
            <c:strRef>
              <c:f>'AAPL DCF'!$B$47</c:f>
              <c:strCache>
                <c:ptCount val="1"/>
                <c:pt idx="0">
                  <c:v>Base</c:v>
                </c:pt>
              </c:strCache>
            </c:strRef>
          </c:tx>
          <c:spPr>
            <a:noFill/>
            <a:ln>
              <a:noFill/>
            </a:ln>
            <a:effectLst/>
          </c:spPr>
          <c:invertIfNegative val="0"/>
          <c:cat>
            <c:strRef>
              <c:f>'AAPL DCF'!$A$48:$A$54</c:f>
              <c:strCache>
                <c:ptCount val="7"/>
                <c:pt idx="0">
                  <c:v>Enterprise value</c:v>
                </c:pt>
                <c:pt idx="1">
                  <c:v>Excess cash</c:v>
                </c:pt>
                <c:pt idx="2">
                  <c:v>Other non-operating assets</c:v>
                </c:pt>
                <c:pt idx="3">
                  <c:v>Total debt</c:v>
                </c:pt>
                <c:pt idx="4">
                  <c:v>Lease obligations</c:v>
                </c:pt>
                <c:pt idx="5">
                  <c:v>Options &amp; RSUs</c:v>
                </c:pt>
                <c:pt idx="6">
                  <c:v>Equity value</c:v>
                </c:pt>
              </c:strCache>
            </c:strRef>
          </c:cat>
          <c:val>
            <c:numRef>
              <c:f>'AAPL DCF'!$B$48:$B$54</c:f>
              <c:numCache>
                <c:formatCode>#,##0</c:formatCode>
                <c:ptCount val="7"/>
                <c:pt idx="0">
                  <c:v>0</c:v>
                </c:pt>
                <c:pt idx="1">
                  <c:v>3037527.3898923015</c:v>
                </c:pt>
                <c:pt idx="2">
                  <c:v>3065138.1698923013</c:v>
                </c:pt>
                <c:pt idx="3">
                  <c:v>3070024.1698923013</c:v>
                </c:pt>
                <c:pt idx="4">
                  <c:v>3056304.1698923013</c:v>
                </c:pt>
                <c:pt idx="5">
                  <c:v>3034504.1698923013</c:v>
                </c:pt>
                <c:pt idx="6">
                  <c:v>0</c:v>
                </c:pt>
              </c:numCache>
            </c:numRef>
          </c:val>
          <c:extLst>
            <c:ext xmlns:c16="http://schemas.microsoft.com/office/drawing/2014/chart" uri="{C3380CC4-5D6E-409C-BE32-E72D297353CC}">
              <c16:uniqueId val="{00000000-C593-4353-A422-7C10F7C12C91}"/>
            </c:ext>
          </c:extLst>
        </c:ser>
        <c:ser>
          <c:idx val="1"/>
          <c:order val="1"/>
          <c:tx>
            <c:strRef>
              <c:f>'AAPL DCF'!$C$47</c:f>
              <c:strCache>
                <c:ptCount val="1"/>
                <c:pt idx="0">
                  <c:v>Change</c:v>
                </c:pt>
              </c:strCache>
            </c:strRef>
          </c:tx>
          <c:spPr>
            <a:solidFill>
              <a:srgbClr val="364165"/>
            </a:solidFill>
            <a:ln>
              <a:noFill/>
            </a:ln>
            <a:effectLst/>
          </c:spPr>
          <c:invertIfNegative val="0"/>
          <c:dPt>
            <c:idx val="0"/>
            <c:invertIfNegative val="0"/>
            <c:bubble3D val="0"/>
            <c:spPr>
              <a:solidFill>
                <a:srgbClr val="31456A"/>
              </a:solidFill>
              <a:ln>
                <a:noFill/>
              </a:ln>
              <a:effectLst/>
            </c:spPr>
            <c:extLst>
              <c:ext xmlns:c16="http://schemas.microsoft.com/office/drawing/2014/chart" uri="{C3380CC4-5D6E-409C-BE32-E72D297353CC}">
                <c16:uniqueId val="{00000002-C593-4353-A422-7C10F7C12C91}"/>
              </c:ext>
            </c:extLst>
          </c:dPt>
          <c:dPt>
            <c:idx val="1"/>
            <c:invertIfNegative val="0"/>
            <c:bubble3D val="0"/>
            <c:spPr>
              <a:solidFill>
                <a:srgbClr val="2E8B57"/>
              </a:solidFill>
              <a:ln>
                <a:noFill/>
              </a:ln>
              <a:effectLst/>
            </c:spPr>
            <c:extLst>
              <c:ext xmlns:c16="http://schemas.microsoft.com/office/drawing/2014/chart" uri="{C3380CC4-5D6E-409C-BE32-E72D297353CC}">
                <c16:uniqueId val="{00000003-C593-4353-A422-7C10F7C12C91}"/>
              </c:ext>
            </c:extLst>
          </c:dPt>
          <c:dPt>
            <c:idx val="2"/>
            <c:invertIfNegative val="0"/>
            <c:bubble3D val="0"/>
            <c:spPr>
              <a:solidFill>
                <a:srgbClr val="2E8B57"/>
              </a:solidFill>
              <a:ln>
                <a:noFill/>
              </a:ln>
              <a:effectLst/>
            </c:spPr>
            <c:extLst>
              <c:ext xmlns:c16="http://schemas.microsoft.com/office/drawing/2014/chart" uri="{C3380CC4-5D6E-409C-BE32-E72D297353CC}">
                <c16:uniqueId val="{00000004-C593-4353-A422-7C10F7C12C91}"/>
              </c:ext>
            </c:extLst>
          </c:dPt>
          <c:dPt>
            <c:idx val="3"/>
            <c:invertIfNegative val="0"/>
            <c:bubble3D val="0"/>
            <c:spPr>
              <a:solidFill>
                <a:srgbClr val="C0392B"/>
              </a:solidFill>
              <a:ln>
                <a:noFill/>
              </a:ln>
              <a:effectLst/>
            </c:spPr>
            <c:extLst>
              <c:ext xmlns:c16="http://schemas.microsoft.com/office/drawing/2014/chart" uri="{C3380CC4-5D6E-409C-BE32-E72D297353CC}">
                <c16:uniqueId val="{00000005-C593-4353-A422-7C10F7C12C91}"/>
              </c:ext>
            </c:extLst>
          </c:dPt>
          <c:dPt>
            <c:idx val="4"/>
            <c:invertIfNegative val="0"/>
            <c:bubble3D val="0"/>
            <c:spPr>
              <a:solidFill>
                <a:srgbClr val="C0392B"/>
              </a:solidFill>
              <a:ln>
                <a:noFill/>
              </a:ln>
              <a:effectLst/>
            </c:spPr>
            <c:extLst>
              <c:ext xmlns:c16="http://schemas.microsoft.com/office/drawing/2014/chart" uri="{C3380CC4-5D6E-409C-BE32-E72D297353CC}">
                <c16:uniqueId val="{00000006-C593-4353-A422-7C10F7C12C91}"/>
              </c:ext>
            </c:extLst>
          </c:dPt>
          <c:dPt>
            <c:idx val="5"/>
            <c:invertIfNegative val="0"/>
            <c:bubble3D val="0"/>
            <c:spPr>
              <a:solidFill>
                <a:srgbClr val="C0392B"/>
              </a:solidFill>
              <a:ln>
                <a:noFill/>
              </a:ln>
              <a:effectLst/>
            </c:spPr>
            <c:extLst>
              <c:ext xmlns:c16="http://schemas.microsoft.com/office/drawing/2014/chart" uri="{C3380CC4-5D6E-409C-BE32-E72D297353CC}">
                <c16:uniqueId val="{00000007-C593-4353-A422-7C10F7C12C91}"/>
              </c:ext>
            </c:extLst>
          </c:dPt>
          <c:dPt>
            <c:idx val="6"/>
            <c:invertIfNegative val="0"/>
            <c:bubble3D val="0"/>
            <c:spPr>
              <a:solidFill>
                <a:srgbClr val="31456A"/>
              </a:solidFill>
              <a:ln>
                <a:noFill/>
              </a:ln>
              <a:effectLst/>
            </c:spPr>
            <c:extLst>
              <c:ext xmlns:c16="http://schemas.microsoft.com/office/drawing/2014/chart" uri="{C3380CC4-5D6E-409C-BE32-E72D297353CC}">
                <c16:uniqueId val="{00000008-C593-4353-A422-7C10F7C12C91}"/>
              </c:ext>
            </c:extLst>
          </c:dPt>
          <c:dLbls>
            <c:spPr>
              <a:no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rgbClr val="000000"/>
                    </a:solidFill>
                    <a:latin typeface="+mn-lt"/>
                    <a:ea typeface="+mn-ea"/>
                    <a:cs typeface="+mn-cs"/>
                  </a:defRPr>
                </a:pPr>
                <a:endParaRPr lang="da-DK"/>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'AAPL DCF'!$A$48:$A$54</c:f>
              <c:strCache>
                <c:ptCount val="7"/>
                <c:pt idx="0">
                  <c:v>Enterprise value</c:v>
                </c:pt>
                <c:pt idx="1">
                  <c:v>Excess cash</c:v>
                </c:pt>
                <c:pt idx="2">
                  <c:v>Other non-operating assets</c:v>
                </c:pt>
                <c:pt idx="3">
                  <c:v>Total debt</c:v>
                </c:pt>
                <c:pt idx="4">
                  <c:v>Lease obligations</c:v>
                </c:pt>
                <c:pt idx="5">
                  <c:v>Options &amp; RSUs</c:v>
                </c:pt>
                <c:pt idx="6">
                  <c:v>Equity value</c:v>
                </c:pt>
              </c:strCache>
            </c:strRef>
          </c:cat>
          <c:val>
            <c:numRef>
              <c:f>'AAPL DCF'!$C$48:$C$54</c:f>
              <c:numCache>
                <c:formatCode>#,##0</c:formatCode>
                <c:ptCount val="7"/>
                <c:pt idx="0">
                  <c:v>3037527.3898923015</c:v>
                </c:pt>
                <c:pt idx="1">
                  <c:v>27610.78</c:v>
                </c:pt>
                <c:pt idx="2">
                  <c:v>117263</c:v>
                </c:pt>
                <c:pt idx="3">
                  <c:v>112377</c:v>
                </c:pt>
                <c:pt idx="4">
                  <c:v>13720</c:v>
                </c:pt>
                <c:pt idx="5">
                  <c:v>21800</c:v>
                </c:pt>
                <c:pt idx="6">
                  <c:v>3034504.1698923013</c:v>
                </c:pt>
              </c:numCache>
            </c:numRef>
          </c:val>
          <c:extLst>
            <c:ext xmlns:c16="http://schemas.microsoft.com/office/drawing/2014/chart" uri="{C3380CC4-5D6E-409C-BE32-E72D297353CC}">
              <c16:uniqueId val="{00000001-C593-4353-A422-7C10F7C12C91}"/>
            </c:ext>
          </c:extLst>
        </c:ser>
        <c:dLbls>
          <c:showLegendKey val="0"/>
          <c:showVal val="0"/>
          <c:showCatName val="0"/>
          <c:showSerName val="0"/>
          <c:showPercent val="0"/>
          <c:showBubbleSize val="0"/>
        </c:dLbls>
        <c:gapWidth val="20"/>
        <c:overlap val="100"/>
        <c:axId val="196747680"/>
        <c:axId val="186012400"/>
      </c:barChart>
      <c:catAx>
        <c:axId val="1967476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186012400"/>
        <c:crosses val="autoZero"/>
        <c:auto val="1"/>
        <c:lblAlgn val="ctr"/>
        <c:lblOffset val="100"/>
        <c:noMultiLvlLbl val="0"/>
      </c:catAx>
      <c:valAx>
        <c:axId val="18601240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a-DK"/>
                  <a:t>USD m</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a-DK"/>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196747680"/>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MSFT — Equity Bridge (USD m)</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a-DK"/>
        </a:p>
      </c:txPr>
    </c:title>
    <c:autoTitleDeleted val="0"/>
    <c:plotArea>
      <c:layout/>
      <c:barChart>
        <c:barDir val="col"/>
        <c:grouping val="stacked"/>
        <c:varyColors val="0"/>
        <c:ser>
          <c:idx val="0"/>
          <c:order val="0"/>
          <c:tx>
            <c:strRef>
              <c:f>'MSFT DCF'!$B$47</c:f>
              <c:strCache>
                <c:ptCount val="1"/>
                <c:pt idx="0">
                  <c:v>Base</c:v>
                </c:pt>
              </c:strCache>
            </c:strRef>
          </c:tx>
          <c:spPr>
            <a:noFill/>
            <a:ln>
              <a:noFill/>
            </a:ln>
            <a:effectLst/>
          </c:spPr>
          <c:invertIfNegative val="0"/>
          <c:cat>
            <c:strRef>
              <c:f>'MSFT DCF'!$A$48:$A$54</c:f>
              <c:strCache>
                <c:ptCount val="7"/>
                <c:pt idx="0">
                  <c:v>Enterprise value</c:v>
                </c:pt>
                <c:pt idx="1">
                  <c:v>Excess cash</c:v>
                </c:pt>
                <c:pt idx="2">
                  <c:v>Other non-operating assets</c:v>
                </c:pt>
                <c:pt idx="3">
                  <c:v>Total debt</c:v>
                </c:pt>
                <c:pt idx="4">
                  <c:v>Lease obligations</c:v>
                </c:pt>
                <c:pt idx="5">
                  <c:v>Options &amp; RSUs</c:v>
                </c:pt>
                <c:pt idx="6">
                  <c:v>Equity value</c:v>
                </c:pt>
              </c:strCache>
            </c:strRef>
          </c:cat>
          <c:val>
            <c:numRef>
              <c:f>'MSFT DCF'!$B$48:$B$54</c:f>
              <c:numCache>
                <c:formatCode>#,##0</c:formatCode>
                <c:ptCount val="7"/>
                <c:pt idx="0">
                  <c:v>0</c:v>
                </c:pt>
                <c:pt idx="1">
                  <c:v>2884629.6716023968</c:v>
                </c:pt>
                <c:pt idx="2">
                  <c:v>2909237.1916023968</c:v>
                </c:pt>
                <c:pt idx="3">
                  <c:v>2945814.1916023968</c:v>
                </c:pt>
                <c:pt idx="4">
                  <c:v>2876781.1916023968</c:v>
                </c:pt>
                <c:pt idx="5">
                  <c:v>2855181.1916023968</c:v>
                </c:pt>
                <c:pt idx="6">
                  <c:v>0</c:v>
                </c:pt>
              </c:numCache>
            </c:numRef>
          </c:val>
          <c:extLst>
            <c:ext xmlns:c16="http://schemas.microsoft.com/office/drawing/2014/chart" uri="{C3380CC4-5D6E-409C-BE32-E72D297353CC}">
              <c16:uniqueId val="{00000000-DEC9-4054-A6C1-EAAE8BAF410B}"/>
            </c:ext>
          </c:extLst>
        </c:ser>
        <c:ser>
          <c:idx val="1"/>
          <c:order val="1"/>
          <c:tx>
            <c:strRef>
              <c:f>'MSFT DCF'!$C$47</c:f>
              <c:strCache>
                <c:ptCount val="1"/>
                <c:pt idx="0">
                  <c:v>Change</c:v>
                </c:pt>
              </c:strCache>
            </c:strRef>
          </c:tx>
          <c:spPr>
            <a:solidFill>
              <a:srgbClr val="364165"/>
            </a:solidFill>
            <a:ln>
              <a:noFill/>
            </a:ln>
            <a:effectLst/>
          </c:spPr>
          <c:invertIfNegative val="0"/>
          <c:dPt>
            <c:idx val="0"/>
            <c:invertIfNegative val="0"/>
            <c:bubble3D val="0"/>
            <c:spPr>
              <a:solidFill>
                <a:srgbClr val="31456A"/>
              </a:solidFill>
              <a:ln>
                <a:noFill/>
              </a:ln>
              <a:effectLst/>
            </c:spPr>
            <c:extLst>
              <c:ext xmlns:c16="http://schemas.microsoft.com/office/drawing/2014/chart" uri="{C3380CC4-5D6E-409C-BE32-E72D297353CC}">
                <c16:uniqueId val="{00000002-DEC9-4054-A6C1-EAAE8BAF410B}"/>
              </c:ext>
            </c:extLst>
          </c:dPt>
          <c:dPt>
            <c:idx val="1"/>
            <c:invertIfNegative val="0"/>
            <c:bubble3D val="0"/>
            <c:spPr>
              <a:solidFill>
                <a:srgbClr val="2E8B57"/>
              </a:solidFill>
              <a:ln>
                <a:noFill/>
              </a:ln>
              <a:effectLst/>
            </c:spPr>
            <c:extLst>
              <c:ext xmlns:c16="http://schemas.microsoft.com/office/drawing/2014/chart" uri="{C3380CC4-5D6E-409C-BE32-E72D297353CC}">
                <c16:uniqueId val="{00000003-DEC9-4054-A6C1-EAAE8BAF410B}"/>
              </c:ext>
            </c:extLst>
          </c:dPt>
          <c:dPt>
            <c:idx val="2"/>
            <c:invertIfNegative val="0"/>
            <c:bubble3D val="0"/>
            <c:spPr>
              <a:solidFill>
                <a:srgbClr val="2E8B57"/>
              </a:solidFill>
              <a:ln>
                <a:noFill/>
              </a:ln>
              <a:effectLst/>
            </c:spPr>
            <c:extLst>
              <c:ext xmlns:c16="http://schemas.microsoft.com/office/drawing/2014/chart" uri="{C3380CC4-5D6E-409C-BE32-E72D297353CC}">
                <c16:uniqueId val="{00000004-DEC9-4054-A6C1-EAAE8BAF410B}"/>
              </c:ext>
            </c:extLst>
          </c:dPt>
          <c:dPt>
            <c:idx val="3"/>
            <c:invertIfNegative val="0"/>
            <c:bubble3D val="0"/>
            <c:spPr>
              <a:solidFill>
                <a:srgbClr val="C0392B"/>
              </a:solidFill>
              <a:ln>
                <a:noFill/>
              </a:ln>
              <a:effectLst/>
            </c:spPr>
            <c:extLst>
              <c:ext xmlns:c16="http://schemas.microsoft.com/office/drawing/2014/chart" uri="{C3380CC4-5D6E-409C-BE32-E72D297353CC}">
                <c16:uniqueId val="{00000005-DEC9-4054-A6C1-EAAE8BAF410B}"/>
              </c:ext>
            </c:extLst>
          </c:dPt>
          <c:dPt>
            <c:idx val="4"/>
            <c:invertIfNegative val="0"/>
            <c:bubble3D val="0"/>
            <c:spPr>
              <a:solidFill>
                <a:srgbClr val="C0392B"/>
              </a:solidFill>
              <a:ln>
                <a:noFill/>
              </a:ln>
              <a:effectLst/>
            </c:spPr>
            <c:extLst>
              <c:ext xmlns:c16="http://schemas.microsoft.com/office/drawing/2014/chart" uri="{C3380CC4-5D6E-409C-BE32-E72D297353CC}">
                <c16:uniqueId val="{00000006-DEC9-4054-A6C1-EAAE8BAF410B}"/>
              </c:ext>
            </c:extLst>
          </c:dPt>
          <c:dPt>
            <c:idx val="5"/>
            <c:invertIfNegative val="0"/>
            <c:bubble3D val="0"/>
            <c:spPr>
              <a:solidFill>
                <a:srgbClr val="C0392B"/>
              </a:solidFill>
              <a:ln>
                <a:noFill/>
              </a:ln>
              <a:effectLst/>
            </c:spPr>
            <c:extLst>
              <c:ext xmlns:c16="http://schemas.microsoft.com/office/drawing/2014/chart" uri="{C3380CC4-5D6E-409C-BE32-E72D297353CC}">
                <c16:uniqueId val="{00000007-DEC9-4054-A6C1-EAAE8BAF410B}"/>
              </c:ext>
            </c:extLst>
          </c:dPt>
          <c:dPt>
            <c:idx val="6"/>
            <c:invertIfNegative val="0"/>
            <c:bubble3D val="0"/>
            <c:spPr>
              <a:solidFill>
                <a:srgbClr val="31456A"/>
              </a:solidFill>
              <a:ln>
                <a:noFill/>
              </a:ln>
              <a:effectLst/>
            </c:spPr>
            <c:extLst>
              <c:ext xmlns:c16="http://schemas.microsoft.com/office/drawing/2014/chart" uri="{C3380CC4-5D6E-409C-BE32-E72D297353CC}">
                <c16:uniqueId val="{00000008-DEC9-4054-A6C1-EAAE8BAF410B}"/>
              </c:ext>
            </c:extLst>
          </c:dPt>
          <c:dLbls>
            <c:spPr>
              <a:noFill/>
              <a:ln>
                <a:noFill/>
              </a:ln>
              <a:effectLst/>
            </c:spPr>
            <c:txPr>
              <a:bodyPr rot="0" spcFirstLastPara="1" vertOverflow="ellipsis" vert="horz" wrap="square" lIns="38100" tIns="19050" rIns="38100" bIns="19050" anchor="ctr" anchorCtr="1">
                <a:spAutoFit/>
              </a:bodyPr>
              <a:lstStyle/>
              <a:p>
                <a:pPr>
                  <a:defRPr sz="700" b="1" i="0" u="none" strike="noStrike" kern="1200" baseline="0">
                    <a:solidFill>
                      <a:srgbClr val="000000"/>
                    </a:solidFill>
                    <a:latin typeface="+mn-lt"/>
                    <a:ea typeface="+mn-ea"/>
                    <a:cs typeface="+mn-cs"/>
                  </a:defRPr>
                </a:pPr>
                <a:endParaRPr lang="da-DK"/>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'MSFT DCF'!$A$48:$A$54</c:f>
              <c:strCache>
                <c:ptCount val="7"/>
                <c:pt idx="0">
                  <c:v>Enterprise value</c:v>
                </c:pt>
                <c:pt idx="1">
                  <c:v>Excess cash</c:v>
                </c:pt>
                <c:pt idx="2">
                  <c:v>Other non-operating assets</c:v>
                </c:pt>
                <c:pt idx="3">
                  <c:v>Total debt</c:v>
                </c:pt>
                <c:pt idx="4">
                  <c:v>Lease obligations</c:v>
                </c:pt>
                <c:pt idx="5">
                  <c:v>Options &amp; RSUs</c:v>
                </c:pt>
                <c:pt idx="6">
                  <c:v>Equity value</c:v>
                </c:pt>
              </c:strCache>
            </c:strRef>
          </c:cat>
          <c:val>
            <c:numRef>
              <c:f>'MSFT DCF'!$C$48:$C$54</c:f>
              <c:numCache>
                <c:formatCode>#,##0</c:formatCode>
                <c:ptCount val="7"/>
                <c:pt idx="0">
                  <c:v>2884629.6716023968</c:v>
                </c:pt>
                <c:pt idx="1">
                  <c:v>24607.52</c:v>
                </c:pt>
                <c:pt idx="2">
                  <c:v>79728</c:v>
                </c:pt>
                <c:pt idx="3">
                  <c:v>43151</c:v>
                </c:pt>
                <c:pt idx="4">
                  <c:v>69033</c:v>
                </c:pt>
                <c:pt idx="5">
                  <c:v>21600</c:v>
                </c:pt>
                <c:pt idx="6">
                  <c:v>2855181.1916023968</c:v>
                </c:pt>
              </c:numCache>
            </c:numRef>
          </c:val>
          <c:extLst>
            <c:ext xmlns:c16="http://schemas.microsoft.com/office/drawing/2014/chart" uri="{C3380CC4-5D6E-409C-BE32-E72D297353CC}">
              <c16:uniqueId val="{00000001-DEC9-4054-A6C1-EAAE8BAF410B}"/>
            </c:ext>
          </c:extLst>
        </c:ser>
        <c:dLbls>
          <c:showLegendKey val="0"/>
          <c:showVal val="0"/>
          <c:showCatName val="0"/>
          <c:showSerName val="0"/>
          <c:showPercent val="0"/>
          <c:showBubbleSize val="0"/>
        </c:dLbls>
        <c:gapWidth val="20"/>
        <c:overlap val="100"/>
        <c:axId val="196883168"/>
        <c:axId val="186047440"/>
      </c:barChart>
      <c:catAx>
        <c:axId val="1968831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186047440"/>
        <c:crosses val="autoZero"/>
        <c:auto val="1"/>
        <c:lblAlgn val="ctr"/>
        <c:lblOffset val="100"/>
        <c:noMultiLvlLbl val="0"/>
      </c:catAx>
      <c:valAx>
        <c:axId val="18604744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a-DK"/>
                  <a:t>USD m</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a-DK"/>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196883168"/>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GOOGL — Equity Bridge (USD m)</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a-DK"/>
        </a:p>
      </c:txPr>
    </c:title>
    <c:autoTitleDeleted val="0"/>
    <c:plotArea>
      <c:layout/>
      <c:barChart>
        <c:barDir val="col"/>
        <c:grouping val="stacked"/>
        <c:varyColors val="0"/>
        <c:ser>
          <c:idx val="0"/>
          <c:order val="0"/>
          <c:tx>
            <c:strRef>
              <c:f>'GOOGL DCF'!$B$47</c:f>
              <c:strCache>
                <c:ptCount val="1"/>
                <c:pt idx="0">
                  <c:v>Base</c:v>
                </c:pt>
              </c:strCache>
            </c:strRef>
          </c:tx>
          <c:spPr>
            <a:noFill/>
            <a:ln>
              <a:noFill/>
            </a:ln>
            <a:effectLst/>
          </c:spPr>
          <c:invertIfNegative val="0"/>
          <c:cat>
            <c:strRef>
              <c:f>'GOOGL DCF'!$A$48:$A$54</c:f>
              <c:strCache>
                <c:ptCount val="7"/>
                <c:pt idx="0">
                  <c:v>Enterprise value</c:v>
                </c:pt>
                <c:pt idx="1">
                  <c:v>Excess cash</c:v>
                </c:pt>
                <c:pt idx="2">
                  <c:v>Other non-operating assets</c:v>
                </c:pt>
                <c:pt idx="3">
                  <c:v>Total debt</c:v>
                </c:pt>
                <c:pt idx="4">
                  <c:v>Lease obligations</c:v>
                </c:pt>
                <c:pt idx="5">
                  <c:v>Options &amp; RSUs</c:v>
                </c:pt>
                <c:pt idx="6">
                  <c:v>Equity value</c:v>
                </c:pt>
              </c:strCache>
            </c:strRef>
          </c:cat>
          <c:val>
            <c:numRef>
              <c:f>'GOOGL DCF'!$B$48:$B$54</c:f>
              <c:numCache>
                <c:formatCode>#,##0</c:formatCode>
                <c:ptCount val="7"/>
                <c:pt idx="0">
                  <c:v>0</c:v>
                </c:pt>
                <c:pt idx="1">
                  <c:v>3065862.3904039292</c:v>
                </c:pt>
                <c:pt idx="2">
                  <c:v>3088513.670403929</c:v>
                </c:pt>
                <c:pt idx="3">
                  <c:v>3206788.670403929</c:v>
                </c:pt>
                <c:pt idx="4">
                  <c:v>3188335.670403929</c:v>
                </c:pt>
                <c:pt idx="5">
                  <c:v>3145435.670403929</c:v>
                </c:pt>
                <c:pt idx="6">
                  <c:v>0</c:v>
                </c:pt>
              </c:numCache>
            </c:numRef>
          </c:val>
          <c:extLst>
            <c:ext xmlns:c16="http://schemas.microsoft.com/office/drawing/2014/chart" uri="{C3380CC4-5D6E-409C-BE32-E72D297353CC}">
              <c16:uniqueId val="{00000000-00B3-43E5-87F9-95FFCE54C2B2}"/>
            </c:ext>
          </c:extLst>
        </c:ser>
        <c:ser>
          <c:idx val="1"/>
          <c:order val="1"/>
          <c:tx>
            <c:strRef>
              <c:f>'GOOGL DCF'!$C$47</c:f>
              <c:strCache>
                <c:ptCount val="1"/>
                <c:pt idx="0">
                  <c:v>Change</c:v>
                </c:pt>
              </c:strCache>
            </c:strRef>
          </c:tx>
          <c:spPr>
            <a:solidFill>
              <a:srgbClr val="364165"/>
            </a:solidFill>
            <a:ln>
              <a:noFill/>
            </a:ln>
            <a:effectLst/>
          </c:spPr>
          <c:invertIfNegative val="0"/>
          <c:dPt>
            <c:idx val="0"/>
            <c:invertIfNegative val="0"/>
            <c:bubble3D val="0"/>
            <c:spPr>
              <a:solidFill>
                <a:srgbClr val="31456A"/>
              </a:solidFill>
              <a:ln>
                <a:noFill/>
              </a:ln>
              <a:effectLst/>
            </c:spPr>
            <c:extLst>
              <c:ext xmlns:c16="http://schemas.microsoft.com/office/drawing/2014/chart" uri="{C3380CC4-5D6E-409C-BE32-E72D297353CC}">
                <c16:uniqueId val="{00000002-00B3-43E5-87F9-95FFCE54C2B2}"/>
              </c:ext>
            </c:extLst>
          </c:dPt>
          <c:dPt>
            <c:idx val="1"/>
            <c:invertIfNegative val="0"/>
            <c:bubble3D val="0"/>
            <c:spPr>
              <a:solidFill>
                <a:srgbClr val="2E8B57"/>
              </a:solidFill>
              <a:ln>
                <a:noFill/>
              </a:ln>
              <a:effectLst/>
            </c:spPr>
            <c:extLst>
              <c:ext xmlns:c16="http://schemas.microsoft.com/office/drawing/2014/chart" uri="{C3380CC4-5D6E-409C-BE32-E72D297353CC}">
                <c16:uniqueId val="{00000003-00B3-43E5-87F9-95FFCE54C2B2}"/>
              </c:ext>
            </c:extLst>
          </c:dPt>
          <c:dPt>
            <c:idx val="2"/>
            <c:invertIfNegative val="0"/>
            <c:bubble3D val="0"/>
            <c:spPr>
              <a:solidFill>
                <a:srgbClr val="2E8B57"/>
              </a:solidFill>
              <a:ln>
                <a:noFill/>
              </a:ln>
              <a:effectLst/>
            </c:spPr>
            <c:extLst>
              <c:ext xmlns:c16="http://schemas.microsoft.com/office/drawing/2014/chart" uri="{C3380CC4-5D6E-409C-BE32-E72D297353CC}">
                <c16:uniqueId val="{00000004-00B3-43E5-87F9-95FFCE54C2B2}"/>
              </c:ext>
            </c:extLst>
          </c:dPt>
          <c:dPt>
            <c:idx val="3"/>
            <c:invertIfNegative val="0"/>
            <c:bubble3D val="0"/>
            <c:spPr>
              <a:solidFill>
                <a:srgbClr val="C0392B"/>
              </a:solidFill>
              <a:ln>
                <a:noFill/>
              </a:ln>
              <a:effectLst/>
            </c:spPr>
            <c:extLst>
              <c:ext xmlns:c16="http://schemas.microsoft.com/office/drawing/2014/chart" uri="{C3380CC4-5D6E-409C-BE32-E72D297353CC}">
                <c16:uniqueId val="{00000005-00B3-43E5-87F9-95FFCE54C2B2}"/>
              </c:ext>
            </c:extLst>
          </c:dPt>
          <c:dPt>
            <c:idx val="4"/>
            <c:invertIfNegative val="0"/>
            <c:bubble3D val="0"/>
            <c:spPr>
              <a:solidFill>
                <a:srgbClr val="C0392B"/>
              </a:solidFill>
              <a:ln>
                <a:noFill/>
              </a:ln>
              <a:effectLst/>
            </c:spPr>
            <c:extLst>
              <c:ext xmlns:c16="http://schemas.microsoft.com/office/drawing/2014/chart" uri="{C3380CC4-5D6E-409C-BE32-E72D297353CC}">
                <c16:uniqueId val="{00000006-00B3-43E5-87F9-95FFCE54C2B2}"/>
              </c:ext>
            </c:extLst>
          </c:dPt>
          <c:dPt>
            <c:idx val="5"/>
            <c:invertIfNegative val="0"/>
            <c:bubble3D val="0"/>
            <c:spPr>
              <a:solidFill>
                <a:srgbClr val="C0392B"/>
              </a:solidFill>
              <a:ln>
                <a:noFill/>
              </a:ln>
              <a:effectLst/>
            </c:spPr>
            <c:extLst>
              <c:ext xmlns:c16="http://schemas.microsoft.com/office/drawing/2014/chart" uri="{C3380CC4-5D6E-409C-BE32-E72D297353CC}">
                <c16:uniqueId val="{00000007-00B3-43E5-87F9-95FFCE54C2B2}"/>
              </c:ext>
            </c:extLst>
          </c:dPt>
          <c:dPt>
            <c:idx val="6"/>
            <c:invertIfNegative val="0"/>
            <c:bubble3D val="0"/>
            <c:spPr>
              <a:solidFill>
                <a:srgbClr val="31456A"/>
              </a:solidFill>
              <a:ln>
                <a:noFill/>
              </a:ln>
              <a:effectLst/>
            </c:spPr>
            <c:extLst>
              <c:ext xmlns:c16="http://schemas.microsoft.com/office/drawing/2014/chart" uri="{C3380CC4-5D6E-409C-BE32-E72D297353CC}">
                <c16:uniqueId val="{00000008-00B3-43E5-87F9-95FFCE54C2B2}"/>
              </c:ext>
            </c:extLst>
          </c:dPt>
          <c:dLbls>
            <c:spPr>
              <a:noFill/>
              <a:ln>
                <a:noFill/>
              </a:ln>
              <a:effectLst/>
            </c:spPr>
            <c:txPr>
              <a:bodyPr rot="0" spcFirstLastPara="1" vertOverflow="ellipsis" vert="horz" wrap="square" lIns="38100" tIns="19050" rIns="38100" bIns="19050" anchor="ctr" anchorCtr="1">
                <a:spAutoFit/>
              </a:bodyPr>
              <a:lstStyle/>
              <a:p>
                <a:pPr>
                  <a:defRPr sz="700" b="1" i="0" u="none" strike="noStrike" kern="1200" baseline="0">
                    <a:solidFill>
                      <a:srgbClr val="000000"/>
                    </a:solidFill>
                    <a:latin typeface="+mn-lt"/>
                    <a:ea typeface="+mn-ea"/>
                    <a:cs typeface="+mn-cs"/>
                  </a:defRPr>
                </a:pPr>
                <a:endParaRPr lang="da-DK"/>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'GOOGL DCF'!$A$48:$A$54</c:f>
              <c:strCache>
                <c:ptCount val="7"/>
                <c:pt idx="0">
                  <c:v>Enterprise value</c:v>
                </c:pt>
                <c:pt idx="1">
                  <c:v>Excess cash</c:v>
                </c:pt>
                <c:pt idx="2">
                  <c:v>Other non-operating assets</c:v>
                </c:pt>
                <c:pt idx="3">
                  <c:v>Total debt</c:v>
                </c:pt>
                <c:pt idx="4">
                  <c:v>Lease obligations</c:v>
                </c:pt>
                <c:pt idx="5">
                  <c:v>Options &amp; RSUs</c:v>
                </c:pt>
                <c:pt idx="6">
                  <c:v>Equity value</c:v>
                </c:pt>
              </c:strCache>
            </c:strRef>
          </c:cat>
          <c:val>
            <c:numRef>
              <c:f>'GOOGL DCF'!$C$48:$C$54</c:f>
              <c:numCache>
                <c:formatCode>#,##0</c:formatCode>
                <c:ptCount val="7"/>
                <c:pt idx="0">
                  <c:v>3065862.3904039292</c:v>
                </c:pt>
                <c:pt idx="1">
                  <c:v>22651.279999999999</c:v>
                </c:pt>
                <c:pt idx="2">
                  <c:v>164822</c:v>
                </c:pt>
                <c:pt idx="3">
                  <c:v>46547</c:v>
                </c:pt>
                <c:pt idx="4">
                  <c:v>18453</c:v>
                </c:pt>
                <c:pt idx="5">
                  <c:v>42900</c:v>
                </c:pt>
                <c:pt idx="6">
                  <c:v>3145435.670403929</c:v>
                </c:pt>
              </c:numCache>
            </c:numRef>
          </c:val>
          <c:extLst>
            <c:ext xmlns:c16="http://schemas.microsoft.com/office/drawing/2014/chart" uri="{C3380CC4-5D6E-409C-BE32-E72D297353CC}">
              <c16:uniqueId val="{00000001-00B3-43E5-87F9-95FFCE54C2B2}"/>
            </c:ext>
          </c:extLst>
        </c:ser>
        <c:dLbls>
          <c:showLegendKey val="0"/>
          <c:showVal val="0"/>
          <c:showCatName val="0"/>
          <c:showSerName val="0"/>
          <c:showPercent val="0"/>
          <c:showBubbleSize val="0"/>
        </c:dLbls>
        <c:gapWidth val="20"/>
        <c:overlap val="100"/>
        <c:axId val="196869712"/>
        <c:axId val="186086800"/>
      </c:barChart>
      <c:catAx>
        <c:axId val="1968697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186086800"/>
        <c:crosses val="autoZero"/>
        <c:auto val="1"/>
        <c:lblAlgn val="ctr"/>
        <c:lblOffset val="100"/>
        <c:noMultiLvlLbl val="0"/>
      </c:catAx>
      <c:valAx>
        <c:axId val="18608680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a-DK"/>
                  <a:t>USD m</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a-DK"/>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196869712"/>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AMZN — Equity Bridge (USD m)</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a-DK"/>
        </a:p>
      </c:txPr>
    </c:title>
    <c:autoTitleDeleted val="0"/>
    <c:plotArea>
      <c:layout/>
      <c:barChart>
        <c:barDir val="col"/>
        <c:grouping val="stacked"/>
        <c:varyColors val="0"/>
        <c:ser>
          <c:idx val="0"/>
          <c:order val="0"/>
          <c:tx>
            <c:strRef>
              <c:f>'AMZN DCF'!$B$47</c:f>
              <c:strCache>
                <c:ptCount val="1"/>
                <c:pt idx="0">
                  <c:v>Base</c:v>
                </c:pt>
              </c:strCache>
            </c:strRef>
          </c:tx>
          <c:spPr>
            <a:noFill/>
            <a:ln>
              <a:noFill/>
            </a:ln>
            <a:effectLst/>
          </c:spPr>
          <c:invertIfNegative val="0"/>
          <c:cat>
            <c:strRef>
              <c:f>'AMZN DCF'!$A$48:$A$54</c:f>
              <c:strCache>
                <c:ptCount val="7"/>
                <c:pt idx="0">
                  <c:v>Enterprise value</c:v>
                </c:pt>
                <c:pt idx="1">
                  <c:v>Excess cash</c:v>
                </c:pt>
                <c:pt idx="2">
                  <c:v>Other non-operating assets</c:v>
                </c:pt>
                <c:pt idx="3">
                  <c:v>Total debt</c:v>
                </c:pt>
                <c:pt idx="4">
                  <c:v>Lease obligations</c:v>
                </c:pt>
                <c:pt idx="5">
                  <c:v>Options &amp; RSUs</c:v>
                </c:pt>
                <c:pt idx="6">
                  <c:v>Equity value</c:v>
                </c:pt>
              </c:strCache>
            </c:strRef>
          </c:cat>
          <c:val>
            <c:numRef>
              <c:f>'AMZN DCF'!$B$48:$B$54</c:f>
              <c:numCache>
                <c:formatCode>#,##0</c:formatCode>
                <c:ptCount val="7"/>
                <c:pt idx="0">
                  <c:v>0</c:v>
                </c:pt>
                <c:pt idx="1">
                  <c:v>1058453.1897505284</c:v>
                </c:pt>
                <c:pt idx="2">
                  <c:v>1130924.7097505284</c:v>
                </c:pt>
                <c:pt idx="3">
                  <c:v>1014156.7097505284</c:v>
                </c:pt>
                <c:pt idx="4">
                  <c:v>912618.70975052845</c:v>
                </c:pt>
                <c:pt idx="5">
                  <c:v>895718.70975052845</c:v>
                </c:pt>
                <c:pt idx="6">
                  <c:v>0</c:v>
                </c:pt>
              </c:numCache>
            </c:numRef>
          </c:val>
          <c:extLst>
            <c:ext xmlns:c16="http://schemas.microsoft.com/office/drawing/2014/chart" uri="{C3380CC4-5D6E-409C-BE32-E72D297353CC}">
              <c16:uniqueId val="{00000000-4A54-4E83-9675-F0D3FE2FE09E}"/>
            </c:ext>
          </c:extLst>
        </c:ser>
        <c:ser>
          <c:idx val="1"/>
          <c:order val="1"/>
          <c:tx>
            <c:strRef>
              <c:f>'AMZN DCF'!$C$47</c:f>
              <c:strCache>
                <c:ptCount val="1"/>
                <c:pt idx="0">
                  <c:v>Change</c:v>
                </c:pt>
              </c:strCache>
            </c:strRef>
          </c:tx>
          <c:spPr>
            <a:solidFill>
              <a:srgbClr val="364165"/>
            </a:solidFill>
            <a:ln>
              <a:noFill/>
            </a:ln>
            <a:effectLst/>
          </c:spPr>
          <c:invertIfNegative val="0"/>
          <c:dPt>
            <c:idx val="0"/>
            <c:invertIfNegative val="0"/>
            <c:bubble3D val="0"/>
            <c:spPr>
              <a:solidFill>
                <a:srgbClr val="31456A"/>
              </a:solidFill>
              <a:ln>
                <a:noFill/>
              </a:ln>
              <a:effectLst/>
            </c:spPr>
            <c:extLst>
              <c:ext xmlns:c16="http://schemas.microsoft.com/office/drawing/2014/chart" uri="{C3380CC4-5D6E-409C-BE32-E72D297353CC}">
                <c16:uniqueId val="{00000002-4A54-4E83-9675-F0D3FE2FE09E}"/>
              </c:ext>
            </c:extLst>
          </c:dPt>
          <c:dPt>
            <c:idx val="1"/>
            <c:invertIfNegative val="0"/>
            <c:bubble3D val="0"/>
            <c:spPr>
              <a:solidFill>
                <a:srgbClr val="2E8B57"/>
              </a:solidFill>
              <a:ln>
                <a:noFill/>
              </a:ln>
              <a:effectLst/>
            </c:spPr>
            <c:extLst>
              <c:ext xmlns:c16="http://schemas.microsoft.com/office/drawing/2014/chart" uri="{C3380CC4-5D6E-409C-BE32-E72D297353CC}">
                <c16:uniqueId val="{00000003-4A54-4E83-9675-F0D3FE2FE09E}"/>
              </c:ext>
            </c:extLst>
          </c:dPt>
          <c:dPt>
            <c:idx val="2"/>
            <c:invertIfNegative val="0"/>
            <c:bubble3D val="0"/>
            <c:spPr>
              <a:solidFill>
                <a:srgbClr val="2E8B57"/>
              </a:solidFill>
              <a:ln>
                <a:noFill/>
              </a:ln>
              <a:effectLst/>
            </c:spPr>
            <c:extLst>
              <c:ext xmlns:c16="http://schemas.microsoft.com/office/drawing/2014/chart" uri="{C3380CC4-5D6E-409C-BE32-E72D297353CC}">
                <c16:uniqueId val="{00000004-4A54-4E83-9675-F0D3FE2FE09E}"/>
              </c:ext>
            </c:extLst>
          </c:dPt>
          <c:dPt>
            <c:idx val="3"/>
            <c:invertIfNegative val="0"/>
            <c:bubble3D val="0"/>
            <c:spPr>
              <a:solidFill>
                <a:srgbClr val="C0392B"/>
              </a:solidFill>
              <a:ln>
                <a:noFill/>
              </a:ln>
              <a:effectLst/>
            </c:spPr>
            <c:extLst>
              <c:ext xmlns:c16="http://schemas.microsoft.com/office/drawing/2014/chart" uri="{C3380CC4-5D6E-409C-BE32-E72D297353CC}">
                <c16:uniqueId val="{00000005-4A54-4E83-9675-F0D3FE2FE09E}"/>
              </c:ext>
            </c:extLst>
          </c:dPt>
          <c:dPt>
            <c:idx val="4"/>
            <c:invertIfNegative val="0"/>
            <c:bubble3D val="0"/>
            <c:spPr>
              <a:solidFill>
                <a:srgbClr val="C0392B"/>
              </a:solidFill>
              <a:ln>
                <a:noFill/>
              </a:ln>
              <a:effectLst/>
            </c:spPr>
            <c:extLst>
              <c:ext xmlns:c16="http://schemas.microsoft.com/office/drawing/2014/chart" uri="{C3380CC4-5D6E-409C-BE32-E72D297353CC}">
                <c16:uniqueId val="{00000006-4A54-4E83-9675-F0D3FE2FE09E}"/>
              </c:ext>
            </c:extLst>
          </c:dPt>
          <c:dPt>
            <c:idx val="5"/>
            <c:invertIfNegative val="0"/>
            <c:bubble3D val="0"/>
            <c:spPr>
              <a:solidFill>
                <a:srgbClr val="C0392B"/>
              </a:solidFill>
              <a:ln>
                <a:noFill/>
              </a:ln>
              <a:effectLst/>
            </c:spPr>
            <c:extLst>
              <c:ext xmlns:c16="http://schemas.microsoft.com/office/drawing/2014/chart" uri="{C3380CC4-5D6E-409C-BE32-E72D297353CC}">
                <c16:uniqueId val="{00000007-4A54-4E83-9675-F0D3FE2FE09E}"/>
              </c:ext>
            </c:extLst>
          </c:dPt>
          <c:dPt>
            <c:idx val="6"/>
            <c:invertIfNegative val="0"/>
            <c:bubble3D val="0"/>
            <c:spPr>
              <a:solidFill>
                <a:srgbClr val="31456A"/>
              </a:solidFill>
              <a:ln>
                <a:noFill/>
              </a:ln>
              <a:effectLst/>
            </c:spPr>
            <c:extLst>
              <c:ext xmlns:c16="http://schemas.microsoft.com/office/drawing/2014/chart" uri="{C3380CC4-5D6E-409C-BE32-E72D297353CC}">
                <c16:uniqueId val="{00000008-4A54-4E83-9675-F0D3FE2FE09E}"/>
              </c:ext>
            </c:extLst>
          </c:dPt>
          <c:dLbls>
            <c:spPr>
              <a:noFill/>
              <a:ln>
                <a:noFill/>
              </a:ln>
              <a:effectLst/>
            </c:spPr>
            <c:txPr>
              <a:bodyPr rot="0" spcFirstLastPara="1" vertOverflow="ellipsis" vert="horz" wrap="square" lIns="38100" tIns="19050" rIns="38100" bIns="19050" anchor="ctr" anchorCtr="1">
                <a:spAutoFit/>
              </a:bodyPr>
              <a:lstStyle/>
              <a:p>
                <a:pPr>
                  <a:defRPr sz="700" b="1" i="0" u="none" strike="noStrike" kern="1200" baseline="0">
                    <a:solidFill>
                      <a:srgbClr val="000000"/>
                    </a:solidFill>
                    <a:latin typeface="+mn-lt"/>
                    <a:ea typeface="+mn-ea"/>
                    <a:cs typeface="+mn-cs"/>
                  </a:defRPr>
                </a:pPr>
                <a:endParaRPr lang="da-DK"/>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'AMZN DCF'!$A$48:$A$54</c:f>
              <c:strCache>
                <c:ptCount val="7"/>
                <c:pt idx="0">
                  <c:v>Enterprise value</c:v>
                </c:pt>
                <c:pt idx="1">
                  <c:v>Excess cash</c:v>
                </c:pt>
                <c:pt idx="2">
                  <c:v>Other non-operating assets</c:v>
                </c:pt>
                <c:pt idx="3">
                  <c:v>Total debt</c:v>
                </c:pt>
                <c:pt idx="4">
                  <c:v>Lease obligations</c:v>
                </c:pt>
                <c:pt idx="5">
                  <c:v>Options &amp; RSUs</c:v>
                </c:pt>
                <c:pt idx="6">
                  <c:v>Equity value</c:v>
                </c:pt>
              </c:strCache>
            </c:strRef>
          </c:cat>
          <c:val>
            <c:numRef>
              <c:f>'AMZN DCF'!$C$48:$C$54</c:f>
              <c:numCache>
                <c:formatCode>#,##0</c:formatCode>
                <c:ptCount val="7"/>
                <c:pt idx="0">
                  <c:v>1058453.1897505284</c:v>
                </c:pt>
                <c:pt idx="1">
                  <c:v>72471.520000000004</c:v>
                </c:pt>
                <c:pt idx="2">
                  <c:v>36219</c:v>
                </c:pt>
                <c:pt idx="3">
                  <c:v>152987</c:v>
                </c:pt>
                <c:pt idx="4">
                  <c:v>101538</c:v>
                </c:pt>
                <c:pt idx="5">
                  <c:v>16900</c:v>
                </c:pt>
                <c:pt idx="6">
                  <c:v>895718.70975052845</c:v>
                </c:pt>
              </c:numCache>
            </c:numRef>
          </c:val>
          <c:extLst>
            <c:ext xmlns:c16="http://schemas.microsoft.com/office/drawing/2014/chart" uri="{C3380CC4-5D6E-409C-BE32-E72D297353CC}">
              <c16:uniqueId val="{00000001-4A54-4E83-9675-F0D3FE2FE09E}"/>
            </c:ext>
          </c:extLst>
        </c:ser>
        <c:dLbls>
          <c:showLegendKey val="0"/>
          <c:showVal val="0"/>
          <c:showCatName val="0"/>
          <c:showSerName val="0"/>
          <c:showPercent val="0"/>
          <c:showBubbleSize val="0"/>
        </c:dLbls>
        <c:gapWidth val="20"/>
        <c:overlap val="100"/>
        <c:axId val="196835840"/>
        <c:axId val="186091120"/>
      </c:barChart>
      <c:catAx>
        <c:axId val="1968358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186091120"/>
        <c:crosses val="autoZero"/>
        <c:auto val="1"/>
        <c:lblAlgn val="ctr"/>
        <c:lblOffset val="100"/>
        <c:noMultiLvlLbl val="0"/>
      </c:catAx>
      <c:valAx>
        <c:axId val="18609112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a-DK"/>
                  <a:t>USD m</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a-DK"/>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196835840"/>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NVDA — Equity Bridge (USD m)</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a-DK"/>
        </a:p>
      </c:txPr>
    </c:title>
    <c:autoTitleDeleted val="0"/>
    <c:plotArea>
      <c:layout/>
      <c:barChart>
        <c:barDir val="col"/>
        <c:grouping val="stacked"/>
        <c:varyColors val="0"/>
        <c:ser>
          <c:idx val="0"/>
          <c:order val="0"/>
          <c:tx>
            <c:strRef>
              <c:f>'NVDA DCF'!$B$47</c:f>
              <c:strCache>
                <c:ptCount val="1"/>
                <c:pt idx="0">
                  <c:v>Base</c:v>
                </c:pt>
              </c:strCache>
            </c:strRef>
          </c:tx>
          <c:spPr>
            <a:noFill/>
            <a:ln>
              <a:noFill/>
            </a:ln>
            <a:effectLst/>
          </c:spPr>
          <c:invertIfNegative val="0"/>
          <c:cat>
            <c:strRef>
              <c:f>'NVDA DCF'!$A$48:$A$54</c:f>
              <c:strCache>
                <c:ptCount val="7"/>
                <c:pt idx="0">
                  <c:v>Enterprise value</c:v>
                </c:pt>
                <c:pt idx="1">
                  <c:v>Excess cash</c:v>
                </c:pt>
                <c:pt idx="2">
                  <c:v>Other non-operating assets</c:v>
                </c:pt>
                <c:pt idx="3">
                  <c:v>Total debt</c:v>
                </c:pt>
                <c:pt idx="4">
                  <c:v>Lease obligations</c:v>
                </c:pt>
                <c:pt idx="5">
                  <c:v>Options &amp; RSUs</c:v>
                </c:pt>
                <c:pt idx="6">
                  <c:v>Equity value</c:v>
                </c:pt>
              </c:strCache>
            </c:strRef>
          </c:cat>
          <c:val>
            <c:numRef>
              <c:f>'NVDA DCF'!$B$48:$B$54</c:f>
              <c:numCache>
                <c:formatCode>#,##0</c:formatCode>
                <c:ptCount val="7"/>
                <c:pt idx="0">
                  <c:v>0</c:v>
                </c:pt>
                <c:pt idx="1">
                  <c:v>1750613.3618881179</c:v>
                </c:pt>
                <c:pt idx="2">
                  <c:v>1756899.6018881178</c:v>
                </c:pt>
                <c:pt idx="3">
                  <c:v>1822633.6018881178</c:v>
                </c:pt>
                <c:pt idx="4">
                  <c:v>1819689.6018881178</c:v>
                </c:pt>
                <c:pt idx="5">
                  <c:v>1804889.6018881178</c:v>
                </c:pt>
                <c:pt idx="6">
                  <c:v>0</c:v>
                </c:pt>
              </c:numCache>
            </c:numRef>
          </c:val>
          <c:extLst>
            <c:ext xmlns:c16="http://schemas.microsoft.com/office/drawing/2014/chart" uri="{C3380CC4-5D6E-409C-BE32-E72D297353CC}">
              <c16:uniqueId val="{00000000-665A-41A8-929D-1C6427168B8F}"/>
            </c:ext>
          </c:extLst>
        </c:ser>
        <c:ser>
          <c:idx val="1"/>
          <c:order val="1"/>
          <c:tx>
            <c:strRef>
              <c:f>'NVDA DCF'!$C$47</c:f>
              <c:strCache>
                <c:ptCount val="1"/>
                <c:pt idx="0">
                  <c:v>Change</c:v>
                </c:pt>
              </c:strCache>
            </c:strRef>
          </c:tx>
          <c:spPr>
            <a:solidFill>
              <a:srgbClr val="364165"/>
            </a:solidFill>
            <a:ln>
              <a:noFill/>
            </a:ln>
            <a:effectLst/>
          </c:spPr>
          <c:invertIfNegative val="0"/>
          <c:dPt>
            <c:idx val="0"/>
            <c:invertIfNegative val="0"/>
            <c:bubble3D val="0"/>
            <c:spPr>
              <a:solidFill>
                <a:srgbClr val="31456A"/>
              </a:solidFill>
              <a:ln>
                <a:noFill/>
              </a:ln>
              <a:effectLst/>
            </c:spPr>
            <c:extLst>
              <c:ext xmlns:c16="http://schemas.microsoft.com/office/drawing/2014/chart" uri="{C3380CC4-5D6E-409C-BE32-E72D297353CC}">
                <c16:uniqueId val="{00000002-665A-41A8-929D-1C6427168B8F}"/>
              </c:ext>
            </c:extLst>
          </c:dPt>
          <c:dPt>
            <c:idx val="1"/>
            <c:invertIfNegative val="0"/>
            <c:bubble3D val="0"/>
            <c:spPr>
              <a:solidFill>
                <a:srgbClr val="2E8B57"/>
              </a:solidFill>
              <a:ln>
                <a:noFill/>
              </a:ln>
              <a:effectLst/>
            </c:spPr>
            <c:extLst>
              <c:ext xmlns:c16="http://schemas.microsoft.com/office/drawing/2014/chart" uri="{C3380CC4-5D6E-409C-BE32-E72D297353CC}">
                <c16:uniqueId val="{00000003-665A-41A8-929D-1C6427168B8F}"/>
              </c:ext>
            </c:extLst>
          </c:dPt>
          <c:dPt>
            <c:idx val="2"/>
            <c:invertIfNegative val="0"/>
            <c:bubble3D val="0"/>
            <c:spPr>
              <a:solidFill>
                <a:srgbClr val="2E8B57"/>
              </a:solidFill>
              <a:ln>
                <a:noFill/>
              </a:ln>
              <a:effectLst/>
            </c:spPr>
            <c:extLst>
              <c:ext xmlns:c16="http://schemas.microsoft.com/office/drawing/2014/chart" uri="{C3380CC4-5D6E-409C-BE32-E72D297353CC}">
                <c16:uniqueId val="{00000004-665A-41A8-929D-1C6427168B8F}"/>
              </c:ext>
            </c:extLst>
          </c:dPt>
          <c:dPt>
            <c:idx val="3"/>
            <c:invertIfNegative val="0"/>
            <c:bubble3D val="0"/>
            <c:spPr>
              <a:solidFill>
                <a:srgbClr val="C0392B"/>
              </a:solidFill>
              <a:ln>
                <a:noFill/>
              </a:ln>
              <a:effectLst/>
            </c:spPr>
            <c:extLst>
              <c:ext xmlns:c16="http://schemas.microsoft.com/office/drawing/2014/chart" uri="{C3380CC4-5D6E-409C-BE32-E72D297353CC}">
                <c16:uniqueId val="{00000005-665A-41A8-929D-1C6427168B8F}"/>
              </c:ext>
            </c:extLst>
          </c:dPt>
          <c:dPt>
            <c:idx val="4"/>
            <c:invertIfNegative val="0"/>
            <c:bubble3D val="0"/>
            <c:spPr>
              <a:solidFill>
                <a:srgbClr val="C0392B"/>
              </a:solidFill>
              <a:ln>
                <a:noFill/>
              </a:ln>
              <a:effectLst/>
            </c:spPr>
            <c:extLst>
              <c:ext xmlns:c16="http://schemas.microsoft.com/office/drawing/2014/chart" uri="{C3380CC4-5D6E-409C-BE32-E72D297353CC}">
                <c16:uniqueId val="{00000006-665A-41A8-929D-1C6427168B8F}"/>
              </c:ext>
            </c:extLst>
          </c:dPt>
          <c:dPt>
            <c:idx val="5"/>
            <c:invertIfNegative val="0"/>
            <c:bubble3D val="0"/>
            <c:spPr>
              <a:solidFill>
                <a:srgbClr val="C0392B"/>
              </a:solidFill>
              <a:ln>
                <a:noFill/>
              </a:ln>
              <a:effectLst/>
            </c:spPr>
            <c:extLst>
              <c:ext xmlns:c16="http://schemas.microsoft.com/office/drawing/2014/chart" uri="{C3380CC4-5D6E-409C-BE32-E72D297353CC}">
                <c16:uniqueId val="{00000007-665A-41A8-929D-1C6427168B8F}"/>
              </c:ext>
            </c:extLst>
          </c:dPt>
          <c:dPt>
            <c:idx val="6"/>
            <c:invertIfNegative val="0"/>
            <c:bubble3D val="0"/>
            <c:spPr>
              <a:solidFill>
                <a:srgbClr val="31456A"/>
              </a:solidFill>
              <a:ln>
                <a:noFill/>
              </a:ln>
              <a:effectLst/>
            </c:spPr>
            <c:extLst>
              <c:ext xmlns:c16="http://schemas.microsoft.com/office/drawing/2014/chart" uri="{C3380CC4-5D6E-409C-BE32-E72D297353CC}">
                <c16:uniqueId val="{00000008-665A-41A8-929D-1C6427168B8F}"/>
              </c:ext>
            </c:extLst>
          </c:dPt>
          <c:dLbls>
            <c:spPr>
              <a:noFill/>
              <a:ln>
                <a:noFill/>
              </a:ln>
              <a:effectLst/>
            </c:spPr>
            <c:txPr>
              <a:bodyPr rot="0" spcFirstLastPara="1" vertOverflow="ellipsis" vert="horz" wrap="square" lIns="38100" tIns="19050" rIns="38100" bIns="19050" anchor="ctr" anchorCtr="1">
                <a:spAutoFit/>
              </a:bodyPr>
              <a:lstStyle/>
              <a:p>
                <a:pPr>
                  <a:defRPr sz="700" b="1" i="0" u="none" strike="noStrike" kern="1200" baseline="0">
                    <a:solidFill>
                      <a:srgbClr val="000000"/>
                    </a:solidFill>
                    <a:latin typeface="+mn-lt"/>
                    <a:ea typeface="+mn-ea"/>
                    <a:cs typeface="+mn-cs"/>
                  </a:defRPr>
                </a:pPr>
                <a:endParaRPr lang="da-DK"/>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'NVDA DCF'!$A$48:$A$54</c:f>
              <c:strCache>
                <c:ptCount val="7"/>
                <c:pt idx="0">
                  <c:v>Enterprise value</c:v>
                </c:pt>
                <c:pt idx="1">
                  <c:v>Excess cash</c:v>
                </c:pt>
                <c:pt idx="2">
                  <c:v>Other non-operating assets</c:v>
                </c:pt>
                <c:pt idx="3">
                  <c:v>Total debt</c:v>
                </c:pt>
                <c:pt idx="4">
                  <c:v>Lease obligations</c:v>
                </c:pt>
                <c:pt idx="5">
                  <c:v>Options &amp; RSUs</c:v>
                </c:pt>
                <c:pt idx="6">
                  <c:v>Equity value</c:v>
                </c:pt>
              </c:strCache>
            </c:strRef>
          </c:cat>
          <c:val>
            <c:numRef>
              <c:f>'NVDA DCF'!$C$48:$C$54</c:f>
              <c:numCache>
                <c:formatCode>#,##0</c:formatCode>
                <c:ptCount val="7"/>
                <c:pt idx="0">
                  <c:v>1750613.3618881179</c:v>
                </c:pt>
                <c:pt idx="1">
                  <c:v>6286.24</c:v>
                </c:pt>
                <c:pt idx="2">
                  <c:v>74201.999999999985</c:v>
                </c:pt>
                <c:pt idx="3">
                  <c:v>8468</c:v>
                </c:pt>
                <c:pt idx="4">
                  <c:v>2944</c:v>
                </c:pt>
                <c:pt idx="5">
                  <c:v>14800</c:v>
                </c:pt>
                <c:pt idx="6">
                  <c:v>1804889.6018881178</c:v>
                </c:pt>
              </c:numCache>
            </c:numRef>
          </c:val>
          <c:extLst>
            <c:ext xmlns:c16="http://schemas.microsoft.com/office/drawing/2014/chart" uri="{C3380CC4-5D6E-409C-BE32-E72D297353CC}">
              <c16:uniqueId val="{00000001-665A-41A8-929D-1C6427168B8F}"/>
            </c:ext>
          </c:extLst>
        </c:ser>
        <c:dLbls>
          <c:showLegendKey val="0"/>
          <c:showVal val="0"/>
          <c:showCatName val="0"/>
          <c:showSerName val="0"/>
          <c:showPercent val="0"/>
          <c:showBubbleSize val="0"/>
        </c:dLbls>
        <c:gapWidth val="20"/>
        <c:overlap val="100"/>
        <c:axId val="196767632"/>
        <c:axId val="186128080"/>
      </c:barChart>
      <c:catAx>
        <c:axId val="1967676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186128080"/>
        <c:crosses val="autoZero"/>
        <c:auto val="1"/>
        <c:lblAlgn val="ctr"/>
        <c:lblOffset val="100"/>
        <c:noMultiLvlLbl val="0"/>
      </c:catAx>
      <c:valAx>
        <c:axId val="18612808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a-DK"/>
                  <a:t>USD m</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a-DK"/>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196767632"/>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META — Equity Bridge (USD m)</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a-DK"/>
        </a:p>
      </c:txPr>
    </c:title>
    <c:autoTitleDeleted val="0"/>
    <c:plotArea>
      <c:layout/>
      <c:barChart>
        <c:barDir val="col"/>
        <c:grouping val="stacked"/>
        <c:varyColors val="0"/>
        <c:ser>
          <c:idx val="0"/>
          <c:order val="0"/>
          <c:tx>
            <c:strRef>
              <c:f>'META DCF'!$B$47</c:f>
              <c:strCache>
                <c:ptCount val="1"/>
                <c:pt idx="0">
                  <c:v>Base</c:v>
                </c:pt>
              </c:strCache>
            </c:strRef>
          </c:tx>
          <c:spPr>
            <a:noFill/>
            <a:ln>
              <a:noFill/>
            </a:ln>
            <a:effectLst/>
          </c:spPr>
          <c:invertIfNegative val="0"/>
          <c:cat>
            <c:strRef>
              <c:f>'META DCF'!$A$48:$A$54</c:f>
              <c:strCache>
                <c:ptCount val="7"/>
                <c:pt idx="0">
                  <c:v>Enterprise value</c:v>
                </c:pt>
                <c:pt idx="1">
                  <c:v>Excess cash</c:v>
                </c:pt>
                <c:pt idx="2">
                  <c:v>Other non-operating assets</c:v>
                </c:pt>
                <c:pt idx="3">
                  <c:v>Total debt</c:v>
                </c:pt>
                <c:pt idx="4">
                  <c:v>Lease obligations</c:v>
                </c:pt>
                <c:pt idx="5">
                  <c:v>Options &amp; RSUs</c:v>
                </c:pt>
                <c:pt idx="6">
                  <c:v>Equity value</c:v>
                </c:pt>
              </c:strCache>
            </c:strRef>
          </c:cat>
          <c:val>
            <c:numRef>
              <c:f>'META DCF'!$B$48:$B$54</c:f>
              <c:numCache>
                <c:formatCode>#,##0</c:formatCode>
                <c:ptCount val="7"/>
                <c:pt idx="0">
                  <c:v>0</c:v>
                </c:pt>
                <c:pt idx="1">
                  <c:v>2186836.312611273</c:v>
                </c:pt>
                <c:pt idx="2">
                  <c:v>2218689.9926112732</c:v>
                </c:pt>
                <c:pt idx="3">
                  <c:v>2233188.9926112732</c:v>
                </c:pt>
                <c:pt idx="4">
                  <c:v>2206851.9926112732</c:v>
                </c:pt>
                <c:pt idx="5">
                  <c:v>2152041.9926112732</c:v>
                </c:pt>
                <c:pt idx="6">
                  <c:v>0</c:v>
                </c:pt>
              </c:numCache>
            </c:numRef>
          </c:val>
          <c:extLst>
            <c:ext xmlns:c16="http://schemas.microsoft.com/office/drawing/2014/chart" uri="{C3380CC4-5D6E-409C-BE32-E72D297353CC}">
              <c16:uniqueId val="{00000000-C374-4F09-8D8A-FC457FAD29E4}"/>
            </c:ext>
          </c:extLst>
        </c:ser>
        <c:ser>
          <c:idx val="1"/>
          <c:order val="1"/>
          <c:tx>
            <c:strRef>
              <c:f>'META DCF'!$C$47</c:f>
              <c:strCache>
                <c:ptCount val="1"/>
                <c:pt idx="0">
                  <c:v>Change</c:v>
                </c:pt>
              </c:strCache>
            </c:strRef>
          </c:tx>
          <c:spPr>
            <a:solidFill>
              <a:srgbClr val="364165"/>
            </a:solidFill>
            <a:ln>
              <a:noFill/>
            </a:ln>
            <a:effectLst/>
          </c:spPr>
          <c:invertIfNegative val="0"/>
          <c:dPt>
            <c:idx val="0"/>
            <c:invertIfNegative val="0"/>
            <c:bubble3D val="0"/>
            <c:spPr>
              <a:solidFill>
                <a:srgbClr val="31456A"/>
              </a:solidFill>
              <a:ln>
                <a:noFill/>
              </a:ln>
              <a:effectLst/>
            </c:spPr>
            <c:extLst>
              <c:ext xmlns:c16="http://schemas.microsoft.com/office/drawing/2014/chart" uri="{C3380CC4-5D6E-409C-BE32-E72D297353CC}">
                <c16:uniqueId val="{00000002-C374-4F09-8D8A-FC457FAD29E4}"/>
              </c:ext>
            </c:extLst>
          </c:dPt>
          <c:dPt>
            <c:idx val="1"/>
            <c:invertIfNegative val="0"/>
            <c:bubble3D val="0"/>
            <c:spPr>
              <a:solidFill>
                <a:srgbClr val="2E8B57"/>
              </a:solidFill>
              <a:ln>
                <a:noFill/>
              </a:ln>
              <a:effectLst/>
            </c:spPr>
            <c:extLst>
              <c:ext xmlns:c16="http://schemas.microsoft.com/office/drawing/2014/chart" uri="{C3380CC4-5D6E-409C-BE32-E72D297353CC}">
                <c16:uniqueId val="{00000003-C374-4F09-8D8A-FC457FAD29E4}"/>
              </c:ext>
            </c:extLst>
          </c:dPt>
          <c:dPt>
            <c:idx val="2"/>
            <c:invertIfNegative val="0"/>
            <c:bubble3D val="0"/>
            <c:spPr>
              <a:solidFill>
                <a:srgbClr val="2E8B57"/>
              </a:solidFill>
              <a:ln>
                <a:noFill/>
              </a:ln>
              <a:effectLst/>
            </c:spPr>
            <c:extLst>
              <c:ext xmlns:c16="http://schemas.microsoft.com/office/drawing/2014/chart" uri="{C3380CC4-5D6E-409C-BE32-E72D297353CC}">
                <c16:uniqueId val="{00000004-C374-4F09-8D8A-FC457FAD29E4}"/>
              </c:ext>
            </c:extLst>
          </c:dPt>
          <c:dPt>
            <c:idx val="3"/>
            <c:invertIfNegative val="0"/>
            <c:bubble3D val="0"/>
            <c:spPr>
              <a:solidFill>
                <a:srgbClr val="C0392B"/>
              </a:solidFill>
              <a:ln>
                <a:noFill/>
              </a:ln>
              <a:effectLst/>
            </c:spPr>
            <c:extLst>
              <c:ext xmlns:c16="http://schemas.microsoft.com/office/drawing/2014/chart" uri="{C3380CC4-5D6E-409C-BE32-E72D297353CC}">
                <c16:uniqueId val="{00000005-C374-4F09-8D8A-FC457FAD29E4}"/>
              </c:ext>
            </c:extLst>
          </c:dPt>
          <c:dPt>
            <c:idx val="4"/>
            <c:invertIfNegative val="0"/>
            <c:bubble3D val="0"/>
            <c:spPr>
              <a:solidFill>
                <a:srgbClr val="C0392B"/>
              </a:solidFill>
              <a:ln>
                <a:noFill/>
              </a:ln>
              <a:effectLst/>
            </c:spPr>
            <c:extLst>
              <c:ext xmlns:c16="http://schemas.microsoft.com/office/drawing/2014/chart" uri="{C3380CC4-5D6E-409C-BE32-E72D297353CC}">
                <c16:uniqueId val="{00000006-C374-4F09-8D8A-FC457FAD29E4}"/>
              </c:ext>
            </c:extLst>
          </c:dPt>
          <c:dPt>
            <c:idx val="5"/>
            <c:invertIfNegative val="0"/>
            <c:bubble3D val="0"/>
            <c:spPr>
              <a:solidFill>
                <a:srgbClr val="C0392B"/>
              </a:solidFill>
              <a:ln>
                <a:noFill/>
              </a:ln>
              <a:effectLst/>
            </c:spPr>
            <c:extLst>
              <c:ext xmlns:c16="http://schemas.microsoft.com/office/drawing/2014/chart" uri="{C3380CC4-5D6E-409C-BE32-E72D297353CC}">
                <c16:uniqueId val="{00000007-C374-4F09-8D8A-FC457FAD29E4}"/>
              </c:ext>
            </c:extLst>
          </c:dPt>
          <c:dPt>
            <c:idx val="6"/>
            <c:invertIfNegative val="0"/>
            <c:bubble3D val="0"/>
            <c:spPr>
              <a:solidFill>
                <a:srgbClr val="31456A"/>
              </a:solidFill>
              <a:ln>
                <a:noFill/>
              </a:ln>
              <a:effectLst/>
            </c:spPr>
            <c:extLst>
              <c:ext xmlns:c16="http://schemas.microsoft.com/office/drawing/2014/chart" uri="{C3380CC4-5D6E-409C-BE32-E72D297353CC}">
                <c16:uniqueId val="{00000008-C374-4F09-8D8A-FC457FAD29E4}"/>
              </c:ext>
            </c:extLst>
          </c:dPt>
          <c:dLbls>
            <c:spPr>
              <a:noFill/>
              <a:ln>
                <a:noFill/>
              </a:ln>
              <a:effectLst/>
            </c:spPr>
            <c:txPr>
              <a:bodyPr rot="0" spcFirstLastPara="1" vertOverflow="ellipsis" vert="horz" wrap="square" lIns="38100" tIns="19050" rIns="38100" bIns="19050" anchor="ctr" anchorCtr="1">
                <a:spAutoFit/>
              </a:bodyPr>
              <a:lstStyle/>
              <a:p>
                <a:pPr>
                  <a:defRPr sz="700" b="1" i="0" u="none" strike="noStrike" kern="1200" baseline="0">
                    <a:solidFill>
                      <a:srgbClr val="000000"/>
                    </a:solidFill>
                    <a:latin typeface="+mn-lt"/>
                    <a:ea typeface="+mn-ea"/>
                    <a:cs typeface="+mn-cs"/>
                  </a:defRPr>
                </a:pPr>
                <a:endParaRPr lang="da-DK"/>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'META DCF'!$A$48:$A$54</c:f>
              <c:strCache>
                <c:ptCount val="7"/>
                <c:pt idx="0">
                  <c:v>Enterprise value</c:v>
                </c:pt>
                <c:pt idx="1">
                  <c:v>Excess cash</c:v>
                </c:pt>
                <c:pt idx="2">
                  <c:v>Other non-operating assets</c:v>
                </c:pt>
                <c:pt idx="3">
                  <c:v>Total debt</c:v>
                </c:pt>
                <c:pt idx="4">
                  <c:v>Lease obligations</c:v>
                </c:pt>
                <c:pt idx="5">
                  <c:v>Options &amp; RSUs</c:v>
                </c:pt>
                <c:pt idx="6">
                  <c:v>Equity value</c:v>
                </c:pt>
              </c:strCache>
            </c:strRef>
          </c:cat>
          <c:val>
            <c:numRef>
              <c:f>'META DCF'!$C$48:$C$54</c:f>
              <c:numCache>
                <c:formatCode>#,##0</c:formatCode>
                <c:ptCount val="7"/>
                <c:pt idx="0">
                  <c:v>2186836.312611273</c:v>
                </c:pt>
                <c:pt idx="1">
                  <c:v>31853.68</c:v>
                </c:pt>
                <c:pt idx="2">
                  <c:v>73243</c:v>
                </c:pt>
                <c:pt idx="3">
                  <c:v>58744</c:v>
                </c:pt>
                <c:pt idx="4">
                  <c:v>26337</c:v>
                </c:pt>
                <c:pt idx="5">
                  <c:v>54810</c:v>
                </c:pt>
                <c:pt idx="6">
                  <c:v>2152041.9926112732</c:v>
                </c:pt>
              </c:numCache>
            </c:numRef>
          </c:val>
          <c:extLst>
            <c:ext xmlns:c16="http://schemas.microsoft.com/office/drawing/2014/chart" uri="{C3380CC4-5D6E-409C-BE32-E72D297353CC}">
              <c16:uniqueId val="{00000001-C374-4F09-8D8A-FC457FAD29E4}"/>
            </c:ext>
          </c:extLst>
        </c:ser>
        <c:dLbls>
          <c:showLegendKey val="0"/>
          <c:showVal val="0"/>
          <c:showCatName val="0"/>
          <c:showSerName val="0"/>
          <c:showPercent val="0"/>
          <c:showBubbleSize val="0"/>
        </c:dLbls>
        <c:gapWidth val="20"/>
        <c:overlap val="100"/>
        <c:axId val="196851616"/>
        <c:axId val="185875600"/>
      </c:barChart>
      <c:catAx>
        <c:axId val="19685161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185875600"/>
        <c:crosses val="autoZero"/>
        <c:auto val="1"/>
        <c:lblAlgn val="ctr"/>
        <c:lblOffset val="100"/>
        <c:noMultiLvlLbl val="0"/>
      </c:catAx>
      <c:valAx>
        <c:axId val="18587560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a-DK"/>
                  <a:t>USD m</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a-DK"/>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196851616"/>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TSLA — Equity Bridge (USD m)</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a-DK"/>
        </a:p>
      </c:txPr>
    </c:title>
    <c:autoTitleDeleted val="0"/>
    <c:plotArea>
      <c:layout/>
      <c:barChart>
        <c:barDir val="col"/>
        <c:grouping val="stacked"/>
        <c:varyColors val="0"/>
        <c:ser>
          <c:idx val="0"/>
          <c:order val="0"/>
          <c:tx>
            <c:strRef>
              <c:f>'TSLA DCF'!$B$47</c:f>
              <c:strCache>
                <c:ptCount val="1"/>
                <c:pt idx="0">
                  <c:v>Base</c:v>
                </c:pt>
              </c:strCache>
            </c:strRef>
          </c:tx>
          <c:spPr>
            <a:noFill/>
            <a:ln>
              <a:noFill/>
            </a:ln>
            <a:effectLst/>
          </c:spPr>
          <c:invertIfNegative val="0"/>
          <c:cat>
            <c:strRef>
              <c:f>'TSLA DCF'!$A$48:$A$54</c:f>
              <c:strCache>
                <c:ptCount val="7"/>
                <c:pt idx="0">
                  <c:v>Enterprise value</c:v>
                </c:pt>
                <c:pt idx="1">
                  <c:v>Excess cash</c:v>
                </c:pt>
                <c:pt idx="2">
                  <c:v>Other non-operating assets</c:v>
                </c:pt>
                <c:pt idx="3">
                  <c:v>Total debt</c:v>
                </c:pt>
                <c:pt idx="4">
                  <c:v>Lease obligations</c:v>
                </c:pt>
                <c:pt idx="5">
                  <c:v>Options &amp; RSUs</c:v>
                </c:pt>
                <c:pt idx="6">
                  <c:v>Equity value</c:v>
                </c:pt>
              </c:strCache>
            </c:strRef>
          </c:cat>
          <c:val>
            <c:numRef>
              <c:f>'TSLA DCF'!$B$48:$B$54</c:f>
              <c:numCache>
                <c:formatCode>#,##0</c:formatCode>
                <c:ptCount val="7"/>
                <c:pt idx="0">
                  <c:v>0</c:v>
                </c:pt>
                <c:pt idx="1">
                  <c:v>40085.033727931506</c:v>
                </c:pt>
                <c:pt idx="2">
                  <c:v>54701.493727931505</c:v>
                </c:pt>
                <c:pt idx="3">
                  <c:v>80796.493727931505</c:v>
                </c:pt>
                <c:pt idx="4">
                  <c:v>74230.493727931505</c:v>
                </c:pt>
                <c:pt idx="5">
                  <c:v>67852.493727931505</c:v>
                </c:pt>
                <c:pt idx="6">
                  <c:v>0</c:v>
                </c:pt>
              </c:numCache>
            </c:numRef>
          </c:val>
          <c:extLst>
            <c:ext xmlns:c16="http://schemas.microsoft.com/office/drawing/2014/chart" uri="{C3380CC4-5D6E-409C-BE32-E72D297353CC}">
              <c16:uniqueId val="{00000000-1C31-459A-8AFF-1F8E3B50D5AF}"/>
            </c:ext>
          </c:extLst>
        </c:ser>
        <c:ser>
          <c:idx val="1"/>
          <c:order val="1"/>
          <c:tx>
            <c:strRef>
              <c:f>'TSLA DCF'!$C$47</c:f>
              <c:strCache>
                <c:ptCount val="1"/>
                <c:pt idx="0">
                  <c:v>Change</c:v>
                </c:pt>
              </c:strCache>
            </c:strRef>
          </c:tx>
          <c:spPr>
            <a:solidFill>
              <a:srgbClr val="364165"/>
            </a:solidFill>
            <a:ln>
              <a:noFill/>
            </a:ln>
            <a:effectLst/>
          </c:spPr>
          <c:invertIfNegative val="0"/>
          <c:dPt>
            <c:idx val="0"/>
            <c:invertIfNegative val="0"/>
            <c:bubble3D val="0"/>
            <c:spPr>
              <a:solidFill>
                <a:srgbClr val="31456A"/>
              </a:solidFill>
              <a:ln>
                <a:noFill/>
              </a:ln>
              <a:effectLst/>
            </c:spPr>
            <c:extLst>
              <c:ext xmlns:c16="http://schemas.microsoft.com/office/drawing/2014/chart" uri="{C3380CC4-5D6E-409C-BE32-E72D297353CC}">
                <c16:uniqueId val="{00000002-1C31-459A-8AFF-1F8E3B50D5AF}"/>
              </c:ext>
            </c:extLst>
          </c:dPt>
          <c:dPt>
            <c:idx val="1"/>
            <c:invertIfNegative val="0"/>
            <c:bubble3D val="0"/>
            <c:spPr>
              <a:solidFill>
                <a:srgbClr val="2E8B57"/>
              </a:solidFill>
              <a:ln>
                <a:noFill/>
              </a:ln>
              <a:effectLst/>
            </c:spPr>
            <c:extLst>
              <c:ext xmlns:c16="http://schemas.microsoft.com/office/drawing/2014/chart" uri="{C3380CC4-5D6E-409C-BE32-E72D297353CC}">
                <c16:uniqueId val="{00000003-1C31-459A-8AFF-1F8E3B50D5AF}"/>
              </c:ext>
            </c:extLst>
          </c:dPt>
          <c:dPt>
            <c:idx val="2"/>
            <c:invertIfNegative val="0"/>
            <c:bubble3D val="0"/>
            <c:spPr>
              <a:solidFill>
                <a:srgbClr val="2E8B57"/>
              </a:solidFill>
              <a:ln>
                <a:noFill/>
              </a:ln>
              <a:effectLst/>
            </c:spPr>
            <c:extLst>
              <c:ext xmlns:c16="http://schemas.microsoft.com/office/drawing/2014/chart" uri="{C3380CC4-5D6E-409C-BE32-E72D297353CC}">
                <c16:uniqueId val="{00000004-1C31-459A-8AFF-1F8E3B50D5AF}"/>
              </c:ext>
            </c:extLst>
          </c:dPt>
          <c:dPt>
            <c:idx val="3"/>
            <c:invertIfNegative val="0"/>
            <c:bubble3D val="0"/>
            <c:spPr>
              <a:solidFill>
                <a:srgbClr val="C0392B"/>
              </a:solidFill>
              <a:ln>
                <a:noFill/>
              </a:ln>
              <a:effectLst/>
            </c:spPr>
            <c:extLst>
              <c:ext xmlns:c16="http://schemas.microsoft.com/office/drawing/2014/chart" uri="{C3380CC4-5D6E-409C-BE32-E72D297353CC}">
                <c16:uniqueId val="{00000005-1C31-459A-8AFF-1F8E3B50D5AF}"/>
              </c:ext>
            </c:extLst>
          </c:dPt>
          <c:dPt>
            <c:idx val="4"/>
            <c:invertIfNegative val="0"/>
            <c:bubble3D val="0"/>
            <c:spPr>
              <a:solidFill>
                <a:srgbClr val="C0392B"/>
              </a:solidFill>
              <a:ln>
                <a:noFill/>
              </a:ln>
              <a:effectLst/>
            </c:spPr>
            <c:extLst>
              <c:ext xmlns:c16="http://schemas.microsoft.com/office/drawing/2014/chart" uri="{C3380CC4-5D6E-409C-BE32-E72D297353CC}">
                <c16:uniqueId val="{00000006-1C31-459A-8AFF-1F8E3B50D5AF}"/>
              </c:ext>
            </c:extLst>
          </c:dPt>
          <c:dPt>
            <c:idx val="5"/>
            <c:invertIfNegative val="0"/>
            <c:bubble3D val="0"/>
            <c:spPr>
              <a:solidFill>
                <a:srgbClr val="C0392B"/>
              </a:solidFill>
              <a:ln>
                <a:noFill/>
              </a:ln>
              <a:effectLst/>
            </c:spPr>
            <c:extLst>
              <c:ext xmlns:c16="http://schemas.microsoft.com/office/drawing/2014/chart" uri="{C3380CC4-5D6E-409C-BE32-E72D297353CC}">
                <c16:uniqueId val="{00000007-1C31-459A-8AFF-1F8E3B50D5AF}"/>
              </c:ext>
            </c:extLst>
          </c:dPt>
          <c:dPt>
            <c:idx val="6"/>
            <c:invertIfNegative val="0"/>
            <c:bubble3D val="0"/>
            <c:spPr>
              <a:solidFill>
                <a:srgbClr val="31456A"/>
              </a:solidFill>
              <a:ln>
                <a:noFill/>
              </a:ln>
              <a:effectLst/>
            </c:spPr>
            <c:extLst>
              <c:ext xmlns:c16="http://schemas.microsoft.com/office/drawing/2014/chart" uri="{C3380CC4-5D6E-409C-BE32-E72D297353CC}">
                <c16:uniqueId val="{00000008-1C31-459A-8AFF-1F8E3B50D5AF}"/>
              </c:ext>
            </c:extLst>
          </c:dPt>
          <c:dLbls>
            <c:spPr>
              <a:noFill/>
              <a:ln>
                <a:noFill/>
              </a:ln>
              <a:effectLst/>
            </c:spPr>
            <c:txPr>
              <a:bodyPr rot="0" spcFirstLastPara="1" vertOverflow="ellipsis" vert="horz" wrap="square" lIns="38100" tIns="19050" rIns="38100" bIns="19050" anchor="ctr" anchorCtr="1">
                <a:spAutoFit/>
              </a:bodyPr>
              <a:lstStyle/>
              <a:p>
                <a:pPr>
                  <a:defRPr sz="700" b="1" i="0" u="none" strike="noStrike" kern="1200" baseline="0">
                    <a:solidFill>
                      <a:srgbClr val="000000"/>
                    </a:solidFill>
                    <a:latin typeface="+mn-lt"/>
                    <a:ea typeface="+mn-ea"/>
                    <a:cs typeface="+mn-cs"/>
                  </a:defRPr>
                </a:pPr>
                <a:endParaRPr lang="da-DK"/>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'TSLA DCF'!$A$48:$A$54</c:f>
              <c:strCache>
                <c:ptCount val="7"/>
                <c:pt idx="0">
                  <c:v>Enterprise value</c:v>
                </c:pt>
                <c:pt idx="1">
                  <c:v>Excess cash</c:v>
                </c:pt>
                <c:pt idx="2">
                  <c:v>Other non-operating assets</c:v>
                </c:pt>
                <c:pt idx="3">
                  <c:v>Total debt</c:v>
                </c:pt>
                <c:pt idx="4">
                  <c:v>Lease obligations</c:v>
                </c:pt>
                <c:pt idx="5">
                  <c:v>Options &amp; RSUs</c:v>
                </c:pt>
                <c:pt idx="6">
                  <c:v>Equity value</c:v>
                </c:pt>
              </c:strCache>
            </c:strRef>
          </c:cat>
          <c:val>
            <c:numRef>
              <c:f>'TSLA DCF'!$C$48:$C$54</c:f>
              <c:numCache>
                <c:formatCode>#,##0</c:formatCode>
                <c:ptCount val="7"/>
                <c:pt idx="0">
                  <c:v>40085.033727931506</c:v>
                </c:pt>
                <c:pt idx="1">
                  <c:v>14616.46</c:v>
                </c:pt>
                <c:pt idx="2">
                  <c:v>34471</c:v>
                </c:pt>
                <c:pt idx="3">
                  <c:v>8376</c:v>
                </c:pt>
                <c:pt idx="4">
                  <c:v>6566</c:v>
                </c:pt>
                <c:pt idx="5">
                  <c:v>6378</c:v>
                </c:pt>
                <c:pt idx="6">
                  <c:v>67852.493727931505</c:v>
                </c:pt>
              </c:numCache>
            </c:numRef>
          </c:val>
          <c:extLst>
            <c:ext xmlns:c16="http://schemas.microsoft.com/office/drawing/2014/chart" uri="{C3380CC4-5D6E-409C-BE32-E72D297353CC}">
              <c16:uniqueId val="{00000001-1C31-459A-8AFF-1F8E3B50D5AF}"/>
            </c:ext>
          </c:extLst>
        </c:ser>
        <c:dLbls>
          <c:showLegendKey val="0"/>
          <c:showVal val="0"/>
          <c:showCatName val="0"/>
          <c:showSerName val="0"/>
          <c:showPercent val="0"/>
          <c:showBubbleSize val="0"/>
        </c:dLbls>
        <c:gapWidth val="20"/>
        <c:overlap val="100"/>
        <c:axId val="196874352"/>
        <c:axId val="185923600"/>
      </c:barChart>
      <c:catAx>
        <c:axId val="19687435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185923600"/>
        <c:crosses val="autoZero"/>
        <c:auto val="1"/>
        <c:lblAlgn val="ctr"/>
        <c:lblOffset val="100"/>
        <c:noMultiLvlLbl val="0"/>
      </c:catAx>
      <c:valAx>
        <c:axId val="18592360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a-DK"/>
                  <a:t>USD m</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a-DK"/>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196874352"/>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Peer EV / EBITA — dispersion across all 38 peers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a-DK"/>
        </a:p>
      </c:txPr>
    </c:title>
    <c:autoTitleDeleted val="0"/>
    <c:plotArea>
      <c:layout/>
      <c:barChart>
        <c:barDir val="col"/>
        <c:grouping val="clustered"/>
        <c:varyColors val="0"/>
        <c:ser>
          <c:idx val="0"/>
          <c:order val="0"/>
          <c:tx>
            <c:strRef>
              <c:f>Multiples!$B$4</c:f>
              <c:strCache>
                <c:ptCount val="1"/>
                <c:pt idx="0">
                  <c:v>Enterprise value</c:v>
                </c:pt>
              </c:strCache>
            </c:strRef>
          </c:tx>
          <c:spPr>
            <a:solidFill>
              <a:schemeClr val="accent1"/>
            </a:solidFill>
            <a:ln>
              <a:noFill/>
            </a:ln>
            <a:effectLst/>
          </c:spPr>
          <c:invertIfNegative val="0"/>
          <c:cat>
            <c:strRef>
              <c:f>Multiples!$A$5:$A$42</c:f>
              <c:strCache>
                <c:ptCount val="38"/>
                <c:pt idx="0">
                  <c:v>AAPL</c:v>
                </c:pt>
                <c:pt idx="1">
                  <c:v>MSFT</c:v>
                </c:pt>
                <c:pt idx="2">
                  <c:v>DELL</c:v>
                </c:pt>
                <c:pt idx="3">
                  <c:v>HPQ</c:v>
                </c:pt>
                <c:pt idx="4">
                  <c:v>SONY</c:v>
                </c:pt>
                <c:pt idx="5">
                  <c:v>ORCL</c:v>
                </c:pt>
                <c:pt idx="6">
                  <c:v>CRM</c:v>
                </c:pt>
                <c:pt idx="7">
                  <c:v>ADBE</c:v>
                </c:pt>
                <c:pt idx="8">
                  <c:v>NOW</c:v>
                </c:pt>
                <c:pt idx="9">
                  <c:v>SAP</c:v>
                </c:pt>
                <c:pt idx="10">
                  <c:v>IBM</c:v>
                </c:pt>
                <c:pt idx="11">
                  <c:v>GOOGL</c:v>
                </c:pt>
                <c:pt idx="12">
                  <c:v>META</c:v>
                </c:pt>
                <c:pt idx="13">
                  <c:v>TTD</c:v>
                </c:pt>
                <c:pt idx="14">
                  <c:v>PINS</c:v>
                </c:pt>
                <c:pt idx="15">
                  <c:v>SNAP</c:v>
                </c:pt>
                <c:pt idx="16">
                  <c:v>AMZN</c:v>
                </c:pt>
                <c:pt idx="17">
                  <c:v>WMT</c:v>
                </c:pt>
                <c:pt idx="18">
                  <c:v>COST</c:v>
                </c:pt>
                <c:pt idx="19">
                  <c:v>BABA</c:v>
                </c:pt>
                <c:pt idx="20">
                  <c:v>SHOP</c:v>
                </c:pt>
                <c:pt idx="21">
                  <c:v>TGT</c:v>
                </c:pt>
                <c:pt idx="22">
                  <c:v>EBAY</c:v>
                </c:pt>
                <c:pt idx="23">
                  <c:v>NVDA</c:v>
                </c:pt>
                <c:pt idx="24">
                  <c:v>AMD</c:v>
                </c:pt>
                <c:pt idx="25">
                  <c:v>AVGO</c:v>
                </c:pt>
                <c:pt idx="26">
                  <c:v>TSM</c:v>
                </c:pt>
                <c:pt idx="27">
                  <c:v>QCOM</c:v>
                </c:pt>
                <c:pt idx="28">
                  <c:v>MU</c:v>
                </c:pt>
                <c:pt idx="29">
                  <c:v>INTC</c:v>
                </c:pt>
                <c:pt idx="30">
                  <c:v>ARM</c:v>
                </c:pt>
                <c:pt idx="31">
                  <c:v>RDDT</c:v>
                </c:pt>
                <c:pt idx="32">
                  <c:v>TSLA</c:v>
                </c:pt>
                <c:pt idx="33">
                  <c:v>GM</c:v>
                </c:pt>
                <c:pt idx="34">
                  <c:v>F</c:v>
                </c:pt>
                <c:pt idx="35">
                  <c:v>RIVN</c:v>
                </c:pt>
                <c:pt idx="36">
                  <c:v>LCID</c:v>
                </c:pt>
                <c:pt idx="37">
                  <c:v>STLA</c:v>
                </c:pt>
              </c:strCache>
            </c:strRef>
          </c:cat>
          <c:val>
            <c:numRef>
              <c:f>Multiples!$B$5:$B$42</c:f>
              <c:numCache>
                <c:formatCode>#,##0</c:formatCode>
                <c:ptCount val="38"/>
                <c:pt idx="0">
                  <c:v>4594739.4457599996</c:v>
                </c:pt>
                <c:pt idx="1">
                  <c:v>3764668.5962240002</c:v>
                </c:pt>
                <c:pt idx="2">
                  <c:v>314434.97779199999</c:v>
                </c:pt>
                <c:pt idx="3">
                  <c:v>34642.407423999997</c:v>
                </c:pt>
                <c:pt idx="4">
                  <c:v>244025.96659200001</c:v>
                </c:pt>
                <c:pt idx="5">
                  <c:v>564526.84185600001</c:v>
                </c:pt>
                <c:pt idx="6">
                  <c:v>188565.061632</c:v>
                </c:pt>
                <c:pt idx="7">
                  <c:v>106871.97184</c:v>
                </c:pt>
                <c:pt idx="8">
                  <c:v>132897.68550399999</c:v>
                </c:pt>
                <c:pt idx="9">
                  <c:v>3350225.7479679999</c:v>
                </c:pt>
                <c:pt idx="10">
                  <c:v>280778.63731199998</c:v>
                </c:pt>
                <c:pt idx="11">
                  <c:v>4229428.9367040005</c:v>
                </c:pt>
                <c:pt idx="12">
                  <c:v>1530436.3868160001</c:v>
                </c:pt>
                <c:pt idx="13">
                  <c:v>5433.1238400000002</c:v>
                </c:pt>
                <c:pt idx="14">
                  <c:v>13332.026368000001</c:v>
                </c:pt>
                <c:pt idx="15">
                  <c:v>10580.072448000001</c:v>
                </c:pt>
                <c:pt idx="16">
                  <c:v>3089274.2410240001</c:v>
                </c:pt>
                <c:pt idx="17">
                  <c:v>961572.17587200005</c:v>
                </c:pt>
                <c:pt idx="18">
                  <c:v>418664.08755200001</c:v>
                </c:pt>
                <c:pt idx="19">
                  <c:v>329961.04601599998</c:v>
                </c:pt>
                <c:pt idx="20">
                  <c:v>190247.61651200001</c:v>
                </c:pt>
                <c:pt idx="21">
                  <c:v>83730.407424000005</c:v>
                </c:pt>
                <c:pt idx="22">
                  <c:v>53662.101503999998</c:v>
                </c:pt>
                <c:pt idx="23">
                  <c:v>5379473.8012159998</c:v>
                </c:pt>
                <c:pt idx="24">
                  <c:v>780238.12710399996</c:v>
                </c:pt>
                <c:pt idx="25">
                  <c:v>2080381.4686720001</c:v>
                </c:pt>
                <c:pt idx="26">
                  <c:v>14934351.020032</c:v>
                </c:pt>
                <c:pt idx="27">
                  <c:v>183258.26764800001</c:v>
                </c:pt>
                <c:pt idx="28">
                  <c:v>971475.51743999997</c:v>
                </c:pt>
                <c:pt idx="29">
                  <c:v>549133.61510399997</c:v>
                </c:pt>
                <c:pt idx="30">
                  <c:v>298381.77075199998</c:v>
                </c:pt>
                <c:pt idx="31">
                  <c:v>28345.026559999998</c:v>
                </c:pt>
                <c:pt idx="32">
                  <c:v>1270959.3088</c:v>
                </c:pt>
                <c:pt idx="33">
                  <c:v>182541.20550400001</c:v>
                </c:pt>
                <c:pt idx="34">
                  <c:v>196958.58483199999</c:v>
                </c:pt>
                <c:pt idx="35">
                  <c:v>23229.769727999999</c:v>
                </c:pt>
                <c:pt idx="36">
                  <c:v>8575.8648319999993</c:v>
                </c:pt>
                <c:pt idx="37">
                  <c:v>36618.194944000003</c:v>
                </c:pt>
              </c:numCache>
            </c:numRef>
          </c:val>
          <c:extLst>
            <c:ext xmlns:c16="http://schemas.microsoft.com/office/drawing/2014/chart" uri="{C3380CC4-5D6E-409C-BE32-E72D297353CC}">
              <c16:uniqueId val="{00000000-97F0-44ED-9D00-40C7C928D766}"/>
            </c:ext>
          </c:extLst>
        </c:ser>
        <c:ser>
          <c:idx val="1"/>
          <c:order val="1"/>
          <c:tx>
            <c:strRef>
              <c:f>Multiples!$C$4</c:f>
              <c:strCache>
                <c:ptCount val="1"/>
                <c:pt idx="0">
                  <c:v>EBITA</c:v>
                </c:pt>
              </c:strCache>
            </c:strRef>
          </c:tx>
          <c:spPr>
            <a:solidFill>
              <a:schemeClr val="accent2"/>
            </a:solidFill>
            <a:ln>
              <a:noFill/>
            </a:ln>
            <a:effectLst/>
          </c:spPr>
          <c:invertIfNegative val="0"/>
          <c:cat>
            <c:strRef>
              <c:f>Multiples!$A$5:$A$42</c:f>
              <c:strCache>
                <c:ptCount val="38"/>
                <c:pt idx="0">
                  <c:v>AAPL</c:v>
                </c:pt>
                <c:pt idx="1">
                  <c:v>MSFT</c:v>
                </c:pt>
                <c:pt idx="2">
                  <c:v>DELL</c:v>
                </c:pt>
                <c:pt idx="3">
                  <c:v>HPQ</c:v>
                </c:pt>
                <c:pt idx="4">
                  <c:v>SONY</c:v>
                </c:pt>
                <c:pt idx="5">
                  <c:v>ORCL</c:v>
                </c:pt>
                <c:pt idx="6">
                  <c:v>CRM</c:v>
                </c:pt>
                <c:pt idx="7">
                  <c:v>ADBE</c:v>
                </c:pt>
                <c:pt idx="8">
                  <c:v>NOW</c:v>
                </c:pt>
                <c:pt idx="9">
                  <c:v>SAP</c:v>
                </c:pt>
                <c:pt idx="10">
                  <c:v>IBM</c:v>
                </c:pt>
                <c:pt idx="11">
                  <c:v>GOOGL</c:v>
                </c:pt>
                <c:pt idx="12">
                  <c:v>META</c:v>
                </c:pt>
                <c:pt idx="13">
                  <c:v>TTD</c:v>
                </c:pt>
                <c:pt idx="14">
                  <c:v>PINS</c:v>
                </c:pt>
                <c:pt idx="15">
                  <c:v>SNAP</c:v>
                </c:pt>
                <c:pt idx="16">
                  <c:v>AMZN</c:v>
                </c:pt>
                <c:pt idx="17">
                  <c:v>WMT</c:v>
                </c:pt>
                <c:pt idx="18">
                  <c:v>COST</c:v>
                </c:pt>
                <c:pt idx="19">
                  <c:v>BABA</c:v>
                </c:pt>
                <c:pt idx="20">
                  <c:v>SHOP</c:v>
                </c:pt>
                <c:pt idx="21">
                  <c:v>TGT</c:v>
                </c:pt>
                <c:pt idx="22">
                  <c:v>EBAY</c:v>
                </c:pt>
                <c:pt idx="23">
                  <c:v>NVDA</c:v>
                </c:pt>
                <c:pt idx="24">
                  <c:v>AMD</c:v>
                </c:pt>
                <c:pt idx="25">
                  <c:v>AVGO</c:v>
                </c:pt>
                <c:pt idx="26">
                  <c:v>TSM</c:v>
                </c:pt>
                <c:pt idx="27">
                  <c:v>QCOM</c:v>
                </c:pt>
                <c:pt idx="28">
                  <c:v>MU</c:v>
                </c:pt>
                <c:pt idx="29">
                  <c:v>INTC</c:v>
                </c:pt>
                <c:pt idx="30">
                  <c:v>ARM</c:v>
                </c:pt>
                <c:pt idx="31">
                  <c:v>RDDT</c:v>
                </c:pt>
                <c:pt idx="32">
                  <c:v>TSLA</c:v>
                </c:pt>
                <c:pt idx="33">
                  <c:v>GM</c:v>
                </c:pt>
                <c:pt idx="34">
                  <c:v>F</c:v>
                </c:pt>
                <c:pt idx="35">
                  <c:v>RIVN</c:v>
                </c:pt>
                <c:pt idx="36">
                  <c:v>LCID</c:v>
                </c:pt>
                <c:pt idx="37">
                  <c:v>STLA</c:v>
                </c:pt>
              </c:strCache>
            </c:strRef>
          </c:cat>
          <c:val>
            <c:numRef>
              <c:f>Multiples!$C$5:$C$42</c:f>
              <c:numCache>
                <c:formatCode>#,##0</c:formatCode>
                <c:ptCount val="38"/>
                <c:pt idx="0">
                  <c:v>133050</c:v>
                </c:pt>
                <c:pt idx="1">
                  <c:v>168985</c:v>
                </c:pt>
                <c:pt idx="2">
                  <c:v>8823</c:v>
                </c:pt>
                <c:pt idx="3">
                  <c:v>3223</c:v>
                </c:pt>
                <c:pt idx="4">
                  <c:v>1457949</c:v>
                </c:pt>
                <c:pt idx="5">
                  <c:v>24153</c:v>
                </c:pt>
                <c:pt idx="6">
                  <c:v>8917</c:v>
                </c:pt>
                <c:pt idx="7">
                  <c:v>8997</c:v>
                </c:pt>
                <c:pt idx="8">
                  <c:v>2284</c:v>
                </c:pt>
                <c:pt idx="9">
                  <c:v>10762</c:v>
                </c:pt>
                <c:pt idx="10">
                  <c:v>12263</c:v>
                </c:pt>
                <c:pt idx="11">
                  <c:v>159562</c:v>
                </c:pt>
                <c:pt idx="12">
                  <c:v>87097</c:v>
                </c:pt>
                <c:pt idx="13">
                  <c:v>589.32100000000003</c:v>
                </c:pt>
                <c:pt idx="14">
                  <c:v>319.88299999999998</c:v>
                </c:pt>
                <c:pt idx="15">
                  <c:v>-329.13799999999998</c:v>
                </c:pt>
                <c:pt idx="16">
                  <c:v>99585</c:v>
                </c:pt>
                <c:pt idx="17">
                  <c:v>32268</c:v>
                </c:pt>
                <c:pt idx="18">
                  <c:v>10972</c:v>
                </c:pt>
                <c:pt idx="19">
                  <c:v>139180</c:v>
                </c:pt>
                <c:pt idx="20">
                  <c:v>1885</c:v>
                </c:pt>
                <c:pt idx="21">
                  <c:v>5212</c:v>
                </c:pt>
                <c:pt idx="22">
                  <c:v>2553</c:v>
                </c:pt>
                <c:pt idx="23">
                  <c:v>141709</c:v>
                </c:pt>
                <c:pt idx="24">
                  <c:v>4271</c:v>
                </c:pt>
                <c:pt idx="25">
                  <c:v>25939</c:v>
                </c:pt>
                <c:pt idx="26">
                  <c:v>2054025.1</c:v>
                </c:pt>
                <c:pt idx="27">
                  <c:v>13327</c:v>
                </c:pt>
                <c:pt idx="28">
                  <c:v>10131</c:v>
                </c:pt>
                <c:pt idx="29">
                  <c:v>2648</c:v>
                </c:pt>
                <c:pt idx="30">
                  <c:v>908</c:v>
                </c:pt>
                <c:pt idx="31">
                  <c:v>441.98399999999998</c:v>
                </c:pt>
                <c:pt idx="32">
                  <c:v>5616</c:v>
                </c:pt>
                <c:pt idx="33">
                  <c:v>3844</c:v>
                </c:pt>
                <c:pt idx="34">
                  <c:v>-10497</c:v>
                </c:pt>
                <c:pt idx="35">
                  <c:v>-3346</c:v>
                </c:pt>
                <c:pt idx="36">
                  <c:v>-2605.2829999999999</c:v>
                </c:pt>
                <c:pt idx="37">
                  <c:v>-25129</c:v>
                </c:pt>
              </c:numCache>
            </c:numRef>
          </c:val>
          <c:extLst>
            <c:ext xmlns:c16="http://schemas.microsoft.com/office/drawing/2014/chart" uri="{C3380CC4-5D6E-409C-BE32-E72D297353CC}">
              <c16:uniqueId val="{00000001-97F0-44ED-9D00-40C7C928D766}"/>
            </c:ext>
          </c:extLst>
        </c:ser>
        <c:ser>
          <c:idx val="2"/>
          <c:order val="2"/>
          <c:tx>
            <c:strRef>
              <c:f>Multiples!$D$4</c:f>
              <c:strCache>
                <c:ptCount val="1"/>
                <c:pt idx="0">
                  <c:v>EV / EBITA</c:v>
                </c:pt>
              </c:strCache>
            </c:strRef>
          </c:tx>
          <c:spPr>
            <a:solidFill>
              <a:schemeClr val="accent3"/>
            </a:solidFill>
            <a:ln>
              <a:noFill/>
            </a:ln>
            <a:effectLst/>
          </c:spPr>
          <c:invertIfNegative val="0"/>
          <c:cat>
            <c:strRef>
              <c:f>Multiples!$A$5:$A$42</c:f>
              <c:strCache>
                <c:ptCount val="38"/>
                <c:pt idx="0">
                  <c:v>AAPL</c:v>
                </c:pt>
                <c:pt idx="1">
                  <c:v>MSFT</c:v>
                </c:pt>
                <c:pt idx="2">
                  <c:v>DELL</c:v>
                </c:pt>
                <c:pt idx="3">
                  <c:v>HPQ</c:v>
                </c:pt>
                <c:pt idx="4">
                  <c:v>SONY</c:v>
                </c:pt>
                <c:pt idx="5">
                  <c:v>ORCL</c:v>
                </c:pt>
                <c:pt idx="6">
                  <c:v>CRM</c:v>
                </c:pt>
                <c:pt idx="7">
                  <c:v>ADBE</c:v>
                </c:pt>
                <c:pt idx="8">
                  <c:v>NOW</c:v>
                </c:pt>
                <c:pt idx="9">
                  <c:v>SAP</c:v>
                </c:pt>
                <c:pt idx="10">
                  <c:v>IBM</c:v>
                </c:pt>
                <c:pt idx="11">
                  <c:v>GOOGL</c:v>
                </c:pt>
                <c:pt idx="12">
                  <c:v>META</c:v>
                </c:pt>
                <c:pt idx="13">
                  <c:v>TTD</c:v>
                </c:pt>
                <c:pt idx="14">
                  <c:v>PINS</c:v>
                </c:pt>
                <c:pt idx="15">
                  <c:v>SNAP</c:v>
                </c:pt>
                <c:pt idx="16">
                  <c:v>AMZN</c:v>
                </c:pt>
                <c:pt idx="17">
                  <c:v>WMT</c:v>
                </c:pt>
                <c:pt idx="18">
                  <c:v>COST</c:v>
                </c:pt>
                <c:pt idx="19">
                  <c:v>BABA</c:v>
                </c:pt>
                <c:pt idx="20">
                  <c:v>SHOP</c:v>
                </c:pt>
                <c:pt idx="21">
                  <c:v>TGT</c:v>
                </c:pt>
                <c:pt idx="22">
                  <c:v>EBAY</c:v>
                </c:pt>
                <c:pt idx="23">
                  <c:v>NVDA</c:v>
                </c:pt>
                <c:pt idx="24">
                  <c:v>AMD</c:v>
                </c:pt>
                <c:pt idx="25">
                  <c:v>AVGO</c:v>
                </c:pt>
                <c:pt idx="26">
                  <c:v>TSM</c:v>
                </c:pt>
                <c:pt idx="27">
                  <c:v>QCOM</c:v>
                </c:pt>
                <c:pt idx="28">
                  <c:v>MU</c:v>
                </c:pt>
                <c:pt idx="29">
                  <c:v>INTC</c:v>
                </c:pt>
                <c:pt idx="30">
                  <c:v>ARM</c:v>
                </c:pt>
                <c:pt idx="31">
                  <c:v>RDDT</c:v>
                </c:pt>
                <c:pt idx="32">
                  <c:v>TSLA</c:v>
                </c:pt>
                <c:pt idx="33">
                  <c:v>GM</c:v>
                </c:pt>
                <c:pt idx="34">
                  <c:v>F</c:v>
                </c:pt>
                <c:pt idx="35">
                  <c:v>RIVN</c:v>
                </c:pt>
                <c:pt idx="36">
                  <c:v>LCID</c:v>
                </c:pt>
                <c:pt idx="37">
                  <c:v>STLA</c:v>
                </c:pt>
              </c:strCache>
            </c:strRef>
          </c:cat>
          <c:val>
            <c:numRef>
              <c:f>Multiples!$D$5:$D$42</c:f>
              <c:numCache>
                <c:formatCode>0.0"x"</c:formatCode>
                <c:ptCount val="38"/>
                <c:pt idx="0">
                  <c:v>34.533930445396464</c:v>
                </c:pt>
                <c:pt idx="1">
                  <c:v>22.278122887972305</c:v>
                </c:pt>
                <c:pt idx="2">
                  <c:v>35.638102435906156</c:v>
                </c:pt>
                <c:pt idx="3">
                  <c:v>10.748497494260006</c:v>
                </c:pt>
                <c:pt idx="4">
                  <c:v>0.16737620217991164</c:v>
                </c:pt>
                <c:pt idx="5">
                  <c:v>23.372949192895295</c:v>
                </c:pt>
                <c:pt idx="6">
                  <c:v>21.146693016933945</c:v>
                </c:pt>
                <c:pt idx="7">
                  <c:v>11.878623078804045</c:v>
                </c:pt>
                <c:pt idx="8">
                  <c:v>58.186377190893168</c:v>
                </c:pt>
                <c:pt idx="9">
                  <c:v>311.30140754209253</c:v>
                </c:pt>
                <c:pt idx="10">
                  <c:v>22.896406859006767</c:v>
                </c:pt>
                <c:pt idx="11">
                  <c:v>26.506492377282814</c:v>
                </c:pt>
                <c:pt idx="12">
                  <c:v>17.571631477731724</c:v>
                </c:pt>
                <c:pt idx="13">
                  <c:v>9.2192944761853042</c:v>
                </c:pt>
                <c:pt idx="14">
                  <c:v>41.677820853249472</c:v>
                </c:pt>
                <c:pt idx="15">
                  <c:v>-32.14479169223852</c:v>
                </c:pt>
                <c:pt idx="16">
                  <c:v>31.021481558708643</c:v>
                </c:pt>
                <c:pt idx="17">
                  <c:v>29.79955918780216</c:v>
                </c:pt>
                <c:pt idx="18">
                  <c:v>38.157499776886624</c:v>
                </c:pt>
                <c:pt idx="19">
                  <c:v>2.3707504383963212</c:v>
                </c:pt>
                <c:pt idx="20">
                  <c:v>100.92711751299736</c:v>
                </c:pt>
                <c:pt idx="21">
                  <c:v>16.064928515732923</c:v>
                </c:pt>
                <c:pt idx="22">
                  <c:v>21.019232864864865</c:v>
                </c:pt>
                <c:pt idx="23">
                  <c:v>37.961412480618733</c:v>
                </c:pt>
                <c:pt idx="24">
                  <c:v>182.68277384781081</c:v>
                </c:pt>
                <c:pt idx="25">
                  <c:v>80.2028400737114</c:v>
                </c:pt>
                <c:pt idx="26">
                  <c:v>7.2707733805356121</c:v>
                </c:pt>
                <c:pt idx="27">
                  <c:v>13.750901751932169</c:v>
                </c:pt>
                <c:pt idx="28">
                  <c:v>95.891374734971862</c:v>
                </c:pt>
                <c:pt idx="29">
                  <c:v>207.37674286404834</c:v>
                </c:pt>
                <c:pt idx="30">
                  <c:v>328.61428496916295</c:v>
                </c:pt>
                <c:pt idx="31">
                  <c:v>64.13134086301767</c:v>
                </c:pt>
                <c:pt idx="32">
                  <c:v>226.31041823361824</c:v>
                </c:pt>
                <c:pt idx="33">
                  <c:v>47.48730632258065</c:v>
                </c:pt>
                <c:pt idx="34">
                  <c:v>-18.763321409164522</c:v>
                </c:pt>
                <c:pt idx="35">
                  <c:v>-6.9425492313209798</c:v>
                </c:pt>
                <c:pt idx="36">
                  <c:v>-3.291721026851977</c:v>
                </c:pt>
                <c:pt idx="37">
                  <c:v>-1.4572086013768952</c:v>
                </c:pt>
              </c:numCache>
            </c:numRef>
          </c:val>
          <c:extLst>
            <c:ext xmlns:c16="http://schemas.microsoft.com/office/drawing/2014/chart" uri="{C3380CC4-5D6E-409C-BE32-E72D297353CC}">
              <c16:uniqueId val="{00000002-97F0-44ED-9D00-40C7C928D766}"/>
            </c:ext>
          </c:extLst>
        </c:ser>
        <c:dLbls>
          <c:showLegendKey val="0"/>
          <c:showVal val="0"/>
          <c:showCatName val="0"/>
          <c:showSerName val="0"/>
          <c:showPercent val="0"/>
          <c:showBubbleSize val="0"/>
        </c:dLbls>
        <c:gapWidth val="219"/>
        <c:overlap val="-27"/>
        <c:axId val="788930128"/>
        <c:axId val="1975568"/>
      </c:barChart>
      <c:catAx>
        <c:axId val="7889301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1975568"/>
        <c:crosses val="autoZero"/>
        <c:auto val="1"/>
        <c:lblAlgn val="ctr"/>
        <c:lblOffset val="100"/>
        <c:noMultiLvlLbl val="0"/>
      </c:catAx>
      <c:valAx>
        <c:axId val="1975568"/>
        <c:scaling>
          <c:orientation val="minMax"/>
          <c:max val="12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a-DK"/>
                  <a:t>EV / EBITA (x)</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a-DK"/>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788930128"/>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Value per share — Multiples vs DCF vs Market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a-DK"/>
        </a:p>
      </c:txPr>
    </c:title>
    <c:autoTitleDeleted val="0"/>
    <c:plotArea>
      <c:layout/>
      <c:barChart>
        <c:barDir val="col"/>
        <c:grouping val="clustered"/>
        <c:varyColors val="0"/>
        <c:ser>
          <c:idx val="0"/>
          <c:order val="0"/>
          <c:tx>
            <c:strRef>
              <c:f>Multiples!$B$70</c:f>
              <c:strCache>
                <c:ptCount val="1"/>
                <c:pt idx="0">
                  <c:v>no peer forecasts</c:v>
                </c:pt>
              </c:strCache>
            </c:strRef>
          </c:tx>
          <c:spPr>
            <a:solidFill>
              <a:schemeClr val="accent1"/>
            </a:solidFill>
            <a:ln>
              <a:noFill/>
            </a:ln>
            <a:effectLst/>
          </c:spPr>
          <c:invertIfNegative val="0"/>
          <c:cat>
            <c:strRef>
              <c:f>Multiples!$A$71:$A$77</c:f>
              <c:strCache>
                <c:ptCount val="7"/>
                <c:pt idx="0">
                  <c:v>Peer forward multiples cannot be computed: peer_fundamentals holds trailing figures only, with no consensus or forecast EBITA. Comparing the subject's forward multiple against a peer TRAILING median would be inconsistent. Peer forecast data is required.</c:v>
                </c:pt>
                <c:pt idx="1">
                  <c:v>MSFT</c:v>
                </c:pt>
                <c:pt idx="2">
                  <c:v>GOOGL</c:v>
                </c:pt>
                <c:pt idx="3">
                  <c:v>AMZN</c:v>
                </c:pt>
                <c:pt idx="4">
                  <c:v>NVDA</c:v>
                </c:pt>
                <c:pt idx="5">
                  <c:v>META</c:v>
                </c:pt>
                <c:pt idx="6">
                  <c:v>TSLA</c:v>
                </c:pt>
              </c:strCache>
            </c:strRef>
          </c:cat>
          <c:val>
            <c:numRef>
              <c:f>Multiples!$B$71:$B$77</c:f>
              <c:numCache>
                <c:formatCode>#,##0.00</c:formatCode>
                <c:ptCount val="7"/>
                <c:pt idx="0">
                  <c:v>208.53132636371828</c:v>
                </c:pt>
                <c:pt idx="1">
                  <c:v>381.32713584961999</c:v>
                </c:pt>
                <c:pt idx="2">
                  <c:v>191.90507230212785</c:v>
                </c:pt>
                <c:pt idx="3">
                  <c:v>205.86143602812064</c:v>
                </c:pt>
                <c:pt idx="4">
                  <c:v>518.89524452763544</c:v>
                </c:pt>
                <c:pt idx="5">
                  <c:v>1100.7880312324696</c:v>
                </c:pt>
                <c:pt idx="6">
                  <c:v>59.392806069870474</c:v>
                </c:pt>
              </c:numCache>
            </c:numRef>
          </c:val>
          <c:extLst>
            <c:ext xmlns:c16="http://schemas.microsoft.com/office/drawing/2014/chart" uri="{C3380CC4-5D6E-409C-BE32-E72D297353CC}">
              <c16:uniqueId val="{00000000-EABA-4799-99E1-8DE7DE43919E}"/>
            </c:ext>
          </c:extLst>
        </c:ser>
        <c:ser>
          <c:idx val="1"/>
          <c:order val="1"/>
          <c:tx>
            <c:strRef>
              <c:f>Multiples!$C$70</c:f>
              <c:strCache>
                <c:ptCount val="1"/>
                <c:pt idx="0">
                  <c:v>no peer forecasts</c:v>
                </c:pt>
              </c:strCache>
            </c:strRef>
          </c:tx>
          <c:spPr>
            <a:solidFill>
              <a:schemeClr val="accent2"/>
            </a:solidFill>
            <a:ln>
              <a:noFill/>
            </a:ln>
            <a:effectLst/>
          </c:spPr>
          <c:invertIfNegative val="0"/>
          <c:cat>
            <c:strRef>
              <c:f>Multiples!$A$71:$A$77</c:f>
              <c:strCache>
                <c:ptCount val="7"/>
                <c:pt idx="0">
                  <c:v>Peer forward multiples cannot be computed: peer_fundamentals holds trailing figures only, with no consensus or forecast EBITA. Comparing the subject's forward multiple against a peer TRAILING median would be inconsistent. Peer forecast data is required.</c:v>
                </c:pt>
                <c:pt idx="1">
                  <c:v>MSFT</c:v>
                </c:pt>
                <c:pt idx="2">
                  <c:v>GOOGL</c:v>
                </c:pt>
                <c:pt idx="3">
                  <c:v>AMZN</c:v>
                </c:pt>
                <c:pt idx="4">
                  <c:v>NVDA</c:v>
                </c:pt>
                <c:pt idx="5">
                  <c:v>META</c:v>
                </c:pt>
                <c:pt idx="6">
                  <c:v>TSLA</c:v>
                </c:pt>
              </c:strCache>
            </c:strRef>
          </c:cat>
          <c:val>
            <c:numRef>
              <c:f>Multiples!$C$71:$C$77</c:f>
              <c:numCache>
                <c:formatCode>#,##0.00</c:formatCode>
                <c:ptCount val="7"/>
                <c:pt idx="0">
                  <c:v>207.92563678756198</c:v>
                </c:pt>
                <c:pt idx="1">
                  <c:v>384.50796427769234</c:v>
                </c:pt>
                <c:pt idx="2">
                  <c:v>257.19016111234089</c:v>
                </c:pt>
                <c:pt idx="3">
                  <c:v>83.042181223284743</c:v>
                </c:pt>
                <c:pt idx="4">
                  <c:v>74.58221495405445</c:v>
                </c:pt>
                <c:pt idx="5">
                  <c:v>844.76424888156237</c:v>
                </c:pt>
                <c:pt idx="6">
                  <c:v>17.179816755676413</c:v>
                </c:pt>
              </c:numCache>
            </c:numRef>
          </c:val>
          <c:extLst>
            <c:ext xmlns:c16="http://schemas.microsoft.com/office/drawing/2014/chart" uri="{C3380CC4-5D6E-409C-BE32-E72D297353CC}">
              <c16:uniqueId val="{00000001-EABA-4799-99E1-8DE7DE43919E}"/>
            </c:ext>
          </c:extLst>
        </c:ser>
        <c:ser>
          <c:idx val="2"/>
          <c:order val="2"/>
          <c:tx>
            <c:strRef>
              <c:f>Multiples!$D$70</c:f>
              <c:strCache>
                <c:ptCount val="1"/>
                <c:pt idx="0">
                  <c:v>no peer forecasts</c:v>
                </c:pt>
              </c:strCache>
            </c:strRef>
          </c:tx>
          <c:spPr>
            <a:solidFill>
              <a:schemeClr val="accent3"/>
            </a:solidFill>
            <a:ln>
              <a:noFill/>
            </a:ln>
            <a:effectLst/>
          </c:spPr>
          <c:invertIfNegative val="0"/>
          <c:cat>
            <c:strRef>
              <c:f>Multiples!$A$71:$A$77</c:f>
              <c:strCache>
                <c:ptCount val="7"/>
                <c:pt idx="0">
                  <c:v>Peer forward multiples cannot be computed: peer_fundamentals holds trailing figures only, with no consensus or forecast EBITA. Comparing the subject's forward multiple against a peer TRAILING median would be inconsistent. Peer forecast data is required.</c:v>
                </c:pt>
                <c:pt idx="1">
                  <c:v>MSFT</c:v>
                </c:pt>
                <c:pt idx="2">
                  <c:v>GOOGL</c:v>
                </c:pt>
                <c:pt idx="3">
                  <c:v>AMZN</c:v>
                </c:pt>
                <c:pt idx="4">
                  <c:v>NVDA</c:v>
                </c:pt>
                <c:pt idx="5">
                  <c:v>META</c:v>
                </c:pt>
                <c:pt idx="6">
                  <c:v>TSLA</c:v>
                </c:pt>
              </c:strCache>
            </c:strRef>
          </c:cat>
          <c:val>
            <c:numRef>
              <c:f>Multiples!$D$71:$D$77</c:f>
              <c:numCache>
                <c:formatCode>#,##0.00</c:formatCode>
                <c:ptCount val="7"/>
                <c:pt idx="0">
                  <c:v>305.93</c:v>
                </c:pt>
                <c:pt idx="1">
                  <c:v>495.4</c:v>
                </c:pt>
                <c:pt idx="2">
                  <c:v>345.9</c:v>
                </c:pt>
                <c:pt idx="3">
                  <c:v>262.64999999999998</c:v>
                </c:pt>
                <c:pt idx="4">
                  <c:v>225.16</c:v>
                </c:pt>
                <c:pt idx="5">
                  <c:v>589.85</c:v>
                </c:pt>
                <c:pt idx="6">
                  <c:v>342.27</c:v>
                </c:pt>
              </c:numCache>
            </c:numRef>
          </c:val>
          <c:extLst>
            <c:ext xmlns:c16="http://schemas.microsoft.com/office/drawing/2014/chart" uri="{C3380CC4-5D6E-409C-BE32-E72D297353CC}">
              <c16:uniqueId val="{00000002-EABA-4799-99E1-8DE7DE43919E}"/>
            </c:ext>
          </c:extLst>
        </c:ser>
        <c:dLbls>
          <c:showLegendKey val="0"/>
          <c:showVal val="0"/>
          <c:showCatName val="0"/>
          <c:showSerName val="0"/>
          <c:showPercent val="0"/>
          <c:showBubbleSize val="0"/>
        </c:dLbls>
        <c:gapWidth val="219"/>
        <c:overlap val="-27"/>
        <c:axId val="788846144"/>
        <c:axId val="427145296"/>
      </c:barChart>
      <c:catAx>
        <c:axId val="78884614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427145296"/>
        <c:crosses val="autoZero"/>
        <c:auto val="1"/>
        <c:lblAlgn val="ctr"/>
        <c:lblOffset val="100"/>
        <c:noMultiLvlLbl val="0"/>
      </c:catAx>
      <c:valAx>
        <c:axId val="42714529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a-DK"/>
                  <a:t>USD per share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a-DK"/>
            </a:p>
          </c:txPr>
        </c:title>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78884614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1" i="0" u="none" strike="noStrike" kern="1200" spc="0" baseline="0">
                <a:solidFill>
                  <a:schemeClr val="tx1">
                    <a:lumMod val="65000"/>
                    <a:lumOff val="35000"/>
                  </a:schemeClr>
                </a:solidFill>
                <a:latin typeface="+mn-lt"/>
                <a:ea typeface="+mn-ea"/>
                <a:cs typeface="+mn-cs"/>
              </a:defRPr>
            </a:pPr>
            <a:r>
              <a:rPr lang="en-US"/>
              <a:t>NVIDIA - value per share by scenario vs market price (ch.23 method)</a:t>
            </a:r>
          </a:p>
        </c:rich>
      </c:tx>
      <c:overlay val="0"/>
      <c:spPr>
        <a:noFill/>
        <a:ln>
          <a:noFill/>
        </a:ln>
        <a:effectLst/>
      </c:spPr>
      <c:txPr>
        <a:bodyPr rot="0" spcFirstLastPara="1" vertOverflow="ellipsis" vert="horz" wrap="square" anchor="ctr" anchorCtr="1"/>
        <a:lstStyle/>
        <a:p>
          <a:pPr>
            <a:defRPr sz="1200" b="1" i="0" u="none" strike="noStrike" kern="1200" spc="0" baseline="0">
              <a:solidFill>
                <a:schemeClr val="tx1">
                  <a:lumMod val="65000"/>
                  <a:lumOff val="35000"/>
                </a:schemeClr>
              </a:solidFill>
              <a:latin typeface="+mn-lt"/>
              <a:ea typeface="+mn-ea"/>
              <a:cs typeface="+mn-cs"/>
            </a:defRPr>
          </a:pPr>
          <a:endParaRPr lang="da-DK"/>
        </a:p>
      </c:txPr>
    </c:title>
    <c:autoTitleDeleted val="0"/>
    <c:plotArea>
      <c:layout/>
      <c:barChart>
        <c:barDir val="col"/>
        <c:grouping val="clustered"/>
        <c:varyColors val="0"/>
        <c:ser>
          <c:idx val="0"/>
          <c:order val="0"/>
          <c:tx>
            <c:strRef>
              <c:f>'NVDA High-Growth Ch23'!$A$122</c:f>
              <c:strCache>
                <c:ptCount val="1"/>
                <c:pt idx="0">
                  <c:v>Value per share</c:v>
                </c:pt>
              </c:strCache>
            </c:strRef>
          </c:tx>
          <c:spPr>
            <a:solidFill>
              <a:srgbClr val="31456A"/>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'NVDA High-Growth Ch23'!$B$121:$F$121</c:f>
              <c:strCache>
                <c:ptCount val="5"/>
                <c:pt idx="0">
                  <c:v>A Dominant</c:v>
                </c:pt>
                <c:pt idx="1">
                  <c:v>B Base</c:v>
                </c:pt>
                <c:pt idx="2">
                  <c:v>C Margin compression</c:v>
                </c:pt>
                <c:pt idx="3">
                  <c:v>D Commoditisation</c:v>
                </c:pt>
                <c:pt idx="4">
                  <c:v>Expected (weighted)</c:v>
                </c:pt>
              </c:strCache>
            </c:strRef>
          </c:cat>
          <c:val>
            <c:numRef>
              <c:f>'NVDA High-Growth Ch23'!$B$122:$F$122</c:f>
              <c:numCache>
                <c:formatCode>"$"#,##0.00</c:formatCode>
                <c:ptCount val="5"/>
                <c:pt idx="0">
                  <c:v>103.89436996380252</c:v>
                </c:pt>
                <c:pt idx="1">
                  <c:v>58.879567569500452</c:v>
                </c:pt>
                <c:pt idx="2">
                  <c:v>38.072939268011936</c:v>
                </c:pt>
                <c:pt idx="3">
                  <c:v>24.180642479040067</c:v>
                </c:pt>
                <c:pt idx="4">
                  <c:v>54.184960674630155</c:v>
                </c:pt>
              </c:numCache>
            </c:numRef>
          </c:val>
          <c:extLst>
            <c:ext xmlns:c16="http://schemas.microsoft.com/office/drawing/2014/chart" uri="{C3380CC4-5D6E-409C-BE32-E72D297353CC}">
              <c16:uniqueId val="{00000000-080B-48F6-BA59-A2E06E0AF757}"/>
            </c:ext>
          </c:extLst>
        </c:ser>
        <c:dLbls>
          <c:showLegendKey val="0"/>
          <c:showVal val="0"/>
          <c:showCatName val="0"/>
          <c:showSerName val="0"/>
          <c:showPercent val="0"/>
          <c:showBubbleSize val="0"/>
        </c:dLbls>
        <c:gapWidth val="60"/>
        <c:overlap val="-27"/>
        <c:axId val="392226991"/>
        <c:axId val="532040079"/>
      </c:barChart>
      <c:lineChart>
        <c:grouping val="standard"/>
        <c:varyColors val="0"/>
        <c:ser>
          <c:idx val="1"/>
          <c:order val="1"/>
          <c:tx>
            <c:strRef>
              <c:f>'NVDA High-Growth Ch23'!$A$123</c:f>
              <c:strCache>
                <c:ptCount val="1"/>
                <c:pt idx="0">
                  <c:v>Current share price</c:v>
                </c:pt>
              </c:strCache>
            </c:strRef>
          </c:tx>
          <c:spPr>
            <a:ln w="28575" cap="rnd">
              <a:solidFill>
                <a:srgbClr val="C0392B"/>
              </a:solidFill>
              <a:prstDash val="solid"/>
              <a:round/>
            </a:ln>
            <a:effectLst/>
          </c:spPr>
          <c:marker>
            <c:symbol val="none"/>
          </c:marker>
          <c:cat>
            <c:strRef>
              <c:f>'NVDA High-Growth Ch23'!$B$121:$F$121</c:f>
              <c:strCache>
                <c:ptCount val="5"/>
                <c:pt idx="0">
                  <c:v>A Dominant</c:v>
                </c:pt>
                <c:pt idx="1">
                  <c:v>B Base</c:v>
                </c:pt>
                <c:pt idx="2">
                  <c:v>C Margin compression</c:v>
                </c:pt>
                <c:pt idx="3">
                  <c:v>D Commoditisation</c:v>
                </c:pt>
                <c:pt idx="4">
                  <c:v>Expected (weighted)</c:v>
                </c:pt>
              </c:strCache>
            </c:strRef>
          </c:cat>
          <c:val>
            <c:numRef>
              <c:f>'NVDA High-Growth Ch23'!$B$123:$F$123</c:f>
              <c:numCache>
                <c:formatCode>"$"#,##0.00</c:formatCode>
                <c:ptCount val="5"/>
                <c:pt idx="0">
                  <c:v>225.16</c:v>
                </c:pt>
                <c:pt idx="1">
                  <c:v>225.16</c:v>
                </c:pt>
                <c:pt idx="2">
                  <c:v>225.16</c:v>
                </c:pt>
                <c:pt idx="3">
                  <c:v>225.16</c:v>
                </c:pt>
                <c:pt idx="4">
                  <c:v>225.16</c:v>
                </c:pt>
              </c:numCache>
            </c:numRef>
          </c:val>
          <c:smooth val="0"/>
          <c:extLst>
            <c:ext xmlns:c16="http://schemas.microsoft.com/office/drawing/2014/chart" uri="{C3380CC4-5D6E-409C-BE32-E72D297353CC}">
              <c16:uniqueId val="{00000001-080B-48F6-BA59-A2E06E0AF757}"/>
            </c:ext>
          </c:extLst>
        </c:ser>
        <c:dLbls>
          <c:showLegendKey val="0"/>
          <c:showVal val="0"/>
          <c:showCatName val="0"/>
          <c:showSerName val="0"/>
          <c:showPercent val="0"/>
          <c:showBubbleSize val="0"/>
        </c:dLbls>
        <c:marker val="1"/>
        <c:smooth val="0"/>
        <c:axId val="392226991"/>
        <c:axId val="532040079"/>
      </c:lineChart>
      <c:catAx>
        <c:axId val="39222699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532040079"/>
        <c:crosses val="autoZero"/>
        <c:auto val="1"/>
        <c:lblAlgn val="ctr"/>
        <c:lblOffset val="100"/>
        <c:noMultiLvlLbl val="0"/>
      </c:catAx>
      <c:valAx>
        <c:axId val="532040079"/>
        <c:scaling>
          <c:orientation val="minMax"/>
        </c:scaling>
        <c:delete val="0"/>
        <c:axPos val="l"/>
        <c:majorGridlines>
          <c:spPr>
            <a:ln w="9525" cap="flat" cmpd="sng" algn="ctr">
              <a:solidFill>
                <a:schemeClr val="tx1">
                  <a:lumMod val="15000"/>
                  <a:lumOff val="85000"/>
                </a:schemeClr>
              </a:solidFill>
              <a:round/>
            </a:ln>
            <a:effectLst/>
          </c:spPr>
        </c:majorGridlines>
        <c:numFmt formatCode="&quot;$&quot;#.##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392226991"/>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4.xml"/></Relationships>
</file>

<file path=xl/drawings/_rels/drawing3.xml.rels><?xml version="1.0" encoding="UTF-8" standalone="yes"?>
<Relationships xmlns="http://schemas.openxmlformats.org/package/2006/relationships"><Relationship Id="rId1" Type="http://schemas.openxmlformats.org/officeDocument/2006/relationships/chart" Target="../charts/chart5.xml"/></Relationships>
</file>

<file path=xl/drawings/_rels/drawing4.xml.rels><?xml version="1.0" encoding="UTF-8" standalone="yes"?>
<Relationships xmlns="http://schemas.openxmlformats.org/package/2006/relationships"><Relationship Id="rId1" Type="http://schemas.openxmlformats.org/officeDocument/2006/relationships/chart" Target="../charts/chart6.xml"/></Relationships>
</file>

<file path=xl/drawings/_rels/drawing5.xml.rels><?xml version="1.0" encoding="UTF-8" standalone="yes"?>
<Relationships xmlns="http://schemas.openxmlformats.org/package/2006/relationships"><Relationship Id="rId1" Type="http://schemas.openxmlformats.org/officeDocument/2006/relationships/chart" Target="../charts/chart7.xml"/></Relationships>
</file>

<file path=xl/drawings/_rels/drawing6.xml.rels><?xml version="1.0" encoding="UTF-8" standalone="yes"?>
<Relationships xmlns="http://schemas.openxmlformats.org/package/2006/relationships"><Relationship Id="rId1" Type="http://schemas.openxmlformats.org/officeDocument/2006/relationships/chart" Target="../charts/chart8.xml"/></Relationships>
</file>

<file path=xl/drawings/_rels/drawing7.xml.rels><?xml version="1.0" encoding="UTF-8" standalone="yes"?>
<Relationships xmlns="http://schemas.openxmlformats.org/package/2006/relationships"><Relationship Id="rId1" Type="http://schemas.openxmlformats.org/officeDocument/2006/relationships/chart" Target="../charts/chart9.xml"/></Relationships>
</file>

<file path=xl/drawings/_rels/drawing8.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9.xml.rels><?xml version="1.0" encoding="UTF-8" standalone="yes"?>
<Relationships xmlns="http://schemas.openxmlformats.org/package/2006/relationships"><Relationship Id="rId2" Type="http://schemas.openxmlformats.org/officeDocument/2006/relationships/chart" Target="../charts/chart12.xml"/><Relationship Id="rId1" Type="http://schemas.openxmlformats.org/officeDocument/2006/relationships/chart" Target="../charts/chart11.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13.xml"/></Relationships>
</file>

<file path=xl/drawings/drawing1.xml><?xml version="1.0" encoding="utf-8"?>
<xdr:wsDr xmlns:xdr="http://schemas.openxmlformats.org/drawingml/2006/spreadsheetDrawing" xmlns:a="http://schemas.openxmlformats.org/drawingml/2006/main">
  <xdr:twoCellAnchor>
    <xdr:from>
      <xdr:col>1</xdr:col>
      <xdr:colOff>46264</xdr:colOff>
      <xdr:row>56</xdr:row>
      <xdr:rowOff>123825</xdr:rowOff>
    </xdr:from>
    <xdr:to>
      <xdr:col>8</xdr:col>
      <xdr:colOff>13607</xdr:colOff>
      <xdr:row>76</xdr:row>
      <xdr:rowOff>123825</xdr:rowOff>
    </xdr:to>
    <xdr:graphicFrame macro="">
      <xdr:nvGraphicFramePr>
        <xdr:cNvPr id="2" name="Valuation Football Field">
          <a:extLst>
            <a:ext uri="{FF2B5EF4-FFF2-40B4-BE49-F238E27FC236}">
              <a16:creationId xmlns:a16="http://schemas.microsoft.com/office/drawing/2014/main" id="{5A997DC0-F8DA-031C-8868-2D85AD8995E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68036</xdr:colOff>
      <xdr:row>102</xdr:row>
      <xdr:rowOff>13606</xdr:rowOff>
    </xdr:from>
    <xdr:to>
      <xdr:col>8</xdr:col>
      <xdr:colOff>0</xdr:colOff>
      <xdr:row>123</xdr:row>
      <xdr:rowOff>190499</xdr:rowOff>
    </xdr:to>
    <xdr:graphicFrame macro="">
      <xdr:nvGraphicFramePr>
        <xdr:cNvPr id="3" name="Valuation Triangulation">
          <a:extLst>
            <a:ext uri="{FF2B5EF4-FFF2-40B4-BE49-F238E27FC236}">
              <a16:creationId xmlns:a16="http://schemas.microsoft.com/office/drawing/2014/main" id="{6F4A026B-42C9-0BD7-8D02-05B1A9E74FB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175</xdr:row>
      <xdr:rowOff>190499</xdr:rowOff>
    </xdr:from>
    <xdr:to>
      <xdr:col>8</xdr:col>
      <xdr:colOff>0</xdr:colOff>
      <xdr:row>196</xdr:row>
      <xdr:rowOff>190499</xdr:rowOff>
    </xdr:to>
    <xdr:graphicFrame macro="">
      <xdr:nvGraphicFramePr>
        <xdr:cNvPr id="4" name="NVDA Ch23 Scenarios (dashboard)">
          <a:extLst>
            <a:ext uri="{FF2B5EF4-FFF2-40B4-BE49-F238E27FC236}">
              <a16:creationId xmlns:a16="http://schemas.microsoft.com/office/drawing/2014/main" id="{EA69DC5D-C4B0-BD83-9B9C-05516D36D6E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4</xdr:col>
      <xdr:colOff>0</xdr:colOff>
      <xdr:row>46</xdr:row>
      <xdr:rowOff>0</xdr:rowOff>
    </xdr:from>
    <xdr:to>
      <xdr:col>13</xdr:col>
      <xdr:colOff>0</xdr:colOff>
      <xdr:row>66</xdr:row>
      <xdr:rowOff>0</xdr:rowOff>
    </xdr:to>
    <xdr:graphicFrame macro="">
      <xdr:nvGraphicFramePr>
        <xdr:cNvPr id="3" name="AAPL Equity Bridge">
          <a:extLst>
            <a:ext uri="{FF2B5EF4-FFF2-40B4-BE49-F238E27FC236}">
              <a16:creationId xmlns:a16="http://schemas.microsoft.com/office/drawing/2014/main" id="{BF7EBBE7-7CAE-7779-8301-F64C967CCFD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4</xdr:col>
      <xdr:colOff>0</xdr:colOff>
      <xdr:row>46</xdr:row>
      <xdr:rowOff>0</xdr:rowOff>
    </xdr:from>
    <xdr:to>
      <xdr:col>13</xdr:col>
      <xdr:colOff>0</xdr:colOff>
      <xdr:row>66</xdr:row>
      <xdr:rowOff>0</xdr:rowOff>
    </xdr:to>
    <xdr:graphicFrame macro="">
      <xdr:nvGraphicFramePr>
        <xdr:cNvPr id="3" name="MSFT Equity Bridge">
          <a:extLst>
            <a:ext uri="{FF2B5EF4-FFF2-40B4-BE49-F238E27FC236}">
              <a16:creationId xmlns:a16="http://schemas.microsoft.com/office/drawing/2014/main" id="{B74DC326-7139-1B0A-DBBD-2523BDE1789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4</xdr:col>
      <xdr:colOff>0</xdr:colOff>
      <xdr:row>46</xdr:row>
      <xdr:rowOff>0</xdr:rowOff>
    </xdr:from>
    <xdr:to>
      <xdr:col>13</xdr:col>
      <xdr:colOff>0</xdr:colOff>
      <xdr:row>66</xdr:row>
      <xdr:rowOff>0</xdr:rowOff>
    </xdr:to>
    <xdr:graphicFrame macro="">
      <xdr:nvGraphicFramePr>
        <xdr:cNvPr id="3" name="GOOGL Equity Bridge">
          <a:extLst>
            <a:ext uri="{FF2B5EF4-FFF2-40B4-BE49-F238E27FC236}">
              <a16:creationId xmlns:a16="http://schemas.microsoft.com/office/drawing/2014/main" id="{A4860F6D-5C9A-55CD-4907-2208CF77B29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4</xdr:col>
      <xdr:colOff>0</xdr:colOff>
      <xdr:row>46</xdr:row>
      <xdr:rowOff>0</xdr:rowOff>
    </xdr:from>
    <xdr:to>
      <xdr:col>13</xdr:col>
      <xdr:colOff>0</xdr:colOff>
      <xdr:row>66</xdr:row>
      <xdr:rowOff>0</xdr:rowOff>
    </xdr:to>
    <xdr:graphicFrame macro="">
      <xdr:nvGraphicFramePr>
        <xdr:cNvPr id="3" name="AMZN Equity Bridge">
          <a:extLst>
            <a:ext uri="{FF2B5EF4-FFF2-40B4-BE49-F238E27FC236}">
              <a16:creationId xmlns:a16="http://schemas.microsoft.com/office/drawing/2014/main" id="{A6D642F3-D4B8-4286-BBB4-45F74E8BE05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4</xdr:col>
      <xdr:colOff>0</xdr:colOff>
      <xdr:row>46</xdr:row>
      <xdr:rowOff>0</xdr:rowOff>
    </xdr:from>
    <xdr:to>
      <xdr:col>13</xdr:col>
      <xdr:colOff>0</xdr:colOff>
      <xdr:row>66</xdr:row>
      <xdr:rowOff>0</xdr:rowOff>
    </xdr:to>
    <xdr:graphicFrame macro="">
      <xdr:nvGraphicFramePr>
        <xdr:cNvPr id="3" name="NVDA Equity Bridge">
          <a:extLst>
            <a:ext uri="{FF2B5EF4-FFF2-40B4-BE49-F238E27FC236}">
              <a16:creationId xmlns:a16="http://schemas.microsoft.com/office/drawing/2014/main" id="{BCEBD725-DE68-6ADE-8E2F-B8820F33A7B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4</xdr:col>
      <xdr:colOff>0</xdr:colOff>
      <xdr:row>46</xdr:row>
      <xdr:rowOff>0</xdr:rowOff>
    </xdr:from>
    <xdr:to>
      <xdr:col>13</xdr:col>
      <xdr:colOff>0</xdr:colOff>
      <xdr:row>66</xdr:row>
      <xdr:rowOff>0</xdr:rowOff>
    </xdr:to>
    <xdr:graphicFrame macro="">
      <xdr:nvGraphicFramePr>
        <xdr:cNvPr id="3" name="META Equity Bridge">
          <a:extLst>
            <a:ext uri="{FF2B5EF4-FFF2-40B4-BE49-F238E27FC236}">
              <a16:creationId xmlns:a16="http://schemas.microsoft.com/office/drawing/2014/main" id="{ACCD3694-1812-78E8-5479-E12B0A851A3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4</xdr:col>
      <xdr:colOff>0</xdr:colOff>
      <xdr:row>46</xdr:row>
      <xdr:rowOff>0</xdr:rowOff>
    </xdr:from>
    <xdr:to>
      <xdr:col>13</xdr:col>
      <xdr:colOff>0</xdr:colOff>
      <xdr:row>66</xdr:row>
      <xdr:rowOff>0</xdr:rowOff>
    </xdr:to>
    <xdr:graphicFrame macro="">
      <xdr:nvGraphicFramePr>
        <xdr:cNvPr id="3" name="TSLA Equity Bridge">
          <a:extLst>
            <a:ext uri="{FF2B5EF4-FFF2-40B4-BE49-F238E27FC236}">
              <a16:creationId xmlns:a16="http://schemas.microsoft.com/office/drawing/2014/main" id="{78092F91-8BA2-CE4D-BCF0-28B9984633A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15</xdr:col>
      <xdr:colOff>0</xdr:colOff>
      <xdr:row>3</xdr:row>
      <xdr:rowOff>0</xdr:rowOff>
    </xdr:from>
    <xdr:to>
      <xdr:col>27</xdr:col>
      <xdr:colOff>0</xdr:colOff>
      <xdr:row>24</xdr:row>
      <xdr:rowOff>0</xdr:rowOff>
    </xdr:to>
    <xdr:graphicFrame macro="">
      <xdr:nvGraphicFramePr>
        <xdr:cNvPr id="2" name="Peer EV EBITA">
          <a:extLst>
            <a:ext uri="{FF2B5EF4-FFF2-40B4-BE49-F238E27FC236}">
              <a16:creationId xmlns:a16="http://schemas.microsoft.com/office/drawing/2014/main" id="{D6F7BD6D-C132-664F-0CFE-3EA0C3B1E0D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0</xdr:colOff>
      <xdr:row>25</xdr:row>
      <xdr:rowOff>0</xdr:rowOff>
    </xdr:from>
    <xdr:to>
      <xdr:col>27</xdr:col>
      <xdr:colOff>0</xdr:colOff>
      <xdr:row>46</xdr:row>
      <xdr:rowOff>0</xdr:rowOff>
    </xdr:to>
    <xdr:graphicFrame macro="">
      <xdr:nvGraphicFramePr>
        <xdr:cNvPr id="3" name="Valuation Comparison">
          <a:extLst>
            <a:ext uri="{FF2B5EF4-FFF2-40B4-BE49-F238E27FC236}">
              <a16:creationId xmlns:a16="http://schemas.microsoft.com/office/drawing/2014/main" id="{FA12639E-52C1-711F-81FF-DC669146957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0</xdr:col>
      <xdr:colOff>0</xdr:colOff>
      <xdr:row>125</xdr:row>
      <xdr:rowOff>0</xdr:rowOff>
    </xdr:from>
    <xdr:to>
      <xdr:col>8</xdr:col>
      <xdr:colOff>0</xdr:colOff>
      <xdr:row>146</xdr:row>
      <xdr:rowOff>0</xdr:rowOff>
    </xdr:to>
    <xdr:graphicFrame macro="">
      <xdr:nvGraphicFramePr>
        <xdr:cNvPr id="2" name="NVDA Ch23 Scenarios">
          <a:extLst>
            <a:ext uri="{FF2B5EF4-FFF2-40B4-BE49-F238E27FC236}">
              <a16:creationId xmlns:a16="http://schemas.microsoft.com/office/drawing/2014/main" id="{501E9225-6549-69CE-A7D0-99021AABB58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ersons/person.xml><?xml version="1.0" encoding="utf-8"?>
<personList xmlns="http://schemas.microsoft.com/office/spreadsheetml/2018/threadedcomments" xmlns:x="http://schemas.openxmlformats.org/spreadsheetml/2006/mai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2" xr16:uid="{FBC27719-FD9E-49B7-969F-C898E80F46C3}" autoFormatId="16" applyNumberFormats="0" applyBorderFormats="0" applyFontFormats="0" applyPatternFormats="0" applyAlignmentFormats="0" applyWidthHeightFormats="0">
  <queryTableRefresh nextId="29">
    <queryTableFields count="28">
      <queryTableField id="1" name="ticker" tableColumnId="1"/>
      <queryTableField id="2" name="enterpriseValue" tableColumnId="2"/>
      <queryTableField id="3" name="marketCap" tableColumnId="3"/>
      <queryTableField id="4" name="sharesOutstanding" tableColumnId="4"/>
      <queryTableField id="5" name="currency" tableColumnId="5"/>
      <queryTableField id="6" name="trailingEps" tableColumnId="6"/>
      <queryTableField id="7" name="forwardEps" tableColumnId="7"/>
      <queryTableField id="8" name="trailingPE" tableColumnId="8"/>
      <queryTableField id="9" name="forwardPE" tableColumnId="9"/>
      <queryTableField id="10" name="netIncomeToCommon" tableColumnId="10"/>
      <queryTableField id="11" name="totalRevenue" tableColumnId="11"/>
      <queryTableField id="12" name="ebitda" tableColumnId="12"/>
      <queryTableField id="13" name="grossProfits" tableColumnId="13"/>
      <queryTableField id="14" name="operatingMargins" tableColumnId="14"/>
      <queryTableField id="15" name="profitMargins" tableColumnId="15"/>
      <queryTableField id="16" name="EBIT" tableColumnId="16"/>
      <queryTableField id="17" name="Operating Income" tableColumnId="17"/>
      <queryTableField id="18" name="Reconciled Depreciation" tableColumnId="18"/>
      <queryTableField id="19" name="Amortization" tableColumnId="19"/>
      <queryTableField id="20" name="EBITA" tableColumnId="20"/>
      <queryTableField id="21" name="returnOnEquity" tableColumnId="21"/>
      <queryTableField id="22" name="returnOnAssets" tableColumnId="22"/>
      <queryTableField id="23" name="revenueGrowth" tableColumnId="23"/>
      <queryTableField id="24" name="earningsGrowth" tableColumnId="24"/>
      <queryTableField id="25" name="Minority Interest" tableColumnId="25"/>
      <queryTableField id="26" name="Preferred Stock" tableColumnId="26"/>
      <queryTableField id="27" name="Total Debt" tableColumnId="27"/>
      <queryTableField id="28" name="Cash And Cash Equivalents" tableColumnId="28"/>
    </queryTableFields>
  </queryTableRefresh>
</queryTable>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types>
    <type name="_imageurl">
      <keyFlags>
        <key name="Blip Identifier">
          <flag name="ShowInCardView" value="0"/>
        </key>
      </keyFlags>
    </type>
    <type name="_linkedentity">
      <keyFlags>
        <key name="%cvi">
          <flag name="ShowInCardView" value="0"/>
          <flag name="ShowInDotNotation" value="0"/>
          <flag name="ShowInAutoComplete" value="0"/>
          <flag name="ExcludeFromCalcComparison" value="1"/>
        </key>
      </keyFlags>
    </type>
    <type name="_linkedentitycore">
      <keyFlags>
        <key name="%EntityServiceId">
          <flag name="ShowInCardView" value="0"/>
          <flag name="ShowInDotNotation" value="0"/>
          <flag name="ShowInAutoComplete" value="0"/>
        </key>
        <key name="%EntitySubDomainId">
          <flag name="ShowInCardView" value="0"/>
          <flag name="ShowInDotNotation" value="0"/>
          <flag name="ShowInAutoComplete" value="0"/>
        </key>
        <key name="%EntityCulture">
          <flag name="ShowInCardView" value="0"/>
          <flag name="ShowInDotNotation" value="0"/>
          <flag name="ShowInAutoComplete" value="0"/>
        </key>
        <key name="%EntityId">
          <flag name="ShowInCardView" value="0"/>
          <flag name="ShowInDotNotation" value="0"/>
          <flag name="ShowInAutoComplete" value="0"/>
        </key>
        <key name="%IsRefreshable">
          <flag name="ShowInCardView" value="0"/>
          <flag name="ShowInDotNotation" value="0"/>
          <flag name="ShowInAutoComplete" value="0"/>
          <flag name="ExcludeFromCalcComparison" value="1"/>
        </key>
        <key name="%ProviderInfo">
          <flag name="ShowInCardView" value="0"/>
          <flag name="ShowInDotNotation" value="0"/>
          <flag name="ShowInAutoComplete" value="0"/>
        </key>
        <key name="%DataProviderExternalLinkLogo">
          <flag name="ShowInCardView" value="0"/>
          <flag name="ShowInDotNotation" value="0"/>
          <flag name="ShowInAutoComplete" value="0"/>
        </key>
        <key name="%DataProviderExternalLink">
          <flag name="ShowInCardView" value="0"/>
          <flag name="ShowInDotNotation" value="0"/>
          <flag name="ShowInAutoComplete" value="0"/>
        </key>
        <key name="%OutdatedReason">
          <flag name="ShowInCardView" value="0"/>
          <flag name="ShowInDotNotation" value="0"/>
          <flag name="ShowInAutoComplete" value="0"/>
          <flag name="ExcludeFromCalcComparison" value="1"/>
        </key>
      </keyFlags>
    </type>
  </types>
</rvTypesInfo>
</file>

<file path=xl/richData/rdrichvalue.xml><?xml version="1.0" encoding="utf-8"?>
<rvData xmlns="http://schemas.microsoft.com/office/spreadsheetml/2017/richdata" count="25">
  <rv s="0">
    <v>https://www.bing.com/financeapi/forcetrigger?t=a1mou2&amp;q=XNAS%3aAAPL&amp;form=skydnc</v>
    <v>Learn more on Bing</v>
  </rv>
  <rv s="1">
    <v>en-US</v>
    <v>a1mou2</v>
    <v>268435456</v>
    <v>1</v>
    <v>Powered by Refinitiv</v>
    <v>0</v>
    <v>APPLE INC. (XNAS:AAPL)</v>
    <v>2</v>
    <v>3</v>
    <v>Finance</v>
    <v>4</v>
    <v>344.56990000000002</v>
    <v>223.78039999999999</v>
    <v>1.0729</v>
    <v>0.67</v>
    <v>-5.2139999999999999E-4</v>
    <v>2.1949999999999999E-3</v>
    <v>-0.1595</v>
    <v>USD</v>
    <v>Apple Inc. designs, manufactures and markets smartphones, personal computers, tablets, wearables and accessories, and sells a variety of related services. Its product categories include iPhone, Mac, iPad, Wearables, Home and Accessories. Its services include advertising, AppleCare, cloud services, digital content, and payment services. The Company operates various platforms, including the App Store, that allow customers to discover and download applications and digital content, such as books, music, video, games and podcasts. It also offers digital content through subscription-based services, including Apple Arcade, Apple Fitness+, Apple Music, Apple News+, and Apple TV+. Its wearables include smartwatches, wireless headphones, and spatial computers. Its products include iPhone 16 Pro, iPhone 16, iPhone 15, iPhone 14, iPhone SE, MacBook Air, MacBook Pro, iMac, Mac mini, Mac Studio, Mac Pro, iPad Pro, iPad Air, AirPods, AirPods Pro, AirPods Max, Apple TV, Apple Vision Pro and others.</v>
    <v>166000</v>
    <v>Nasdaq Stock Market</v>
    <v>XNAS</v>
    <v>XNAS</v>
    <v>One Apple Park Way, CUPERTINO, CA, 95014 US</v>
    <v>307.49</v>
    <v>Computers, Phones &amp; Household Electronics</v>
    <v>Stock</v>
    <v>46248.999994745311</v>
    <v>0</v>
    <v>304.3</v>
    <v>4464797487400</v>
    <v>APPLE INC.</v>
    <v>APPLE INC.</v>
    <v>306</v>
    <v>35.125399999999999</v>
    <v>305.26</v>
    <v>305.93</v>
    <v>305.77050000000003</v>
    <v>14594180000</v>
    <v>AAPL</v>
    <v>APPLE INC. (XNAS:AAPL)</v>
    <v>28229375</v>
    <v>53007260</v>
    <v>1977</v>
  </rv>
  <rv s="2">
    <v>1</v>
  </rv>
  <rv s="0">
    <v>http://en.wikipedia.org/wiki/Public_domain</v>
    <v>Public domain</v>
  </rv>
  <rv s="0">
    <v>https://en.wikipedia.org/wiki/Microsoft</v>
    <v>Wikipedia</v>
  </rv>
  <rv s="3">
    <v>3</v>
    <v>4</v>
  </rv>
  <rv s="4">
    <v>9</v>
    <v>https://www.bing.com/th?id=AMMS_e6e837c7bf3a77408619758b7447855a&amp;qlt=95</v>
    <v>5</v>
    <v>0</v>
    <v>https://www.bing.com/images/search?form=xlimg&amp;q=microsoft</v>
    <v>Image of MICROSOFT CORPORATION</v>
  </rv>
  <rv s="0">
    <v>https://www.bing.com/financeapi/forcetrigger?t=a1xzim&amp;q=XNAS%3aMSFT&amp;form=skydnc</v>
    <v>Learn more on Bing</v>
  </rv>
  <rv s="5">
    <v>en-US</v>
    <v>a1xzim</v>
    <v>268435456</v>
    <v>1</v>
    <v>Powered by Refinitiv</v>
    <v>5</v>
    <v>MICROSOFT CORPORATION (XNAS:MSFT)</v>
    <v>7</v>
    <v>8</v>
    <v>Finance</v>
    <v>4</v>
    <v>553.72</v>
    <v>349.2</v>
    <v>1.105</v>
    <v>-1.48</v>
    <v>-2.6870000000000003E-4</v>
    <v>-2.9789999999999999E-3</v>
    <v>-0.1331</v>
    <v>USD</v>
    <v>Microsoft Corporation is a technology company. The Company develops and supports software, services, devices, and solutions. The Company’s segments include Productivity and Business Processes, Intelligent Cloud, and More Personal Computing. The Productivity and Business Processes segment consists of products and services in its portfolio of productivity, communication, and information services. This segment primarily comprises: Office Commercial, Office Consumer, LinkedIn, and Dynamics business solutions. The Intelligent Cloud segment consists of server products and cloud services, including Azure and other cloud services, SQL Server, Windows Server, Visual Studio, System Center, and related Client Access Licenses (CALs), and Nuance and GitHub; and Enterprise Services, including enterprise support services, industry solutions and Nuance professional services. The More Personal Computing segment primarily comprises Windows, Devices, Gaming, and search and news advertising.</v>
    <v>223000</v>
    <v>Nasdaq Stock Market</v>
    <v>XNAS</v>
    <v>XNAS</v>
    <v>One Microsoft Way, REDMOND, WA, 98052 US</v>
    <v>500.01</v>
    <v>6</v>
    <v>Software &amp; IT Services</v>
    <v>Stock</v>
    <v>46248.999963900002</v>
    <v>7</v>
    <v>493.92</v>
    <v>3678614993000</v>
    <v>MICROSOFT CORPORATION</v>
    <v>MICROSOFT CORPORATION</v>
    <v>496.35500000000002</v>
    <v>27.603999999999999</v>
    <v>496.88</v>
    <v>495.4</v>
    <v>495.26690000000002</v>
    <v>7425545000</v>
    <v>MSFT</v>
    <v>MICROSOFT CORPORATION (XNAS:MSFT)</v>
    <v>16217647</v>
    <v>37064018</v>
    <v>1993</v>
  </rv>
  <rv s="2">
    <v>8</v>
  </rv>
  <rv s="0">
    <v>https://www.bing.com/financeapi/forcetrigger?t=a1u3rw&amp;q=XNAS%3aGOOGL&amp;form=skydnc</v>
    <v>Learn more on Bing</v>
  </rv>
  <rv s="1">
    <v>en-US</v>
    <v>a1u3rw</v>
    <v>268435456</v>
    <v>1</v>
    <v>Powered by Refinitiv</v>
    <v>0</v>
    <v>ALPHABET INC. (XNAS:GOOGL)</v>
    <v>2</v>
    <v>3</v>
    <v>Finance</v>
    <v>4</v>
    <v>408.61</v>
    <v>196.595</v>
    <v>1.216</v>
    <v>-0.46</v>
    <v>3.9610000000000001E-3</v>
    <v>-1.328E-3</v>
    <v>1.37</v>
    <v>USD</v>
    <v>Alphabet Inc. is a holding company. The Company's segments include Google Services, Google Cloud, and Other Bets. The Google Services segment includes products and services such as ads, Android, Chrome, devices, Google Maps, Google Play, Search, and YouTube. The Google Cloud segment includes infrastructure and platform services, collaboration tools, and other services for enterprise customers. Its Other Bets segment is engaged in the sale of healthcare-related services and Internet services. Its Google Cloud provides enterprise-ready cloud services, including Google Cloud Platform and Google Workspace. Google Cloud Platform provides access to solutions such as artificial intelligence (AI) offerings, including its AI infrastructure, Vertex AI platform, and Gemini for Google Cloud; cybersecurity, and data and analytics. Google Workspace includes cloud-based communication and collaboration tools for enterprises, such as Calendar, Gmail, Docs, Drive, and Meet.</v>
    <v>198933</v>
    <v>Nasdaq Stock Market</v>
    <v>XNAS</v>
    <v>XNAS</v>
    <v>1600 Amphitheatre Parkway, MOUNTAIN VIEW, CA, 94043 US</v>
    <v>350.45</v>
    <v>Software &amp; IT Services</v>
    <v>Stock</v>
    <v>46248.99999653906</v>
    <v>10</v>
    <v>344.5</v>
    <v>4230356999999</v>
    <v>ALPHABET INC.</v>
    <v>ALPHABET INC.</v>
    <v>346.8</v>
    <v>17.378799999999998</v>
    <v>346.36</v>
    <v>345.9</v>
    <v>347.27</v>
    <v>12230000000</v>
    <v>GOOGL</v>
    <v>ALPHABET INC. (XNAS:GOOGL)</v>
    <v>17808598</v>
    <v>30395053</v>
    <v>2015</v>
  </rv>
  <rv s="2">
    <v>11</v>
  </rv>
  <rv s="0">
    <v>https://www.bing.com/financeapi/forcetrigger?t=a1nhlh&amp;q=XNAS%3aAMZN&amp;form=skydnc</v>
    <v>Learn more on Bing</v>
  </rv>
  <rv s="1">
    <v>en-US</v>
    <v>a1nhlh</v>
    <v>268435456</v>
    <v>1</v>
    <v>Powered by Refinitiv</v>
    <v>0</v>
    <v>AMAZON.COM, INC. (XNAS:AMZN)</v>
    <v>2</v>
    <v>3</v>
    <v>Finance</v>
    <v>4</v>
    <v>287.2</v>
    <v>196</v>
    <v>1.4328000000000001</v>
    <v>-2.48</v>
    <v>2.019E-3</v>
    <v>-9.3539999999999995E-3</v>
    <v>0.53039999999999998</v>
    <v>USD</v>
    <v>Amazon.com, Inc. provides a range of products and services to customers. The products offered through its stores include merchandise and content it has purchased for resale and products offered by third-party sellers. The Company’s segments include North America, International and Amazon Web Services (AWS). It serves consumers through its online and physical stores and focuses on selection, price, and convenience. Customers access its offerings through its websites, mobile apps, Alexa, devices, streaming, and physically visiting its stores. It also manufactures and sells electronic devices, including Kindle, Fire tablet, Fire TV, Echo, Ring, Blink, and eero, and develops and produces media content. It serves developers and enterprises of all sizes, including start-ups, government agencies, and academic institutions, through AWS, which offers a set of on-demand technology services, including compute, storage, database, analytics, and machine learning, and other services.</v>
    <v>1595000</v>
    <v>Nasdaq Stock Market</v>
    <v>XNAS</v>
    <v>XNAS</v>
    <v>410 Terry Avenue North, SEATTLE, WA, 98109 US</v>
    <v>265.81</v>
    <v>Diversified Retail</v>
    <v>Stock</v>
    <v>46248.999955428124</v>
    <v>13</v>
    <v>262.42</v>
    <v>2833024321499</v>
    <v>AMAZON.COM, INC.</v>
    <v>AMAZON.COM, INC.</v>
    <v>264.875</v>
    <v>21.325299999999999</v>
    <v>265.13</v>
    <v>262.64999999999998</v>
    <v>263.18040000000002</v>
    <v>10786310000</v>
    <v>AMZN</v>
    <v>AMAZON.COM, INC. (XNAS:AMZN)</v>
    <v>27251660</v>
    <v>46505330</v>
    <v>1996</v>
  </rv>
  <rv s="2">
    <v>14</v>
  </rv>
  <rv s="0">
    <v>https://www.bing.com/financeapi/forcetrigger?t=a1yv52&amp;q=XNAS%3aNVDA&amp;form=skydnc</v>
    <v>Learn more on Bing</v>
  </rv>
  <rv s="1">
    <v>en-US</v>
    <v>a1yv52</v>
    <v>268435456</v>
    <v>1</v>
    <v>Powered by Refinitiv</v>
    <v>0</v>
    <v>NVIDIA CORPORATION (XNAS:NVDA)</v>
    <v>2</v>
    <v>3</v>
    <v>Finance</v>
    <v>4</v>
    <v>236.54</v>
    <v>164.07</v>
    <v>2.2162999999999999</v>
    <v>-0.14000000000000001</v>
    <v>-1.954E-3</v>
    <v>-6.2140000000000003E-4</v>
    <v>-0.44</v>
    <v>USD</v>
    <v>NVIDIA Corporation is an artificial intelligence (AI) infrastructure company. The Company is engaged in accelerated computing to help solve the challenging computational problems. Its segments include Compute &amp; Networking and Graphics. The Compute &amp; Networking segment includes its Data Center accelerated computing and networking platforms and AI solutions and software, and automotive platforms and autonomous and electric vehicle solutions, including software. The Graphics segment includes GeForce GPUs for gaming and personal computers (PCs), and Quadro/NVIDIA RTX GPUs for enterprise workstation graphics. Its technology stack includes the foundational NVIDIA CUDA development platform that runs on all NVIDIA GPUs, as well as hundreds of domain-specific software libraries, frameworks, algorithms, software development kits (SDKs), and application programming interfaces (APIs). Its platforms address four markets, which include Data Center, Gaming, Professional Visualization, and Automotive.</v>
    <v>42000</v>
    <v>Nasdaq Stock Market</v>
    <v>XNAS</v>
    <v>XNAS</v>
    <v>2788 San Tomas Expressway, SANTA CLARA, CA, 95051 US</v>
    <v>227.49</v>
    <v>Semiconductors &amp; Semiconductor Equipment</v>
    <v>Stock</v>
    <v>46248.999991816403</v>
    <v>16</v>
    <v>224.5</v>
    <v>5448872000000</v>
    <v>NVIDIA CORPORATION</v>
    <v>NVIDIA CORPORATION</v>
    <v>226.76499999999999</v>
    <v>34.502499999999998</v>
    <v>225.3</v>
    <v>225.16</v>
    <v>224.72</v>
    <v>24200000000</v>
    <v>NVDA</v>
    <v>NVIDIA CORPORATION (XNAS:NVDA)</v>
    <v>75680870</v>
    <v>124706636</v>
    <v>1998</v>
  </rv>
  <rv s="2">
    <v>17</v>
  </rv>
  <rv s="0">
    <v>https://www.bing.com/financeapi/forcetrigger?t=a1slm7&amp;q=XNAS%3aMETA&amp;form=skydnc</v>
    <v>Learn more on Bing</v>
  </rv>
  <rv s="1">
    <v>en-US</v>
    <v>a1slm7</v>
    <v>268435456</v>
    <v>1</v>
    <v>Powered by Refinitiv</v>
    <v>0</v>
    <v>META PLATFORMS, INC. (XNAS:META)</v>
    <v>2</v>
    <v>3</v>
    <v>Finance</v>
    <v>4</v>
    <v>790.8</v>
    <v>520.26</v>
    <v>1.2453000000000001</v>
    <v>-5.12</v>
    <v>7.1199999999999996E-4</v>
    <v>-8.6049999999999998E-3</v>
    <v>0.42</v>
    <v>USD</v>
    <v>Meta Platforms, Inc. is building human connections, powered by artificial intelligence and immersive technologies. The Company's products enable people to connect and share with friends and family through mobile devices, personal computers, virtual reality (VR) and mixed reality (MR) headsets, augmented reality (AR), and wearables. It also helps people discover and learn about what is going on in the world around them, enabling people to share their experiences, ideas, photos, videos, and other content with audiences ranging from their closest family members and friends to the public at large. The Company's segments include Family of Apps (FoA) and Reality Labs (RL). FoA segment includes Facebook, Instagram, Messenger, WhatsApp and Threads. RL segment includes its virtual, augmented, and mixed reality related consumer hardware, software and content. Its product offerings in VR include its Meta Quest devices, as well as software and content available through the Meta Horizon Store.</v>
    <v>75472</v>
    <v>Nasdaq Stock Market</v>
    <v>XNAS</v>
    <v>XNAS</v>
    <v>1 Meta Way, MENLO PARK, CA, 94025 US</v>
    <v>601.86</v>
    <v>Software &amp; IT Services</v>
    <v>Stock</v>
    <v>46248.999924976561</v>
    <v>19</v>
    <v>589.29</v>
    <v>1502646414100</v>
    <v>META PLATFORMS, INC.</v>
    <v>META PLATFORMS, INC.</v>
    <v>596.98</v>
    <v>20.4254</v>
    <v>594.97</v>
    <v>589.85</v>
    <v>590.27</v>
    <v>2547506000</v>
    <v>META</v>
    <v>META PLATFORMS, INC. (XNAS:META)</v>
    <v>8757974</v>
    <v>17643940</v>
    <v>2004</v>
  </rv>
  <rv s="2">
    <v>20</v>
  </rv>
  <rv s="0">
    <v>https://www.bing.com/financeapi/forcetrigger?t=a24kar&amp;q=XNAS%3aTSLA&amp;form=skydnc</v>
    <v>Learn more on Bing</v>
  </rv>
  <rv s="1">
    <v>en-US</v>
    <v>a24kar</v>
    <v>268435456</v>
    <v>1</v>
    <v>Powered by Refinitiv</v>
    <v>0</v>
    <v>TESLA, INC. (XNAS:TSLA)</v>
    <v>2</v>
    <v>3</v>
    <v>Finance</v>
    <v>4</v>
    <v>498.83</v>
    <v>297.38</v>
    <v>1.8333999999999999</v>
    <v>2.31</v>
    <v>-1.8699999999999999E-3</v>
    <v>6.7949999999999998E-3</v>
    <v>-0.64</v>
    <v>USD</v>
    <v>Tesla, Inc. designs, develops, manufactures, sells and leases high-performance fully electric vehicles and energy generation and storage systems, and offers services related to its products. Its segments include automotive, and energy generation and storage. The automotive segment includes the design, development, manufacturing, sales and leasing of high-performance fully electric vehicles, and sales of automotive regulatory credits. It also includes sales of used vehicles, non-warranty maintenance services and collisions, part sales, paid supercharging, insurance services revenue and retail merchandise sales. The energy generation and storage segment include the design, manufacture, installation, sales and leasing of solar energy generation and energy storage products and related services and sales of solar energy systems incentives. Its consumer vehicles include the Model 3, Y, S, X and Cybertruck. Its lithium-ion battery energy storage products include Powerwall and Megapack.</v>
    <v>134785</v>
    <v>Nasdaq Stock Market</v>
    <v>XNAS</v>
    <v>XNAS</v>
    <v>1 Tesla Road, AUSTIN, TX, 78725 US</v>
    <v>351.26</v>
    <v>Automobiles &amp; Auto Parts</v>
    <v>Stock</v>
    <v>46248.999998622654</v>
    <v>22</v>
    <v>335.3306</v>
    <v>1351811451690</v>
    <v>TESLA, INC.</v>
    <v>TESLA, INC.</v>
    <v>342.33</v>
    <v>340.24919999999997</v>
    <v>339.96</v>
    <v>342.27</v>
    <v>341.63</v>
    <v>3949547000</v>
    <v>TSLA</v>
    <v>TESLA, INC. (XNAS:TSLA)</v>
    <v>45437144</v>
    <v>37320227</v>
    <v>2024</v>
  </rv>
  <rv s="2">
    <v>23</v>
  </rv>
</rvData>
</file>

<file path=xl/richData/rdrichvaluestructure.xml><?xml version="1.0" encoding="utf-8"?>
<rvStructures xmlns="http://schemas.microsoft.com/office/spreadsheetml/2017/richdata" count="6">
  <s t="_hyperlink">
    <k n="Address" t="s"/>
    <k n="Text" t="s"/>
  </s>
  <s t="_linkedentitycore">
    <k n="%EntityCulture" t="s"/>
    <k n="%EntityId" t="s"/>
    <k n="%EntityServiceId"/>
    <k n="%IsRefreshable" t="b"/>
    <k n="%ProviderInfo" t="s"/>
    <k n="_Display" t="spb"/>
    <k n="_DisplayString" t="s"/>
    <k n="_Flags" t="spb"/>
    <k n="_Format" t="spb"/>
    <k n="_Icon" t="s"/>
    <k n="_SubLabel" t="spb"/>
    <k n="52 week high"/>
    <k n="52 week low"/>
    <k n="Beta"/>
    <k n="Change"/>
    <k n="Change % (Extended hours)"/>
    <k n="Change (%)"/>
    <k n="Change (Extended hours)"/>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Price (Extended hours)"/>
    <k n="Shares outstanding"/>
    <k n="Ticker symbol" t="s"/>
    <k n="UniqueName" t="s"/>
    <k n="Volume"/>
    <k n="Volume average"/>
    <k n="Year incorporated"/>
  </s>
  <s t="_linkedentity">
    <k n="%cvi" t="r"/>
  </s>
  <s t="_sourceattribution">
    <k n="License" t="r"/>
    <k n="Source" t="r"/>
  </s>
  <s t="_imageurl">
    <k n="_Provider" t="spb"/>
    <k n="Address" t="s"/>
    <k n="Attribution" t="r"/>
    <k n="ComputedImage" t="b"/>
    <k n="More Images Address" t="s"/>
    <k n="Text" t="s"/>
  </s>
  <s t="_linkedentitycore">
    <k n="%EntityCulture" t="s"/>
    <k n="%EntityId" t="s"/>
    <k n="%EntityServiceId"/>
    <k n="%IsRefreshable" t="b"/>
    <k n="%ProviderInfo" t="s"/>
    <k n="_Display" t="spb"/>
    <k n="_DisplayString" t="s"/>
    <k n="_Flags" t="spb"/>
    <k n="_Format" t="spb"/>
    <k n="_Icon" t="s"/>
    <k n="_SubLabel" t="spb"/>
    <k n="52 week high"/>
    <k n="52 week low"/>
    <k n="Beta"/>
    <k n="Change"/>
    <k n="Change % (Extended hours)"/>
    <k n="Change (%)"/>
    <k n="Change (Extended hours)"/>
    <k n="Currency" t="s"/>
    <k n="Description" t="s"/>
    <k n="Employees"/>
    <k n="Exchange" t="s"/>
    <k n="Exchange abbreviation" t="s"/>
    <k n="ExchangeID" t="s"/>
    <k n="Headquarters" t="s"/>
    <k n="High"/>
    <k n="Image" t="r"/>
    <k n="Industry" t="s"/>
    <k n="Instrument type" t="s"/>
    <k n="Last trade time"/>
    <k n="LearnMoreOnLink" t="r"/>
    <k n="Low"/>
    <k n="Market cap"/>
    <k n="Name" t="s"/>
    <k n="Official name" t="s"/>
    <k n="Open"/>
    <k n="P/E"/>
    <k n="Previous close"/>
    <k n="Price"/>
    <k n="Price (Extended hours)"/>
    <k n="Shares outstanding"/>
    <k n="Ticker symbol" t="s"/>
    <k n="UniqueName" t="s"/>
    <k n="Volume"/>
    <k n="Volume average"/>
    <k n="Year incorporated"/>
  </s>
</rvStructures>
</file>

<file path=xl/richData/rdsupportingpropertybag.xml><?xml version="1.0" encoding="utf-8"?>
<supportingPropertyBags xmlns="http://schemas.microsoft.com/office/spreadsheetml/2017/richdata2">
  <spbArrays count="2">
    <a count="45">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LearnMoreOnLink</v>
      <v t="s">ExchangeID</v>
      <v t="s">%ProviderInfo</v>
    </a>
    <a count="46">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LearnMoreOnLink</v>
      <v t="s">Image</v>
      <v t="s">ExchangeID</v>
      <v t="s">%ProviderInfo</v>
    </a>
  </spbArrays>
  <spbData count="10">
    <spb s="0">
      <v>0</v>
      <v>Name</v>
      <v>LearnMoreOnLink</v>
    </spb>
    <spb s="1">
      <v>0</v>
      <v>0</v>
      <v>0</v>
    </spb>
    <spb s="2">
      <v>1</v>
      <v>1</v>
      <v>1</v>
      <v>1</v>
    </spb>
    <spb s="3">
      <v>1</v>
      <v>2</v>
      <v>2</v>
      <v>1</v>
      <v>3</v>
      <v>1</v>
      <v>1</v>
      <v>1</v>
      <v>4</v>
      <v>4</v>
      <v>5</v>
      <v>6</v>
      <v>1</v>
      <v>1</v>
      <v>1</v>
      <v>4</v>
      <v>7</v>
      <v>8</v>
      <v>9</v>
      <v>4</v>
      <v>1</v>
      <v>1</v>
      <v>5</v>
    </spb>
    <spb s="4">
      <v>at close</v>
      <v>from previous close</v>
      <v>from previous close</v>
      <v>Source: Nasdaq</v>
      <v>GMT</v>
      <v>Delayed 15 minutes</v>
      <v>from close</v>
      <v>from close</v>
    </spb>
    <spb s="0">
      <v>1</v>
      <v>Name</v>
      <v>LearnMoreOnLink</v>
    </spb>
    <spb s="5">
      <v>0</v>
      <v>0</v>
    </spb>
    <spb s="6">
      <v>6</v>
      <v>1</v>
      <v>1</v>
      <v>1</v>
      <v>1</v>
    </spb>
    <spb s="7">
      <v>1</v>
      <v>2</v>
      <v>2</v>
      <v>1</v>
      <v>3</v>
      <v>1</v>
      <v>10</v>
      <v>1</v>
      <v>1</v>
      <v>4</v>
      <v>4</v>
      <v>5</v>
      <v>6</v>
      <v>1</v>
      <v>1</v>
      <v>1</v>
      <v>4</v>
      <v>7</v>
      <v>8</v>
      <v>9</v>
      <v>4</v>
      <v>1</v>
      <v>1</v>
      <v>5</v>
    </spb>
    <spb s="8">
      <v>Powered by Refinitiv</v>
    </spb>
  </spbData>
</supportingPropertyBags>
</file>

<file path=xl/richData/rdsupportingpropertybagstructure.xml><?xml version="1.0" encoding="utf-8"?>
<spbStructures xmlns="http://schemas.microsoft.com/office/spreadsheetml/2017/richdata2" count="9">
  <s>
    <k n="^Order" t="spba"/>
    <k n="TitleProperty" t="s"/>
    <k n="SubTitleProperty" t="s"/>
  </s>
  <s>
    <k n="ShowInCardView" t="b"/>
    <k n="ShowInDotNotation" t="b"/>
    <k n="ShowInAutoComplete" t="b"/>
  </s>
  <s>
    <k n="ExchangeID" t="spb"/>
    <k n="UniqueName" t="spb"/>
    <k n="`%ProviderInfo" t="spb"/>
    <k n="LearnMoreOnLink" t="spb"/>
  </s>
  <s>
    <k n="Low" t="i"/>
    <k n="P/E" t="i"/>
    <k n="Beta" t="i"/>
    <k n="High" t="i"/>
    <k n="Name" t="i"/>
    <k n="Open" t="i"/>
    <k n="Price" t="i"/>
    <k n="Change" t="i"/>
    <k n="Volume" t="i"/>
    <k n="Employees" t="i"/>
    <k n="Change (%)" t="i"/>
    <k n="Market cap" t="i"/>
    <k n="52 week low" t="i"/>
    <k n="52 week high" t="i"/>
    <k n="Previous close" t="i"/>
    <k n="Volume average" t="i"/>
    <k n="Last trade time" t="i"/>
    <k n="Year incorporated" t="i"/>
    <k n="`%EntityServiceId" t="i"/>
    <k n="Shares outstanding" t="i"/>
    <k n="Price (Extended hours)" t="i"/>
    <k n="Change (Extended hours)" t="i"/>
    <k n="Change % (Extended hours)" t="i"/>
  </s>
  <s>
    <k n="Price" t="s"/>
    <k n="Change" t="s"/>
    <k n="Change (%)" t="s"/>
    <k n="ExchangeID" t="s"/>
    <k n="Last trade time" t="s"/>
    <k n="Price (Extended hours)" t="s"/>
    <k n="Change (Extended hours)" t="s"/>
    <k n="Change % (Extended hours)" t="s"/>
  </s>
  <s>
    <k n="ShowInDotNotation" t="b"/>
    <k n="ShowInAutoComplete" t="b"/>
  </s>
  <s>
    <k n="Image" t="spb"/>
    <k n="ExchangeID" t="spb"/>
    <k n="UniqueName" t="spb"/>
    <k n="`%ProviderInfo" t="spb"/>
    <k n="LearnMoreOnLink" t="spb"/>
  </s>
  <s>
    <k n="Low" t="i"/>
    <k n="P/E" t="i"/>
    <k n="Beta" t="i"/>
    <k n="High" t="i"/>
    <k n="Name" t="i"/>
    <k n="Open" t="i"/>
    <k n="Image" t="i"/>
    <k n="Price" t="i"/>
    <k n="Change" t="i"/>
    <k n="Volume" t="i"/>
    <k n="Employees" t="i"/>
    <k n="Change (%)" t="i"/>
    <k n="Market cap" t="i"/>
    <k n="52 week low" t="i"/>
    <k n="52 week high" t="i"/>
    <k n="Previous close" t="i"/>
    <k n="Volume average" t="i"/>
    <k n="Last trade time" t="i"/>
    <k n="Year incorporated" t="i"/>
    <k n="`%EntityServiceId" t="i"/>
    <k n="Shares outstanding" t="i"/>
    <k n="Price (Extended hours)" t="i"/>
    <k n="Change (Extended hours)" t="i"/>
    <k n="Change % (Extended hours)" t="i"/>
  </s>
  <s>
    <k n="name" t="s"/>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7">
    <x:dxf>
      <x:numFmt numFmtId="2" formatCode="0.00"/>
    </x:dxf>
    <x:dxf>
      <x:numFmt numFmtId="0" formatCode="General"/>
    </x:dxf>
    <x:dxf>
      <x:numFmt numFmtId="27" formatCode="m/d/yyyy\ h:mm"/>
    </x:dxf>
    <x:dxf>
      <x:numFmt numFmtId="14" formatCode="0.00%"/>
    </x:dxf>
    <x:dxf>
      <x:numFmt numFmtId="3" formatCode="#,##0"/>
    </x:dxf>
    <x:dxf>
      <x:numFmt numFmtId="4" formatCode="#,##0.00"/>
    </x:dxf>
    <x:dxf>
      <x:numFmt numFmtId="1" formatCode="0"/>
    </x:dxf>
  </dxfs>
  <richProperties>
    <rPr n="NumberFormat" t="s"/>
    <rPr n="IsTitleField" t="b"/>
    <rPr n="IsHeroField" t="b"/>
  </richProperties>
  <richStyles>
    <rSty dxfid="1">
      <rpv i="0">_([$$-en-US]* #,##0.00_);_([$$-en-US]* (#,##0.00);_([$$-en-US]* "-"??_);_(@_)</rpv>
    </rSty>
    <rSty dxfid="5">
      <rpv i="0">#,##0.00</rpv>
    </rSty>
    <rSty>
      <rpv i="1">1</rpv>
    </rSty>
    <rSty dxfid="4">
      <rpv i="0">#,##0</rpv>
    </rSty>
    <rSty dxfid="3"/>
    <rSty dxfid="1">
      <rpv i="0">_([$$-en-US]* #,##0_);_([$$-en-US]* (#,##0);_([$$-en-US]* "-"_);_(@_)</rpv>
    </rSty>
    <rSty dxfid="2"/>
    <rSty dxfid="6">
      <rpv i="0">0</rpv>
    </rSty>
    <rSty dxfid="0">
      <rpv i="0">0.00</rpv>
    </rSty>
    <rSty>
      <rpv i="2">1</rpv>
    </rSty>
  </richStyles>
</richStyleSheet>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35B71056-B93A-4567-A7DE-3113969B2315}" name="peer_fundamentals" displayName="peer_fundamentals" ref="A1:AB39" tableType="queryTable" totalsRowShown="0">
  <autoFilter ref="A1:AB39" xr:uid="{35B71056-B93A-4567-A7DE-3113969B2315}"/>
  <tableColumns count="28">
    <tableColumn id="1" xr3:uid="{5BC06A01-20A8-4B8F-854E-5BDB41D4FB22}" uniqueName="1" name="ticker" queryTableFieldId="1" dataDxfId="29"/>
    <tableColumn id="2" xr3:uid="{2A88CE30-1B01-4A68-92F6-0805DB2E00B8}" uniqueName="2" name="enterpriseValue" queryTableFieldId="2"/>
    <tableColumn id="3" xr3:uid="{986433A0-7171-4747-9981-D41993E8325C}" uniqueName="3" name="marketCap" queryTableFieldId="3"/>
    <tableColumn id="4" xr3:uid="{63A5E613-1B2A-4D13-9D99-D08C82EE274E}" uniqueName="4" name="sharesOutstanding" queryTableFieldId="4"/>
    <tableColumn id="5" xr3:uid="{69E2D0CF-1611-4040-8D7D-0BA919C99EBE}" uniqueName="5" name="currency" queryTableFieldId="5" dataDxfId="28"/>
    <tableColumn id="6" xr3:uid="{0878DB73-CB92-44F4-BDF7-6ACDC3AA117F}" uniqueName="6" name="trailingEps" queryTableFieldId="6"/>
    <tableColumn id="7" xr3:uid="{E2F56452-2431-4F31-9E1D-EDABC7AB5889}" uniqueName="7" name="forwardEps" queryTableFieldId="7"/>
    <tableColumn id="8" xr3:uid="{75F86160-F40C-4081-A2DA-D4203B62DE31}" uniqueName="8" name="trailingPE" queryTableFieldId="8"/>
    <tableColumn id="9" xr3:uid="{55656E97-5CCF-40BF-BA85-B478182401BD}" uniqueName="9" name="forwardPE" queryTableFieldId="9"/>
    <tableColumn id="10" xr3:uid="{96B241B8-14FC-46F4-8C4E-72AFF24056F0}" uniqueName="10" name="netIncomeToCommon" queryTableFieldId="10"/>
    <tableColumn id="11" xr3:uid="{A4A64F34-4A8B-4E7C-8761-D47640545169}" uniqueName="11" name="totalRevenue" queryTableFieldId="11"/>
    <tableColumn id="12" xr3:uid="{9F74DBA8-69B2-4D00-B9BC-5748AC173036}" uniqueName="12" name="ebitda" queryTableFieldId="12"/>
    <tableColumn id="13" xr3:uid="{43DDBDE2-7569-453F-96FB-A49E3F0345FB}" uniqueName="13" name="grossProfits" queryTableFieldId="13"/>
    <tableColumn id="14" xr3:uid="{05AFA731-7C57-430E-80A2-E403C5CCFD2A}" uniqueName="14" name="operatingMargins" queryTableFieldId="14"/>
    <tableColumn id="15" xr3:uid="{4606894B-6870-4A46-BAC3-F44007A68119}" uniqueName="15" name="profitMargins" queryTableFieldId="15"/>
    <tableColumn id="16" xr3:uid="{E0CECA4C-3D26-4E71-983B-8AB049B757F7}" uniqueName="16" name="EBIT" queryTableFieldId="16"/>
    <tableColumn id="17" xr3:uid="{CD181FD9-0ACE-4926-8A91-7957C2C7A11A}" uniqueName="17" name="Operating Income" queryTableFieldId="17"/>
    <tableColumn id="18" xr3:uid="{29BA64B6-6B9E-4D98-B412-30D17FB3BDE4}" uniqueName="18" name="Reconciled Depreciation" queryTableFieldId="18"/>
    <tableColumn id="19" xr3:uid="{B82FAC8F-9498-4A4A-9431-5014F9052F66}" uniqueName="19" name="Amortization" queryTableFieldId="19"/>
    <tableColumn id="20" xr3:uid="{7A122FDA-A400-4817-A1E9-E71886BCF24B}" uniqueName="20" name="EBITA" queryTableFieldId="20"/>
    <tableColumn id="21" xr3:uid="{40A56B1A-3CF4-4989-ACEF-0E48288CA8EE}" uniqueName="21" name="returnOnEquity" queryTableFieldId="21"/>
    <tableColumn id="22" xr3:uid="{4C4AF2E0-137D-49B1-8609-0A0D84C9A623}" uniqueName="22" name="returnOnAssets" queryTableFieldId="22"/>
    <tableColumn id="23" xr3:uid="{3381C237-008F-4E04-A833-70F4F8FE55AE}" uniqueName="23" name="revenueGrowth" queryTableFieldId="23"/>
    <tableColumn id="24" xr3:uid="{A71E4669-3713-430B-86FE-5B0C7AAE3C2B}" uniqueName="24" name="earningsGrowth" queryTableFieldId="24"/>
    <tableColumn id="25" xr3:uid="{E1D94F4D-784B-46A1-8E32-8F1B45BAA9B1}" uniqueName="25" name="Minority Interest" queryTableFieldId="25"/>
    <tableColumn id="26" xr3:uid="{52BC1997-0C41-4D40-9538-209F49FEC3DC}" uniqueName="26" name="Preferred Stock" queryTableFieldId="26"/>
    <tableColumn id="27" xr3:uid="{CE1C6AEB-574E-4FAE-A6D3-4E8733872D29}" uniqueName="27" name="Total Debt" queryTableFieldId="27"/>
    <tableColumn id="28" xr3:uid="{9ED848BC-389D-44B1-8595-547CA1AD8F92}" uniqueName="28" name="Cash And Cash Equivalents" queryTableFieldId="28"/>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2" Type="http://schemas.microsoft.com/office/2011/relationships/webextension" Target="webextension2.xml"/><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9">
    <wetp:webextensionref xmlns:r="http://schemas.openxmlformats.org/officeDocument/2006/relationships" r:id="rId1"/>
  </wetp:taskpane>
  <wetp:taskpane dockstate="right" visibility="0" width="350" row="10">
    <wetp:webextensionref xmlns:r="http://schemas.openxmlformats.org/officeDocument/2006/relationships" r:id="rId2"/>
  </wetp:taskpane>
  <wetp:taskpane dockstate="right" visibility="0" width="350" row="9">
    <wetp:webextensionref xmlns:r="http://schemas.openxmlformats.org/officeDocument/2006/relationships" r:id="rId3"/>
  </wetp:taskpane>
</wetp:taskpanes>
</file>

<file path=xl/webextensions/webextension1.xml><?xml version="1.0" encoding="utf-8"?>
<we:webextension xmlns:we="http://schemas.microsoft.com/office/webextensions/webextension/2010/11" id="{B62A666C-5420-45B9-92F5-7C4227F47183}">
  <we:reference id="wa200009404" version="1.0.0.8" store="en-US" storeType="OMEX"/>
  <we:alternateReferences>
    <we:reference id="WA200009404" version="1.0.0.8" store="" storeType="OMEX"/>
  </we:alternateReferences>
  <we:properties>
    <we:property name="claude.fileId" value="&quot;5f1481e7-93ad-423a-be27-c1326061c1ee&quot;"/>
  </we:properties>
  <we:bindings/>
  <we:snapshot xmlns:r="http://schemas.openxmlformats.org/officeDocument/2006/relationships"/>
</we:webextension>
</file>

<file path=xl/webextensions/webextension2.xml><?xml version="1.0" encoding="utf-8"?>
<we:webextension xmlns:we="http://schemas.microsoft.com/office/webextensions/webextension/2010/11" id="{D2FFC226-3215-4710-9053-FB02E71CE3A0}">
  <we:reference id="wa200002252" version="1.0.0.3" store="en-US" storeType="OMEX"/>
  <we:alternateReferences>
    <we:reference id="WA200002252" version="1.0.0.3"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_xldudf_WISE</we:customFunctionIds>
        <we:customFunctionIds>_xldudf_WISEPRICE</we:customFunctionIds>
        <we:customFunctionIds>_xldudf_WISEFUNDS</we:customFunctionIds>
        <we:customFunctionIds>_xldudf_WISEOPTIONS</we:customFunctionIds>
      </we:customFunctionIdList>
    </a:ext>
    <a:ext xmlns:a="http://schemas.openxmlformats.org/drawingml/2006/main" uri="{0858819E-0033-43BF-8937-05EC82904868}">
      <we:backgroundApp state="1" runtimeId="Taskpane.Url"/>
    </a:ext>
  </we:extLst>
</we:webextension>
</file>

<file path=xl/webextensions/webextension3.xml><?xml version="1.0" encoding="utf-8"?>
<we:webextension xmlns:we="http://schemas.microsoft.com/office/webextensions/webextension/2010/11" id="{52FDF185-24CE-4926-9BD0-E339021D0E59}">
  <we:reference id="wa104379220" version="8.0.0.0" store="en-US" storeType="OMEX"/>
  <we:alternateReferences>
    <we:reference id="WA104379220" version="8.0.0.0" store="" storeType="OMEX"/>
  </we:alternateReferences>
  <we:properties>
    <we:property name="extendedHoursUSPrices" value="false"/>
    <we:property name="lastCryptoCompare" value="0"/>
    <we:property name="lastIexCall" value="0"/>
    <we:property name="lastMutualFundsCall" value="0"/>
    <we:property name="stocks" value="{}"/>
    <we:property name="stocksChange" value="{}"/>
    <we:property name="stocksOrder" value="[]"/>
    <we:property name="stocksSources" value="{}"/>
    <we:property name="updateIntervalIndex" value="2"/>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9.xml.rels><?xml version="1.0" encoding="UTF-8" standalone="yes"?>
<Relationships xmlns="http://schemas.openxmlformats.org/package/2006/relationships"><Relationship Id="rId1" Type="http://schemas.openxmlformats.org/officeDocument/2006/relationships/table" Target="../tables/table1.xml"/></Relationships>
</file>

<file path=xl/worksheets/_rels/sheet12.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78.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79.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80.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drawing" Target="../drawings/drawing4.xml"/></Relationships>
</file>

<file path=xl/worksheets/_rels/sheet81.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drawing" Target="../drawings/drawing5.xml"/></Relationships>
</file>

<file path=xl/worksheets/_rels/sheet82.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drawing" Target="../drawings/drawing6.xml"/></Relationships>
</file>

<file path=xl/worksheets/_rels/sheet83.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drawing" Target="../drawings/drawing7.xml"/></Relationships>
</file>

<file path=xl/worksheets/_rels/sheet84.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drawing" Target="../drawings/drawing8.xml"/></Relationships>
</file>

<file path=xl/worksheets/_rels/sheet86.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87.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drawing" Target="../drawings/drawing1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9BD81F-4DED-4786-A388-4EB3096079C5}">
  <sheetPr>
    <tabColor rgb="FF1F3864"/>
  </sheetPr>
  <dimension ref="A1:H237"/>
  <sheetViews>
    <sheetView showGridLines="0" tabSelected="1" topLeftCell="A113" zoomScale="70" zoomScaleNormal="70" workbookViewId="0">
      <pane xSplit="1" topLeftCell="B1" activePane="topRight" state="frozen"/>
      <selection pane="topRight" activeCell="B28" sqref="B28"/>
    </sheetView>
  </sheetViews>
  <sheetFormatPr defaultRowHeight="15" x14ac:dyDescent="0.25"/>
  <cols>
    <col min="1" max="1" width="64.7109375" customWidth="1"/>
    <col min="2" max="8" width="17.5703125" customWidth="1"/>
  </cols>
  <sheetData>
    <row r="1" spans="1:2" ht="21" x14ac:dyDescent="0.35">
      <c r="A1" s="65" t="s">
        <v>919</v>
      </c>
    </row>
    <row r="2" spans="1:2" x14ac:dyDescent="0.25">
      <c r="A2" s="66" t="s">
        <v>920</v>
      </c>
    </row>
    <row r="3" spans="1:2" ht="15.75" x14ac:dyDescent="0.25">
      <c r="A3" s="197" t="str">
        <f ca="1">"MODEL STATUS:  "&amp;'Ch 11 Checks'!$B$52</f>
        <v>MODEL STATUS:  ALL STRUCTURAL CHECKS PASS</v>
      </c>
    </row>
    <row r="4" spans="1:2" x14ac:dyDescent="0.25">
      <c r="A4" s="67" t="s">
        <v>921</v>
      </c>
    </row>
    <row r="5" spans="1:2" x14ac:dyDescent="0.25">
      <c r="A5" s="83" t="s">
        <v>299</v>
      </c>
      <c r="B5" s="84">
        <v>4.6800000000000001E-2</v>
      </c>
    </row>
    <row r="6" spans="1:2" x14ac:dyDescent="0.25">
      <c r="A6" s="83" t="s">
        <v>922</v>
      </c>
      <c r="B6" s="84">
        <v>2.1499999999999998E-2</v>
      </c>
    </row>
    <row r="7" spans="1:2" x14ac:dyDescent="0.25">
      <c r="A7" s="83" t="s">
        <v>437</v>
      </c>
      <c r="B7" s="84">
        <v>0.13</v>
      </c>
    </row>
    <row r="8" spans="1:2" x14ac:dyDescent="0.25">
      <c r="A8" s="83" t="s">
        <v>923</v>
      </c>
      <c r="B8" s="84">
        <v>3.5000000000000003E-2</v>
      </c>
    </row>
    <row r="9" spans="1:2" x14ac:dyDescent="0.25">
      <c r="A9" s="83" t="s">
        <v>439</v>
      </c>
      <c r="B9" s="84">
        <v>4.7899999999999998E-2</v>
      </c>
    </row>
    <row r="10" spans="1:2" x14ac:dyDescent="0.25">
      <c r="A10" s="83" t="s">
        <v>440</v>
      </c>
      <c r="B10" s="176">
        <f>B9*(1-B8/B7)+B8</f>
        <v>7.0003846153846153E-2</v>
      </c>
    </row>
    <row r="11" spans="1:2" x14ac:dyDescent="0.25">
      <c r="A11" s="83" t="s">
        <v>924</v>
      </c>
      <c r="B11" s="176">
        <f>B10-B6</f>
        <v>4.8503846153846154E-2</v>
      </c>
    </row>
    <row r="12" spans="1:2" x14ac:dyDescent="0.25">
      <c r="A12" s="83" t="s">
        <v>337</v>
      </c>
      <c r="B12" s="85">
        <v>0.21</v>
      </c>
    </row>
    <row r="14" spans="1:2" x14ac:dyDescent="0.25">
      <c r="A14" s="67" t="s">
        <v>925</v>
      </c>
    </row>
    <row r="15" spans="1:2" x14ac:dyDescent="0.25">
      <c r="A15" s="83" t="s">
        <v>1571</v>
      </c>
      <c r="B15" s="85">
        <v>0.01</v>
      </c>
    </row>
    <row r="16" spans="1:2" x14ac:dyDescent="0.25">
      <c r="A16" s="83" t="s">
        <v>1572</v>
      </c>
      <c r="B16" s="85">
        <v>0.154</v>
      </c>
    </row>
    <row r="17" spans="1:8" x14ac:dyDescent="0.25">
      <c r="A17" s="83" t="s">
        <v>926</v>
      </c>
      <c r="B17" s="85">
        <v>-0.02</v>
      </c>
    </row>
    <row r="18" spans="1:8" x14ac:dyDescent="0.25">
      <c r="A18" s="83" t="s">
        <v>927</v>
      </c>
      <c r="B18" s="85">
        <v>0.02</v>
      </c>
    </row>
    <row r="19" spans="1:8" x14ac:dyDescent="0.25">
      <c r="A19" t="s">
        <v>1233</v>
      </c>
      <c r="B19" s="70">
        <v>0</v>
      </c>
    </row>
    <row r="20" spans="1:8" x14ac:dyDescent="0.25">
      <c r="A20" s="67" t="s">
        <v>928</v>
      </c>
    </row>
    <row r="21" spans="1:8" x14ac:dyDescent="0.25">
      <c r="A21" s="83" t="s">
        <v>289</v>
      </c>
      <c r="B21" s="86" t="s">
        <v>296</v>
      </c>
      <c r="C21" s="86" t="s">
        <v>295</v>
      </c>
      <c r="D21" s="86" t="s">
        <v>308</v>
      </c>
      <c r="E21" s="86" t="s">
        <v>291</v>
      </c>
      <c r="F21" s="86" t="s">
        <v>294</v>
      </c>
      <c r="G21" s="86" t="s">
        <v>292</v>
      </c>
      <c r="H21" s="86" t="s">
        <v>293</v>
      </c>
    </row>
    <row r="22" spans="1:8" x14ac:dyDescent="0.25">
      <c r="A22" s="83" t="s">
        <v>792</v>
      </c>
      <c r="B22" s="87" t="s">
        <v>590</v>
      </c>
      <c r="C22" s="87" t="s">
        <v>590</v>
      </c>
      <c r="D22" s="87" t="s">
        <v>590</v>
      </c>
      <c r="E22" s="87" t="s">
        <v>590</v>
      </c>
      <c r="F22" s="87" t="s">
        <v>590</v>
      </c>
      <c r="G22" s="87" t="s">
        <v>590</v>
      </c>
      <c r="H22" s="87" t="s">
        <v>590</v>
      </c>
    </row>
    <row r="23" spans="1:8" x14ac:dyDescent="0.25">
      <c r="A23" s="83" t="s">
        <v>929</v>
      </c>
      <c r="B23" s="85">
        <v>0.04</v>
      </c>
      <c r="C23" s="85">
        <v>0.1</v>
      </c>
      <c r="D23" s="85">
        <v>0.1</v>
      </c>
      <c r="E23" s="85">
        <v>0.1</v>
      </c>
      <c r="F23" s="85">
        <v>0.25</v>
      </c>
      <c r="G23" s="85">
        <v>0.12</v>
      </c>
      <c r="H23" s="85">
        <v>0.04</v>
      </c>
    </row>
    <row r="24" spans="1:8" x14ac:dyDescent="0.25">
      <c r="A24" s="83" t="s">
        <v>1551</v>
      </c>
      <c r="B24" s="224" t="str">
        <f t="shared" ref="B24:H24" si="0">B201</f>
        <v>R&amp;D-adjusted ROIC</v>
      </c>
      <c r="C24" s="224" t="str">
        <f t="shared" si="0"/>
        <v>R&amp;D-adjusted ROIC</v>
      </c>
      <c r="D24" s="224" t="str">
        <f t="shared" si="0"/>
        <v>R&amp;D-adjusted ROIC</v>
      </c>
      <c r="E24" s="224" t="str">
        <f t="shared" si="0"/>
        <v>WACC</v>
      </c>
      <c r="F24" s="224" t="str">
        <f t="shared" si="0"/>
        <v>WACC</v>
      </c>
      <c r="G24" s="224" t="str">
        <f t="shared" si="0"/>
        <v>R&amp;D-adjusted ROIC</v>
      </c>
      <c r="H24" s="224" t="str">
        <f t="shared" si="0"/>
        <v>WACC</v>
      </c>
    </row>
    <row r="26" spans="1:8" x14ac:dyDescent="0.25">
      <c r="A26" s="67" t="s">
        <v>930</v>
      </c>
    </row>
    <row r="27" spans="1:8" x14ac:dyDescent="0.25">
      <c r="A27" s="83" t="s">
        <v>289</v>
      </c>
      <c r="B27" s="86" t="s">
        <v>296</v>
      </c>
      <c r="C27" s="86" t="s">
        <v>295</v>
      </c>
      <c r="D27" s="86" t="s">
        <v>308</v>
      </c>
      <c r="E27" s="86" t="s">
        <v>291</v>
      </c>
      <c r="F27" s="86" t="s">
        <v>294</v>
      </c>
      <c r="G27" s="86" t="s">
        <v>292</v>
      </c>
      <c r="H27" s="86" t="s">
        <v>293</v>
      </c>
    </row>
    <row r="28" spans="1:8" x14ac:dyDescent="0.25">
      <c r="A28" s="83" t="s">
        <v>334</v>
      </c>
      <c r="B28" s="88">
        <f ca="1">WACC!C48</f>
        <v>9.669456809382776E-2</v>
      </c>
      <c r="C28" s="88">
        <f ca="1">WACC!D48</f>
        <v>9.7212466744806408E-2</v>
      </c>
      <c r="D28" s="88">
        <f ca="1">WACC!E48</f>
        <v>9.5075100642306412E-2</v>
      </c>
      <c r="E28" s="88">
        <f ca="1">WACC!F48</f>
        <v>8.7531307151859569E-2</v>
      </c>
      <c r="F28" s="88">
        <f ca="1">WACC!G48</f>
        <v>0.14967436549682989</v>
      </c>
      <c r="G28" s="88">
        <f ca="1">WACC!H48</f>
        <v>9.345613080524226E-2</v>
      </c>
      <c r="H28" s="88">
        <f ca="1">WACC!I48</f>
        <v>0.1211934192737834</v>
      </c>
    </row>
    <row r="29" spans="1:8" x14ac:dyDescent="0.25">
      <c r="A29" s="83" t="s">
        <v>931</v>
      </c>
      <c r="B29" s="89">
        <f ca="1">'AAPL DCF'!B31</f>
        <v>3037527.3898923015</v>
      </c>
      <c r="C29" s="89">
        <f ca="1">'MSFT DCF'!B31</f>
        <v>2884629.6716023968</v>
      </c>
      <c r="D29" s="89">
        <f ca="1">'GOOGL DCF'!B31</f>
        <v>3065862.3904039292</v>
      </c>
      <c r="E29" s="89">
        <f ca="1">'AMZN DCF'!B31</f>
        <v>1058453.1897505284</v>
      </c>
      <c r="F29" s="89">
        <f ca="1">'NVDA DCF'!B31</f>
        <v>1750613.3618881179</v>
      </c>
      <c r="G29" s="89">
        <f ca="1">'META DCF'!B31</f>
        <v>2186836.312611273</v>
      </c>
      <c r="H29" s="89">
        <f ca="1">'TSLA DCF'!B31</f>
        <v>40085.033727931506</v>
      </c>
    </row>
    <row r="30" spans="1:8" x14ac:dyDescent="0.25">
      <c r="A30" s="83" t="s">
        <v>932</v>
      </c>
      <c r="B30" s="89">
        <f ca="1">'AAPL DCF'!B38</f>
        <v>3034504.1698923013</v>
      </c>
      <c r="C30" s="89">
        <f ca="1">'MSFT DCF'!B38</f>
        <v>2855181.1916023968</v>
      </c>
      <c r="D30" s="89">
        <f ca="1">'GOOGL DCF'!B38</f>
        <v>3145435.670403929</v>
      </c>
      <c r="E30" s="89">
        <f ca="1">'AMZN DCF'!B38</f>
        <v>895718.70975052845</v>
      </c>
      <c r="F30" s="89">
        <f ca="1">'NVDA DCF'!B38</f>
        <v>1804889.6018881178</v>
      </c>
      <c r="G30" s="89">
        <f ca="1">'META DCF'!B38</f>
        <v>2152041.9926112732</v>
      </c>
      <c r="H30" s="89">
        <f ca="1">'TSLA DCF'!B38</f>
        <v>67852.493727931505</v>
      </c>
    </row>
    <row r="31" spans="1:8" x14ac:dyDescent="0.25">
      <c r="A31" s="83" t="s">
        <v>586</v>
      </c>
      <c r="B31" s="89">
        <f ca="1">'AAPL DCF'!B39</f>
        <v>14594.18</v>
      </c>
      <c r="C31" s="89">
        <f ca="1">'MSFT DCF'!B39</f>
        <v>7425.5450000000001</v>
      </c>
      <c r="D31" s="89">
        <f ca="1">'GOOGL DCF'!B39</f>
        <v>12230</v>
      </c>
      <c r="E31" s="89">
        <f ca="1">'AMZN DCF'!B39</f>
        <v>10786.31</v>
      </c>
      <c r="F31" s="89">
        <f ca="1">'NVDA DCF'!B39</f>
        <v>24200</v>
      </c>
      <c r="G31" s="89">
        <f ca="1">'META DCF'!B39</f>
        <v>2547.5059999999999</v>
      </c>
      <c r="H31" s="89">
        <f ca="1">'TSLA DCF'!B39</f>
        <v>3949.547</v>
      </c>
    </row>
    <row r="32" spans="1:8" x14ac:dyDescent="0.25">
      <c r="A32" s="83" t="s">
        <v>783</v>
      </c>
      <c r="B32" s="90">
        <f ca="1">'AAPL DCF'!B40</f>
        <v>207.92563678756198</v>
      </c>
      <c r="C32" s="90">
        <f ca="1">'MSFT DCF'!B40</f>
        <v>384.50796427769234</v>
      </c>
      <c r="D32" s="90">
        <f ca="1">'GOOGL DCF'!B40</f>
        <v>257.19016111234089</v>
      </c>
      <c r="E32" s="90">
        <f ca="1">'AMZN DCF'!B40</f>
        <v>83.042181223284743</v>
      </c>
      <c r="F32" s="90">
        <f ca="1">'NVDA DCF'!B40</f>
        <v>74.58221495405445</v>
      </c>
      <c r="G32" s="90">
        <f ca="1">'META DCF'!B40</f>
        <v>844.76424888156237</v>
      </c>
      <c r="H32" s="90">
        <f ca="1">'TSLA DCF'!B40</f>
        <v>17.179816755676413</v>
      </c>
    </row>
    <row r="33" spans="1:8" x14ac:dyDescent="0.25">
      <c r="A33" s="83" t="s">
        <v>933</v>
      </c>
      <c r="B33" s="90">
        <f ca="1">Multiples!B61</f>
        <v>208.53132636371828</v>
      </c>
      <c r="C33" s="90">
        <f ca="1">Multiples!C61</f>
        <v>381.32713584961999</v>
      </c>
      <c r="D33" s="90">
        <f ca="1">Multiples!D61</f>
        <v>191.90507230212785</v>
      </c>
      <c r="E33" s="90">
        <f ca="1">Multiples!E61</f>
        <v>205.86143602812064</v>
      </c>
      <c r="F33" s="90">
        <f ca="1">Multiples!F61</f>
        <v>518.89524452763544</v>
      </c>
      <c r="G33" s="90">
        <f ca="1">Multiples!G61</f>
        <v>1100.7880312324696</v>
      </c>
      <c r="H33" s="90">
        <f ca="1">Multiples!H61</f>
        <v>59.392806069870474</v>
      </c>
    </row>
    <row r="34" spans="1:8" x14ac:dyDescent="0.25">
      <c r="A34" s="83" t="s">
        <v>934</v>
      </c>
      <c r="B34" s="90">
        <f ca="1">Multiples!B62</f>
        <v>66.704422328585224</v>
      </c>
      <c r="C34" s="90">
        <f ca="1">Multiples!C62</f>
        <v>238.54295214265863</v>
      </c>
      <c r="D34" s="90">
        <f ca="1">Multiples!D62</f>
        <v>102.89838915735761</v>
      </c>
      <c r="E34" s="90">
        <f ca="1">Multiples!E62</f>
        <v>79.695577799046006</v>
      </c>
      <c r="F34" s="90">
        <f ca="1">Multiples!F62</f>
        <v>98.267506349755067</v>
      </c>
      <c r="G34" s="90">
        <f ca="1">Multiples!G62</f>
        <v>475.92899705360691</v>
      </c>
      <c r="H34" s="90">
        <f ca="1">Multiples!H62</f>
        <v>30.653605238328694</v>
      </c>
    </row>
    <row r="35" spans="1:8" x14ac:dyDescent="0.25">
      <c r="A35" s="83" t="s">
        <v>588</v>
      </c>
      <c r="B35" s="90">
        <f ca="1">'AAPL DCF'!B41</f>
        <v>305.93</v>
      </c>
      <c r="C35" s="90">
        <f ca="1">'MSFT DCF'!B41</f>
        <v>495.4</v>
      </c>
      <c r="D35" s="90">
        <f ca="1">'GOOGL DCF'!B41</f>
        <v>345.9</v>
      </c>
      <c r="E35" s="90">
        <f ca="1">'AMZN DCF'!B41</f>
        <v>262.64999999999998</v>
      </c>
      <c r="F35" s="90">
        <f ca="1">'NVDA DCF'!B41</f>
        <v>225.16</v>
      </c>
      <c r="G35" s="90">
        <f ca="1">'META DCF'!B41</f>
        <v>589.85</v>
      </c>
      <c r="H35" s="90">
        <f ca="1">'TSLA DCF'!B41</f>
        <v>342.27</v>
      </c>
    </row>
    <row r="36" spans="1:8" x14ac:dyDescent="0.25">
      <c r="A36" s="83" t="s">
        <v>935</v>
      </c>
      <c r="B36" s="89">
        <f ca="1">WACC!C34</f>
        <v>4464797.4874</v>
      </c>
      <c r="C36" s="89">
        <f ca="1">WACC!D34</f>
        <v>3678614.9929999998</v>
      </c>
      <c r="D36" s="89">
        <f ca="1">WACC!E34</f>
        <v>4230357</v>
      </c>
      <c r="E36" s="89">
        <f ca="1">WACC!F34</f>
        <v>2833024.3214999996</v>
      </c>
      <c r="F36" s="89">
        <f ca="1">WACC!G34</f>
        <v>5448872</v>
      </c>
      <c r="G36" s="89">
        <f ca="1">WACC!H34</f>
        <v>1502646.4140999999</v>
      </c>
      <c r="H36" s="89">
        <f ca="1">WACC!I34</f>
        <v>1351811.45169</v>
      </c>
    </row>
    <row r="37" spans="1:8" x14ac:dyDescent="0.25">
      <c r="A37" s="83" t="s">
        <v>936</v>
      </c>
      <c r="B37" s="91">
        <f ca="1">'AAPL DCF'!B42</f>
        <v>-0.32034897921889982</v>
      </c>
      <c r="C37" s="91">
        <f ca="1">'MSFT DCF'!B42</f>
        <v>-0.22384343100990645</v>
      </c>
      <c r="D37" s="91">
        <f ca="1">'GOOGL DCF'!B42</f>
        <v>-0.25646093925313418</v>
      </c>
      <c r="E37" s="91">
        <f ca="1">'AMZN DCF'!B42</f>
        <v>-0.68382950229093953</v>
      </c>
      <c r="F37" s="91">
        <f ca="1">'NVDA DCF'!B42</f>
        <v>-0.66875903822146721</v>
      </c>
      <c r="G37" s="91">
        <f ca="1">'META DCF'!B42</f>
        <v>0.43216792215234778</v>
      </c>
      <c r="H37" s="91">
        <f ca="1">'TSLA DCF'!B42</f>
        <v>-0.94980624432267968</v>
      </c>
    </row>
    <row r="38" spans="1:8" x14ac:dyDescent="0.25">
      <c r="A38" s="83" t="s">
        <v>937</v>
      </c>
      <c r="B38" s="177">
        <f t="shared" ref="B38:H38" ca="1" si="1">IF(B35=0,"",B33/B35-1)</f>
        <v>-0.31836914861661725</v>
      </c>
      <c r="C38" s="177">
        <f t="shared" ca="1" si="1"/>
        <v>-0.23026415855950744</v>
      </c>
      <c r="D38" s="177">
        <f t="shared" ca="1" si="1"/>
        <v>-0.44520071609676826</v>
      </c>
      <c r="E38" s="177">
        <f t="shared" ca="1" si="1"/>
        <v>-0.21621383579622822</v>
      </c>
      <c r="F38" s="177">
        <f t="shared" ca="1" si="1"/>
        <v>1.3045622869409996</v>
      </c>
      <c r="G38" s="177">
        <f t="shared" ca="1" si="1"/>
        <v>0.86621688773835648</v>
      </c>
      <c r="H38" s="177">
        <f t="shared" ca="1" si="1"/>
        <v>-0.82647381871075321</v>
      </c>
    </row>
    <row r="39" spans="1:8" x14ac:dyDescent="0.25">
      <c r="A39" s="83" t="s">
        <v>938</v>
      </c>
      <c r="B39" s="92">
        <f ca="1">'AAPL DCF'!B45</f>
        <v>23.873013965344455</v>
      </c>
      <c r="C39" s="92">
        <f ca="1">'MSFT DCF'!B45</f>
        <v>21.425025930402544</v>
      </c>
      <c r="D39" s="92">
        <f ca="1">'GOOGL DCF'!B45</f>
        <v>12.921816628907631</v>
      </c>
      <c r="E39" s="92">
        <f ca="1">'AMZN DCF'!B45</f>
        <v>6.7424307147950282</v>
      </c>
      <c r="F39" s="92">
        <f ca="1">'NVDA DCF'!B45</f>
        <v>11.428641283763829</v>
      </c>
      <c r="G39" s="92">
        <f ca="1">'META DCF'!B45</f>
        <v>29.252602677130561</v>
      </c>
      <c r="H39" s="92">
        <f ca="1">'TSLA DCF'!B45</f>
        <v>17.078385214203685</v>
      </c>
    </row>
    <row r="43" spans="1:8" x14ac:dyDescent="0.25">
      <c r="A43" s="67" t="s">
        <v>939</v>
      </c>
    </row>
    <row r="44" spans="1:8" x14ac:dyDescent="0.25">
      <c r="A44" t="s">
        <v>289</v>
      </c>
      <c r="B44" s="77" t="s">
        <v>296</v>
      </c>
      <c r="C44" s="77" t="s">
        <v>295</v>
      </c>
      <c r="D44" s="77" t="s">
        <v>308</v>
      </c>
      <c r="E44" s="77" t="s">
        <v>291</v>
      </c>
      <c r="F44" s="77" t="s">
        <v>294</v>
      </c>
      <c r="G44" s="77" t="s">
        <v>292</v>
      </c>
      <c r="H44" s="77" t="s">
        <v>293</v>
      </c>
    </row>
    <row r="45" spans="1:8" x14ac:dyDescent="0.25">
      <c r="A45" t="s">
        <v>940</v>
      </c>
      <c r="B45" s="93">
        <v>142.45473109722801</v>
      </c>
      <c r="C45" s="93">
        <v>238.08143779431001</v>
      </c>
      <c r="D45" s="93">
        <v>152.827602562149</v>
      </c>
      <c r="E45" s="93">
        <v>56.141329776978701</v>
      </c>
      <c r="F45" s="93">
        <v>38.029866319861803</v>
      </c>
      <c r="G45" s="93">
        <v>452.816398609038</v>
      </c>
      <c r="H45" s="93">
        <v>12.7420040314946</v>
      </c>
    </row>
    <row r="46" spans="1:8" x14ac:dyDescent="0.25">
      <c r="A46" t="s">
        <v>941</v>
      </c>
      <c r="B46" s="93">
        <v>207.92563678756201</v>
      </c>
      <c r="C46" s="93">
        <v>384.507964277692</v>
      </c>
      <c r="D46" s="93">
        <v>257.190161112341</v>
      </c>
      <c r="E46" s="93">
        <v>83.0421812232847</v>
      </c>
      <c r="F46" s="93">
        <v>74.582214954054507</v>
      </c>
      <c r="G46" s="93">
        <v>844.76424888156203</v>
      </c>
      <c r="H46" s="93">
        <v>17.179816755676399</v>
      </c>
    </row>
    <row r="47" spans="1:8" x14ac:dyDescent="0.25">
      <c r="A47" t="s">
        <v>942</v>
      </c>
      <c r="B47" s="93">
        <v>291.03427905128001</v>
      </c>
      <c r="C47" s="93">
        <v>443.69282500303598</v>
      </c>
      <c r="D47" s="93">
        <v>297.07456281813</v>
      </c>
      <c r="E47" s="93">
        <v>91.198412567753905</v>
      </c>
      <c r="F47" s="93">
        <v>75.529203835862603</v>
      </c>
      <c r="G47" s="93">
        <v>940.04901597176195</v>
      </c>
      <c r="H47" s="93">
        <v>24.803864963734501</v>
      </c>
    </row>
    <row r="48" spans="1:8" x14ac:dyDescent="0.25">
      <c r="A48" t="s">
        <v>943</v>
      </c>
      <c r="B48" s="143">
        <f t="shared" ref="B48:H48" ca="1" si="2">B35</f>
        <v>305.93</v>
      </c>
      <c r="C48" s="143">
        <f t="shared" ca="1" si="2"/>
        <v>495.4</v>
      </c>
      <c r="D48" s="143">
        <f t="shared" ca="1" si="2"/>
        <v>345.9</v>
      </c>
      <c r="E48" s="143">
        <f t="shared" ca="1" si="2"/>
        <v>262.64999999999998</v>
      </c>
      <c r="F48" s="143">
        <f t="shared" ca="1" si="2"/>
        <v>225.16</v>
      </c>
      <c r="G48" s="143">
        <f t="shared" ca="1" si="2"/>
        <v>589.85</v>
      </c>
      <c r="H48" s="143">
        <f t="shared" ca="1" si="2"/>
        <v>342.27</v>
      </c>
    </row>
    <row r="49" spans="1:8" x14ac:dyDescent="0.25">
      <c r="A49" s="9" t="s">
        <v>1023</v>
      </c>
      <c r="B49" s="178" t="str" cm="1">
        <f t="array" aca="1" ref="B49" ca="1">IF(SUMPRODUCT(($B$22:$H$22="Base")*(ABS($B$32:$H$32-$B$46:$H$46)&gt;ABS($B$46:$H$46)*0.01))&gt;0,"STALE - base values have moved more than 1%; ask for a snapshot refresh","current (within 1%) for every company set to Base")</f>
        <v>current (within 1%) for every company set to Base</v>
      </c>
    </row>
    <row r="50" spans="1:8" x14ac:dyDescent="0.25">
      <c r="A50" s="94" t="s">
        <v>946</v>
      </c>
    </row>
    <row r="51" spans="1:8" x14ac:dyDescent="0.25">
      <c r="B51" t="s">
        <v>296</v>
      </c>
      <c r="C51" t="s">
        <v>295</v>
      </c>
      <c r="D51" t="s">
        <v>308</v>
      </c>
      <c r="E51" t="s">
        <v>291</v>
      </c>
      <c r="F51" t="s">
        <v>294</v>
      </c>
      <c r="G51" t="s">
        <v>292</v>
      </c>
      <c r="H51" t="s">
        <v>293</v>
      </c>
    </row>
    <row r="52" spans="1:8" x14ac:dyDescent="0.25">
      <c r="A52" t="s">
        <v>944</v>
      </c>
      <c r="B52" s="139">
        <f t="shared" ref="B52:H52" ca="1" si="3">B45/B48</f>
        <v>0.46564485698436897</v>
      </c>
      <c r="C52" s="139">
        <f t="shared" ca="1" si="3"/>
        <v>0.48058425069501415</v>
      </c>
      <c r="D52" s="139">
        <f t="shared" ca="1" si="3"/>
        <v>0.44182596866767565</v>
      </c>
      <c r="E52" s="139">
        <f t="shared" ca="1" si="3"/>
        <v>0.21374958986095072</v>
      </c>
      <c r="F52" s="139">
        <f t="shared" ca="1" si="3"/>
        <v>0.16890152034047701</v>
      </c>
      <c r="G52" s="139">
        <f t="shared" ca="1" si="3"/>
        <v>0.76768059440372638</v>
      </c>
      <c r="H52" s="139">
        <f t="shared" ca="1" si="3"/>
        <v>3.7227931257471009E-2</v>
      </c>
    </row>
    <row r="53" spans="1:8" x14ac:dyDescent="0.25">
      <c r="A53" t="s">
        <v>945</v>
      </c>
      <c r="B53" s="139">
        <f t="shared" ref="B53:H53" ca="1" si="4">(B47-B45)/B48</f>
        <v>0.48566517815857224</v>
      </c>
      <c r="C53" s="139">
        <f t="shared" ca="1" si="4"/>
        <v>0.4150411530252846</v>
      </c>
      <c r="D53" s="139">
        <f t="shared" ca="1" si="4"/>
        <v>0.41701925485973118</v>
      </c>
      <c r="E53" s="139">
        <f t="shared" ca="1" si="4"/>
        <v>0.13347452042937449</v>
      </c>
      <c r="F53" s="139">
        <f t="shared" ca="1" si="4"/>
        <v>0.16654529008705277</v>
      </c>
      <c r="G53" s="139">
        <f t="shared" ca="1" si="4"/>
        <v>0.82602800264935816</v>
      </c>
      <c r="H53" s="139">
        <f t="shared" ca="1" si="4"/>
        <v>3.524077755058843E-2</v>
      </c>
    </row>
    <row r="54" spans="1:8" x14ac:dyDescent="0.25">
      <c r="A54" t="s">
        <v>1021</v>
      </c>
      <c r="B54" s="139">
        <f t="shared" ref="B54:H54" ca="1" si="5">B32/B48</f>
        <v>0.67965102078110018</v>
      </c>
      <c r="C54" s="139">
        <f t="shared" ca="1" si="5"/>
        <v>0.77615656899009355</v>
      </c>
      <c r="D54" s="139">
        <f t="shared" ca="1" si="5"/>
        <v>0.74353906074686582</v>
      </c>
      <c r="E54" s="139">
        <f t="shared" ca="1" si="5"/>
        <v>0.31617049770906053</v>
      </c>
      <c r="F54" s="139">
        <f t="shared" ca="1" si="5"/>
        <v>0.33124096177853285</v>
      </c>
      <c r="G54" s="139">
        <f t="shared" ca="1" si="5"/>
        <v>1.4321679221523478</v>
      </c>
      <c r="H54" s="139">
        <f t="shared" ca="1" si="5"/>
        <v>5.0193755677320283E-2</v>
      </c>
    </row>
    <row r="55" spans="1:8" x14ac:dyDescent="0.25">
      <c r="A55" t="s">
        <v>947</v>
      </c>
      <c r="B55" s="139">
        <f>1</f>
        <v>1</v>
      </c>
      <c r="C55" s="139">
        <f>1</f>
        <v>1</v>
      </c>
      <c r="D55" s="139">
        <f>1</f>
        <v>1</v>
      </c>
      <c r="E55" s="139">
        <f>1</f>
        <v>1</v>
      </c>
      <c r="F55" s="139">
        <f>1</f>
        <v>1</v>
      </c>
      <c r="G55" s="139">
        <f>1</f>
        <v>1</v>
      </c>
      <c r="H55" s="139">
        <f>1</f>
        <v>1</v>
      </c>
    </row>
    <row r="78" spans="1:8" x14ac:dyDescent="0.25">
      <c r="A78" s="67" t="s">
        <v>948</v>
      </c>
    </row>
    <row r="79" spans="1:8" x14ac:dyDescent="0.25">
      <c r="A79" t="s">
        <v>289</v>
      </c>
      <c r="B79" s="77" t="s">
        <v>296</v>
      </c>
      <c r="C79" s="77" t="s">
        <v>295</v>
      </c>
      <c r="D79" s="77" t="s">
        <v>308</v>
      </c>
      <c r="E79" s="77" t="s">
        <v>291</v>
      </c>
      <c r="F79" s="77" t="s">
        <v>294</v>
      </c>
      <c r="G79" s="77" t="s">
        <v>292</v>
      </c>
      <c r="H79" s="77" t="s">
        <v>293</v>
      </c>
    </row>
    <row r="80" spans="1:8" x14ac:dyDescent="0.25">
      <c r="A80" t="s">
        <v>1021</v>
      </c>
      <c r="B80" s="143">
        <f t="shared" ref="B80:H83" ca="1" si="6">B32</f>
        <v>207.92563678756198</v>
      </c>
      <c r="C80" s="143">
        <f t="shared" ca="1" si="6"/>
        <v>384.50796427769234</v>
      </c>
      <c r="D80" s="143">
        <f t="shared" ca="1" si="6"/>
        <v>257.19016111234089</v>
      </c>
      <c r="E80" s="143">
        <f t="shared" ca="1" si="6"/>
        <v>83.042181223284743</v>
      </c>
      <c r="F80" s="143">
        <f t="shared" ca="1" si="6"/>
        <v>74.58221495405445</v>
      </c>
      <c r="G80" s="143">
        <f t="shared" ca="1" si="6"/>
        <v>844.76424888156237</v>
      </c>
      <c r="H80" s="143">
        <f t="shared" ca="1" si="6"/>
        <v>17.179816755676413</v>
      </c>
    </row>
    <row r="81" spans="1:8" x14ac:dyDescent="0.25">
      <c r="A81" t="s">
        <v>949</v>
      </c>
      <c r="B81" s="143">
        <f t="shared" ca="1" si="6"/>
        <v>208.53132636371828</v>
      </c>
      <c r="C81" s="143">
        <f t="shared" ca="1" si="6"/>
        <v>381.32713584961999</v>
      </c>
      <c r="D81" s="143">
        <f t="shared" ca="1" si="6"/>
        <v>191.90507230212785</v>
      </c>
      <c r="E81" s="143">
        <f t="shared" ca="1" si="6"/>
        <v>205.86143602812064</v>
      </c>
      <c r="F81" s="143">
        <f t="shared" ca="1" si="6"/>
        <v>518.89524452763544</v>
      </c>
      <c r="G81" s="143">
        <f t="shared" ca="1" si="6"/>
        <v>1100.7880312324696</v>
      </c>
      <c r="H81" s="143">
        <f t="shared" ca="1" si="6"/>
        <v>59.392806069870474</v>
      </c>
    </row>
    <row r="82" spans="1:8" x14ac:dyDescent="0.25">
      <c r="A82" t="s">
        <v>950</v>
      </c>
      <c r="B82" s="143">
        <f t="shared" ca="1" si="6"/>
        <v>66.704422328585224</v>
      </c>
      <c r="C82" s="143">
        <f t="shared" ca="1" si="6"/>
        <v>238.54295214265863</v>
      </c>
      <c r="D82" s="143">
        <f t="shared" ca="1" si="6"/>
        <v>102.89838915735761</v>
      </c>
      <c r="E82" s="143">
        <f t="shared" ca="1" si="6"/>
        <v>79.695577799046006</v>
      </c>
      <c r="F82" s="143">
        <f t="shared" ca="1" si="6"/>
        <v>98.267506349755067</v>
      </c>
      <c r="G82" s="143">
        <f t="shared" ca="1" si="6"/>
        <v>475.92899705360691</v>
      </c>
      <c r="H82" s="143">
        <f t="shared" ca="1" si="6"/>
        <v>30.653605238328694</v>
      </c>
    </row>
    <row r="83" spans="1:8" x14ac:dyDescent="0.25">
      <c r="A83" t="s">
        <v>784</v>
      </c>
      <c r="B83" s="143">
        <f t="shared" ca="1" si="6"/>
        <v>305.93</v>
      </c>
      <c r="C83" s="143">
        <f t="shared" ca="1" si="6"/>
        <v>495.4</v>
      </c>
      <c r="D83" s="143">
        <f t="shared" ca="1" si="6"/>
        <v>345.9</v>
      </c>
      <c r="E83" s="143">
        <f t="shared" ca="1" si="6"/>
        <v>262.64999999999998</v>
      </c>
      <c r="F83" s="143">
        <f t="shared" ca="1" si="6"/>
        <v>225.16</v>
      </c>
      <c r="G83" s="143">
        <f t="shared" ca="1" si="6"/>
        <v>589.85</v>
      </c>
      <c r="H83" s="143">
        <f t="shared" ca="1" si="6"/>
        <v>342.27</v>
      </c>
    </row>
    <row r="84" spans="1:8" x14ac:dyDescent="0.25">
      <c r="A84" t="s">
        <v>1022</v>
      </c>
      <c r="B84" s="144">
        <f t="shared" ref="B84:H84" ca="1" si="7">IF(B83=0,"",B80/B83-1)</f>
        <v>-0.32034897921889982</v>
      </c>
      <c r="C84" s="144">
        <f t="shared" ca="1" si="7"/>
        <v>-0.22384343100990645</v>
      </c>
      <c r="D84" s="144">
        <f t="shared" ca="1" si="7"/>
        <v>-0.25646093925313418</v>
      </c>
      <c r="E84" s="144">
        <f t="shared" ca="1" si="7"/>
        <v>-0.68382950229093953</v>
      </c>
      <c r="F84" s="144">
        <f t="shared" ca="1" si="7"/>
        <v>-0.66875903822146721</v>
      </c>
      <c r="G84" s="144">
        <f t="shared" ca="1" si="7"/>
        <v>0.43216792215234778</v>
      </c>
      <c r="H84" s="144">
        <f t="shared" ca="1" si="7"/>
        <v>-0.94980624432267968</v>
      </c>
    </row>
    <row r="85" spans="1:8" x14ac:dyDescent="0.25">
      <c r="A85" t="s">
        <v>951</v>
      </c>
      <c r="B85" s="144">
        <f t="shared" ref="B85:H85" ca="1" si="8">IF(B83=0,"",B81/B83-1)</f>
        <v>-0.31836914861661725</v>
      </c>
      <c r="C85" s="144">
        <f t="shared" ca="1" si="8"/>
        <v>-0.23026415855950744</v>
      </c>
      <c r="D85" s="144">
        <f t="shared" ca="1" si="8"/>
        <v>-0.44520071609676826</v>
      </c>
      <c r="E85" s="144">
        <f t="shared" ca="1" si="8"/>
        <v>-0.21621383579622822</v>
      </c>
      <c r="F85" s="144">
        <f t="shared" ca="1" si="8"/>
        <v>1.3045622869409996</v>
      </c>
      <c r="G85" s="144">
        <f t="shared" ca="1" si="8"/>
        <v>0.86621688773835648</v>
      </c>
      <c r="H85" s="144">
        <f t="shared" ca="1" si="8"/>
        <v>-0.82647381871075321</v>
      </c>
    </row>
    <row r="87" spans="1:8" x14ac:dyDescent="0.25">
      <c r="A87" s="67" t="s">
        <v>952</v>
      </c>
    </row>
    <row r="88" spans="1:8" x14ac:dyDescent="0.25">
      <c r="A88" t="s">
        <v>289</v>
      </c>
      <c r="B88" s="77" t="s">
        <v>296</v>
      </c>
      <c r="C88" s="77" t="s">
        <v>295</v>
      </c>
      <c r="D88" s="77" t="s">
        <v>308</v>
      </c>
      <c r="E88" s="77" t="s">
        <v>291</v>
      </c>
      <c r="F88" s="77" t="s">
        <v>294</v>
      </c>
      <c r="G88" s="77" t="s">
        <v>292</v>
      </c>
      <c r="H88" s="77" t="s">
        <v>293</v>
      </c>
    </row>
    <row r="89" spans="1:8" x14ac:dyDescent="0.25">
      <c r="A89" t="s">
        <v>953</v>
      </c>
      <c r="B89" s="80">
        <f ca="1">WACC!C34+WACC!C35+WACC!C36-'AAPL DCF'!B32-'AAPL DCF'!B33</f>
        <v>4446020.7073999997</v>
      </c>
      <c r="C89" s="80">
        <f ca="1">WACC!D34+WACC!D35+WACC!D36-'MSFT DCF'!B32-'MSFT DCF'!B33</f>
        <v>3686463.4729999998</v>
      </c>
      <c r="D89" s="80">
        <f ca="1">WACC!E34+WACC!E35+WACC!E36-'GOOGL DCF'!B32-'GOOGL DCF'!B33</f>
        <v>4107883.7199999997</v>
      </c>
      <c r="E89" s="80">
        <f ca="1">WACC!F34+WACC!F35+WACC!F36-'AMZN DCF'!B32-'AMZN DCF'!B33</f>
        <v>2978858.8014999996</v>
      </c>
      <c r="F89" s="80">
        <f ca="1">WACC!G34+WACC!G35+WACC!G36-'NVDA DCF'!B32-'NVDA DCF'!B33</f>
        <v>5379795.7599999998</v>
      </c>
      <c r="G89" s="80">
        <f ca="1">WACC!H34+WACC!H35+WACC!H36-'META DCF'!B32-'META DCF'!B33</f>
        <v>1482630.7341</v>
      </c>
      <c r="H89" s="80">
        <f ca="1">WACC!I34+WACC!I35+WACC!I36-'TSLA DCF'!B32-'TSLA DCF'!B33</f>
        <v>1317665.9916900001</v>
      </c>
    </row>
    <row r="90" spans="1:8" x14ac:dyDescent="0.25">
      <c r="A90" t="s">
        <v>954</v>
      </c>
      <c r="B90" s="80">
        <f>Multiples!B55</f>
        <v>133050</v>
      </c>
      <c r="C90" s="80">
        <f>Multiples!C55</f>
        <v>128528</v>
      </c>
      <c r="D90" s="80">
        <f>Multiples!D55</f>
        <v>129039</v>
      </c>
      <c r="E90" s="80">
        <f>Multiples!E55</f>
        <v>79975</v>
      </c>
      <c r="F90" s="80">
        <f>Multiples!F55</f>
        <v>130387</v>
      </c>
      <c r="G90" s="80">
        <f>Multiples!G55</f>
        <v>83276</v>
      </c>
      <c r="H90" s="80">
        <f>Multiples!H55</f>
        <v>4355</v>
      </c>
    </row>
    <row r="91" spans="1:8" x14ac:dyDescent="0.25">
      <c r="A91" t="s">
        <v>955</v>
      </c>
      <c r="B91" s="179">
        <f t="shared" ref="B91:H91" ca="1" si="9">IF(B90&lt;=0,"n/a",B89/B90)</f>
        <v>33.416164655392706</v>
      </c>
      <c r="C91" s="179">
        <f t="shared" ca="1" si="9"/>
        <v>28.682181882546992</v>
      </c>
      <c r="D91" s="179">
        <f t="shared" ca="1" si="9"/>
        <v>31.83443548074613</v>
      </c>
      <c r="E91" s="179">
        <f t="shared" ca="1" si="9"/>
        <v>37.247374823382302</v>
      </c>
      <c r="F91" s="179">
        <f t="shared" ca="1" si="9"/>
        <v>41.260215819061713</v>
      </c>
      <c r="G91" s="179">
        <f t="shared" ca="1" si="9"/>
        <v>17.803817835871079</v>
      </c>
      <c r="H91" s="179">
        <f t="shared" ca="1" si="9"/>
        <v>302.56394757520093</v>
      </c>
    </row>
    <row r="92" spans="1:8" x14ac:dyDescent="0.25">
      <c r="A92" t="s">
        <v>956</v>
      </c>
      <c r="B92" s="82">
        <f>Multiples!B47</f>
        <v>22.896406859006767</v>
      </c>
      <c r="C92" s="82">
        <f>Multiples!C47</f>
        <v>22.259821104914622</v>
      </c>
      <c r="D92" s="82">
        <f>Multiples!D47</f>
        <v>17.571631477731724</v>
      </c>
      <c r="E92" s="82">
        <f>Multiples!E47</f>
        <v>29.79955918780216</v>
      </c>
      <c r="F92" s="82">
        <f>Multiples!F47</f>
        <v>95.891374734971862</v>
      </c>
      <c r="G92" s="82">
        <f>Multiples!G47</f>
        <v>34.092156615266141</v>
      </c>
      <c r="H92" s="82">
        <f>Multiples!H47</f>
        <v>47.48730632258065</v>
      </c>
    </row>
    <row r="93" spans="1:8" x14ac:dyDescent="0.25">
      <c r="A93" t="s">
        <v>957</v>
      </c>
      <c r="B93" s="144">
        <f t="shared" ref="B93:H93" ca="1" si="10">IFERROR(B91/B92-1,"n/a")</f>
        <v>0.45945016006945116</v>
      </c>
      <c r="C93" s="144">
        <f t="shared" ca="1" si="10"/>
        <v>0.28851807691367348</v>
      </c>
      <c r="D93" s="144">
        <f t="shared" ca="1" si="10"/>
        <v>0.81169491979668784</v>
      </c>
      <c r="E93" s="144">
        <f t="shared" ca="1" si="10"/>
        <v>0.24993039623984625</v>
      </c>
      <c r="F93" s="144">
        <f t="shared" ca="1" si="10"/>
        <v>-0.569719216841992</v>
      </c>
      <c r="G93" s="144">
        <f t="shared" ca="1" si="10"/>
        <v>-0.47777378718544605</v>
      </c>
      <c r="H93" s="144">
        <f t="shared" ca="1" si="10"/>
        <v>5.3714699991591015</v>
      </c>
    </row>
    <row r="94" spans="1:8" x14ac:dyDescent="0.25">
      <c r="A94" t="s">
        <v>958</v>
      </c>
      <c r="B94" s="96">
        <f>Multiples!B46</f>
        <v>3</v>
      </c>
      <c r="C94" s="96">
        <f>Multiples!C46</f>
        <v>4</v>
      </c>
      <c r="D94" s="96">
        <f>Multiples!D46</f>
        <v>3</v>
      </c>
      <c r="E94" s="96">
        <f>Multiples!E46</f>
        <v>5</v>
      </c>
      <c r="F94" s="96">
        <f>Multiples!F46</f>
        <v>7</v>
      </c>
      <c r="G94" s="96">
        <f>Multiples!G46</f>
        <v>4</v>
      </c>
      <c r="H94" s="96">
        <f>Multiples!H46</f>
        <v>1</v>
      </c>
    </row>
    <row r="96" spans="1:8" x14ac:dyDescent="0.25">
      <c r="A96" s="94" t="s">
        <v>959</v>
      </c>
    </row>
    <row r="97" spans="1:8" x14ac:dyDescent="0.25">
      <c r="B97" t="s">
        <v>296</v>
      </c>
      <c r="C97" t="s">
        <v>295</v>
      </c>
      <c r="D97" t="s">
        <v>308</v>
      </c>
      <c r="E97" t="s">
        <v>291</v>
      </c>
      <c r="F97" t="s">
        <v>294</v>
      </c>
      <c r="G97" t="s">
        <v>292</v>
      </c>
      <c r="H97" t="s">
        <v>293</v>
      </c>
    </row>
    <row r="98" spans="1:8" x14ac:dyDescent="0.25">
      <c r="A98" t="s">
        <v>1021</v>
      </c>
      <c r="B98" s="139">
        <f t="shared" ref="B98:H98" ca="1" si="11">B80/B83</f>
        <v>0.67965102078110018</v>
      </c>
      <c r="C98" s="139">
        <f t="shared" ca="1" si="11"/>
        <v>0.77615656899009355</v>
      </c>
      <c r="D98" s="139">
        <f t="shared" ca="1" si="11"/>
        <v>0.74353906074686582</v>
      </c>
      <c r="E98" s="139">
        <f t="shared" ca="1" si="11"/>
        <v>0.31617049770906053</v>
      </c>
      <c r="F98" s="139">
        <f t="shared" ca="1" si="11"/>
        <v>0.33124096177853285</v>
      </c>
      <c r="G98" s="139">
        <f t="shared" ca="1" si="11"/>
        <v>1.4321679221523478</v>
      </c>
      <c r="H98" s="139">
        <f t="shared" ca="1" si="11"/>
        <v>5.0193755677320283E-2</v>
      </c>
    </row>
    <row r="99" spans="1:8" x14ac:dyDescent="0.25">
      <c r="A99" t="s">
        <v>949</v>
      </c>
      <c r="B99" s="139">
        <f t="shared" ref="B99:H99" ca="1" si="12">B81/B83</f>
        <v>0.68163085138338275</v>
      </c>
      <c r="C99" s="139">
        <f t="shared" ca="1" si="12"/>
        <v>0.76973584144049256</v>
      </c>
      <c r="D99" s="139">
        <f t="shared" ca="1" si="12"/>
        <v>0.55479928390323174</v>
      </c>
      <c r="E99" s="139">
        <f t="shared" ca="1" si="12"/>
        <v>0.78378616420377178</v>
      </c>
      <c r="F99" s="139">
        <f t="shared" ca="1" si="12"/>
        <v>2.3045622869409996</v>
      </c>
      <c r="G99" s="139">
        <f t="shared" ca="1" si="12"/>
        <v>1.8662168877383565</v>
      </c>
      <c r="H99" s="139">
        <f t="shared" ca="1" si="12"/>
        <v>0.17352618128924674</v>
      </c>
    </row>
    <row r="100" spans="1:8" x14ac:dyDescent="0.25">
      <c r="A100" t="s">
        <v>950</v>
      </c>
      <c r="B100" s="139">
        <f t="shared" ref="B100:H100" ca="1" si="13">B82/B83</f>
        <v>0.21803818627981963</v>
      </c>
      <c r="C100" s="139">
        <f t="shared" ca="1" si="13"/>
        <v>0.48151585010629522</v>
      </c>
      <c r="D100" s="139">
        <f t="shared" ca="1" si="13"/>
        <v>0.29748016524243315</v>
      </c>
      <c r="E100" s="139">
        <f t="shared" ca="1" si="13"/>
        <v>0.30342881324593951</v>
      </c>
      <c r="F100" s="139">
        <f t="shared" ca="1" si="13"/>
        <v>0.43643411951392375</v>
      </c>
      <c r="G100" s="139">
        <f t="shared" ca="1" si="13"/>
        <v>0.80686445207019897</v>
      </c>
      <c r="H100" s="139">
        <f t="shared" ca="1" si="13"/>
        <v>8.9559719631661247E-2</v>
      </c>
    </row>
    <row r="101" spans="1:8" x14ac:dyDescent="0.25">
      <c r="A101" t="s">
        <v>960</v>
      </c>
      <c r="B101" s="139">
        <f>1</f>
        <v>1</v>
      </c>
      <c r="C101" s="139">
        <f>1</f>
        <v>1</v>
      </c>
      <c r="D101" s="139">
        <f>1</f>
        <v>1</v>
      </c>
      <c r="E101" s="139">
        <f>1</f>
        <v>1</v>
      </c>
      <c r="F101" s="139">
        <f>1</f>
        <v>1</v>
      </c>
      <c r="G101" s="139">
        <f>1</f>
        <v>1</v>
      </c>
      <c r="H101" s="139">
        <f>1</f>
        <v>1</v>
      </c>
    </row>
    <row r="126" spans="1:8" x14ac:dyDescent="0.25">
      <c r="A126" s="67" t="s">
        <v>1004</v>
      </c>
      <c r="B126" s="222"/>
      <c r="C126" s="222"/>
      <c r="D126" s="222"/>
      <c r="E126" s="222"/>
      <c r="F126" s="222"/>
      <c r="G126" s="222"/>
      <c r="H126" s="222"/>
    </row>
    <row r="127" spans="1:8" x14ac:dyDescent="0.25">
      <c r="A127" s="66" t="s">
        <v>1557</v>
      </c>
    </row>
    <row r="128" spans="1:8" x14ac:dyDescent="0.25">
      <c r="A128" t="s">
        <v>1005</v>
      </c>
      <c r="B128" s="225">
        <f t="shared" ref="B128:H128" si="14">IF(B23&gt;0.2,0.56,IF(B23&gt;0.15,0.59,IF(B23&gt;0.1,0.61,IF(B23&gt;0.05,0.64,0.67))))</f>
        <v>0.67</v>
      </c>
      <c r="C128" s="225">
        <f t="shared" si="14"/>
        <v>0.64</v>
      </c>
      <c r="D128" s="225">
        <f t="shared" si="14"/>
        <v>0.64</v>
      </c>
      <c r="E128" s="225">
        <f t="shared" si="14"/>
        <v>0.64</v>
      </c>
      <c r="F128" s="225">
        <f t="shared" si="14"/>
        <v>0.56000000000000005</v>
      </c>
      <c r="G128" s="225">
        <f t="shared" si="14"/>
        <v>0.61</v>
      </c>
      <c r="H128" s="225">
        <f t="shared" si="14"/>
        <v>0.67</v>
      </c>
    </row>
    <row r="129" spans="1:8" x14ac:dyDescent="0.25">
      <c r="A129" t="s">
        <v>1006</v>
      </c>
      <c r="B129" s="225">
        <f t="shared" ref="B129:H129" si="15">1-B128-B130</f>
        <v>0.29999999999999993</v>
      </c>
      <c r="C129" s="225">
        <f t="shared" si="15"/>
        <v>0.32</v>
      </c>
      <c r="D129" s="225">
        <f t="shared" si="15"/>
        <v>0.32</v>
      </c>
      <c r="E129" s="225">
        <f t="shared" si="15"/>
        <v>0.32</v>
      </c>
      <c r="F129" s="225">
        <f t="shared" si="15"/>
        <v>0.30999999999999994</v>
      </c>
      <c r="G129" s="225">
        <f t="shared" si="15"/>
        <v>0.34</v>
      </c>
      <c r="H129" s="225">
        <f t="shared" si="15"/>
        <v>0.29999999999999993</v>
      </c>
    </row>
    <row r="130" spans="1:8" x14ac:dyDescent="0.25">
      <c r="A130" t="s">
        <v>1007</v>
      </c>
      <c r="B130" s="225">
        <f t="shared" ref="B130:H130" si="16">IF(B23&gt;0.2,0.13,IF(B23&gt;0.15,0.08,IF(B23&gt;0.1,0.05,IF(B23&gt;0.05,0.04,0.03))))</f>
        <v>0.03</v>
      </c>
      <c r="C130" s="225">
        <f t="shared" si="16"/>
        <v>0.04</v>
      </c>
      <c r="D130" s="225">
        <f t="shared" si="16"/>
        <v>0.04</v>
      </c>
      <c r="E130" s="225">
        <f t="shared" si="16"/>
        <v>0.04</v>
      </c>
      <c r="F130" s="225">
        <f t="shared" si="16"/>
        <v>0.13</v>
      </c>
      <c r="G130" s="225">
        <f t="shared" si="16"/>
        <v>0.05</v>
      </c>
      <c r="H130" s="225">
        <f t="shared" si="16"/>
        <v>0.03</v>
      </c>
    </row>
    <row r="131" spans="1:8" x14ac:dyDescent="0.25">
      <c r="A131" t="s">
        <v>810</v>
      </c>
      <c r="B131" s="226">
        <f t="shared" ref="B131:H131" si="17">SUM(B128:B130)</f>
        <v>1</v>
      </c>
      <c r="C131" s="226">
        <f t="shared" si="17"/>
        <v>1</v>
      </c>
      <c r="D131" s="227">
        <f t="shared" si="17"/>
        <v>1</v>
      </c>
      <c r="E131" s="227">
        <f t="shared" si="17"/>
        <v>1</v>
      </c>
      <c r="F131" s="227">
        <f t="shared" si="17"/>
        <v>1</v>
      </c>
      <c r="G131" s="227">
        <f t="shared" si="17"/>
        <v>1</v>
      </c>
      <c r="H131" s="227">
        <f t="shared" si="17"/>
        <v>1</v>
      </c>
    </row>
    <row r="133" spans="1:8" x14ac:dyDescent="0.25">
      <c r="A133" t="s">
        <v>289</v>
      </c>
      <c r="B133" s="77" t="s">
        <v>296</v>
      </c>
      <c r="C133" s="77" t="s">
        <v>295</v>
      </c>
      <c r="D133" s="77" t="s">
        <v>308</v>
      </c>
      <c r="E133" s="77" t="s">
        <v>291</v>
      </c>
      <c r="F133" s="77" t="s">
        <v>294</v>
      </c>
      <c r="G133" s="77" t="s">
        <v>292</v>
      </c>
      <c r="H133" s="77" t="s">
        <v>293</v>
      </c>
    </row>
    <row r="134" spans="1:8" x14ac:dyDescent="0.25">
      <c r="A134" t="s">
        <v>940</v>
      </c>
      <c r="B134" s="143">
        <f t="shared" ref="B134:H136" si="18">B45</f>
        <v>142.45473109722801</v>
      </c>
      <c r="C134" s="143">
        <f t="shared" si="18"/>
        <v>238.08143779431001</v>
      </c>
      <c r="D134" s="143">
        <f t="shared" si="18"/>
        <v>152.827602562149</v>
      </c>
      <c r="E134" s="143">
        <f t="shared" si="18"/>
        <v>56.141329776978701</v>
      </c>
      <c r="F134" s="143">
        <f t="shared" si="18"/>
        <v>38.029866319861803</v>
      </c>
      <c r="G134" s="143">
        <f t="shared" si="18"/>
        <v>452.816398609038</v>
      </c>
      <c r="H134" s="143">
        <f t="shared" si="18"/>
        <v>12.7420040314946</v>
      </c>
    </row>
    <row r="135" spans="1:8" x14ac:dyDescent="0.25">
      <c r="A135" t="s">
        <v>941</v>
      </c>
      <c r="B135" s="143">
        <f t="shared" si="18"/>
        <v>207.92563678756201</v>
      </c>
      <c r="C135" s="143">
        <f t="shared" si="18"/>
        <v>384.507964277692</v>
      </c>
      <c r="D135" s="143">
        <f t="shared" si="18"/>
        <v>257.190161112341</v>
      </c>
      <c r="E135" s="143">
        <f t="shared" si="18"/>
        <v>83.0421812232847</v>
      </c>
      <c r="F135" s="143">
        <f t="shared" si="18"/>
        <v>74.582214954054507</v>
      </c>
      <c r="G135" s="143">
        <f t="shared" si="18"/>
        <v>844.76424888156203</v>
      </c>
      <c r="H135" s="143">
        <f t="shared" si="18"/>
        <v>17.179816755676399</v>
      </c>
    </row>
    <row r="136" spans="1:8" x14ac:dyDescent="0.25">
      <c r="A136" t="s">
        <v>942</v>
      </c>
      <c r="B136" s="143">
        <f t="shared" si="18"/>
        <v>291.03427905128001</v>
      </c>
      <c r="C136" s="143">
        <f t="shared" si="18"/>
        <v>443.69282500303598</v>
      </c>
      <c r="D136" s="143">
        <f t="shared" si="18"/>
        <v>297.07456281813</v>
      </c>
      <c r="E136" s="143">
        <f t="shared" si="18"/>
        <v>91.198412567753905</v>
      </c>
      <c r="F136" s="143">
        <f t="shared" si="18"/>
        <v>75.529203835862603</v>
      </c>
      <c r="G136" s="143">
        <f t="shared" si="18"/>
        <v>940.04901597176195</v>
      </c>
      <c r="H136" s="143">
        <f t="shared" si="18"/>
        <v>24.803864963734501</v>
      </c>
    </row>
    <row r="137" spans="1:8" x14ac:dyDescent="0.25">
      <c r="A137" t="s">
        <v>1008</v>
      </c>
      <c r="B137" s="142">
        <f t="shared" ref="B137:H137" si="19">B128*B134+B129*B135+B130*B136</f>
        <v>166.55338924294978</v>
      </c>
      <c r="C137" s="142">
        <f t="shared" si="19"/>
        <v>293.16238175734128</v>
      </c>
      <c r="D137" s="142">
        <f t="shared" si="19"/>
        <v>191.99349970844966</v>
      </c>
      <c r="E137" s="142">
        <f t="shared" si="19"/>
        <v>66.151885551427625</v>
      </c>
      <c r="F137" s="142">
        <f t="shared" si="19"/>
        <v>54.236008273541643</v>
      </c>
      <c r="G137" s="142">
        <f t="shared" si="19"/>
        <v>610.44029856983252</v>
      </c>
      <c r="H137" s="142">
        <f t="shared" si="19"/>
        <v>14.435203676716338</v>
      </c>
    </row>
    <row r="138" spans="1:8" x14ac:dyDescent="0.25">
      <c r="A138" t="s">
        <v>943</v>
      </c>
      <c r="B138" s="143">
        <f t="shared" ref="B138:H138" ca="1" si="20">B48</f>
        <v>305.93</v>
      </c>
      <c r="C138" s="143">
        <f t="shared" ca="1" si="20"/>
        <v>495.4</v>
      </c>
      <c r="D138" s="143">
        <f t="shared" ca="1" si="20"/>
        <v>345.9</v>
      </c>
      <c r="E138" s="143">
        <f t="shared" ca="1" si="20"/>
        <v>262.64999999999998</v>
      </c>
      <c r="F138" s="143">
        <f t="shared" ca="1" si="20"/>
        <v>225.16</v>
      </c>
      <c r="G138" s="143">
        <f t="shared" ca="1" si="20"/>
        <v>589.85</v>
      </c>
      <c r="H138" s="143">
        <f t="shared" ca="1" si="20"/>
        <v>342.27</v>
      </c>
    </row>
    <row r="139" spans="1:8" x14ac:dyDescent="0.25">
      <c r="A139" t="s">
        <v>1009</v>
      </c>
      <c r="B139" s="144">
        <f t="shared" ref="B139:H139" ca="1" si="21">IF(B138=0,"",B137/B138-1)</f>
        <v>-0.4555833385318544</v>
      </c>
      <c r="C139" s="144">
        <f t="shared" ca="1" si="21"/>
        <v>-0.40823096132954928</v>
      </c>
      <c r="D139" s="144">
        <f t="shared" ca="1" si="21"/>
        <v>-0.44494507167259423</v>
      </c>
      <c r="E139" s="144">
        <f t="shared" ca="1" si="21"/>
        <v>-0.74813673881047915</v>
      </c>
      <c r="F139" s="144">
        <f t="shared" ca="1" si="21"/>
        <v>-0.75912236510240882</v>
      </c>
      <c r="G139" s="144">
        <f t="shared" ca="1" si="21"/>
        <v>3.4907685970725577E-2</v>
      </c>
      <c r="H139" s="144">
        <f t="shared" ca="1" si="21"/>
        <v>-0.95782509809005656</v>
      </c>
    </row>
    <row r="141" spans="1:8" x14ac:dyDescent="0.25">
      <c r="A141" s="67" t="s">
        <v>1010</v>
      </c>
    </row>
    <row r="142" spans="1:8" x14ac:dyDescent="0.25">
      <c r="A142" t="s">
        <v>1011</v>
      </c>
      <c r="B142" s="143">
        <f t="shared" ref="B142:H142" si="22">B137*0.85</f>
        <v>141.57038085650731</v>
      </c>
      <c r="C142" s="143">
        <f t="shared" si="22"/>
        <v>249.18802449374007</v>
      </c>
      <c r="D142" s="143">
        <f t="shared" si="22"/>
        <v>163.1944747521822</v>
      </c>
      <c r="E142" s="143">
        <f t="shared" si="22"/>
        <v>56.229102718713477</v>
      </c>
      <c r="F142" s="143">
        <f t="shared" si="22"/>
        <v>46.100607032510396</v>
      </c>
      <c r="G142" s="143">
        <f t="shared" si="22"/>
        <v>518.87425378435762</v>
      </c>
      <c r="H142" s="143">
        <f t="shared" si="22"/>
        <v>12.269923125208887</v>
      </c>
    </row>
    <row r="143" spans="1:8" x14ac:dyDescent="0.25">
      <c r="A143" t="s">
        <v>1012</v>
      </c>
      <c r="B143" s="143">
        <f t="shared" ref="B143:H143" si="23">B137*1.15</f>
        <v>191.53639762939224</v>
      </c>
      <c r="C143" s="143">
        <f t="shared" si="23"/>
        <v>337.13673902094246</v>
      </c>
      <c r="D143" s="143">
        <f t="shared" si="23"/>
        <v>220.79252466471709</v>
      </c>
      <c r="E143" s="143">
        <f t="shared" si="23"/>
        <v>76.074668384141759</v>
      </c>
      <c r="F143" s="143">
        <f t="shared" si="23"/>
        <v>62.371409514572882</v>
      </c>
      <c r="G143" s="143">
        <f t="shared" si="23"/>
        <v>702.00634335530731</v>
      </c>
      <c r="H143" s="143">
        <f t="shared" si="23"/>
        <v>16.600484228223788</v>
      </c>
    </row>
    <row r="144" spans="1:8" x14ac:dyDescent="0.25">
      <c r="A144" t="s">
        <v>1013</v>
      </c>
      <c r="B144" s="133" t="str">
        <f t="shared" ref="B144:H144" ca="1" si="24">IF(AND(B138&gt;=B142,B138&lt;=B143),"yes","no")</f>
        <v>no</v>
      </c>
      <c r="C144" s="133" t="str">
        <f t="shared" ca="1" si="24"/>
        <v>no</v>
      </c>
      <c r="D144" s="133" t="str">
        <f t="shared" ca="1" si="24"/>
        <v>no</v>
      </c>
      <c r="E144" s="133" t="str">
        <f t="shared" ca="1" si="24"/>
        <v>no</v>
      </c>
      <c r="F144" s="133" t="str">
        <f t="shared" ca="1" si="24"/>
        <v>no</v>
      </c>
      <c r="G144" s="133" t="str">
        <f t="shared" ca="1" si="24"/>
        <v>yes</v>
      </c>
      <c r="H144" s="133" t="str">
        <f t="shared" ca="1" si="24"/>
        <v>no</v>
      </c>
    </row>
    <row r="146" spans="1:8" x14ac:dyDescent="0.25">
      <c r="A146" s="67" t="s">
        <v>1457</v>
      </c>
    </row>
    <row r="147" spans="1:8" x14ac:dyDescent="0.25">
      <c r="A147" t="s">
        <v>1458</v>
      </c>
      <c r="B147" s="191" t="s">
        <v>1459</v>
      </c>
    </row>
    <row r="148" spans="1:8" x14ac:dyDescent="0.25">
      <c r="A148" t="s">
        <v>1460</v>
      </c>
      <c r="B148">
        <f>MATCH($B$147,{"3-year mean","7-year mean","7-year median","Custom"},0)</f>
        <v>1</v>
      </c>
    </row>
    <row r="149" spans="1:8" x14ac:dyDescent="0.25">
      <c r="A149" s="66" t="s">
        <v>1461</v>
      </c>
    </row>
    <row r="150" spans="1:8" x14ac:dyDescent="0.25">
      <c r="A150" s="67" t="s">
        <v>1609</v>
      </c>
    </row>
    <row r="151" spans="1:8" x14ac:dyDescent="0.25">
      <c r="A151" t="s">
        <v>1610</v>
      </c>
      <c r="B151" s="191" t="s">
        <v>1611</v>
      </c>
    </row>
    <row r="152" spans="1:8" ht="90" x14ac:dyDescent="0.25">
      <c r="A152" s="237" t="s">
        <v>1612</v>
      </c>
    </row>
    <row r="155" spans="1:8" x14ac:dyDescent="0.25">
      <c r="A155" s="67" t="s">
        <v>1370</v>
      </c>
    </row>
    <row r="156" spans="1:8" x14ac:dyDescent="0.25">
      <c r="A156" t="s">
        <v>289</v>
      </c>
      <c r="B156" s="77" t="s">
        <v>296</v>
      </c>
      <c r="C156" s="77" t="s">
        <v>295</v>
      </c>
      <c r="D156" s="77" t="s">
        <v>308</v>
      </c>
      <c r="E156" s="77" t="s">
        <v>291</v>
      </c>
      <c r="F156" s="77" t="s">
        <v>294</v>
      </c>
      <c r="G156" s="77" t="s">
        <v>292</v>
      </c>
      <c r="H156" s="77" t="s">
        <v>293</v>
      </c>
    </row>
    <row r="157" spans="1:8" x14ac:dyDescent="0.25">
      <c r="A157" t="s">
        <v>328</v>
      </c>
      <c r="B157" s="35">
        <f ca="1">WACC!C34</f>
        <v>4464797.4874</v>
      </c>
      <c r="C157" s="35">
        <f ca="1">WACC!D34</f>
        <v>3678614.9929999998</v>
      </c>
      <c r="D157" s="35">
        <f ca="1">WACC!E34</f>
        <v>4230357</v>
      </c>
      <c r="E157" s="35">
        <f ca="1">WACC!F34</f>
        <v>2833024.3214999996</v>
      </c>
      <c r="F157" s="35">
        <f ca="1">WACC!G34</f>
        <v>5448872</v>
      </c>
      <c r="G157" s="35">
        <f ca="1">WACC!H34</f>
        <v>1502646.4140999999</v>
      </c>
      <c r="H157" s="35">
        <f ca="1">WACC!I34</f>
        <v>1351811.45169</v>
      </c>
    </row>
    <row r="158" spans="1:8" x14ac:dyDescent="0.25">
      <c r="A158" t="s">
        <v>1371</v>
      </c>
      <c r="B158" s="35">
        <f>'AAPL DCF'!B32+'AAPL DCF'!B33+'AAPL DCF'!B34+'AAPL DCF'!B35+'AAPL DCF'!B36+'AAPL DCF'!B37</f>
        <v>-3023.2200000000012</v>
      </c>
      <c r="C158" s="35">
        <f>'MSFT DCF'!B32+'MSFT DCF'!B33+'MSFT DCF'!B34+'MSFT DCF'!B35+'MSFT DCF'!B36+'MSFT DCF'!B37</f>
        <v>-29448.479999999996</v>
      </c>
      <c r="D158" s="35">
        <f>'GOOGL DCF'!B32+'GOOGL DCF'!B33+'GOOGL DCF'!B34+'GOOGL DCF'!B35+'GOOGL DCF'!B36+'GOOGL DCF'!B37</f>
        <v>79573.279999999999</v>
      </c>
      <c r="E158" s="35">
        <f>'AMZN DCF'!B32+'AMZN DCF'!B33+'AMZN DCF'!B34+'AMZN DCF'!B35+'AMZN DCF'!B36+'AMZN DCF'!B37</f>
        <v>-162734.47999999998</v>
      </c>
      <c r="F158" s="35">
        <f>'NVDA DCF'!B32+'NVDA DCF'!B33+'NVDA DCF'!B34+'NVDA DCF'!B35+'NVDA DCF'!B36+'NVDA DCF'!B37</f>
        <v>54276.239999999991</v>
      </c>
      <c r="G158" s="35">
        <f>'META DCF'!B32+'META DCF'!B33+'META DCF'!B34+'META DCF'!B35+'META DCF'!B36+'META DCF'!B37</f>
        <v>-34794.320000000007</v>
      </c>
      <c r="H158" s="35">
        <f>'TSLA DCF'!B32+'TSLA DCF'!B33+'TSLA DCF'!B34+'TSLA DCF'!B35+'TSLA DCF'!B36+'TSLA DCF'!B37</f>
        <v>27767.46</v>
      </c>
    </row>
    <row r="159" spans="1:8" x14ac:dyDescent="0.25">
      <c r="A159" t="s">
        <v>1372</v>
      </c>
      <c r="B159" s="35">
        <f t="shared" ref="B159:H159" ca="1" si="25">B157-B158</f>
        <v>4467820.7073999997</v>
      </c>
      <c r="C159" s="35">
        <f t="shared" ca="1" si="25"/>
        <v>3708063.4729999998</v>
      </c>
      <c r="D159" s="35">
        <f t="shared" ca="1" si="25"/>
        <v>4150783.72</v>
      </c>
      <c r="E159" s="35">
        <f t="shared" ca="1" si="25"/>
        <v>2995758.8014999996</v>
      </c>
      <c r="F159" s="35">
        <f t="shared" ca="1" si="25"/>
        <v>5394595.7599999998</v>
      </c>
      <c r="G159" s="35">
        <f t="shared" ca="1" si="25"/>
        <v>1537440.7341</v>
      </c>
      <c r="H159" s="35">
        <f t="shared" ca="1" si="25"/>
        <v>1324043.9916900001</v>
      </c>
    </row>
    <row r="160" spans="1:8" x14ac:dyDescent="0.25">
      <c r="A160" t="s">
        <v>1373</v>
      </c>
      <c r="B160" s="35">
        <f ca="1">'AAPL DCF'!B31</f>
        <v>3037527.3898923015</v>
      </c>
      <c r="C160" s="35">
        <f ca="1">'MSFT DCF'!B31</f>
        <v>2884629.6716023968</v>
      </c>
      <c r="D160" s="35">
        <f ca="1">'GOOGL DCF'!B31</f>
        <v>3065862.3904039292</v>
      </c>
      <c r="E160" s="35">
        <f ca="1">'AMZN DCF'!B31</f>
        <v>1058453.1897505284</v>
      </c>
      <c r="F160" s="35">
        <f ca="1">'NVDA DCF'!B31</f>
        <v>1750613.3618881179</v>
      </c>
      <c r="G160" s="35">
        <f ca="1">'META DCF'!B31</f>
        <v>2186836.312611273</v>
      </c>
      <c r="H160" s="35">
        <f ca="1">'TSLA DCF'!B31</f>
        <v>40085.033727931506</v>
      </c>
    </row>
    <row r="161" spans="1:8" x14ac:dyDescent="0.25">
      <c r="A161" t="s">
        <v>1374</v>
      </c>
      <c r="B161" s="192">
        <f t="shared" ref="B161:H161" ca="1" si="26">B159/B160</f>
        <v>1.4708742124489651</v>
      </c>
      <c r="C161" s="192">
        <f t="shared" ca="1" si="26"/>
        <v>1.2854556373401615</v>
      </c>
      <c r="D161" s="192">
        <f t="shared" ca="1" si="26"/>
        <v>1.353871502188698</v>
      </c>
      <c r="E161" s="192">
        <f t="shared" ca="1" si="26"/>
        <v>2.8303177037107172</v>
      </c>
      <c r="F161" s="192">
        <f t="shared" ca="1" si="26"/>
        <v>3.0815460897554656</v>
      </c>
      <c r="G161" s="192">
        <f t="shared" ca="1" si="26"/>
        <v>0.70304335319188194</v>
      </c>
      <c r="H161" s="192">
        <f t="shared" ca="1" si="26"/>
        <v>33.030881317866964</v>
      </c>
    </row>
    <row r="162" spans="1:8" x14ac:dyDescent="0.25">
      <c r="A162" t="s">
        <v>1375</v>
      </c>
      <c r="B162" s="35">
        <f ca="1">'AAPL DCF'!B19</f>
        <v>868734.28927179542</v>
      </c>
      <c r="C162" s="35">
        <f ca="1">'MSFT DCF'!B19</f>
        <v>782965.71036903863</v>
      </c>
      <c r="D162" s="35">
        <f ca="1">'GOOGL DCF'!B19</f>
        <v>799919.11260609503</v>
      </c>
      <c r="E162" s="35">
        <f ca="1">'AMZN DCF'!B19</f>
        <v>269363.96103402314</v>
      </c>
      <c r="F162" s="35">
        <f ca="1">'NVDA DCF'!B19</f>
        <v>1004905.0676709632</v>
      </c>
      <c r="G162" s="35">
        <f ca="1">'META DCF'!B19</f>
        <v>528247.26227256947</v>
      </c>
      <c r="H162" s="35">
        <f ca="1">'TSLA DCF'!B19</f>
        <v>13107.090411625622</v>
      </c>
    </row>
    <row r="163" spans="1:8" x14ac:dyDescent="0.25">
      <c r="A163" t="s">
        <v>1376</v>
      </c>
      <c r="B163" s="35">
        <f ca="1">B159/'AAPL DCF'!B29-B162</f>
        <v>3397580.4391868394</v>
      </c>
      <c r="C163" s="35">
        <f ca="1">C159/'MSFT DCF'!B29-C162</f>
        <v>2757022.3141604336</v>
      </c>
      <c r="D163" s="35">
        <f ca="1">D159/'GOOGL DCF'!B29-D162</f>
        <v>3166587.2252981258</v>
      </c>
      <c r="E163" s="35">
        <f ca="1">E159/'AMZN DCF'!B29-E162</f>
        <v>2603307.5006061126</v>
      </c>
      <c r="F163" s="35">
        <f ca="1">F159/'NVDA DCF'!B29-F162</f>
        <v>4026293.7857084074</v>
      </c>
      <c r="G163" s="35">
        <f ca="1">G159/'META DCF'!B29-G162</f>
        <v>942024.78808451782</v>
      </c>
      <c r="H163" s="35">
        <f ca="1">H159/'TSLA DCF'!B29-H162</f>
        <v>1237330.8569581888</v>
      </c>
    </row>
    <row r="164" spans="1:8" x14ac:dyDescent="0.25">
      <c r="A164" t="s">
        <v>1377</v>
      </c>
      <c r="B164" s="35">
        <f ca="1">B163/'AAPL DCF'!B26</f>
        <v>8551192.2777757328</v>
      </c>
      <c r="C164" s="35">
        <f ca="1">C163/'MSFT DCF'!B26</f>
        <v>6971843.2811257839</v>
      </c>
      <c r="D164" s="35">
        <f ca="1">D163/'GOOGL DCF'!B26</f>
        <v>7852907.7926873062</v>
      </c>
      <c r="E164" s="35">
        <f ca="1">E163/'AMZN DCF'!B26</f>
        <v>6024807.1448515179</v>
      </c>
      <c r="F164" s="35">
        <f ca="1">F163/'NVDA DCF'!B26</f>
        <v>16242539.815166332</v>
      </c>
      <c r="G164" s="35">
        <f ca="1">G163/'META DCF'!B26</f>
        <v>2301844.4385897797</v>
      </c>
      <c r="H164" s="35">
        <f ca="1">H163/'TSLA DCF'!B26</f>
        <v>3884107.5252068383</v>
      </c>
    </row>
    <row r="165" spans="1:8" x14ac:dyDescent="0.25">
      <c r="A165" t="s">
        <v>1378</v>
      </c>
      <c r="B165" s="29">
        <f ca="1">IFERROR((B164*'AAPL DCF'!B12-'AAPL DCF'!B24)/(B164-'AAPL DCF'!B24/'AAPL DCF'!E9),"n/a")</f>
        <v>7.5399386496915966E-2</v>
      </c>
      <c r="C165" s="29">
        <f ca="1">IFERROR((C164*'MSFT DCF'!B12-'MSFT DCF'!B24)/(C164-'MSFT DCF'!B24/'MSFT DCF'!E9),"n/a")</f>
        <v>7.2558650423391755E-2</v>
      </c>
      <c r="D165" s="29">
        <f ca="1">IFERROR((D164*'GOOGL DCF'!B12-'GOOGL DCF'!B24)/(D164-'GOOGL DCF'!B24/'GOOGL DCF'!E9),"n/a")</f>
        <v>7.311292242161456E-2</v>
      </c>
      <c r="E165" s="29">
        <f ca="1">IFERROR((E164*'AMZN DCF'!B12-'AMZN DCF'!B24)/(E164-'AMZN DCF'!B24/'AMZN DCF'!E9),"n/a")</f>
        <v>8.7531307151859569E-2</v>
      </c>
      <c r="F165" s="29">
        <f ca="1">IFERROR((F164*'NVDA DCF'!B12-'NVDA DCF'!B24)/(F164-'NVDA DCF'!B24/'NVDA DCF'!E9),"n/a")</f>
        <v>0.14967436549682989</v>
      </c>
      <c r="G165" s="29">
        <f ca="1">IFERROR((G164*'META DCF'!B12-'META DCF'!B24)/(G164-'META DCF'!B24/'META DCF'!E9),"n/a")</f>
        <v>3.0030039289883285E-2</v>
      </c>
      <c r="H165" s="29">
        <f ca="1">IFERROR((H164*'TSLA DCF'!B12-'TSLA DCF'!B24)/(H164-'TSLA DCF'!B24/'TSLA DCF'!E9),"n/a")</f>
        <v>0.1211934192737834</v>
      </c>
    </row>
    <row r="166" spans="1:8" x14ac:dyDescent="0.25">
      <c r="A166" t="s">
        <v>1379</v>
      </c>
      <c r="B166" s="3">
        <f>'AAPL DCF'!E8</f>
        <v>6.0300000000000006E-2</v>
      </c>
      <c r="C166" s="3">
        <f>'MSFT DCF'!E8</f>
        <v>6.0300000000000006E-2</v>
      </c>
      <c r="D166" s="3">
        <f>'GOOGL DCF'!E8</f>
        <v>6.0300000000000006E-2</v>
      </c>
      <c r="E166" s="3">
        <f>'AMZN DCF'!E8</f>
        <v>6.0300000000000006E-2</v>
      </c>
      <c r="F166" s="3">
        <f>'NVDA DCF'!E8</f>
        <v>6.0300000000000006E-2</v>
      </c>
      <c r="G166" s="3">
        <f>'META DCF'!E8</f>
        <v>6.0300000000000006E-2</v>
      </c>
      <c r="H166" s="3">
        <f>'TSLA DCF'!E8</f>
        <v>6.0300000000000006E-2</v>
      </c>
    </row>
    <row r="167" spans="1:8" x14ac:dyDescent="0.25">
      <c r="A167" t="s">
        <v>1380</v>
      </c>
      <c r="B167" s="3">
        <f t="shared" ref="B167:H167" ca="1" si="27">IFERROR(B165-B166,"n/a")</f>
        <v>1.5099386496915959E-2</v>
      </c>
      <c r="C167" s="3">
        <f t="shared" ca="1" si="27"/>
        <v>1.2258650423391748E-2</v>
      </c>
      <c r="D167" s="3">
        <f t="shared" ca="1" si="27"/>
        <v>1.2812922421614553E-2</v>
      </c>
      <c r="E167" s="3">
        <f t="shared" ca="1" si="27"/>
        <v>2.7231307151859563E-2</v>
      </c>
      <c r="F167" s="3">
        <f t="shared" ca="1" si="27"/>
        <v>8.937436549682988E-2</v>
      </c>
      <c r="G167" s="3">
        <f t="shared" ca="1" si="27"/>
        <v>-3.0269960710116721E-2</v>
      </c>
      <c r="H167" s="3">
        <f t="shared" ca="1" si="27"/>
        <v>6.0893419273783389E-2</v>
      </c>
    </row>
    <row r="168" spans="1:8" x14ac:dyDescent="0.25">
      <c r="A168" t="s">
        <v>1381</v>
      </c>
      <c r="B168" s="33" t="str">
        <f ca="1">IF(ABS('AAPL DCF'!E9-'AAPL DCF'!B12)&lt;0.0005,"no - RONIC = WACC, so growth cannot move CV","yes")</f>
        <v>yes</v>
      </c>
      <c r="C168" s="33" t="str">
        <f ca="1">IF(ABS('MSFT DCF'!E9-'MSFT DCF'!B12)&lt;0.0005,"no - RONIC = WACC, so growth cannot move CV","yes")</f>
        <v>yes</v>
      </c>
      <c r="D168" s="33" t="str">
        <f ca="1">IF(ABS('GOOGL DCF'!E9-'GOOGL DCF'!B12)&lt;0.0005,"no - RONIC = WACC, so growth cannot move CV","yes")</f>
        <v>yes</v>
      </c>
      <c r="E168" s="33" t="str">
        <f ca="1">IF(ABS('AMZN DCF'!E9-'AMZN DCF'!B12)&lt;0.0005,"no - RONIC = WACC, so growth cannot move CV","yes")</f>
        <v>no - RONIC = WACC, so growth cannot move CV</v>
      </c>
      <c r="F168" s="33" t="str">
        <f ca="1">IF(ABS('NVDA DCF'!E9-'NVDA DCF'!B12)&lt;0.0005,"no - RONIC = WACC, so growth cannot move CV","yes")</f>
        <v>no - RONIC = WACC, so growth cannot move CV</v>
      </c>
      <c r="G168" s="33" t="str">
        <f ca="1">IF(ABS('META DCF'!E9-'META DCF'!B12)&lt;0.0005,"no - RONIC = WACC, so growth cannot move CV","yes")</f>
        <v>yes</v>
      </c>
      <c r="H168" s="33" t="str">
        <f ca="1">IF(ABS('TSLA DCF'!E9-'TSLA DCF'!B12)&lt;0.0005,"no - RONIC = WACC, so growth cannot move CV","yes")</f>
        <v>no - RONIC = WACC, so growth cannot move CV</v>
      </c>
    </row>
    <row r="169" spans="1:8" x14ac:dyDescent="0.25">
      <c r="A169" t="s">
        <v>1382</v>
      </c>
      <c r="B169" s="30" t="str">
        <f ca="1">IF(B164&gt;=B172,"unattainable",IFERROR('AAPL DCF'!E8/(1-B164*('AAPL DCF'!B12-'AAPL DCF'!E8)/'AAPL DCF'!B24),"n/a"))</f>
        <v>unattainable</v>
      </c>
      <c r="C169" s="30" t="str">
        <f ca="1">IF(C164&gt;=C172,"unattainable",IFERROR('MSFT DCF'!E8/(1-C164*('MSFT DCF'!B12-'MSFT DCF'!E8)/'MSFT DCF'!B24),"n/a"))</f>
        <v>unattainable</v>
      </c>
      <c r="D169" s="30" t="str">
        <f ca="1">IF(D164&gt;=D172,"unattainable",IFERROR('GOOGL DCF'!E8/(1-D164*('GOOGL DCF'!B12-'GOOGL DCF'!E8)/'GOOGL DCF'!B24),"n/a"))</f>
        <v>unattainable</v>
      </c>
      <c r="E169" s="30" t="str">
        <f ca="1">IF(E164&gt;=E172,"unattainable",IFERROR('AMZN DCF'!E8/(1-E164*('AMZN DCF'!B12-'AMZN DCF'!E8)/'AMZN DCF'!B24),"n/a"))</f>
        <v>unattainable</v>
      </c>
      <c r="F169" s="30" t="str">
        <f ca="1">IF(F164&gt;=F172,"unattainable",IFERROR('NVDA DCF'!E8/(1-F164*('NVDA DCF'!B12-'NVDA DCF'!E8)/'NVDA DCF'!B24),"n/a"))</f>
        <v>unattainable</v>
      </c>
      <c r="G169" s="30">
        <f ca="1">IF(G164&gt;=G172,"unattainable",IFERROR('META DCF'!E8/(1-G164*('META DCF'!B12-'META DCF'!E8)/'META DCF'!B24),"n/a"))</f>
        <v>0.11207524747764519</v>
      </c>
      <c r="H169" s="30" t="str">
        <f ca="1">IF(H164&gt;=H172,"unattainable",IFERROR('TSLA DCF'!E8/(1-H164*('TSLA DCF'!B12-'TSLA DCF'!E8)/'TSLA DCF'!B24),"n/a"))</f>
        <v>unattainable</v>
      </c>
    </row>
    <row r="170" spans="1:8" x14ac:dyDescent="0.25">
      <c r="A170" t="s">
        <v>1383</v>
      </c>
      <c r="B170" s="28">
        <f>'AAPL DCF'!E9</f>
        <v>0.76066419225578408</v>
      </c>
      <c r="C170" s="28">
        <f>'MSFT DCF'!E9</f>
        <v>0.24687129987976841</v>
      </c>
      <c r="D170" s="28">
        <f>'GOOGL DCF'!E9</f>
        <v>0.270255345666576</v>
      </c>
      <c r="E170" s="28">
        <f ca="1">'AMZN DCF'!E9</f>
        <v>8.7531307151859569E-2</v>
      </c>
      <c r="F170" s="28">
        <f ca="1">'NVDA DCF'!E9</f>
        <v>0.14967436549682989</v>
      </c>
      <c r="G170" s="28">
        <f>'META DCF'!E9</f>
        <v>0.25826485235723745</v>
      </c>
      <c r="H170" s="28">
        <f ca="1">'TSLA DCF'!E9</f>
        <v>0.1211934192737834</v>
      </c>
    </row>
    <row r="171" spans="1:8" x14ac:dyDescent="0.25">
      <c r="A171" s="66" t="s">
        <v>1384</v>
      </c>
    </row>
    <row r="172" spans="1:8" x14ac:dyDescent="0.25">
      <c r="A172" t="s">
        <v>1385</v>
      </c>
      <c r="B172" s="35">
        <f ca="1">'AAPL DCF'!B24/('AAPL DCF'!B12-'AAPL DCF'!E8)</f>
        <v>5554001.528598411</v>
      </c>
      <c r="C172" s="35">
        <f ca="1">'MSFT DCF'!B24/('MSFT DCF'!B12-'MSFT DCF'!E8)</f>
        <v>6594781.382873184</v>
      </c>
      <c r="D172" s="35">
        <f ca="1">'GOOGL DCF'!B24/('GOOGL DCF'!B12-'GOOGL DCF'!E8)</f>
        <v>6798791.4025290553</v>
      </c>
      <c r="E172" s="35">
        <f ca="1">'AMZN DCF'!B24/('AMZN DCF'!B12-'AMZN DCF'!E8)</f>
        <v>5546496.0649491772</v>
      </c>
      <c r="F172" s="35">
        <f ca="1">'NVDA DCF'!B24/('NVDA DCF'!B12-'NVDA DCF'!E8)</f>
        <v>4241226.1888157586</v>
      </c>
      <c r="G172" s="35">
        <f ca="1">'META DCF'!B24/('META DCF'!B12-'META DCF'!E8)</f>
        <v>4982685.6978593459</v>
      </c>
      <c r="H172" s="35">
        <f ca="1">'TSLA DCF'!B24/('TSLA DCF'!B12-'TSLA DCF'!E8)</f>
        <v>154625.54824171201</v>
      </c>
    </row>
    <row r="173" spans="1:8" x14ac:dyDescent="0.25">
      <c r="A173" t="s">
        <v>1386</v>
      </c>
      <c r="B173" s="33" t="str">
        <f t="shared" ref="B173:H173" ca="1" si="28">IF(B164&lt;=B172,"yes","NO - required CV exceeds the theoretical maximum")</f>
        <v>NO - required CV exceeds the theoretical maximum</v>
      </c>
      <c r="C173" s="33" t="str">
        <f t="shared" ca="1" si="28"/>
        <v>NO - required CV exceeds the theoretical maximum</v>
      </c>
      <c r="D173" s="33" t="str">
        <f t="shared" ca="1" si="28"/>
        <v>NO - required CV exceeds the theoretical maximum</v>
      </c>
      <c r="E173" s="33" t="str">
        <f t="shared" ca="1" si="28"/>
        <v>NO - required CV exceeds the theoretical maximum</v>
      </c>
      <c r="F173" s="33" t="str">
        <f t="shared" ca="1" si="28"/>
        <v>NO - required CV exceeds the theoretical maximum</v>
      </c>
      <c r="G173" s="33" t="str">
        <f t="shared" ca="1" si="28"/>
        <v>yes</v>
      </c>
      <c r="H173" s="33" t="str">
        <f t="shared" ca="1" si="28"/>
        <v>NO - required CV exceeds the theoretical maximum</v>
      </c>
    </row>
    <row r="176" spans="1:8" x14ac:dyDescent="0.25">
      <c r="A176" s="67" t="s">
        <v>1442</v>
      </c>
    </row>
    <row r="199" spans="1:8" x14ac:dyDescent="0.25">
      <c r="A199" s="67" t="s">
        <v>1535</v>
      </c>
      <c r="B199" s="222"/>
      <c r="C199" s="222"/>
      <c r="D199" s="222"/>
      <c r="E199" s="222"/>
      <c r="F199" s="222"/>
      <c r="G199" s="222"/>
      <c r="H199" s="222"/>
    </row>
    <row r="200" spans="1:8" x14ac:dyDescent="0.25">
      <c r="A200" t="s">
        <v>1</v>
      </c>
      <c r="B200" s="77" t="s">
        <v>296</v>
      </c>
      <c r="C200" s="77" t="s">
        <v>295</v>
      </c>
      <c r="D200" s="77" t="s">
        <v>308</v>
      </c>
      <c r="E200" s="77" t="s">
        <v>291</v>
      </c>
      <c r="F200" s="77" t="s">
        <v>294</v>
      </c>
      <c r="G200" s="77" t="s">
        <v>292</v>
      </c>
      <c r="H200" s="77" t="s">
        <v>293</v>
      </c>
    </row>
    <row r="201" spans="1:8" x14ac:dyDescent="0.25">
      <c r="A201" t="s">
        <v>1536</v>
      </c>
      <c r="B201" s="191" t="s">
        <v>1543</v>
      </c>
      <c r="C201" s="191" t="s">
        <v>1543</v>
      </c>
      <c r="D201" s="191" t="s">
        <v>1543</v>
      </c>
      <c r="E201" s="191" t="s">
        <v>334</v>
      </c>
      <c r="F201" s="191" t="s">
        <v>334</v>
      </c>
      <c r="G201" s="191" t="s">
        <v>1543</v>
      </c>
      <c r="H201" s="191" t="s">
        <v>334</v>
      </c>
    </row>
    <row r="202" spans="1:8" x14ac:dyDescent="0.25">
      <c r="A202" t="s">
        <v>1537</v>
      </c>
      <c r="B202" s="28">
        <f>IFERROR('AAPL Forecast'!F115/'AAPL Forecast'!F116,"n/a")</f>
        <v>2.3191203391959165</v>
      </c>
      <c r="C202" s="28">
        <f>IFERROR('MSFT Forecast'!F115/'MSFT Forecast'!F116,"n/a")</f>
        <v>0.31821440666018452</v>
      </c>
      <c r="D202" s="28">
        <f>IFERROR('GOOGL Forecast'!F115/'GOOGL Forecast'!F116,"n/a")</f>
        <v>0.36311395492363918</v>
      </c>
      <c r="E202" s="28">
        <f>IFERROR('AMZN Forecast'!F115/'AMZN Forecast'!F116,"n/a")</f>
        <v>0.12299927336046014</v>
      </c>
      <c r="F202" s="28">
        <f>IFERROR('NVDA Forecast'!F115/'NVDA Forecast'!F116,"n/a")</f>
        <v>1.1502953167892307</v>
      </c>
      <c r="G202" s="28">
        <f>IFERROR('META Forecast'!F115/'META Forecast'!F116,"n/a")</f>
        <v>0.34230323037766153</v>
      </c>
      <c r="H202" s="28">
        <f>IFERROR('TSLA Forecast'!F115/'TSLA Forecast'!F116,"n/a")</f>
        <v>0.10112046874532445</v>
      </c>
    </row>
    <row r="203" spans="1:8" x14ac:dyDescent="0.25">
      <c r="A203" t="s">
        <v>1538</v>
      </c>
      <c r="B203" s="28">
        <f>'AAPL - Reconciliation FY'!$B$146</f>
        <v>0.76066419225578408</v>
      </c>
      <c r="C203" s="28">
        <f>'MSFT - Reconciliation FY'!$B$146</f>
        <v>0.24687129987976841</v>
      </c>
      <c r="D203" s="28">
        <f>'GOOGL - Reconciliation FY'!$B$146</f>
        <v>0.270255345666576</v>
      </c>
      <c r="E203" s="28">
        <f>'AMZN - Reconciliation FY'!$B$146</f>
        <v>0.11377132819452457</v>
      </c>
      <c r="F203" s="28">
        <f>'NVDA - Reconciliation FY'!$B$146</f>
        <v>0.88399986184952439</v>
      </c>
      <c r="G203" s="28">
        <f>'META - Reconciliation FY'!$B$146</f>
        <v>0.25826485235723745</v>
      </c>
      <c r="H203" s="28">
        <f>'TSLA - Reconciliation FY'!$B$146</f>
        <v>9.5871402236258854E-2</v>
      </c>
    </row>
    <row r="204" spans="1:8" x14ac:dyDescent="0.25">
      <c r="A204" t="s">
        <v>1539</v>
      </c>
      <c r="B204" s="28">
        <f ca="1">'AAPL DCF'!$B$12</f>
        <v>9.669456809382776E-2</v>
      </c>
      <c r="C204" s="28">
        <f ca="1">'MSFT DCF'!$B$12</f>
        <v>9.7212466744806408E-2</v>
      </c>
      <c r="D204" s="28">
        <f ca="1">'GOOGL DCF'!$B$12</f>
        <v>9.5075100642306412E-2</v>
      </c>
      <c r="E204" s="28">
        <f ca="1">'AMZN DCF'!$B$12</f>
        <v>8.7531307151859569E-2</v>
      </c>
      <c r="F204" s="28">
        <f ca="1">'NVDA DCF'!$B$12</f>
        <v>0.14967436549682989</v>
      </c>
      <c r="G204" s="28">
        <f ca="1">'META DCF'!$B$12</f>
        <v>9.345613080524226E-2</v>
      </c>
      <c r="H204" s="28">
        <f ca="1">'TSLA DCF'!$B$12</f>
        <v>0.1211934192737834</v>
      </c>
    </row>
    <row r="205" spans="1:8" x14ac:dyDescent="0.25">
      <c r="A205" t="s">
        <v>1540</v>
      </c>
      <c r="B205" s="70">
        <v>0.15</v>
      </c>
      <c r="C205" s="70">
        <v>0.15</v>
      </c>
      <c r="D205" s="70">
        <v>0.15</v>
      </c>
      <c r="E205" s="70">
        <v>0.15</v>
      </c>
      <c r="F205" s="70">
        <v>0.15</v>
      </c>
      <c r="G205" s="70">
        <v>0.15</v>
      </c>
      <c r="H205" s="70">
        <v>0.15</v>
      </c>
    </row>
    <row r="206" spans="1:8" x14ac:dyDescent="0.25">
      <c r="A206" t="s">
        <v>1541</v>
      </c>
      <c r="B206" s="30">
        <f t="shared" ref="B206:H206" si="29">IF(B201="WACC",B204,IF(B201="R&amp;D-adjusted ROIC",B203,IF(B201="Forecast ROIC",B202,B205)))</f>
        <v>0.76066419225578408</v>
      </c>
      <c r="C206" s="30">
        <f t="shared" si="29"/>
        <v>0.24687129987976841</v>
      </c>
      <c r="D206" s="30">
        <f t="shared" si="29"/>
        <v>0.270255345666576</v>
      </c>
      <c r="E206" s="30">
        <f t="shared" ca="1" si="29"/>
        <v>8.7531307151859569E-2</v>
      </c>
      <c r="F206" s="30">
        <f t="shared" ca="1" si="29"/>
        <v>0.14967436549682989</v>
      </c>
      <c r="G206" s="30">
        <f t="shared" si="29"/>
        <v>0.25826485235723745</v>
      </c>
      <c r="H206" s="30">
        <f t="shared" ca="1" si="29"/>
        <v>0.1211934192737834</v>
      </c>
    </row>
    <row r="207" spans="1:8" ht="57" x14ac:dyDescent="0.25">
      <c r="A207" t="s">
        <v>1542</v>
      </c>
      <c r="B207" s="223" t="s">
        <v>1544</v>
      </c>
      <c r="C207" s="223" t="s">
        <v>1545</v>
      </c>
      <c r="D207" s="223" t="s">
        <v>1546</v>
      </c>
      <c r="E207" s="223" t="s">
        <v>1547</v>
      </c>
      <c r="F207" s="223" t="s">
        <v>1548</v>
      </c>
      <c r="G207" s="223" t="s">
        <v>1549</v>
      </c>
      <c r="H207" s="223" t="s">
        <v>1550</v>
      </c>
    </row>
    <row r="209" spans="1:8" x14ac:dyDescent="0.25">
      <c r="A209" s="67" t="s">
        <v>1558</v>
      </c>
      <c r="B209" s="222"/>
      <c r="C209" s="222"/>
      <c r="D209" s="222"/>
      <c r="E209" s="222"/>
      <c r="F209" s="222"/>
      <c r="G209" s="222"/>
      <c r="H209" s="222"/>
    </row>
    <row r="210" spans="1:8" ht="45" x14ac:dyDescent="0.25">
      <c r="A210" s="228" t="s">
        <v>1559</v>
      </c>
      <c r="B210" s="228" t="s">
        <v>1560</v>
      </c>
      <c r="C210" s="228" t="s">
        <v>1561</v>
      </c>
      <c r="D210" s="228" t="s">
        <v>1562</v>
      </c>
    </row>
    <row r="211" spans="1:8" x14ac:dyDescent="0.25">
      <c r="A211" t="s">
        <v>1563</v>
      </c>
      <c r="B211" s="227">
        <v>0.56000000000000005</v>
      </c>
      <c r="C211" s="227">
        <v>0.31</v>
      </c>
      <c r="D211" s="227">
        <v>0.13</v>
      </c>
    </row>
    <row r="212" spans="1:8" x14ac:dyDescent="0.25">
      <c r="A212" t="s">
        <v>1564</v>
      </c>
      <c r="B212" s="227">
        <v>0.59</v>
      </c>
      <c r="C212" s="227">
        <v>0.33</v>
      </c>
      <c r="D212" s="227">
        <v>0.08</v>
      </c>
    </row>
    <row r="213" spans="1:8" x14ac:dyDescent="0.25">
      <c r="A213" t="s">
        <v>1565</v>
      </c>
      <c r="B213" s="227">
        <v>0.61</v>
      </c>
      <c r="C213" s="227">
        <v>0.34</v>
      </c>
      <c r="D213" s="227">
        <v>0.05</v>
      </c>
    </row>
    <row r="214" spans="1:8" x14ac:dyDescent="0.25">
      <c r="A214" t="s">
        <v>1566</v>
      </c>
      <c r="B214" s="227">
        <v>0.64</v>
      </c>
      <c r="C214" s="227">
        <v>0.32</v>
      </c>
      <c r="D214" s="227">
        <v>0.04</v>
      </c>
    </row>
    <row r="215" spans="1:8" x14ac:dyDescent="0.25">
      <c r="A215" t="s">
        <v>1567</v>
      </c>
      <c r="B215" s="227">
        <v>0.67</v>
      </c>
      <c r="C215" s="227">
        <v>0.3</v>
      </c>
      <c r="D215" s="227">
        <v>0.03</v>
      </c>
    </row>
    <row r="216" spans="1:8" ht="84.75" x14ac:dyDescent="0.25">
      <c r="A216" s="229" t="s">
        <v>1568</v>
      </c>
    </row>
    <row r="217" spans="1:8" ht="84.75" x14ac:dyDescent="0.25">
      <c r="A217" s="229" t="s">
        <v>1573</v>
      </c>
    </row>
    <row r="219" spans="1:8" x14ac:dyDescent="0.25">
      <c r="A219" s="67" t="s">
        <v>1577</v>
      </c>
      <c r="B219" s="222"/>
      <c r="C219" s="222"/>
      <c r="D219" s="222"/>
      <c r="E219" s="222"/>
      <c r="F219" s="222"/>
      <c r="G219" s="222"/>
      <c r="H219" s="222"/>
    </row>
    <row r="220" spans="1:8" x14ac:dyDescent="0.25">
      <c r="A220" t="s">
        <v>1</v>
      </c>
      <c r="B220" s="77" t="s">
        <v>296</v>
      </c>
      <c r="C220" s="77" t="s">
        <v>295</v>
      </c>
      <c r="D220" s="77" t="s">
        <v>308</v>
      </c>
      <c r="E220" s="77" t="s">
        <v>291</v>
      </c>
      <c r="F220" s="77" t="s">
        <v>294</v>
      </c>
      <c r="G220" s="77" t="s">
        <v>292</v>
      </c>
      <c r="H220" s="77" t="s">
        <v>293</v>
      </c>
    </row>
    <row r="221" spans="1:8" x14ac:dyDescent="0.25">
      <c r="A221" t="s">
        <v>1578</v>
      </c>
      <c r="B221" s="28">
        <f>'AAPL - Income Statement FY'!$B$25/'AAPL - Income Statement FY'!$B$7</f>
        <v>0.31970799762591884</v>
      </c>
      <c r="C221" s="28">
        <f>'MSFT - Income Statement FY'!$B$25/'MSFT - Income Statement FY'!$B$7</f>
        <v>0.45621956240859851</v>
      </c>
      <c r="D221" s="28">
        <f>'GOOGL - Income Statement FY'!$B$25/'GOOGL - Income Statement FY'!$B$7</f>
        <v>0.32032638592380025</v>
      </c>
      <c r="E221" s="28">
        <f>'AMZN - Income Statement FY'!$B$25/'AMZN - Income Statement FY'!$B$7</f>
        <v>0.11155296795755199</v>
      </c>
      <c r="F221" s="28">
        <f>'NVDA - Income Statement FY'!$B$25/'NVDA - Income Statement FY'!$B$7</f>
        <v>0.60381683631412719</v>
      </c>
      <c r="G221" s="28">
        <f>'META - Income Statement FY'!$B$25/'META - Income Statement FY'!$B$7</f>
        <v>0.41437855159579234</v>
      </c>
      <c r="H221" s="28">
        <f>'TSLA - Income Statement FY'!$B$25/'TSLA - Income Statement FY'!$B$7</f>
        <v>4.5925738450019508E-2</v>
      </c>
    </row>
    <row r="222" spans="1:8" x14ac:dyDescent="0.25">
      <c r="A222" t="s">
        <v>1579</v>
      </c>
      <c r="B222" s="28" cm="1">
        <f t="array" ref="B222">AVERAGE('AAPL - Income Statement FY'!$B$25:$H$25/'AAPL - Income Statement FY'!$B$7:$H$7)</f>
        <v>0.28870412623383734</v>
      </c>
      <c r="C222" s="28" cm="1">
        <f t="array" ref="C222">AVERAGE('MSFT - Income Statement FY'!$B$25:$H$25/'MSFT - Income Statement FY'!$B$7:$H$7)</f>
        <v>0.409795221590392</v>
      </c>
      <c r="D222" s="28" cm="1">
        <f t="array" ref="D222">AVERAGE('GOOGL - Income Statement FY'!$B$25:$H$25/'GOOGL - Income Statement FY'!$B$7:$H$7)</f>
        <v>0.27473121851881316</v>
      </c>
      <c r="E222" s="28" cm="1">
        <f t="array" ref="E222">AVERAGE('AMZN - Income Statement FY'!$B$25:$H$25/'AMZN - Income Statement FY'!$B$7:$H$7)</f>
        <v>6.730285864728805E-2</v>
      </c>
      <c r="F222" s="28" cm="1">
        <f t="array" ref="F222">AVERAGE('NVDA - Income Statement FY'!$B$25:$H$25/'NVDA - Income Statement FY'!$B$7:$H$7)</f>
        <v>0.40447653593385174</v>
      </c>
      <c r="G222" s="28" cm="1">
        <f t="array" ref="G222">AVERAGE('META - Income Statement FY'!$B$25:$H$25/'META - Income Statement FY'!$B$7:$H$7)</f>
        <v>0.36381251735122266</v>
      </c>
      <c r="H222" s="28" cm="1">
        <f t="array" ref="H222">AVERAGE('TSLA - Income Statement FY'!$B$25:$H$25/'TSLA - Income Statement FY'!$B$7:$H$7)</f>
        <v>7.9926523942486796E-2</v>
      </c>
    </row>
    <row r="223" spans="1:8" x14ac:dyDescent="0.25">
      <c r="A223" t="s">
        <v>1580</v>
      </c>
      <c r="B223" s="28" cm="1">
        <f t="array" ref="B223">STDEV('AAPL - Income Statement FY'!$B$25:$H$25/'AAPL - Income Statement FY'!$B$7:$H$7)</f>
        <v>3.1914626857002845E-2</v>
      </c>
      <c r="C223" s="28" cm="1">
        <f t="array" ref="C223">STDEV('MSFT - Income Statement FY'!$B$25:$H$25/'MSFT - Income Statement FY'!$B$7:$H$7)</f>
        <v>4.0735777296910199E-2</v>
      </c>
      <c r="D223" s="28" cm="1">
        <f t="array" ref="D223">STDEV('GOOGL - Income Statement FY'!$B$25:$H$25/'GOOGL - Income Statement FY'!$B$7:$H$7)</f>
        <v>4.4099007575578518E-2</v>
      </c>
      <c r="E223" s="28" cm="1">
        <f t="array" ref="E223">STDEV('AMZN - Income Statement FY'!$B$25:$H$25/'AMZN - Income Statement FY'!$B$7:$H$7)</f>
        <v>3.1581867399211525E-2</v>
      </c>
      <c r="F223" s="28" cm="1">
        <f t="array" ref="F223">STDEV('NVDA - Income Statement FY'!$B$25:$H$25/'NVDA - Income Statement FY'!$B$7:$H$7)</f>
        <v>0.18593030441271394</v>
      </c>
      <c r="G223" s="28" cm="1">
        <f t="array" ref="G223">STDEV('META - Income Statement FY'!$B$25:$H$25/'META - Income Statement FY'!$B$7:$H$7)</f>
        <v>5.9869949348120399E-2</v>
      </c>
      <c r="H223" s="28" cm="1">
        <f t="array" ref="H223">STDEV('TSLA - Income Statement FY'!$B$25:$H$25/'TSLA - Income Statement FY'!$B$7:$H$7)</f>
        <v>5.4581220967554384E-2</v>
      </c>
    </row>
    <row r="224" spans="1:8" x14ac:dyDescent="0.25">
      <c r="A224" t="s">
        <v>1581</v>
      </c>
      <c r="B224" s="30">
        <f t="shared" ref="B224:H224" si="30">-MIN(B223,MAX(0,B221-B226))</f>
        <v>-3.1914626857002845E-2</v>
      </c>
      <c r="C224" s="30">
        <f t="shared" si="30"/>
        <v>-4.0735777296910199E-2</v>
      </c>
      <c r="D224" s="30">
        <f t="shared" si="30"/>
        <v>-4.4099007575578518E-2</v>
      </c>
      <c r="E224" s="30">
        <f t="shared" si="30"/>
        <v>-3.1581867399211525E-2</v>
      </c>
      <c r="F224" s="30">
        <f t="shared" si="30"/>
        <v>-0.18593030441271394</v>
      </c>
      <c r="G224" s="30">
        <f t="shared" si="30"/>
        <v>-5.9869949348120399E-2</v>
      </c>
      <c r="H224" s="30">
        <f t="shared" si="30"/>
        <v>-4.8733127171640467E-2</v>
      </c>
    </row>
    <row r="225" spans="1:8" x14ac:dyDescent="0.25">
      <c r="A225" t="s">
        <v>1582</v>
      </c>
      <c r="B225" s="30">
        <f t="shared" ref="B225:H225" si="31">MIN(B223,MAX(0,B227-B221))</f>
        <v>0</v>
      </c>
      <c r="C225" s="30">
        <f t="shared" si="31"/>
        <v>0</v>
      </c>
      <c r="D225" s="30">
        <f t="shared" si="31"/>
        <v>7.7138619077671278E-4</v>
      </c>
      <c r="E225" s="30">
        <f t="shared" si="31"/>
        <v>0</v>
      </c>
      <c r="F225" s="30">
        <f t="shared" si="31"/>
        <v>2.0358432082847489E-2</v>
      </c>
      <c r="G225" s="30">
        <f t="shared" si="31"/>
        <v>7.3818024446086206E-3</v>
      </c>
      <c r="H225" s="30">
        <f t="shared" si="31"/>
        <v>5.4581220967554384E-2</v>
      </c>
    </row>
    <row r="226" spans="1:8" x14ac:dyDescent="0.25">
      <c r="A226" t="s">
        <v>1583</v>
      </c>
      <c r="B226" s="28" cm="1">
        <f t="array" ref="B226">MIN('AAPL - Income Statement FY'!$B$25:$H$25/'AAPL - Income Statement FY'!$B$7:$H$7)</f>
        <v>0.24147314354406862</v>
      </c>
      <c r="C226" s="28" cm="1">
        <f t="array" ref="C226">MIN('MSFT - Income Statement FY'!$B$25:$H$25/'MSFT - Income Statement FY'!$B$7:$H$7)</f>
        <v>0.3413698020549415</v>
      </c>
      <c r="D226" s="28" cm="1">
        <f t="array" ref="D226">MIN('GOOGL - Income Statement FY'!$B$25:$H$25/'GOOGL - Income Statement FY'!$B$7:$H$7)</f>
        <v>0.21148915400631421</v>
      </c>
      <c r="E226" s="28" cm="1">
        <f t="array" ref="E226">MIN('AMZN - Income Statement FY'!$B$25:$H$25/'AMZN - Income Statement FY'!$B$7:$H$7)</f>
        <v>2.3829581912242232E-2</v>
      </c>
      <c r="F226" s="28" cm="1">
        <f t="array" ref="F226">MIN('NVDA - Income Statement FY'!$B$25:$H$25/'NVDA - Income Statement FY'!$B$7:$H$7)</f>
        <v>0.1565952398606065</v>
      </c>
      <c r="G226" s="28" cm="1">
        <f t="array" ref="G226">MIN('META - Income Statement FY'!$B$25:$H$25/'META - Income Statement FY'!$B$7:$H$7)</f>
        <v>0.24821411726367604</v>
      </c>
      <c r="H226" s="28" cm="1">
        <f t="array" ref="H226">MIN('TSLA - Income Statement FY'!$B$25:$H$25/'TSLA - Income Statement FY'!$B$7:$H$7)</f>
        <v>-2.8073887216209618E-3</v>
      </c>
    </row>
    <row r="227" spans="1:8" x14ac:dyDescent="0.25">
      <c r="A227" t="s">
        <v>1584</v>
      </c>
      <c r="B227" s="28" cm="1">
        <f t="array" ref="B227">MAX('AAPL - Income Statement FY'!$B$25:$H$25/'AAPL - Income Statement FY'!$B$7:$H$7)</f>
        <v>0.31970799762591884</v>
      </c>
      <c r="C227" s="28" cm="1">
        <f t="array" ref="C227">MAX('MSFT - Income Statement FY'!$B$25:$H$25/'MSFT - Income Statement FY'!$B$7:$H$7)</f>
        <v>0.45621956240859851</v>
      </c>
      <c r="D227" s="28" cm="1">
        <f t="array" ref="D227">MAX('GOOGL - Income Statement FY'!$B$25:$H$25/'GOOGL - Income Statement FY'!$B$7:$H$7)</f>
        <v>0.32109777211457696</v>
      </c>
      <c r="E227" s="28" cm="1">
        <f t="array" ref="E227">MAX('AMZN - Income Statement FY'!$B$25:$H$25/'AMZN - Income Statement FY'!$B$7:$H$7)</f>
        <v>0.11155296795755199</v>
      </c>
      <c r="F227" s="28" cm="1">
        <f t="array" ref="F227">MAX('NVDA - Income Statement FY'!$B$25:$H$25/'NVDA - Income Statement FY'!$B$7:$H$7)</f>
        <v>0.62417526839697468</v>
      </c>
      <c r="G227" s="28" cm="1">
        <f t="array" ref="G227">MAX('META - Income Statement FY'!$B$25:$H$25/'META - Income Statement FY'!$B$7:$H$7)</f>
        <v>0.42176035404040096</v>
      </c>
      <c r="H227" s="28" cm="1">
        <f t="array" ref="H227">MAX('TSLA - Income Statement FY'!$B$25:$H$25/'TSLA - Income Statement FY'!$B$7:$H$7)</f>
        <v>0.16763644398615304</v>
      </c>
    </row>
    <row r="228" spans="1:8" ht="48.75" x14ac:dyDescent="0.25">
      <c r="A228" s="229" t="s">
        <v>1585</v>
      </c>
    </row>
    <row r="230" spans="1:8" x14ac:dyDescent="0.25">
      <c r="A230" s="201" t="s">
        <v>1586</v>
      </c>
      <c r="B230" s="230"/>
      <c r="C230" s="230"/>
      <c r="D230" s="230"/>
      <c r="E230" s="230"/>
      <c r="F230" s="230"/>
      <c r="G230" s="230"/>
      <c r="H230" s="230"/>
    </row>
    <row r="231" spans="1:8" x14ac:dyDescent="0.25">
      <c r="A231" t="s">
        <v>1</v>
      </c>
      <c r="B231" s="77" t="s">
        <v>296</v>
      </c>
      <c r="C231" s="77" t="s">
        <v>295</v>
      </c>
      <c r="D231" s="77" t="s">
        <v>308</v>
      </c>
      <c r="E231" s="77" t="s">
        <v>291</v>
      </c>
      <c r="F231" s="77" t="s">
        <v>294</v>
      </c>
      <c r="G231" s="77" t="s">
        <v>292</v>
      </c>
      <c r="H231" s="77" t="s">
        <v>293</v>
      </c>
    </row>
    <row r="232" spans="1:8" x14ac:dyDescent="0.25">
      <c r="A232" t="s">
        <v>1587</v>
      </c>
      <c r="B232" s="28">
        <f>('AAPL - Income Statement FY'!$B$7/'AAPL - Income Statement FY'!$H$7)^(1/6)-1</f>
        <v>8.1432907299933799E-2</v>
      </c>
      <c r="C232" s="28">
        <f>('MSFT - Income Statement FY'!$B$7/'MSFT - Income Statement FY'!$H$7)^(1/6)-1</f>
        <v>0.14375357314985093</v>
      </c>
      <c r="D232" s="28">
        <f>('GOOGL - Income Statement FY'!$B$7/'GOOGL - Income Statement FY'!$H$7)^(1/6)-1</f>
        <v>0.16412459463471452</v>
      </c>
      <c r="E232" s="28">
        <f>('AMZN - Income Statement FY'!$B$7/'AMZN - Income Statement FY'!$H$7)^(1/6)-1</f>
        <v>0.16927778536755556</v>
      </c>
      <c r="F232" s="28">
        <f>('NVDA - Income Statement FY'!$B$7/'NVDA - Income Statement FY'!$H$7)^(1/6)-1</f>
        <v>0.64448909321955838</v>
      </c>
      <c r="G232" s="28">
        <f>('META - Income Statement FY'!$B$7/'META - Income Statement FY'!$H$7)^(1/6)-1</f>
        <v>0.19020088054258433</v>
      </c>
      <c r="H232" s="28">
        <f>('TSLA - Income Statement FY'!$B$7/'TSLA - Income Statement FY'!$H$7)^(1/6)-1</f>
        <v>0.25236497131143509</v>
      </c>
    </row>
    <row r="233" spans="1:8" x14ac:dyDescent="0.25">
      <c r="A233" t="s">
        <v>1588</v>
      </c>
      <c r="B233" s="28">
        <f>'AAPL Rev Drivers &amp; Forecast'!$B$4</f>
        <v>2.5300000000000003E-2</v>
      </c>
      <c r="C233" s="28">
        <f>'MSFT Rev Drivers &amp; Forecast'!$B$4</f>
        <v>2.5300000000000003E-2</v>
      </c>
      <c r="D233" s="28">
        <f>'GOOGL Rev Drivers &amp; Forecast'!$B$4</f>
        <v>2.5300000000000003E-2</v>
      </c>
      <c r="E233" s="28">
        <f>'AMZN Rev Drivers &amp; Forecast'!$B$4</f>
        <v>2.5300000000000003E-2</v>
      </c>
      <c r="F233" s="28">
        <f>'NVDA Rev Drivers &amp; Forecast'!$B$4</f>
        <v>2.5300000000000003E-2</v>
      </c>
      <c r="G233" s="28">
        <f>'META Rev Drivers &amp; Forecast'!$B$4</f>
        <v>2.5300000000000003E-2</v>
      </c>
      <c r="H233" s="28">
        <f>'TSLA Rev Drivers &amp; Forecast'!$B$4</f>
        <v>2.5300000000000003E-2</v>
      </c>
    </row>
    <row r="234" spans="1:8" x14ac:dyDescent="0.25">
      <c r="A234" t="s">
        <v>1589</v>
      </c>
      <c r="B234" s="30">
        <f t="shared" ref="B234:H234" si="32">B232-B233</f>
        <v>5.6132907299933796E-2</v>
      </c>
      <c r="C234" s="30">
        <f t="shared" si="32"/>
        <v>0.11845357314985093</v>
      </c>
      <c r="D234" s="30">
        <f t="shared" si="32"/>
        <v>0.13882459463471453</v>
      </c>
      <c r="E234" s="30">
        <f t="shared" si="32"/>
        <v>0.14397778536755557</v>
      </c>
      <c r="F234" s="30">
        <f t="shared" si="32"/>
        <v>0.6191890932195584</v>
      </c>
      <c r="G234" s="30">
        <f t="shared" si="32"/>
        <v>0.16490088054258434</v>
      </c>
      <c r="H234" s="30">
        <f t="shared" si="32"/>
        <v>0.2270649713114351</v>
      </c>
    </row>
    <row r="235" spans="1:8" x14ac:dyDescent="0.25">
      <c r="A235" t="s">
        <v>1590</v>
      </c>
      <c r="B235" s="28">
        <f t="shared" ref="B235:H235" si="33">$B$15</f>
        <v>0.01</v>
      </c>
      <c r="C235" s="28">
        <f t="shared" si="33"/>
        <v>0.01</v>
      </c>
      <c r="D235" s="28">
        <f t="shared" si="33"/>
        <v>0.01</v>
      </c>
      <c r="E235" s="28">
        <f t="shared" si="33"/>
        <v>0.01</v>
      </c>
      <c r="F235" s="28">
        <f t="shared" si="33"/>
        <v>0.01</v>
      </c>
      <c r="G235" s="28">
        <f t="shared" si="33"/>
        <v>0.01</v>
      </c>
      <c r="H235" s="28">
        <f t="shared" si="33"/>
        <v>0.01</v>
      </c>
    </row>
    <row r="236" spans="1:8" x14ac:dyDescent="0.25">
      <c r="A236" t="s">
        <v>1591</v>
      </c>
      <c r="B236" s="231">
        <f t="shared" ref="B236:H236" si="34">B234/B235</f>
        <v>5.6132907299933796</v>
      </c>
      <c r="C236" s="231">
        <f t="shared" si="34"/>
        <v>11.845357314985092</v>
      </c>
      <c r="D236" s="231">
        <f t="shared" si="34"/>
        <v>13.882459463471452</v>
      </c>
      <c r="E236" s="231">
        <f t="shared" si="34"/>
        <v>14.397778536755556</v>
      </c>
      <c r="F236" s="231">
        <f t="shared" si="34"/>
        <v>61.918909321955837</v>
      </c>
      <c r="G236" s="231">
        <f t="shared" si="34"/>
        <v>16.490088054258432</v>
      </c>
      <c r="H236" s="231">
        <f t="shared" si="34"/>
        <v>22.706497131143511</v>
      </c>
    </row>
    <row r="237" spans="1:8" ht="96.75" x14ac:dyDescent="0.25">
      <c r="A237" s="229" t="s">
        <v>1592</v>
      </c>
    </row>
  </sheetData>
  <conditionalFormatting sqref="A3">
    <cfRule type="containsText" dxfId="27" priority="3" operator="containsText" text="PASS">
      <formula>NOT(ISERROR(SEARCH("PASS",A3)))</formula>
    </cfRule>
    <cfRule type="containsText" dxfId="26" priority="4" operator="containsText" text="ATTENTION">
      <formula>NOT(ISERROR(SEARCH("ATTENTION",A3)))</formula>
    </cfRule>
  </conditionalFormatting>
  <conditionalFormatting sqref="B37:H37">
    <cfRule type="colorScale" priority="1">
      <colorScale>
        <cfvo type="min"/>
        <cfvo type="num" val="0"/>
        <cfvo type="max"/>
        <color rgb="FFF8696B"/>
        <color rgb="FFFFEB84"/>
        <color rgb="FF63BE7B"/>
      </colorScale>
    </cfRule>
  </conditionalFormatting>
  <conditionalFormatting sqref="B38:H38">
    <cfRule type="colorScale" priority="2">
      <colorScale>
        <cfvo type="min"/>
        <cfvo type="num" val="0"/>
        <cfvo type="max"/>
        <color rgb="FFF8696B"/>
        <color rgb="FFFFEB84"/>
        <color rgb="FF63BE7B"/>
      </colorScale>
    </cfRule>
  </conditionalFormatting>
  <dataValidations count="17">
    <dataValidation type="list" allowBlank="1" showInputMessage="1" showErrorMessage="1" sqref="B22:H22" xr:uid="{B44C8985-A559-4727-AE50-8E529CEDDF72}">
      <formula1>"Base,Worst,Best"</formula1>
    </dataValidation>
    <dataValidation type="list" allowBlank="1" showInputMessage="1" showErrorMessage="1" sqref="B147" xr:uid="{FE40414D-1C5E-4EE0-8FDA-63C8EA7A8C1F}">
      <formula1>"3-year mean,7-year mean,7-year median,Custom"</formula1>
    </dataValidation>
    <dataValidation type="decimal" showInputMessage="1" showErrorMessage="1" errorTitle="Value outside the plausible range" error="Risk-free rate must be between 0% and 20%." sqref="B5" xr:uid="{ED35399C-A84B-43D6-A4FA-F51AA1F8497A}">
      <formula1>0</formula1>
      <formula2>0.2</formula2>
    </dataValidation>
    <dataValidation type="decimal" showInputMessage="1" showErrorMessage="1" errorTitle="Value outside the plausible range" error="Real (TIPS) rate must be between -5% and 15%." sqref="B6" xr:uid="{FAC0220B-D67B-41EC-A253-9D8E2B2F9894}">
      <formula1>-0.05</formula1>
      <formula2>0.15</formula2>
    </dataValidation>
    <dataValidation type="decimal" showInputMessage="1" showErrorMessage="1" errorTitle="Value outside the plausible range" error="Long-run S&amp;P 500 ROE must be between 5% and 30%." sqref="B7" xr:uid="{E7FD7A63-76D6-4DD3-A724-0378E9175D1D}">
      <formula1>0.05</formula1>
      <formula2>0.3</formula2>
    </dataValidation>
    <dataValidation type="decimal" showInputMessage="1" showErrorMessage="1" errorTitle="Value outside the plausible range" error="Long-run real GDP growth must be between 0% and 10%." sqref="B8" xr:uid="{BE64500A-5F8F-466C-8A74-80392F12A18A}">
      <formula1>0</formula1>
      <formula2>0.1</formula2>
    </dataValidation>
    <dataValidation type="decimal" showInputMessage="1" showErrorMessage="1" errorTitle="Value outside the plausible range" error="S&amp;P 500 E/P must be between 1% and 20%." sqref="B9" xr:uid="{E6F3B9DC-F199-4F1F-B7B6-E38B5B1A5D3B}">
      <formula1>0.01</formula1>
      <formula2>0.2</formula2>
    </dataValidation>
    <dataValidation type="decimal" showInputMessage="1" showErrorMessage="1" errorTitle="Value outside the plausible range" error="Marginal tax rate must be between 0% and 50%." sqref="B12" xr:uid="{924C5C78-5790-4B2E-B484-6D81FDDCDD37}">
      <formula1>0</formula1>
      <formula2>0.5</formula2>
    </dataValidation>
    <dataValidation type="decimal" showInputMessage="1" showErrorMessage="1" errorTitle="Value outside the plausible range" error="Worst-case growth multiplier must be between 0.1x and 1.0x." sqref="B15" xr:uid="{A21C4985-2769-435D-9503-4FDBE694793E}">
      <formula1>0.1</formula1>
      <formula2>1</formula2>
    </dataValidation>
    <dataValidation type="decimal" showInputMessage="1" showErrorMessage="1" errorTitle="Value outside the plausible range" error="Best-case growth multiplier must be between 1.0x and 3.0x." sqref="B16" xr:uid="{BAE33E1E-C242-4108-B5F6-D71739C587CA}">
      <formula1>1</formula1>
      <formula2>3</formula2>
    </dataValidation>
    <dataValidation type="decimal" showInputMessage="1" showErrorMessage="1" errorTitle="Value outside the plausible range" error="Worst-case margin adjustment must be between -20pp and 0." sqref="B17" xr:uid="{DA23CB8E-2502-4C85-8418-8E9FB9C4A1E5}">
      <formula1>-0.2</formula1>
      <formula2>0</formula2>
    </dataValidation>
    <dataValidation type="decimal" showInputMessage="1" showErrorMessage="1" errorTitle="Value outside the plausible range" error="Best-case margin adjustment must be between 0 and +20pp." sqref="B18" xr:uid="{170F1AA7-93EC-4661-8158-411B26DA1FEC}">
      <formula1>0</formula1>
      <formula2>0.2</formula2>
    </dataValidation>
    <dataValidation type="decimal" showInputMessage="1" showErrorMessage="1" errorTitle="Value outside the plausible range" error="Base-case margin adjustment must be between -20pp and +20pp." sqref="B19" xr:uid="{2C8BA3D7-8F75-4730-811B-B9F16D802DD8}">
      <formula1>-0.2</formula1>
      <formula2>0.2</formula2>
    </dataValidation>
    <dataValidation type="decimal" showInputMessage="1" showErrorMessage="1" errorTitle="Value outside the plausible range" error="Starting real revenue growth must be between -20% and 60%." sqref="B23:H23" xr:uid="{DAFFA429-64A6-4621-86BB-CA1B467C40B8}">
      <formula1>-0.2</formula1>
      <formula2>0.6</formula2>
    </dataValidation>
    <dataValidation type="decimal" showInputMessage="1" showErrorMessage="1" errorTitle="Value outside the plausible range" error="Each scenario probability must be between 0% and 100%, and the three must sum to 100%." sqref="B128:B130" xr:uid="{E47AE6E0-45F5-44ED-8F1C-C43CFAB83CEE}">
      <formula1>0</formula1>
      <formula2>1</formula2>
    </dataValidation>
    <dataValidation type="list" allowBlank="1" showInputMessage="1" showErrorMessage="1" sqref="B201:H201" xr:uid="{AA5AF466-056F-4F5A-B33D-326FFDB31E1A}">
      <formula1>"Forecast ROIC,R&amp;D-adjusted ROIC,WACC,Manual"</formula1>
    </dataValidation>
    <dataValidation type="list" allowBlank="1" showInputMessage="1" showErrorMessage="1" sqref="B151" xr:uid="{96050A86-857B-46FC-A8EF-0A536A5F54AB}">
      <formula1>"Yes,No"</formula1>
    </dataValidation>
  </dataValidation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EAFE21-AE94-4723-8422-3AC9EB744598}">
  <sheetPr>
    <tabColor rgb="FF1F3864"/>
    <pageSetUpPr fitToPage="1"/>
  </sheetPr>
  <dimension ref="A1:H40"/>
  <sheetViews>
    <sheetView showGridLines="0" zoomScale="85" zoomScaleNormal="85" workbookViewId="0">
      <selection activeCell="L17" sqref="L17"/>
    </sheetView>
  </sheetViews>
  <sheetFormatPr defaultRowHeight="15" x14ac:dyDescent="0.25"/>
  <cols>
    <col min="1" max="1" width="47.5703125" customWidth="1"/>
    <col min="2" max="8" width="14.85546875" customWidth="1"/>
  </cols>
  <sheetData>
    <row r="1" spans="1:8" ht="19.5" x14ac:dyDescent="0.3">
      <c r="A1" s="203" t="s">
        <v>1505</v>
      </c>
      <c r="B1" s="205"/>
      <c r="C1" s="205"/>
      <c r="D1" s="205"/>
      <c r="E1" s="205"/>
      <c r="F1" s="205"/>
      <c r="G1" s="205"/>
      <c r="H1" s="205"/>
    </row>
    <row r="2" spans="1:8" x14ac:dyDescent="0.25">
      <c r="A2" s="211" t="str">
        <f ca="1">"Enterprise DCF to Koller et al., Valuation (4th ed.), ch.7-12.  All figures USD millions except per share.  Prices live as at "&amp;TEXT(TODAY(),"d mmmm yyyy")</f>
        <v>Enterprise DCF to Koller et al., Valuation (4th ed.), ch.7-12.  All figures USD millions except per share.  Prices live as at 16 August 2026</v>
      </c>
      <c r="B2" s="205"/>
      <c r="C2" s="205"/>
      <c r="D2" s="205"/>
      <c r="E2" s="205"/>
      <c r="F2" s="205"/>
      <c r="G2" s="205"/>
      <c r="H2" s="205"/>
    </row>
    <row r="3" spans="1:8" x14ac:dyDescent="0.25">
      <c r="A3" s="205"/>
      <c r="B3" s="205"/>
      <c r="C3" s="205"/>
      <c r="D3" s="205"/>
      <c r="E3" s="205"/>
      <c r="F3" s="205"/>
      <c r="G3" s="205"/>
      <c r="H3" s="205"/>
    </row>
    <row r="4" spans="1:8" x14ac:dyDescent="0.25">
      <c r="A4" s="206" t="s">
        <v>1506</v>
      </c>
      <c r="B4" s="206"/>
      <c r="C4" s="206"/>
      <c r="D4" s="206"/>
      <c r="E4" s="206"/>
      <c r="F4" s="206"/>
      <c r="G4" s="206"/>
      <c r="H4" s="206"/>
    </row>
    <row r="5" spans="1:8" x14ac:dyDescent="0.25">
      <c r="A5" s="205" t="s">
        <v>1507</v>
      </c>
      <c r="B5" s="207">
        <f>'Valuation Dashboard'!B5</f>
        <v>4.6800000000000001E-2</v>
      </c>
      <c r="C5" s="205" t="s">
        <v>306</v>
      </c>
      <c r="D5" s="207">
        <f>'Valuation Dashboard'!B11</f>
        <v>4.8503846153846154E-2</v>
      </c>
      <c r="E5" s="205" t="s">
        <v>337</v>
      </c>
      <c r="F5" s="208">
        <f>'Valuation Dashboard'!B12</f>
        <v>0.21</v>
      </c>
      <c r="G5" s="205" t="s">
        <v>804</v>
      </c>
      <c r="H5" s="207">
        <f>'AAPL DCF'!E8</f>
        <v>6.0300000000000006E-2</v>
      </c>
    </row>
    <row r="6" spans="1:8" x14ac:dyDescent="0.25">
      <c r="A6" s="205" t="s">
        <v>1508</v>
      </c>
      <c r="B6" s="209" t="s">
        <v>1510</v>
      </c>
      <c r="C6" s="209" t="s">
        <v>1509</v>
      </c>
      <c r="D6" s="209" t="str">
        <f>'Valuation Dashboard'!B147</f>
        <v>3-year mean</v>
      </c>
      <c r="E6" s="209" t="s">
        <v>1534</v>
      </c>
      <c r="F6" s="209" t="s">
        <v>1511</v>
      </c>
      <c r="G6" s="209" t="s">
        <v>1533</v>
      </c>
      <c r="H6" s="209" t="s">
        <v>1512</v>
      </c>
    </row>
    <row r="7" spans="1:8" x14ac:dyDescent="0.25">
      <c r="A7" s="205"/>
      <c r="B7" s="205"/>
      <c r="C7" s="205"/>
      <c r="D7" s="205"/>
      <c r="E7" s="205"/>
      <c r="F7" s="205"/>
      <c r="G7" s="205"/>
      <c r="H7" s="205"/>
    </row>
    <row r="8" spans="1:8" x14ac:dyDescent="0.25">
      <c r="A8" s="206" t="s">
        <v>1513</v>
      </c>
      <c r="B8" s="206"/>
      <c r="C8" s="206"/>
      <c r="D8" s="206"/>
      <c r="E8" s="206"/>
      <c r="F8" s="206"/>
      <c r="G8" s="206"/>
      <c r="H8" s="206"/>
    </row>
    <row r="9" spans="1:8" x14ac:dyDescent="0.25">
      <c r="A9" s="212" t="s">
        <v>1</v>
      </c>
      <c r="B9" s="213" t="s">
        <v>296</v>
      </c>
      <c r="C9" s="213" t="s">
        <v>295</v>
      </c>
      <c r="D9" s="213" t="s">
        <v>308</v>
      </c>
      <c r="E9" s="213" t="s">
        <v>291</v>
      </c>
      <c r="F9" s="213" t="s">
        <v>294</v>
      </c>
      <c r="G9" s="213" t="s">
        <v>292</v>
      </c>
      <c r="H9" s="213" t="s">
        <v>293</v>
      </c>
    </row>
    <row r="10" spans="1:8" x14ac:dyDescent="0.25">
      <c r="A10" s="212" t="s">
        <v>1514</v>
      </c>
      <c r="B10" s="214" t="str">
        <f>'Valuation Dashboard'!B22</f>
        <v>Base</v>
      </c>
      <c r="C10" s="214" t="str">
        <f>'Valuation Dashboard'!C22</f>
        <v>Base</v>
      </c>
      <c r="D10" s="214" t="str">
        <f>'Valuation Dashboard'!D22</f>
        <v>Base</v>
      </c>
      <c r="E10" s="214" t="str">
        <f>'Valuation Dashboard'!E22</f>
        <v>Base</v>
      </c>
      <c r="F10" s="214" t="str">
        <f>'Valuation Dashboard'!F22</f>
        <v>Base</v>
      </c>
      <c r="G10" s="214" t="str">
        <f>'Valuation Dashboard'!G22</f>
        <v>Base</v>
      </c>
      <c r="H10" s="214" t="str">
        <f>'Valuation Dashboard'!H22</f>
        <v>Base</v>
      </c>
    </row>
    <row r="11" spans="1:8" x14ac:dyDescent="0.25">
      <c r="A11" s="212" t="s">
        <v>334</v>
      </c>
      <c r="B11" s="215">
        <f ca="1">'Valuation Dashboard'!B28</f>
        <v>9.669456809382776E-2</v>
      </c>
      <c r="C11" s="215">
        <f ca="1">'Valuation Dashboard'!C28</f>
        <v>9.7212466744806408E-2</v>
      </c>
      <c r="D11" s="215">
        <f ca="1">'Valuation Dashboard'!D28</f>
        <v>9.5075100642306412E-2</v>
      </c>
      <c r="E11" s="215">
        <f ca="1">'Valuation Dashboard'!E28</f>
        <v>8.7531307151859569E-2</v>
      </c>
      <c r="F11" s="215">
        <f ca="1">'Valuation Dashboard'!F28</f>
        <v>0.14967436549682989</v>
      </c>
      <c r="G11" s="215">
        <f ca="1">'Valuation Dashboard'!G28</f>
        <v>9.345613080524226E-2</v>
      </c>
      <c r="H11" s="215">
        <f ca="1">'Valuation Dashboard'!H28</f>
        <v>0.1211934192737834</v>
      </c>
    </row>
    <row r="12" spans="1:8" x14ac:dyDescent="0.25">
      <c r="A12" s="212" t="s">
        <v>582</v>
      </c>
      <c r="B12" s="216">
        <f ca="1">'Valuation Dashboard'!B29</f>
        <v>3037527.3898923015</v>
      </c>
      <c r="C12" s="216">
        <f ca="1">'Valuation Dashboard'!C29</f>
        <v>2884629.6716023968</v>
      </c>
      <c r="D12" s="216">
        <f ca="1">'Valuation Dashboard'!D29</f>
        <v>3065862.3904039292</v>
      </c>
      <c r="E12" s="216">
        <f ca="1">'Valuation Dashboard'!E29</f>
        <v>1058453.1897505284</v>
      </c>
      <c r="F12" s="216">
        <f ca="1">'Valuation Dashboard'!F29</f>
        <v>1750613.3618881179</v>
      </c>
      <c r="G12" s="216">
        <f ca="1">'Valuation Dashboard'!G29</f>
        <v>2186836.312611273</v>
      </c>
      <c r="H12" s="216">
        <f ca="1">'Valuation Dashboard'!H29</f>
        <v>40085.033727931506</v>
      </c>
    </row>
    <row r="13" spans="1:8" x14ac:dyDescent="0.25">
      <c r="A13" s="212" t="s">
        <v>585</v>
      </c>
      <c r="B13" s="216">
        <f ca="1">'Valuation Dashboard'!B30</f>
        <v>3034504.1698923013</v>
      </c>
      <c r="C13" s="216">
        <f ca="1">'Valuation Dashboard'!C30</f>
        <v>2855181.1916023968</v>
      </c>
      <c r="D13" s="216">
        <f ca="1">'Valuation Dashboard'!D30</f>
        <v>3145435.670403929</v>
      </c>
      <c r="E13" s="216">
        <f ca="1">'Valuation Dashboard'!E30</f>
        <v>895718.70975052845</v>
      </c>
      <c r="F13" s="216">
        <f ca="1">'Valuation Dashboard'!F30</f>
        <v>1804889.6018881178</v>
      </c>
      <c r="G13" s="216">
        <f ca="1">'Valuation Dashboard'!G30</f>
        <v>2152041.9926112732</v>
      </c>
      <c r="H13" s="216">
        <f ca="1">'Valuation Dashboard'!H30</f>
        <v>67852.493727931505</v>
      </c>
    </row>
    <row r="14" spans="1:8" x14ac:dyDescent="0.25">
      <c r="A14" s="212" t="s">
        <v>783</v>
      </c>
      <c r="B14" s="217">
        <f ca="1">'Valuation Dashboard'!B32</f>
        <v>207.92563678756198</v>
      </c>
      <c r="C14" s="217">
        <f ca="1">'Valuation Dashboard'!C32</f>
        <v>384.50796427769234</v>
      </c>
      <c r="D14" s="217">
        <f ca="1">'Valuation Dashboard'!D32</f>
        <v>257.19016111234089</v>
      </c>
      <c r="E14" s="217">
        <f ca="1">'Valuation Dashboard'!E32</f>
        <v>83.042181223284743</v>
      </c>
      <c r="F14" s="217">
        <f ca="1">'Valuation Dashboard'!F32</f>
        <v>74.58221495405445</v>
      </c>
      <c r="G14" s="217">
        <f ca="1">'Valuation Dashboard'!G32</f>
        <v>844.76424888156237</v>
      </c>
      <c r="H14" s="217">
        <f ca="1">'Valuation Dashboard'!H32</f>
        <v>17.179816755676413</v>
      </c>
    </row>
    <row r="15" spans="1:8" x14ac:dyDescent="0.25">
      <c r="A15" s="212" t="s">
        <v>1515</v>
      </c>
      <c r="B15" s="218">
        <f ca="1">'Valuation Dashboard'!B33</f>
        <v>208.53132636371828</v>
      </c>
      <c r="C15" s="218">
        <f ca="1">'Valuation Dashboard'!C33</f>
        <v>381.32713584961999</v>
      </c>
      <c r="D15" s="218">
        <f ca="1">'Valuation Dashboard'!D33</f>
        <v>191.90507230212785</v>
      </c>
      <c r="E15" s="218">
        <f ca="1">'Valuation Dashboard'!E33</f>
        <v>205.86143602812064</v>
      </c>
      <c r="F15" s="218">
        <f ca="1">'Valuation Dashboard'!F33</f>
        <v>518.89524452763544</v>
      </c>
      <c r="G15" s="218">
        <f ca="1">'Valuation Dashboard'!G33</f>
        <v>1100.7880312324696</v>
      </c>
      <c r="H15" s="218">
        <f ca="1">'Valuation Dashboard'!H33</f>
        <v>59.392806069870474</v>
      </c>
    </row>
    <row r="16" spans="1:8" x14ac:dyDescent="0.25">
      <c r="A16" s="212" t="s">
        <v>1516</v>
      </c>
      <c r="B16" s="218">
        <f>'Valuation Dashboard'!B137</f>
        <v>166.55338924294978</v>
      </c>
      <c r="C16" s="218">
        <f>'Valuation Dashboard'!C137</f>
        <v>293.16238175734128</v>
      </c>
      <c r="D16" s="218">
        <f>'Valuation Dashboard'!D137</f>
        <v>191.99349970844966</v>
      </c>
      <c r="E16" s="218">
        <f>'Valuation Dashboard'!E137</f>
        <v>66.151885551427625</v>
      </c>
      <c r="F16" s="218">
        <f>'Valuation Dashboard'!F137</f>
        <v>54.236008273541643</v>
      </c>
      <c r="G16" s="218">
        <f>'Valuation Dashboard'!G137</f>
        <v>610.44029856983252</v>
      </c>
      <c r="H16" s="218">
        <f>'Valuation Dashboard'!H137</f>
        <v>14.435203676716338</v>
      </c>
    </row>
    <row r="17" spans="1:8" x14ac:dyDescent="0.25">
      <c r="A17" s="212" t="s">
        <v>588</v>
      </c>
      <c r="B17" s="218">
        <f ca="1">'Valuation Dashboard'!B35</f>
        <v>305.93</v>
      </c>
      <c r="C17" s="218">
        <f ca="1">'Valuation Dashboard'!C35</f>
        <v>495.4</v>
      </c>
      <c r="D17" s="218">
        <f ca="1">'Valuation Dashboard'!D35</f>
        <v>345.9</v>
      </c>
      <c r="E17" s="218">
        <f ca="1">'Valuation Dashboard'!E35</f>
        <v>262.64999999999998</v>
      </c>
      <c r="F17" s="218">
        <f ca="1">'Valuation Dashboard'!F35</f>
        <v>225.16</v>
      </c>
      <c r="G17" s="218">
        <f ca="1">'Valuation Dashboard'!G35</f>
        <v>589.85</v>
      </c>
      <c r="H17" s="218">
        <f ca="1">'Valuation Dashboard'!H35</f>
        <v>342.27</v>
      </c>
    </row>
    <row r="18" spans="1:8" x14ac:dyDescent="0.25">
      <c r="A18" s="212" t="s">
        <v>1517</v>
      </c>
      <c r="B18" s="219">
        <f ca="1">'Valuation Dashboard'!B37</f>
        <v>-0.32034897921889982</v>
      </c>
      <c r="C18" s="219">
        <f ca="1">'Valuation Dashboard'!C37</f>
        <v>-0.22384343100990645</v>
      </c>
      <c r="D18" s="219">
        <f ca="1">'Valuation Dashboard'!D37</f>
        <v>-0.25646093925313418</v>
      </c>
      <c r="E18" s="219">
        <f ca="1">'Valuation Dashboard'!E37</f>
        <v>-0.68382950229093953</v>
      </c>
      <c r="F18" s="219">
        <f ca="1">'Valuation Dashboard'!F37</f>
        <v>-0.66875903822146721</v>
      </c>
      <c r="G18" s="219">
        <f ca="1">'Valuation Dashboard'!G37</f>
        <v>0.43216792215234778</v>
      </c>
      <c r="H18" s="219">
        <f ca="1">'Valuation Dashboard'!H37</f>
        <v>-0.94980624432267968</v>
      </c>
    </row>
    <row r="19" spans="1:8" x14ac:dyDescent="0.25">
      <c r="A19" s="212" t="s">
        <v>1518</v>
      </c>
      <c r="B19" s="218">
        <f>'Valuation Dashboard'!B142</f>
        <v>141.57038085650731</v>
      </c>
      <c r="C19" s="218">
        <f>'Valuation Dashboard'!C142</f>
        <v>249.18802449374007</v>
      </c>
      <c r="D19" s="218">
        <f>'Valuation Dashboard'!D142</f>
        <v>163.1944747521822</v>
      </c>
      <c r="E19" s="218">
        <f>'Valuation Dashboard'!E142</f>
        <v>56.229102718713477</v>
      </c>
      <c r="F19" s="218">
        <f>'Valuation Dashboard'!F142</f>
        <v>46.100607032510396</v>
      </c>
      <c r="G19" s="218">
        <f>'Valuation Dashboard'!G142</f>
        <v>518.87425378435762</v>
      </c>
      <c r="H19" s="218">
        <f>'Valuation Dashboard'!H142</f>
        <v>12.269923125208887</v>
      </c>
    </row>
    <row r="20" spans="1:8" x14ac:dyDescent="0.25">
      <c r="A20" s="212" t="s">
        <v>1519</v>
      </c>
      <c r="B20" s="218">
        <f>'Valuation Dashboard'!B143</f>
        <v>191.53639762939224</v>
      </c>
      <c r="C20" s="218">
        <f>'Valuation Dashboard'!C143</f>
        <v>337.13673902094246</v>
      </c>
      <c r="D20" s="218">
        <f>'Valuation Dashboard'!D143</f>
        <v>220.79252466471709</v>
      </c>
      <c r="E20" s="218">
        <f>'Valuation Dashboard'!E143</f>
        <v>76.074668384141759</v>
      </c>
      <c r="F20" s="218">
        <f>'Valuation Dashboard'!F143</f>
        <v>62.371409514572882</v>
      </c>
      <c r="G20" s="218">
        <f>'Valuation Dashboard'!G143</f>
        <v>702.00634335530731</v>
      </c>
      <c r="H20" s="218">
        <f>'Valuation Dashboard'!H143</f>
        <v>16.600484228223788</v>
      </c>
    </row>
    <row r="21" spans="1:8" x14ac:dyDescent="0.25">
      <c r="A21" s="212" t="s">
        <v>1520</v>
      </c>
      <c r="B21" s="214" t="str">
        <f ca="1">'Valuation Dashboard'!B144</f>
        <v>no</v>
      </c>
      <c r="C21" s="214" t="str">
        <f ca="1">'Valuation Dashboard'!C144</f>
        <v>no</v>
      </c>
      <c r="D21" s="214" t="str">
        <f ca="1">'Valuation Dashboard'!D144</f>
        <v>no</v>
      </c>
      <c r="E21" s="214" t="str">
        <f ca="1">'Valuation Dashboard'!E144</f>
        <v>no</v>
      </c>
      <c r="F21" s="214" t="str">
        <f ca="1">'Valuation Dashboard'!F144</f>
        <v>no</v>
      </c>
      <c r="G21" s="214" t="str">
        <f ca="1">'Valuation Dashboard'!G144</f>
        <v>yes</v>
      </c>
      <c r="H21" s="214" t="str">
        <f ca="1">'Valuation Dashboard'!H144</f>
        <v>no</v>
      </c>
    </row>
    <row r="22" spans="1:8" x14ac:dyDescent="0.25">
      <c r="A22" s="205"/>
      <c r="B22" s="205"/>
      <c r="C22" s="205"/>
      <c r="D22" s="205"/>
      <c r="E22" s="205"/>
      <c r="F22" s="205"/>
      <c r="G22" s="205"/>
      <c r="H22" s="205"/>
    </row>
    <row r="23" spans="1:8" x14ac:dyDescent="0.25">
      <c r="A23" s="206" t="s">
        <v>1521</v>
      </c>
      <c r="B23" s="206"/>
      <c r="C23" s="206"/>
      <c r="D23" s="206"/>
      <c r="E23" s="206"/>
      <c r="F23" s="206"/>
      <c r="G23" s="206"/>
      <c r="H23" s="206"/>
    </row>
    <row r="24" spans="1:8" x14ac:dyDescent="0.25">
      <c r="A24" s="212" t="s">
        <v>1522</v>
      </c>
      <c r="B24" s="220">
        <f ca="1">'Valuation Dashboard'!B161</f>
        <v>1.4708742124489651</v>
      </c>
      <c r="C24" s="220">
        <f ca="1">'Valuation Dashboard'!C161</f>
        <v>1.2854556373401615</v>
      </c>
      <c r="D24" s="220">
        <f ca="1">'Valuation Dashboard'!D161</f>
        <v>1.353871502188698</v>
      </c>
      <c r="E24" s="220">
        <f ca="1">'Valuation Dashboard'!E161</f>
        <v>2.8303177037107172</v>
      </c>
      <c r="F24" s="220">
        <f ca="1">'Valuation Dashboard'!F161</f>
        <v>3.0815460897554656</v>
      </c>
      <c r="G24" s="220">
        <f ca="1">'Valuation Dashboard'!G161</f>
        <v>0.70304335319188194</v>
      </c>
      <c r="H24" s="220">
        <f ca="1">'Valuation Dashboard'!H161</f>
        <v>33.030881317866964</v>
      </c>
    </row>
    <row r="25" spans="1:8" x14ac:dyDescent="0.25">
      <c r="A25" s="212" t="s">
        <v>1523</v>
      </c>
      <c r="B25" s="221">
        <f ca="1">IF('Valuation Dashboard'!B168="yes",'Valuation Dashboard'!B165,"n/a")</f>
        <v>7.5399386496915966E-2</v>
      </c>
      <c r="C25" s="221">
        <f ca="1">IF('Valuation Dashboard'!C168="yes",'Valuation Dashboard'!C165,"n/a")</f>
        <v>7.2558650423391755E-2</v>
      </c>
      <c r="D25" s="221">
        <f ca="1">IF('Valuation Dashboard'!D168="yes",'Valuation Dashboard'!D165,"n/a")</f>
        <v>7.311292242161456E-2</v>
      </c>
      <c r="E25" s="221" t="str">
        <f ca="1">IF('Valuation Dashboard'!E168="yes",'Valuation Dashboard'!E165,"n/a")</f>
        <v>n/a</v>
      </c>
      <c r="F25" s="221" t="str">
        <f ca="1">IF('Valuation Dashboard'!F168="yes",'Valuation Dashboard'!F165,"n/a")</f>
        <v>n/a</v>
      </c>
      <c r="G25" s="221">
        <f ca="1">IF('Valuation Dashboard'!G168="yes",'Valuation Dashboard'!G165,"n/a")</f>
        <v>3.0030039289883285E-2</v>
      </c>
      <c r="H25" s="221" t="str">
        <f ca="1">IF('Valuation Dashboard'!H168="yes",'Valuation Dashboard'!H165,"n/a")</f>
        <v>n/a</v>
      </c>
    </row>
    <row r="26" spans="1:8" x14ac:dyDescent="0.25">
      <c r="A26" s="212" t="s">
        <v>1524</v>
      </c>
      <c r="B26" s="221" t="str">
        <f ca="1">'Valuation Dashboard'!B169</f>
        <v>unattainable</v>
      </c>
      <c r="C26" s="221" t="str">
        <f ca="1">'Valuation Dashboard'!C169</f>
        <v>unattainable</v>
      </c>
      <c r="D26" s="221" t="str">
        <f ca="1">'Valuation Dashboard'!D169</f>
        <v>unattainable</v>
      </c>
      <c r="E26" s="221" t="str">
        <f ca="1">'Valuation Dashboard'!E169</f>
        <v>unattainable</v>
      </c>
      <c r="F26" s="221" t="str">
        <f ca="1">'Valuation Dashboard'!F169</f>
        <v>unattainable</v>
      </c>
      <c r="G26" s="221">
        <f ca="1">'Valuation Dashboard'!G169</f>
        <v>0.11207524747764519</v>
      </c>
      <c r="H26" s="221" t="str">
        <f ca="1">'Valuation Dashboard'!H169</f>
        <v>unattainable</v>
      </c>
    </row>
    <row r="27" spans="1:8" x14ac:dyDescent="0.25">
      <c r="A27" s="212" t="s">
        <v>1386</v>
      </c>
      <c r="B27" s="214" t="str">
        <f ca="1">IF(LEFT('Valuation Dashboard'!B173,3)="yes","yes","NO")</f>
        <v>NO</v>
      </c>
      <c r="C27" s="214" t="str">
        <f ca="1">IF(LEFT('Valuation Dashboard'!C173,3)="yes","yes","NO")</f>
        <v>NO</v>
      </c>
      <c r="D27" s="214" t="str">
        <f ca="1">IF(LEFT('Valuation Dashboard'!D173,3)="yes","yes","NO")</f>
        <v>NO</v>
      </c>
      <c r="E27" s="214" t="str">
        <f ca="1">IF(LEFT('Valuation Dashboard'!E173,3)="yes","yes","NO")</f>
        <v>NO</v>
      </c>
      <c r="F27" s="214" t="str">
        <f ca="1">IF(LEFT('Valuation Dashboard'!F173,3)="yes","yes","NO")</f>
        <v>NO</v>
      </c>
      <c r="G27" s="214" t="str">
        <f ca="1">IF(LEFT('Valuation Dashboard'!G173,3)="yes","yes","NO")</f>
        <v>yes</v>
      </c>
      <c r="H27" s="214" t="str">
        <f ca="1">IF(LEFT('Valuation Dashboard'!H173,3)="yes","yes","NO")</f>
        <v>NO</v>
      </c>
    </row>
    <row r="28" spans="1:8" x14ac:dyDescent="0.25">
      <c r="A28" s="205"/>
      <c r="B28" s="205"/>
      <c r="C28" s="205"/>
      <c r="D28" s="205"/>
      <c r="E28" s="205"/>
      <c r="F28" s="205"/>
      <c r="G28" s="205"/>
      <c r="H28" s="205"/>
    </row>
    <row r="29" spans="1:8" x14ac:dyDescent="0.25">
      <c r="A29" s="206" t="s">
        <v>1525</v>
      </c>
      <c r="B29" s="206"/>
      <c r="C29" s="206"/>
      <c r="D29" s="206"/>
      <c r="E29" s="206"/>
      <c r="F29" s="206"/>
      <c r="G29" s="206"/>
      <c r="H29" s="206"/>
    </row>
    <row r="30" spans="1:8" x14ac:dyDescent="0.25">
      <c r="A30" s="205" t="s">
        <v>1526</v>
      </c>
      <c r="B30" s="210" t="str">
        <f t="shared" ref="B30:H30" ca="1" si="0">IF(B18&lt;-0.3,"Very overvalued",IF(B18&lt;-0.1,"Overvalued",IF(B18&lt;0.1,"Fair value",IF(B18&lt;0.3,"Undervalued","Very undervalued"))))</f>
        <v>Very overvalued</v>
      </c>
      <c r="C30" s="210" t="str">
        <f t="shared" ca="1" si="0"/>
        <v>Overvalued</v>
      </c>
      <c r="D30" s="210" t="str">
        <f t="shared" ca="1" si="0"/>
        <v>Overvalued</v>
      </c>
      <c r="E30" s="210" t="str">
        <f t="shared" ca="1" si="0"/>
        <v>Very overvalued</v>
      </c>
      <c r="F30" s="210" t="str">
        <f t="shared" ca="1" si="0"/>
        <v>Very overvalued</v>
      </c>
      <c r="G30" s="210" t="str">
        <f t="shared" ca="1" si="0"/>
        <v>Very undervalued</v>
      </c>
      <c r="H30" s="210" t="str">
        <f t="shared" ca="1" si="0"/>
        <v>Very overvalued</v>
      </c>
    </row>
    <row r="32" spans="1:8" x14ac:dyDescent="0.25">
      <c r="A32" s="188" t="s">
        <v>1527</v>
      </c>
      <c r="B32" s="188"/>
      <c r="C32" s="188"/>
      <c r="D32" s="188"/>
      <c r="E32" s="188"/>
      <c r="F32" s="188"/>
      <c r="G32" s="188"/>
      <c r="H32" s="188"/>
    </row>
    <row r="33" spans="1:1" x14ac:dyDescent="0.25">
      <c r="A33" s="204" t="s">
        <v>1528</v>
      </c>
    </row>
    <row r="34" spans="1:1" x14ac:dyDescent="0.25">
      <c r="A34" s="204" t="s">
        <v>1529</v>
      </c>
    </row>
    <row r="35" spans="1:1" x14ac:dyDescent="0.25">
      <c r="A35" s="204" t="s">
        <v>1530</v>
      </c>
    </row>
    <row r="36" spans="1:1" x14ac:dyDescent="0.25">
      <c r="A36" s="204" t="s">
        <v>1570</v>
      </c>
    </row>
    <row r="37" spans="1:1" x14ac:dyDescent="0.25">
      <c r="A37" s="204" t="s">
        <v>1576</v>
      </c>
    </row>
    <row r="38" spans="1:1" x14ac:dyDescent="0.25">
      <c r="A38" s="204" t="s">
        <v>1531</v>
      </c>
    </row>
    <row r="39" spans="1:1" x14ac:dyDescent="0.25">
      <c r="A39" s="204" t="s">
        <v>1532</v>
      </c>
    </row>
    <row r="40" spans="1:1" x14ac:dyDescent="0.25">
      <c r="A40" s="204" t="s">
        <v>1597</v>
      </c>
    </row>
  </sheetData>
  <conditionalFormatting sqref="B18:H18">
    <cfRule type="colorScale" priority="6">
      <colorScale>
        <cfvo type="min"/>
        <cfvo type="num" val="0"/>
        <cfvo type="max"/>
        <color rgb="FFF8696B"/>
        <color rgb="FFFFEB84"/>
        <color rgb="FF63BE7B"/>
      </colorScale>
    </cfRule>
  </conditionalFormatting>
  <conditionalFormatting sqref="B30:H30">
    <cfRule type="containsText" dxfId="25" priority="1" operator="containsText" text="Very overvalued">
      <formula>NOT(ISERROR(SEARCH("Very overvalued",B30)))</formula>
    </cfRule>
    <cfRule type="containsText" dxfId="24" priority="2" operator="containsText" text="Very undervalued">
      <formula>NOT(ISERROR(SEARCH("Very undervalued",B30)))</formula>
    </cfRule>
    <cfRule type="containsText" dxfId="23" priority="3" operator="containsText" text="Overvalued">
      <formula>NOT(ISERROR(SEARCH("Overvalued",B30)))</formula>
    </cfRule>
    <cfRule type="containsText" dxfId="22" priority="4" operator="containsText" text="Undervalued">
      <formula>NOT(ISERROR(SEARCH("Undervalued",B30)))</formula>
    </cfRule>
    <cfRule type="containsText" dxfId="21" priority="5" operator="containsText" text="Fair value">
      <formula>NOT(ISERROR(SEARCH("Fair value",B30)))</formula>
    </cfRule>
  </conditionalFormatting>
  <printOptions horizontalCentered="1"/>
  <pageMargins left="0.3888888888888889" right="0.3888888888888889" top="0.3888888888888889" bottom="0.3888888888888889" header="0.3" footer="0.3"/>
  <pageSetup paperSize="9" scale="83" orientation="landscape"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DFFF35-04D5-4877-B6B4-BCB4C5C15B98}">
  <sheetPr>
    <tabColor rgb="FF1F3864"/>
  </sheetPr>
  <dimension ref="A1:H110"/>
  <sheetViews>
    <sheetView zoomScale="70" zoomScaleNormal="70" workbookViewId="0">
      <pane ySplit="4" topLeftCell="A7" activePane="bottomLeft" state="frozen"/>
      <selection pane="bottomLeft" activeCell="A73" sqref="A73"/>
    </sheetView>
  </sheetViews>
  <sheetFormatPr defaultRowHeight="15" x14ac:dyDescent="0.25"/>
  <cols>
    <col min="1" max="1" width="47.5703125" customWidth="1"/>
    <col min="2" max="2" width="102.85546875" customWidth="1"/>
    <col min="5" max="5" width="21" customWidth="1"/>
    <col min="6" max="6" width="17.140625" customWidth="1"/>
    <col min="7" max="7" width="21" customWidth="1"/>
    <col min="8" max="8" width="57.140625" customWidth="1"/>
  </cols>
  <sheetData>
    <row r="1" spans="1:8" ht="21" x14ac:dyDescent="0.35">
      <c r="A1" s="56" t="s">
        <v>612</v>
      </c>
      <c r="E1" s="181" t="s">
        <v>1234</v>
      </c>
      <c r="F1" s="100"/>
    </row>
    <row r="2" spans="1:8" x14ac:dyDescent="0.25">
      <c r="A2" s="33" t="s">
        <v>613</v>
      </c>
      <c r="E2" s="100"/>
      <c r="F2" s="100"/>
    </row>
    <row r="3" spans="1:8" ht="30" x14ac:dyDescent="0.25">
      <c r="A3" s="33" t="s">
        <v>1357</v>
      </c>
      <c r="E3" s="182" t="s">
        <v>1235</v>
      </c>
      <c r="F3" s="183" t="s">
        <v>1236</v>
      </c>
    </row>
    <row r="4" spans="1:8" x14ac:dyDescent="0.25">
      <c r="E4" s="184" t="s">
        <v>1237</v>
      </c>
      <c r="F4" s="183" t="s">
        <v>1238</v>
      </c>
    </row>
    <row r="5" spans="1:8" ht="30" x14ac:dyDescent="0.25">
      <c r="A5" s="188" t="s">
        <v>1247</v>
      </c>
      <c r="B5" s="189"/>
      <c r="C5" s="189"/>
      <c r="E5" s="185" t="s">
        <v>1239</v>
      </c>
      <c r="F5" s="183" t="s">
        <v>1240</v>
      </c>
    </row>
    <row r="6" spans="1:8" x14ac:dyDescent="0.25">
      <c r="A6" s="55" t="s">
        <v>1248</v>
      </c>
      <c r="B6" t="s">
        <v>1272</v>
      </c>
      <c r="E6" s="186" t="s">
        <v>1241</v>
      </c>
      <c r="F6" s="183" t="s">
        <v>1242</v>
      </c>
    </row>
    <row r="7" spans="1:8" x14ac:dyDescent="0.25">
      <c r="A7" s="55" t="s">
        <v>1249</v>
      </c>
      <c r="B7" t="s">
        <v>1250</v>
      </c>
      <c r="E7" s="100"/>
      <c r="F7" s="183"/>
    </row>
    <row r="8" spans="1:8" ht="30" x14ac:dyDescent="0.25">
      <c r="E8" s="187" t="s">
        <v>1243</v>
      </c>
      <c r="F8" s="183" t="s">
        <v>1244</v>
      </c>
    </row>
    <row r="9" spans="1:8" ht="30" x14ac:dyDescent="0.25">
      <c r="A9" s="188" t="s">
        <v>1251</v>
      </c>
      <c r="B9" s="189"/>
      <c r="C9" s="189"/>
      <c r="E9" s="187" t="s">
        <v>1245</v>
      </c>
      <c r="F9" s="183" t="s">
        <v>1246</v>
      </c>
    </row>
    <row r="10" spans="1:8" x14ac:dyDescent="0.25">
      <c r="A10" s="55" t="s">
        <v>1273</v>
      </c>
    </row>
    <row r="11" spans="1:8" x14ac:dyDescent="0.25">
      <c r="A11" s="55" t="s">
        <v>1252</v>
      </c>
      <c r="B11" t="s">
        <v>1274</v>
      </c>
    </row>
    <row r="12" spans="1:8" ht="15.75" x14ac:dyDescent="0.25">
      <c r="A12" s="55" t="s">
        <v>1253</v>
      </c>
      <c r="B12" t="s">
        <v>1275</v>
      </c>
      <c r="E12" s="198" t="s">
        <v>1396</v>
      </c>
    </row>
    <row r="14" spans="1:8" x14ac:dyDescent="0.25">
      <c r="A14" s="188" t="s">
        <v>1254</v>
      </c>
      <c r="B14" s="189"/>
      <c r="C14" s="189"/>
      <c r="E14" s="63" t="s">
        <v>1397</v>
      </c>
      <c r="F14" s="63" t="s">
        <v>1398</v>
      </c>
      <c r="G14" s="63" t="s">
        <v>1399</v>
      </c>
      <c r="H14" s="63" t="s">
        <v>1080</v>
      </c>
    </row>
    <row r="15" spans="1:8" x14ac:dyDescent="0.25">
      <c r="A15" s="55" t="s">
        <v>1273</v>
      </c>
      <c r="E15" t="s">
        <v>1400</v>
      </c>
      <c r="G15" t="s">
        <v>1401</v>
      </c>
      <c r="H15" t="s">
        <v>1402</v>
      </c>
    </row>
    <row r="16" spans="1:8" x14ac:dyDescent="0.25">
      <c r="A16" s="55" t="s">
        <v>614</v>
      </c>
      <c r="B16" t="s">
        <v>1255</v>
      </c>
      <c r="E16" t="s">
        <v>1403</v>
      </c>
      <c r="F16" s="3">
        <f>'Valuation Dashboard'!B5</f>
        <v>4.6800000000000001E-2</v>
      </c>
      <c r="G16" s="199">
        <v>46233</v>
      </c>
      <c r="H16" t="s">
        <v>1404</v>
      </c>
    </row>
    <row r="17" spans="1:8" x14ac:dyDescent="0.25">
      <c r="A17" s="55" t="s">
        <v>1256</v>
      </c>
      <c r="B17" t="s">
        <v>1257</v>
      </c>
      <c r="E17" t="s">
        <v>1405</v>
      </c>
      <c r="F17" s="3">
        <f>'Valuation Dashboard'!B6</f>
        <v>2.1499999999999998E-2</v>
      </c>
      <c r="G17" s="199">
        <v>46188</v>
      </c>
      <c r="H17" t="s">
        <v>1404</v>
      </c>
    </row>
    <row r="18" spans="1:8" x14ac:dyDescent="0.25">
      <c r="A18" s="55" t="s">
        <v>616</v>
      </c>
      <c r="B18" t="s">
        <v>1258</v>
      </c>
      <c r="E18" t="s">
        <v>1406</v>
      </c>
      <c r="G18" t="s">
        <v>1407</v>
      </c>
      <c r="H18" t="s">
        <v>1408</v>
      </c>
    </row>
    <row r="19" spans="1:8" x14ac:dyDescent="0.25">
      <c r="A19" s="55" t="s">
        <v>615</v>
      </c>
      <c r="B19" t="s">
        <v>1276</v>
      </c>
      <c r="E19" t="s">
        <v>1409</v>
      </c>
      <c r="F19" s="3">
        <f>'Valuation Dashboard'!B7</f>
        <v>0.13</v>
      </c>
      <c r="G19" t="s">
        <v>1410</v>
      </c>
      <c r="H19" t="s">
        <v>1411</v>
      </c>
    </row>
    <row r="20" spans="1:8" x14ac:dyDescent="0.25">
      <c r="A20" s="55" t="s">
        <v>1259</v>
      </c>
      <c r="B20" t="s">
        <v>1277</v>
      </c>
      <c r="E20" t="s">
        <v>1412</v>
      </c>
      <c r="F20" s="3">
        <f>'Valuation Dashboard'!B9</f>
        <v>4.7899999999999998E-2</v>
      </c>
      <c r="G20" s="199">
        <v>46233</v>
      </c>
      <c r="H20" t="s">
        <v>1413</v>
      </c>
    </row>
    <row r="21" spans="1:8" x14ac:dyDescent="0.25">
      <c r="E21" t="s">
        <v>337</v>
      </c>
      <c r="F21" s="28">
        <f>'Valuation Dashboard'!B12</f>
        <v>0.21</v>
      </c>
      <c r="G21" t="s">
        <v>1414</v>
      </c>
      <c r="H21" t="s">
        <v>1411</v>
      </c>
    </row>
    <row r="22" spans="1:8" x14ac:dyDescent="0.25">
      <c r="A22" s="188" t="s">
        <v>1278</v>
      </c>
      <c r="B22" s="189"/>
      <c r="C22" s="189"/>
      <c r="E22" t="s">
        <v>1415</v>
      </c>
      <c r="G22" t="s">
        <v>1416</v>
      </c>
      <c r="H22" s="232" t="s">
        <v>1600</v>
      </c>
    </row>
    <row r="23" spans="1:8" x14ac:dyDescent="0.25">
      <c r="A23" s="55" t="s">
        <v>1273</v>
      </c>
      <c r="E23" t="s">
        <v>1417</v>
      </c>
      <c r="G23" t="s">
        <v>1598</v>
      </c>
      <c r="H23" s="133" t="s">
        <v>1599</v>
      </c>
    </row>
    <row r="24" spans="1:8" x14ac:dyDescent="0.25">
      <c r="A24" s="55" t="s">
        <v>1279</v>
      </c>
      <c r="B24" t="s">
        <v>1280</v>
      </c>
      <c r="E24" t="s">
        <v>1418</v>
      </c>
      <c r="G24" t="s">
        <v>1419</v>
      </c>
      <c r="H24" t="s">
        <v>1420</v>
      </c>
    </row>
    <row r="25" spans="1:8" x14ac:dyDescent="0.25">
      <c r="A25" s="55" t="s">
        <v>1281</v>
      </c>
      <c r="B25" t="s">
        <v>1282</v>
      </c>
      <c r="E25" t="s">
        <v>1421</v>
      </c>
      <c r="G25" t="s">
        <v>1419</v>
      </c>
      <c r="H25" t="s">
        <v>1422</v>
      </c>
    </row>
    <row r="26" spans="1:8" x14ac:dyDescent="0.25">
      <c r="A26" s="55" t="s">
        <v>1283</v>
      </c>
      <c r="B26" t="s">
        <v>1284</v>
      </c>
      <c r="E26" s="9" t="s">
        <v>1423</v>
      </c>
      <c r="G26" t="s">
        <v>1424</v>
      </c>
      <c r="H26" s="200" t="s">
        <v>1427</v>
      </c>
    </row>
    <row r="27" spans="1:8" x14ac:dyDescent="0.25">
      <c r="A27" s="55" t="s">
        <v>1285</v>
      </c>
      <c r="B27" t="s">
        <v>1286</v>
      </c>
      <c r="E27" t="s">
        <v>1425</v>
      </c>
      <c r="G27" t="s">
        <v>1426</v>
      </c>
      <c r="H27" t="s">
        <v>1601</v>
      </c>
    </row>
    <row r="28" spans="1:8" x14ac:dyDescent="0.25">
      <c r="A28" s="55" t="s">
        <v>1287</v>
      </c>
      <c r="B28" t="s">
        <v>1288</v>
      </c>
    </row>
    <row r="29" spans="1:8" x14ac:dyDescent="0.25">
      <c r="A29" s="55" t="s">
        <v>1289</v>
      </c>
      <c r="B29" t="s">
        <v>1280</v>
      </c>
      <c r="E29" s="200" t="s">
        <v>1428</v>
      </c>
    </row>
    <row r="30" spans="1:8" x14ac:dyDescent="0.25">
      <c r="A30" s="55" t="s">
        <v>1290</v>
      </c>
      <c r="B30" t="s">
        <v>1282</v>
      </c>
    </row>
    <row r="31" spans="1:8" x14ac:dyDescent="0.25">
      <c r="A31" s="55" t="s">
        <v>1291</v>
      </c>
      <c r="B31" t="s">
        <v>1284</v>
      </c>
    </row>
    <row r="32" spans="1:8" x14ac:dyDescent="0.25">
      <c r="A32" s="55" t="s">
        <v>1292</v>
      </c>
      <c r="B32" t="s">
        <v>1286</v>
      </c>
    </row>
    <row r="33" spans="1:2" x14ac:dyDescent="0.25">
      <c r="A33" s="55" t="s">
        <v>1293</v>
      </c>
      <c r="B33" t="s">
        <v>1288</v>
      </c>
    </row>
    <row r="34" spans="1:2" x14ac:dyDescent="0.25">
      <c r="A34" s="55" t="s">
        <v>1294</v>
      </c>
      <c r="B34" t="s">
        <v>1280</v>
      </c>
    </row>
    <row r="35" spans="1:2" x14ac:dyDescent="0.25">
      <c r="A35" s="55" t="s">
        <v>1295</v>
      </c>
      <c r="B35" t="s">
        <v>1282</v>
      </c>
    </row>
    <row r="36" spans="1:2" x14ac:dyDescent="0.25">
      <c r="A36" s="55" t="s">
        <v>1296</v>
      </c>
      <c r="B36" t="s">
        <v>1284</v>
      </c>
    </row>
    <row r="37" spans="1:2" x14ac:dyDescent="0.25">
      <c r="A37" s="55" t="s">
        <v>1297</v>
      </c>
      <c r="B37" t="s">
        <v>1286</v>
      </c>
    </row>
    <row r="38" spans="1:2" x14ac:dyDescent="0.25">
      <c r="A38" s="55" t="s">
        <v>1298</v>
      </c>
      <c r="B38" t="s">
        <v>1288</v>
      </c>
    </row>
    <row r="39" spans="1:2" x14ac:dyDescent="0.25">
      <c r="A39" s="55" t="s">
        <v>1299</v>
      </c>
      <c r="B39" t="s">
        <v>1280</v>
      </c>
    </row>
    <row r="40" spans="1:2" x14ac:dyDescent="0.25">
      <c r="A40" s="55" t="s">
        <v>1300</v>
      </c>
      <c r="B40" t="s">
        <v>1282</v>
      </c>
    </row>
    <row r="41" spans="1:2" x14ac:dyDescent="0.25">
      <c r="A41" s="55" t="s">
        <v>1301</v>
      </c>
      <c r="B41" t="s">
        <v>1284</v>
      </c>
    </row>
    <row r="42" spans="1:2" x14ac:dyDescent="0.25">
      <c r="A42" s="55" t="s">
        <v>1302</v>
      </c>
      <c r="B42" t="s">
        <v>1286</v>
      </c>
    </row>
    <row r="43" spans="1:2" x14ac:dyDescent="0.25">
      <c r="A43" s="55" t="s">
        <v>1303</v>
      </c>
      <c r="B43" t="s">
        <v>1288</v>
      </c>
    </row>
    <row r="44" spans="1:2" x14ac:dyDescent="0.25">
      <c r="A44" s="55" t="s">
        <v>1304</v>
      </c>
      <c r="B44" t="s">
        <v>1280</v>
      </c>
    </row>
    <row r="45" spans="1:2" x14ac:dyDescent="0.25">
      <c r="A45" s="55" t="s">
        <v>1305</v>
      </c>
      <c r="B45" t="s">
        <v>1282</v>
      </c>
    </row>
    <row r="46" spans="1:2" x14ac:dyDescent="0.25">
      <c r="A46" s="55" t="s">
        <v>1306</v>
      </c>
      <c r="B46" t="s">
        <v>1284</v>
      </c>
    </row>
    <row r="47" spans="1:2" x14ac:dyDescent="0.25">
      <c r="A47" s="55" t="s">
        <v>1307</v>
      </c>
      <c r="B47" t="s">
        <v>1286</v>
      </c>
    </row>
    <row r="48" spans="1:2" x14ac:dyDescent="0.25">
      <c r="A48" s="55" t="s">
        <v>1308</v>
      </c>
      <c r="B48" t="s">
        <v>1288</v>
      </c>
    </row>
    <row r="49" spans="1:3" x14ac:dyDescent="0.25">
      <c r="A49" s="55" t="s">
        <v>1309</v>
      </c>
      <c r="B49" t="s">
        <v>1280</v>
      </c>
    </row>
    <row r="50" spans="1:3" x14ac:dyDescent="0.25">
      <c r="A50" s="55" t="s">
        <v>1310</v>
      </c>
      <c r="B50" t="s">
        <v>1282</v>
      </c>
    </row>
    <row r="51" spans="1:3" x14ac:dyDescent="0.25">
      <c r="A51" s="55" t="s">
        <v>1311</v>
      </c>
      <c r="B51" t="s">
        <v>1284</v>
      </c>
    </row>
    <row r="52" spans="1:3" x14ac:dyDescent="0.25">
      <c r="A52" s="55" t="s">
        <v>1312</v>
      </c>
      <c r="B52" t="s">
        <v>1286</v>
      </c>
    </row>
    <row r="53" spans="1:3" x14ac:dyDescent="0.25">
      <c r="A53" s="55" t="s">
        <v>1313</v>
      </c>
      <c r="B53" t="s">
        <v>1288</v>
      </c>
    </row>
    <row r="54" spans="1:3" x14ac:dyDescent="0.25">
      <c r="A54" s="55" t="s">
        <v>1314</v>
      </c>
      <c r="B54" t="s">
        <v>1280</v>
      </c>
    </row>
    <row r="55" spans="1:3" x14ac:dyDescent="0.25">
      <c r="A55" s="55" t="s">
        <v>1315</v>
      </c>
      <c r="B55" t="s">
        <v>1282</v>
      </c>
    </row>
    <row r="56" spans="1:3" x14ac:dyDescent="0.25">
      <c r="A56" s="55" t="s">
        <v>1316</v>
      </c>
      <c r="B56" t="s">
        <v>1284</v>
      </c>
    </row>
    <row r="57" spans="1:3" x14ac:dyDescent="0.25">
      <c r="A57" s="55" t="s">
        <v>1317</v>
      </c>
      <c r="B57" t="s">
        <v>1286</v>
      </c>
    </row>
    <row r="58" spans="1:3" x14ac:dyDescent="0.25">
      <c r="A58" s="55" t="s">
        <v>1318</v>
      </c>
      <c r="B58" t="s">
        <v>1288</v>
      </c>
    </row>
    <row r="60" spans="1:3" x14ac:dyDescent="0.25">
      <c r="A60" s="188" t="s">
        <v>1260</v>
      </c>
      <c r="B60" s="189"/>
      <c r="C60" s="189"/>
    </row>
    <row r="61" spans="1:3" x14ac:dyDescent="0.25">
      <c r="A61" s="55" t="s">
        <v>1273</v>
      </c>
    </row>
    <row r="62" spans="1:3" x14ac:dyDescent="0.25">
      <c r="A62" s="55" t="s">
        <v>1319</v>
      </c>
      <c r="B62" t="s">
        <v>1261</v>
      </c>
    </row>
    <row r="63" spans="1:3" x14ac:dyDescent="0.25">
      <c r="A63" s="55" t="s">
        <v>1320</v>
      </c>
      <c r="B63" t="s">
        <v>1261</v>
      </c>
    </row>
    <row r="64" spans="1:3" x14ac:dyDescent="0.25">
      <c r="A64" s="55" t="s">
        <v>1321</v>
      </c>
      <c r="B64" t="s">
        <v>1261</v>
      </c>
    </row>
    <row r="65" spans="1:3" x14ac:dyDescent="0.25">
      <c r="A65" s="55" t="s">
        <v>1322</v>
      </c>
      <c r="B65" t="s">
        <v>1261</v>
      </c>
    </row>
    <row r="66" spans="1:3" x14ac:dyDescent="0.25">
      <c r="A66" s="55" t="s">
        <v>1323</v>
      </c>
      <c r="B66" t="s">
        <v>1261</v>
      </c>
    </row>
    <row r="67" spans="1:3" x14ac:dyDescent="0.25">
      <c r="A67" s="55" t="s">
        <v>1324</v>
      </c>
      <c r="B67" t="s">
        <v>1261</v>
      </c>
    </row>
    <row r="68" spans="1:3" x14ac:dyDescent="0.25">
      <c r="A68" s="55" t="s">
        <v>1325</v>
      </c>
      <c r="B68" t="s">
        <v>1261</v>
      </c>
    </row>
    <row r="70" spans="1:3" x14ac:dyDescent="0.25">
      <c r="A70" s="188" t="s">
        <v>1262</v>
      </c>
      <c r="B70" s="189"/>
      <c r="C70" s="189"/>
    </row>
    <row r="71" spans="1:3" x14ac:dyDescent="0.25">
      <c r="A71" s="55" t="s">
        <v>1273</v>
      </c>
    </row>
    <row r="72" spans="1:3" x14ac:dyDescent="0.25">
      <c r="A72" s="55" t="s">
        <v>1326</v>
      </c>
      <c r="B72" t="s">
        <v>1263</v>
      </c>
    </row>
    <row r="73" spans="1:3" x14ac:dyDescent="0.25">
      <c r="A73" s="55" t="s">
        <v>1327</v>
      </c>
      <c r="B73" t="s">
        <v>1264</v>
      </c>
    </row>
    <row r="74" spans="1:3" x14ac:dyDescent="0.25">
      <c r="A74" s="55" t="s">
        <v>1328</v>
      </c>
      <c r="B74" t="s">
        <v>1329</v>
      </c>
    </row>
    <row r="76" spans="1:3" x14ac:dyDescent="0.25">
      <c r="A76" s="188" t="s">
        <v>1265</v>
      </c>
      <c r="B76" s="189"/>
      <c r="C76" s="189"/>
    </row>
    <row r="77" spans="1:3" x14ac:dyDescent="0.25">
      <c r="A77" s="55" t="s">
        <v>1273</v>
      </c>
    </row>
    <row r="78" spans="1:3" x14ac:dyDescent="0.25">
      <c r="A78" s="55" t="s">
        <v>1330</v>
      </c>
      <c r="B78" t="s">
        <v>1331</v>
      </c>
    </row>
    <row r="79" spans="1:3" x14ac:dyDescent="0.25">
      <c r="A79" s="55" t="s">
        <v>1332</v>
      </c>
      <c r="B79" t="s">
        <v>1331</v>
      </c>
    </row>
    <row r="80" spans="1:3" x14ac:dyDescent="0.25">
      <c r="A80" s="55" t="s">
        <v>1333</v>
      </c>
      <c r="B80" t="s">
        <v>1331</v>
      </c>
    </row>
    <row r="81" spans="1:3" x14ac:dyDescent="0.25">
      <c r="A81" s="55" t="s">
        <v>1334</v>
      </c>
      <c r="B81" t="s">
        <v>1331</v>
      </c>
    </row>
    <row r="82" spans="1:3" x14ac:dyDescent="0.25">
      <c r="A82" s="55" t="s">
        <v>1335</v>
      </c>
      <c r="B82" t="s">
        <v>1331</v>
      </c>
    </row>
    <row r="83" spans="1:3" x14ac:dyDescent="0.25">
      <c r="A83" s="55" t="s">
        <v>1336</v>
      </c>
      <c r="B83" t="s">
        <v>1331</v>
      </c>
    </row>
    <row r="84" spans="1:3" x14ac:dyDescent="0.25">
      <c r="A84" s="55" t="s">
        <v>1337</v>
      </c>
      <c r="B84" t="s">
        <v>1331</v>
      </c>
    </row>
    <row r="86" spans="1:3" x14ac:dyDescent="0.25">
      <c r="A86" s="188" t="s">
        <v>1266</v>
      </c>
      <c r="B86" s="189"/>
      <c r="C86" s="189"/>
    </row>
    <row r="87" spans="1:3" x14ac:dyDescent="0.25">
      <c r="A87" s="55" t="s">
        <v>1273</v>
      </c>
    </row>
    <row r="88" spans="1:3" x14ac:dyDescent="0.25">
      <c r="A88" s="55" t="s">
        <v>1338</v>
      </c>
      <c r="B88" t="s">
        <v>1267</v>
      </c>
    </row>
    <row r="89" spans="1:3" x14ac:dyDescent="0.25">
      <c r="A89" s="55" t="s">
        <v>1339</v>
      </c>
      <c r="B89" t="s">
        <v>1267</v>
      </c>
    </row>
    <row r="90" spans="1:3" x14ac:dyDescent="0.25">
      <c r="A90" s="55" t="s">
        <v>1340</v>
      </c>
      <c r="B90" t="s">
        <v>1267</v>
      </c>
    </row>
    <row r="91" spans="1:3" x14ac:dyDescent="0.25">
      <c r="A91" s="55" t="s">
        <v>1341</v>
      </c>
      <c r="B91" t="s">
        <v>1267</v>
      </c>
    </row>
    <row r="92" spans="1:3" x14ac:dyDescent="0.25">
      <c r="A92" s="55" t="s">
        <v>1342</v>
      </c>
      <c r="B92" t="s">
        <v>1267</v>
      </c>
    </row>
    <row r="93" spans="1:3" x14ac:dyDescent="0.25">
      <c r="A93" s="55" t="s">
        <v>1343</v>
      </c>
      <c r="B93" t="s">
        <v>1267</v>
      </c>
    </row>
    <row r="94" spans="1:3" x14ac:dyDescent="0.25">
      <c r="A94" s="55" t="s">
        <v>1344</v>
      </c>
      <c r="B94" t="s">
        <v>1267</v>
      </c>
    </row>
    <row r="96" spans="1:3" x14ac:dyDescent="0.25">
      <c r="A96" s="188" t="s">
        <v>1268</v>
      </c>
      <c r="B96" s="189"/>
      <c r="C96" s="189"/>
    </row>
    <row r="97" spans="1:3" x14ac:dyDescent="0.25">
      <c r="A97" s="55" t="s">
        <v>1273</v>
      </c>
    </row>
    <row r="98" spans="1:3" x14ac:dyDescent="0.25">
      <c r="A98" s="55" t="s">
        <v>1345</v>
      </c>
      <c r="B98" t="s">
        <v>1269</v>
      </c>
    </row>
    <row r="99" spans="1:3" x14ac:dyDescent="0.25">
      <c r="A99" s="55" t="s">
        <v>1346</v>
      </c>
      <c r="B99" t="s">
        <v>1269</v>
      </c>
    </row>
    <row r="100" spans="1:3" x14ac:dyDescent="0.25">
      <c r="A100" s="55" t="s">
        <v>1347</v>
      </c>
      <c r="B100" t="s">
        <v>1269</v>
      </c>
    </row>
    <row r="101" spans="1:3" x14ac:dyDescent="0.25">
      <c r="A101" s="55" t="s">
        <v>1348</v>
      </c>
      <c r="B101" t="s">
        <v>1269</v>
      </c>
    </row>
    <row r="102" spans="1:3" x14ac:dyDescent="0.25">
      <c r="A102" s="55" t="s">
        <v>1349</v>
      </c>
      <c r="B102" t="s">
        <v>1269</v>
      </c>
    </row>
    <row r="103" spans="1:3" x14ac:dyDescent="0.25">
      <c r="A103" s="55" t="s">
        <v>1350</v>
      </c>
      <c r="B103" t="s">
        <v>1269</v>
      </c>
    </row>
    <row r="104" spans="1:3" x14ac:dyDescent="0.25">
      <c r="A104" s="55" t="s">
        <v>1351</v>
      </c>
      <c r="B104" t="s">
        <v>1269</v>
      </c>
    </row>
    <row r="106" spans="1:3" x14ac:dyDescent="0.25">
      <c r="A106" s="188" t="s">
        <v>1270</v>
      </c>
      <c r="B106" s="189"/>
      <c r="C106" s="189"/>
    </row>
    <row r="107" spans="1:3" x14ac:dyDescent="0.25">
      <c r="A107" s="55" t="s">
        <v>1273</v>
      </c>
    </row>
    <row r="108" spans="1:3" x14ac:dyDescent="0.25">
      <c r="A108" s="55" t="s">
        <v>1352</v>
      </c>
      <c r="B108" t="s">
        <v>1271</v>
      </c>
    </row>
    <row r="109" spans="1:3" x14ac:dyDescent="0.25">
      <c r="A109" s="55" t="s">
        <v>1353</v>
      </c>
      <c r="B109" t="s">
        <v>1354</v>
      </c>
    </row>
    <row r="110" spans="1:3" x14ac:dyDescent="0.25">
      <c r="A110" s="55" t="s">
        <v>1355</v>
      </c>
      <c r="B110" t="s">
        <v>1356</v>
      </c>
    </row>
  </sheetData>
  <hyperlinks>
    <hyperlink ref="A6" location="'Valuation Dashboard'!A1" display="Valuation Dashboard" xr:uid="{F49A494E-BFB0-45BB-B2BB-88E189D55F37}"/>
    <hyperlink ref="A7" location="'Introduction'!A1" display="Introduction" xr:uid="{4703E976-6062-4FC8-8082-24722C91F106}"/>
    <hyperlink ref="A10" location="'Checks &amp; Methodology --&gt;&gt;'!A1" display="[ section divider ]" xr:uid="{F5A8AED4-9C6D-4780-91A8-568CEC1460B3}"/>
    <hyperlink ref="A11" location="'Ch 11 Checks'!A1" display="Ch 11 Checks" xr:uid="{97BA757D-7569-4101-9BCB-3E82919B71C1}"/>
    <hyperlink ref="A12" location="'Methodology Checklist'!A1" display="Methodology Checklist" xr:uid="{176F4EB7-650B-42C6-B27E-0296FF94B6BC}"/>
    <hyperlink ref="A15" location="'Raw Data --&gt;&gt;'!A1" display="[ section divider ]" xr:uid="{6C9A132E-E5C9-406B-8F24-2D09D90455CE}"/>
    <hyperlink ref="A16" location="'Ticker Sheet'!A1" display="Ticker Sheet" xr:uid="{9486D7BD-B84B-4B41-8667-DB98BADB5B51}"/>
    <hyperlink ref="A17" location="'peer_fundamentals'!A1" display="peer_fundamentals" xr:uid="{4091C9DD-6DAA-4D8A-8344-02A748C578E0}"/>
    <hyperlink ref="A18" location="'peer_capital_structure'!A1" display="peer_capital_structure" xr:uid="{0F30BB86-332C-4878-A9FE-12FD0DC11F24}"/>
    <hyperlink ref="A19" location="'peer_prices_monthly'!A1" display="peer_prices_monthly" xr:uid="{430EA34E-2920-4DB7-AE7F-0C31CD9547EF}"/>
    <hyperlink ref="A20" location="'mag7_leases_fy2019_fy2025'!A1" display="mag7_leases_fy2019_fy2025" xr:uid="{DF13999A-DCDF-4398-A666-C097CB822A10}"/>
    <hyperlink ref="A23" location="'Financial Statement Data --&gt;&gt;'!A1" display="[ section divider ]" xr:uid="{1C0C0753-096E-487E-A98C-3CC5E8EC5F9F}"/>
    <hyperlink ref="A24" location="'AAPL - Income Statement FY'!A1" display="    AAPL - Income Statement FY" xr:uid="{4C2F8AF9-1BF8-45D7-B061-E02F720697B2}"/>
    <hyperlink ref="A25" location="'AAPL - Balance Sheet FY'!A1" display="    AAPL - Balance Sheet FY" xr:uid="{BC6CDF57-E109-4909-A3BA-B3987907E862}"/>
    <hyperlink ref="A26" location="'AAPL - Cash Flow FY'!A1" display="    AAPL - Cash Flow FY" xr:uid="{822E692A-394F-4779-BEDE-EA569AE400D9}"/>
    <hyperlink ref="A27" location="'AAPL - Key Metrics FY'!A1" display="    AAPL - Key Metrics FY" xr:uid="{20E1C430-A649-4E36-B874-9FFFFFC2A2DD}"/>
    <hyperlink ref="A28" location="'AAPL - Financial Growth FY'!A1" display="    AAPL - Financial Growth FY" xr:uid="{39B8178E-D709-400B-863E-F7ADDB990B11}"/>
    <hyperlink ref="A29" location="'MSFT - Income Statement FY'!A1" display="    MSFT - Income Statement FY" xr:uid="{028F375D-54EA-41A2-BB8C-F8E16268A350}"/>
    <hyperlink ref="A30" location="'MSFT - Balance Sheet FY'!A1" display="    MSFT - Balance Sheet FY" xr:uid="{760ACED0-2463-41C4-9A00-E6C652A42F50}"/>
    <hyperlink ref="A31" location="'MSFT - Cash Flow FY'!A1" display="    MSFT - Cash Flow FY" xr:uid="{B3DE76FA-2F45-4367-8196-C56E3CB8C22C}"/>
    <hyperlink ref="A32" location="'MSFT - Key Metrics FY'!A1" display="    MSFT - Key Metrics FY" xr:uid="{A5255A6E-A225-49A4-AE39-C053B6E89D9B}"/>
    <hyperlink ref="A33" location="'MSFT - Financial Growth FY'!A1" display="    MSFT - Financial Growth FY" xr:uid="{5AFF5B31-ACC8-4616-A47A-C12ABBF4CE96}"/>
    <hyperlink ref="A34" location="'GOOGL - Income Statement FY'!A1" display="    GOOGL - Income Statement FY" xr:uid="{018012B1-94BF-4A5C-91B8-8CCFABF5C1AC}"/>
    <hyperlink ref="A35" location="'GOOGL - Balance Sheet FY'!A1" display="    GOOGL - Balance Sheet FY" xr:uid="{6CA95256-6652-462E-8044-EE34288E2398}"/>
    <hyperlink ref="A36" location="'GOOGL - Cash Flow FY'!A1" display="    GOOGL - Cash Flow FY" xr:uid="{36FA03EA-12A6-4642-A57B-ACF00AAB0EAA}"/>
    <hyperlink ref="A37" location="'GOOGL - Key Metrics FY'!A1" display="    GOOGL - Key Metrics FY" xr:uid="{DB0C17FD-B4E2-416E-A993-42FB51E8F870}"/>
    <hyperlink ref="A38" location="'GOOGL - Financial Growth FY'!A1" display="    GOOGL - Financial Growth FY" xr:uid="{0E73ED67-D739-4BDF-A11D-F1124CB3A3B8}"/>
    <hyperlink ref="A39" location="'AMZN - Income Statement FY'!A1" display="    AMZN - Income Statement FY" xr:uid="{D55A20ED-AE67-4A11-8270-0EC519F2B971}"/>
    <hyperlink ref="A40" location="'AMZN - Balance Sheet FY'!A1" display="    AMZN - Balance Sheet FY" xr:uid="{8E29EFCC-28CC-4532-ADB2-D346D7F1DA81}"/>
    <hyperlink ref="A41" location="'AMZN - Cash Flow FY'!A1" display="    AMZN - Cash Flow FY" xr:uid="{F4116969-A315-45A8-8335-6814801603FB}"/>
    <hyperlink ref="A42" location="'AMZN - Key Metrics FY'!A1" display="    AMZN - Key Metrics FY" xr:uid="{139A1F8D-618C-451F-8D9E-B8DE2291AFC5}"/>
    <hyperlink ref="A43" location="'AMZN - Financial Growth FY'!A1" display="    AMZN - Financial Growth FY" xr:uid="{DA318EE3-3DCA-42EC-A1B1-FA34073C0FD5}"/>
    <hyperlink ref="A44" location="'NVDA - Income Statement FY'!A1" display="    NVDA - Income Statement FY" xr:uid="{D47AED36-3039-49C0-AFD8-799F5BF24B06}"/>
    <hyperlink ref="A45" location="'NVDA - Balance Sheet FY'!A1" display="    NVDA - Balance Sheet FY" xr:uid="{A1B814A2-8CFB-4F52-9A44-AA9581624012}"/>
    <hyperlink ref="A46" location="'NVDA - Cash Flow FY'!A1" display="    NVDA - Cash Flow FY" xr:uid="{767AC9BB-812C-4ED0-AC92-FDC0042D3819}"/>
    <hyperlink ref="A47" location="'NVDA - Key Metrics FY'!A1" display="    NVDA - Key Metrics FY" xr:uid="{B80ECF73-5EC0-453C-9F79-306C308C6F83}"/>
    <hyperlink ref="A48" location="'NVDA - Financial Growth FY'!A1" display="    NVDA - Financial Growth FY" xr:uid="{C6BDCBFA-920F-4792-9B15-1482B992EC9A}"/>
    <hyperlink ref="A49" location="'META - Income Statement FY'!A1" display="    META - Income Statement FY" xr:uid="{D82B1BB4-D699-44C3-95B3-B1B618B959B8}"/>
    <hyperlink ref="A50" location="'META - Balance Sheet FY'!A1" display="    META - Balance Sheet FY" xr:uid="{3062929A-2184-437A-833F-CE15D1C54A6F}"/>
    <hyperlink ref="A51" location="'META - Cash Flow FY'!A1" display="    META - Cash Flow FY" xr:uid="{5023E852-2D22-4087-9B8F-DEAF258117F6}"/>
    <hyperlink ref="A52" location="'META - Key Metrics FY'!A1" display="    META - Key Metrics FY" xr:uid="{FDAEE98E-E1DE-402D-8C3A-5BE37DE57DD6}"/>
    <hyperlink ref="A53" location="'META - Financial Growth FY'!A1" display="    META - Financial Growth FY" xr:uid="{5BCCF0CF-AE2D-47A7-8D78-75E550AD5B68}"/>
    <hyperlink ref="A54" location="'TSLA - Income Statement FY'!A1" display="    TSLA - Income Statement FY" xr:uid="{FE1D042B-A918-48AF-A9A8-C51F13189EBE}"/>
    <hyperlink ref="A55" location="'TSLA - Balance Sheet FY'!A1" display="    TSLA - Balance Sheet FY" xr:uid="{08234551-2B0D-46C9-A981-8472C7904F73}"/>
    <hyperlink ref="A56" location="'TSLA - Cash Flow FY'!A1" display="    TSLA - Cash Flow FY" xr:uid="{2F194B7B-75EF-4BBF-BA38-8BC7215650EB}"/>
    <hyperlink ref="A57" location="'TSLA - Key Metrics FY'!A1" display="    TSLA - Key Metrics FY" xr:uid="{94FCAAF6-7863-4476-A449-4C15C2BA5849}"/>
    <hyperlink ref="A58" location="'TSLA - Financial Growth FY'!A1" display="    TSLA - Financial Growth FY" xr:uid="{F165D34D-401F-4DF7-AE44-61A84C238BEC}"/>
    <hyperlink ref="A61" location="'Reorganised Statements --&gt;&gt;'!A1" display="[ section divider ]" xr:uid="{DE511A9E-D917-4C8C-8896-87E0C0EE5BC2}"/>
    <hyperlink ref="A62" location="'AAPL - Reconciliation FY'!A1" display="    AAPL - Reconciliation FY" xr:uid="{78DF8AE8-64EF-4061-B42A-9F8D7A0B5E0D}"/>
    <hyperlink ref="A63" location="'MSFT - Reconciliation FY'!A1" display="    MSFT - Reconciliation FY" xr:uid="{90D1C47F-4BDC-4C2B-BF80-77779AAEAA49}"/>
    <hyperlink ref="A64" location="'GOOGL - Reconciliation FY'!A1" display="    GOOGL - Reconciliation FY" xr:uid="{8EE9ABBC-E957-44F0-801E-79FDFA479C2B}"/>
    <hyperlink ref="A65" location="'AMZN - Reconciliation FY'!A1" display="    AMZN - Reconciliation FY" xr:uid="{0623BD3C-1C62-42B4-B9A4-71425EC5643E}"/>
    <hyperlink ref="A66" location="'NVDA - Reconciliation FY'!A1" display="    NVDA - Reconciliation FY" xr:uid="{F7E8F296-344E-4838-BFBF-489A123D165B}"/>
    <hyperlink ref="A67" location="'META - Reconciliation FY'!A1" display="    META - Reconciliation FY" xr:uid="{499EE7C2-52B3-4233-AB60-4998C71D4F4D}"/>
    <hyperlink ref="A68" location="'TSLA - Reconciliation FY'!A1" display="    TSLA - Reconciliation FY" xr:uid="{B11A0697-C110-4FD9-AC5D-996F42188C58}"/>
    <hyperlink ref="A71" location="'Cost of Capital --&gt;&gt;'!A1" display="[ section divider ]" xr:uid="{295DDBC2-C0F8-435A-B53D-F043CA959D04}"/>
    <hyperlink ref="A72" location="'Peer Betas'!A1" display="    Peer Betas" xr:uid="{BA0DA73E-21C8-4DB2-A849-8C5F9E1AE561}"/>
    <hyperlink ref="A73" location="'WACC'!A1" display="    WACC" xr:uid="{8084EBED-3B7B-4511-90D9-3A5EA1C5C1B9}"/>
    <hyperlink ref="A74" location="'Debt Schedule'!A1" display="    Debt Schedule" xr:uid="{BB946651-765F-4710-8B13-5465FC4F476E}"/>
    <hyperlink ref="A77" location="'Revenue Drivers &amp; Forecast'!A1" display="[ section divider ]" xr:uid="{4A0F6D3B-991F-4E29-8EE5-68A50C18BC05}"/>
    <hyperlink ref="A78" location="'AAPL Rev Drivers &amp; Forecast'!A1" display="    AAPL Rev Drivers &amp; Forecast" xr:uid="{176552B6-5685-4D8F-919D-26CD51C43212}"/>
    <hyperlink ref="A79" location="'MSFT Rev Drivers &amp; Forecast'!A1" display="    MSFT Rev Drivers &amp; Forecast" xr:uid="{6DD45B47-4067-4706-8E7C-AC38B09EC565}"/>
    <hyperlink ref="A80" location="'GOOGL Rev Drivers &amp; Forecast'!A1" display="    GOOGL Rev Drivers &amp; Forecast" xr:uid="{CDAD2109-9E1B-468A-8C33-7688901109BA}"/>
    <hyperlink ref="A81" location="'AMZN Rev Drivers &amp; Forecast'!A1" display="    AMZN Rev Drivers &amp; Forecast" xr:uid="{C19925B1-7BD4-4488-AD5C-4437A54EF58B}"/>
    <hyperlink ref="A82" location="'NVDA Rev Drivers &amp; Forecast'!A1" display="    NVDA Rev Drivers &amp; Forecast" xr:uid="{FFF8B9D9-24BA-494D-9CD0-E1E6F544DC82}"/>
    <hyperlink ref="A83" location="'META Rev Drivers &amp; Forecast'!A1" display="    META Rev Drivers &amp; Forecast" xr:uid="{5257678C-AD14-4282-9A07-6066795B5322}"/>
    <hyperlink ref="A84" location="'TSLA Rev Drivers &amp; Forecast'!A1" display="    TSLA Rev Drivers &amp; Forecast" xr:uid="{301C0558-856D-47AB-B8E9-E4BB6225DA80}"/>
    <hyperlink ref="A87" location="'Financial Forecast'!A1" display="[ section divider ]" xr:uid="{B021FDCE-B586-425B-A5E4-69B6CD5A3A95}"/>
    <hyperlink ref="A88" location="'AAPL Forecast'!A1" display="    AAPL Forecast" xr:uid="{7355CC83-90A1-4AF9-8C75-6EA7DE655538}"/>
    <hyperlink ref="A89" location="'MSFT Forecast'!A1" display="    MSFT Forecast" xr:uid="{7581A374-E0CF-43D8-B4D6-601E78914445}"/>
    <hyperlink ref="A90" location="'GOOGL Forecast'!A1" display="    GOOGL Forecast" xr:uid="{E3ABA9CB-7CC3-4F50-A46B-CFD453E103C2}"/>
    <hyperlink ref="A91" location="'AMZN Forecast'!A1" display="    AMZN Forecast" xr:uid="{EEE0C144-B007-4EC7-A482-5F2C8BA16F1C}"/>
    <hyperlink ref="A92" location="'NVDA Forecast'!A1" display="    NVDA Forecast" xr:uid="{AA4439F9-EAA1-4C8A-8B4C-57F5D81B59FC}"/>
    <hyperlink ref="A93" location="'META Forecast'!A1" display="    META Forecast" xr:uid="{7F6F0311-AFDE-4AA6-8918-81FCB5D7FF3D}"/>
    <hyperlink ref="A94" location="'TSLA Forecast'!A1" display="    TSLA Forecast" xr:uid="{2422005E-4B83-4F05-B777-7CF3274507A4}"/>
    <hyperlink ref="A97" location="'DCF Valuation'!A1" display="[ section divider ]" xr:uid="{7978F9A5-25ED-483E-A037-AB19EB226CE4}"/>
    <hyperlink ref="A98" location="'AAPL DCF'!A1" display="    AAPL DCF" xr:uid="{6AB2AA5F-177D-4357-841F-36834B89FD3E}"/>
    <hyperlink ref="A99" location="'MSFT DCF'!A1" display="    MSFT DCF" xr:uid="{75508CDE-6140-42BC-92E7-8A96CCF012EE}"/>
    <hyperlink ref="A100" location="'GOOGL DCF'!A1" display="    GOOGL DCF" xr:uid="{FFB1CF99-FE6C-4048-BFAC-F71D44F54AB6}"/>
    <hyperlink ref="A101" location="'AMZN DCF'!A1" display="    AMZN DCF" xr:uid="{231F8806-7FFE-42F6-87AF-EBB59860E86B}"/>
    <hyperlink ref="A102" location="'NVDA DCF'!A1" display="    NVDA DCF" xr:uid="{367BD51A-E8DD-47DB-B5EA-F2CB4E4CFFC6}"/>
    <hyperlink ref="A103" location="'META DCF'!A1" display="    META DCF" xr:uid="{8889C26C-F786-4A5C-A957-C7D75017AD34}"/>
    <hyperlink ref="A104" location="'TSLA DCF'!A1" display="    TSLA DCF" xr:uid="{0C23EE59-C6DB-4260-9694-9B8A3B59A7AA}"/>
    <hyperlink ref="A107" location="'Multiples &amp; Special --&gt;&gt;'!A1" display="[ section divider ]" xr:uid="{9FE23826-191E-4EC2-900E-AE178C2E8985}"/>
    <hyperlink ref="A108" location="'Multiples'!A1" display="    Multiples" xr:uid="{8A34588E-D973-4A1E-9520-2141F0D7C5B7}"/>
    <hyperlink ref="A109" location="'NVDA High-Growth Ch23'!A1" display="    NVDA High-Growth Ch23" xr:uid="{459AE787-CE10-4291-8929-96AEEBAFC977}"/>
    <hyperlink ref="A110" location="'TSLA Flexibility'!A1" display="    TSLA Flexibility" xr:uid="{A8051AAB-EDB8-463D-B928-DABE7F1814EC}"/>
  </hyperlink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A8E9D3-1EF2-46FC-A0B8-2B29604407D4}">
  <sheetPr>
    <tabColor rgb="FF404040"/>
  </sheetPr>
  <dimension ref="A1:A3"/>
  <sheetViews>
    <sheetView workbookViewId="0"/>
  </sheetViews>
  <sheetFormatPr defaultRowHeight="15" x14ac:dyDescent="0.25"/>
  <cols>
    <col min="1" max="1" width="133.28515625" customWidth="1"/>
  </cols>
  <sheetData>
    <row r="1" spans="1:1" ht="26.25" x14ac:dyDescent="0.4">
      <c r="A1" s="108" t="s">
        <v>1226</v>
      </c>
    </row>
    <row r="3" spans="1:1" x14ac:dyDescent="0.25">
      <c r="A3" s="33" t="s">
        <v>1227</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77A3E7-3C34-4EF9-B926-692BA5A69B6D}">
  <sheetPr>
    <tabColor rgb="FFD0CECE"/>
  </sheetPr>
  <dimension ref="A1:H60"/>
  <sheetViews>
    <sheetView topLeftCell="A9" zoomScale="70" zoomScaleNormal="70" workbookViewId="0">
      <pane xSplit="1" topLeftCell="B1" activePane="topRight" state="frozen"/>
      <selection pane="topRight" activeCell="G42" sqref="G42"/>
    </sheetView>
  </sheetViews>
  <sheetFormatPr defaultRowHeight="15" x14ac:dyDescent="0.25"/>
  <cols>
    <col min="1" max="1" width="62.85546875" customWidth="1"/>
    <col min="2" max="8" width="18.140625" customWidth="1"/>
  </cols>
  <sheetData>
    <row r="1" spans="1:8" ht="21" x14ac:dyDescent="0.35">
      <c r="A1" s="65" t="s">
        <v>981</v>
      </c>
    </row>
    <row r="2" spans="1:8" x14ac:dyDescent="0.25">
      <c r="A2" s="66" t="s">
        <v>982</v>
      </c>
    </row>
    <row r="4" spans="1:8" x14ac:dyDescent="0.25">
      <c r="A4" s="67" t="s">
        <v>983</v>
      </c>
    </row>
    <row r="5" spans="1:8" x14ac:dyDescent="0.25">
      <c r="A5" t="s">
        <v>289</v>
      </c>
      <c r="B5" s="77" t="s">
        <v>296</v>
      </c>
      <c r="C5" s="77" t="s">
        <v>295</v>
      </c>
      <c r="D5" s="77" t="s">
        <v>308</v>
      </c>
      <c r="E5" s="77" t="s">
        <v>291</v>
      </c>
      <c r="F5" s="77" t="s">
        <v>294</v>
      </c>
      <c r="G5" s="77" t="s">
        <v>292</v>
      </c>
      <c r="H5" s="77" t="s">
        <v>293</v>
      </c>
    </row>
    <row r="6" spans="1:8" x14ac:dyDescent="0.25">
      <c r="A6" t="s">
        <v>984</v>
      </c>
      <c r="B6" s="148">
        <f>MAX(ABS('AAPL - Reconciliation FY'!B51),ABS('AAPL - Reconciliation FY'!C51),ABS('AAPL - Reconciliation FY'!D51),ABS('AAPL - Reconciliation FY'!E51),ABS('AAPL - Reconciliation FY'!F51),ABS('AAPL - Reconciliation FY'!G51),ABS('AAPL - Reconciliation FY'!H51))</f>
        <v>0</v>
      </c>
      <c r="C6" s="148">
        <f>MAX(ABS('MSFT - Reconciliation FY'!B51),ABS('MSFT - Reconciliation FY'!C51),ABS('MSFT - Reconciliation FY'!D51),ABS('MSFT - Reconciliation FY'!E51),ABS('MSFT - Reconciliation FY'!F51),ABS('MSFT - Reconciliation FY'!G51),ABS('MSFT - Reconciliation FY'!H51))</f>
        <v>0</v>
      </c>
      <c r="D6" s="148">
        <f>MAX(ABS('GOOGL - Reconciliation FY'!B51),ABS('GOOGL - Reconciliation FY'!C51),ABS('GOOGL - Reconciliation FY'!D51),ABS('GOOGL - Reconciliation FY'!E51),ABS('GOOGL - Reconciliation FY'!F51),ABS('GOOGL - Reconciliation FY'!G51),ABS('GOOGL - Reconciliation FY'!H51))</f>
        <v>0</v>
      </c>
      <c r="E6" s="148">
        <f>MAX(ABS('AMZN - Reconciliation FY'!B51),ABS('AMZN - Reconciliation FY'!C51),ABS('AMZN - Reconciliation FY'!D51),ABS('AMZN - Reconciliation FY'!E51),ABS('AMZN - Reconciliation FY'!F51),ABS('AMZN - Reconciliation FY'!G51),ABS('AMZN - Reconciliation FY'!H51))</f>
        <v>0</v>
      </c>
      <c r="F6" s="148">
        <f>MAX(ABS('NVDA - Reconciliation FY'!B51),ABS('NVDA - Reconciliation FY'!C51),ABS('NVDA - Reconciliation FY'!D51),ABS('NVDA - Reconciliation FY'!E51),ABS('NVDA - Reconciliation FY'!F51),ABS('NVDA - Reconciliation FY'!G51),ABS('NVDA - Reconciliation FY'!H51))</f>
        <v>0</v>
      </c>
      <c r="G6" s="148">
        <f>MAX(ABS('META - Reconciliation FY'!B51),ABS('META - Reconciliation FY'!C51),ABS('META - Reconciliation FY'!D51),ABS('META - Reconciliation FY'!E51),ABS('META - Reconciliation FY'!F51),ABS('META - Reconciliation FY'!G51),ABS('META - Reconciliation FY'!H51))</f>
        <v>0</v>
      </c>
      <c r="H6" s="148">
        <f>MAX(ABS('TSLA - Reconciliation FY'!B51),ABS('TSLA - Reconciliation FY'!C51),ABS('TSLA - Reconciliation FY'!D51),ABS('TSLA - Reconciliation FY'!E51),ABS('TSLA - Reconciliation FY'!F51),ABS('TSLA - Reconciliation FY'!G51),ABS('TSLA - Reconciliation FY'!H51))</f>
        <v>0</v>
      </c>
    </row>
    <row r="7" spans="1:8" x14ac:dyDescent="0.25">
      <c r="A7" t="s">
        <v>1001</v>
      </c>
      <c r="B7" s="148">
        <f>MAX(ABS('AAPL - Reconciliation FY'!B63),ABS('AAPL - Reconciliation FY'!C63),ABS('AAPL - Reconciliation FY'!D63),ABS('AAPL - Reconciliation FY'!E63),ABS('AAPL - Reconciliation FY'!F63),ABS('AAPL - Reconciliation FY'!G63),ABS('AAPL - Reconciliation FY'!H63))</f>
        <v>0</v>
      </c>
      <c r="C7" s="148">
        <f>MAX(ABS('MSFT - Reconciliation FY'!B63),ABS('MSFT - Reconciliation FY'!C63),ABS('MSFT - Reconciliation FY'!D63),ABS('MSFT - Reconciliation FY'!E63),ABS('MSFT - Reconciliation FY'!F63),ABS('MSFT - Reconciliation FY'!G63),ABS('MSFT - Reconciliation FY'!H63))</f>
        <v>0</v>
      </c>
      <c r="D7" s="148">
        <f>MAX(ABS('GOOGL - Reconciliation FY'!B63),ABS('GOOGL - Reconciliation FY'!C63),ABS('GOOGL - Reconciliation FY'!D63),ABS('GOOGL - Reconciliation FY'!E63),ABS('GOOGL - Reconciliation FY'!F63),ABS('GOOGL - Reconciliation FY'!G63),ABS('GOOGL - Reconciliation FY'!H63))</f>
        <v>0</v>
      </c>
      <c r="E7" s="148">
        <f>MAX(ABS('AMZN - Reconciliation FY'!B63),ABS('AMZN - Reconciliation FY'!C63),ABS('AMZN - Reconciliation FY'!D63),ABS('AMZN - Reconciliation FY'!E63),ABS('AMZN - Reconciliation FY'!F63),ABS('AMZN - Reconciliation FY'!G63),ABS('AMZN - Reconciliation FY'!H63))</f>
        <v>0</v>
      </c>
      <c r="F7" s="148">
        <f>MAX(ABS('NVDA - Reconciliation FY'!B63),ABS('NVDA - Reconciliation FY'!C63),ABS('NVDA - Reconciliation FY'!D63),ABS('NVDA - Reconciliation FY'!E63),ABS('NVDA - Reconciliation FY'!F63),ABS('NVDA - Reconciliation FY'!G63),ABS('NVDA - Reconciliation FY'!H63))</f>
        <v>0</v>
      </c>
      <c r="G7" s="148">
        <f>MAX(ABS('META - Reconciliation FY'!B63),ABS('META - Reconciliation FY'!C63),ABS('META - Reconciliation FY'!D63),ABS('META - Reconciliation FY'!E63),ABS('META - Reconciliation FY'!F63),ABS('META - Reconciliation FY'!G63),ABS('META - Reconciliation FY'!H63))</f>
        <v>0</v>
      </c>
      <c r="H7" s="148">
        <f>MAX(ABS('TSLA - Reconciliation FY'!B63),ABS('TSLA - Reconciliation FY'!C63),ABS('TSLA - Reconciliation FY'!D63),ABS('TSLA - Reconciliation FY'!E63),ABS('TSLA - Reconciliation FY'!F63),ABS('TSLA - Reconciliation FY'!G63),ABS('TSLA - Reconciliation FY'!H63))</f>
        <v>141</v>
      </c>
    </row>
    <row r="8" spans="1:8" x14ac:dyDescent="0.25">
      <c r="A8" t="s">
        <v>985</v>
      </c>
      <c r="B8" s="148">
        <f>MAX(ABS('AAPL Forecast'!B94),ABS('AAPL Forecast'!C94),ABS('AAPL Forecast'!D94),ABS('AAPL Forecast'!E94),ABS('AAPL Forecast'!F94))</f>
        <v>0</v>
      </c>
      <c r="C8" s="148">
        <f>MAX(ABS('MSFT Forecast'!B94),ABS('MSFT Forecast'!C94),ABS('MSFT Forecast'!D94),ABS('MSFT Forecast'!E94),ABS('MSFT Forecast'!F94))</f>
        <v>0</v>
      </c>
      <c r="D8" s="148">
        <f>MAX(ABS('GOOGL Forecast'!B94),ABS('GOOGL Forecast'!C94),ABS('GOOGL Forecast'!D94),ABS('GOOGL Forecast'!E94),ABS('GOOGL Forecast'!F94))</f>
        <v>0</v>
      </c>
      <c r="E8" s="148">
        <f>MAX(ABS('AMZN Forecast'!B94),ABS('AMZN Forecast'!C94),ABS('AMZN Forecast'!D94),ABS('AMZN Forecast'!E94),ABS('AMZN Forecast'!F94))</f>
        <v>0</v>
      </c>
      <c r="F8" s="148">
        <f>MAX(ABS('NVDA Forecast'!B94),ABS('NVDA Forecast'!C94),ABS('NVDA Forecast'!D94),ABS('NVDA Forecast'!E94),ABS('NVDA Forecast'!F94))</f>
        <v>0</v>
      </c>
      <c r="G8" s="148">
        <f>MAX(ABS('META Forecast'!B94),ABS('META Forecast'!C94),ABS('META Forecast'!D94),ABS('META Forecast'!E94),ABS('META Forecast'!F94))</f>
        <v>0</v>
      </c>
      <c r="H8" s="148">
        <f>MAX(ABS('TSLA Forecast'!B94),ABS('TSLA Forecast'!C94),ABS('TSLA Forecast'!D94),ABS('TSLA Forecast'!E94),ABS('TSLA Forecast'!F94))</f>
        <v>0</v>
      </c>
    </row>
    <row r="9" spans="1:8" x14ac:dyDescent="0.25">
      <c r="A9" t="s">
        <v>986</v>
      </c>
      <c r="B9" s="148">
        <f ca="1">'AAPL DCF'!B102</f>
        <v>0</v>
      </c>
      <c r="C9" s="148">
        <f ca="1">'MSFT DCF'!B102</f>
        <v>0</v>
      </c>
      <c r="D9" s="148">
        <f ca="1">'GOOGL DCF'!B102</f>
        <v>0</v>
      </c>
      <c r="E9" s="148">
        <f ca="1">'AMZN DCF'!B102</f>
        <v>0</v>
      </c>
      <c r="F9" s="148">
        <f ca="1">'NVDA DCF'!B102</f>
        <v>0</v>
      </c>
      <c r="G9" s="148">
        <f ca="1">'META DCF'!B102</f>
        <v>0</v>
      </c>
      <c r="H9" s="148">
        <f ca="1">'TSLA DCF'!B102</f>
        <v>0</v>
      </c>
    </row>
    <row r="10" spans="1:8" x14ac:dyDescent="0.25">
      <c r="A10" s="9" t="s">
        <v>1003</v>
      </c>
      <c r="B10" s="133" t="str">
        <f t="shared" ref="B10:H10" ca="1" si="0">IF(AND(B6&lt;1,B8&lt;1,ABS(B9)&lt;1),"all pass","REVIEW")</f>
        <v>all pass</v>
      </c>
      <c r="C10" s="133" t="str">
        <f t="shared" ca="1" si="0"/>
        <v>all pass</v>
      </c>
      <c r="D10" s="133" t="str">
        <f t="shared" ca="1" si="0"/>
        <v>all pass</v>
      </c>
      <c r="E10" s="133" t="str">
        <f t="shared" ca="1" si="0"/>
        <v>all pass</v>
      </c>
      <c r="F10" s="133" t="str">
        <f t="shared" ca="1" si="0"/>
        <v>all pass</v>
      </c>
      <c r="G10" s="133" t="str">
        <f t="shared" ca="1" si="0"/>
        <v>all pass</v>
      </c>
      <c r="H10" s="133" t="str">
        <f t="shared" ca="1" si="0"/>
        <v>all pass</v>
      </c>
    </row>
    <row r="11" spans="1:8" x14ac:dyDescent="0.25">
      <c r="A11" s="67" t="s">
        <v>987</v>
      </c>
    </row>
    <row r="12" spans="1:8" x14ac:dyDescent="0.25">
      <c r="A12" t="s">
        <v>988</v>
      </c>
      <c r="B12" s="113">
        <f>'AAPL Forecast'!B100</f>
        <v>2.0115568785035984</v>
      </c>
      <c r="C12" s="113">
        <f>'MSFT Forecast'!B100</f>
        <v>0.31208875492176896</v>
      </c>
      <c r="D12" s="113">
        <f>'GOOGL Forecast'!B100</f>
        <v>0.36969900191602528</v>
      </c>
      <c r="E12" s="113">
        <f>'AMZN Forecast'!B100</f>
        <v>0.12432409352604354</v>
      </c>
      <c r="F12" s="113">
        <f>'NVDA Forecast'!B100</f>
        <v>1.2941582503148754</v>
      </c>
      <c r="G12" s="113">
        <f>'META Forecast'!B100</f>
        <v>0.35857303053149064</v>
      </c>
      <c r="H12" s="113">
        <f>'TSLA Forecast'!B100</f>
        <v>8.2257819522014455E-2</v>
      </c>
    </row>
    <row r="13" spans="1:8" x14ac:dyDescent="0.25">
      <c r="A13" t="s">
        <v>334</v>
      </c>
      <c r="B13" s="113">
        <f ca="1">'AAPL DCF'!B12</f>
        <v>9.669456809382776E-2</v>
      </c>
      <c r="C13" s="113">
        <f ca="1">'MSFT DCF'!B12</f>
        <v>9.7212466744806408E-2</v>
      </c>
      <c r="D13" s="113">
        <f ca="1">'GOOGL DCF'!B12</f>
        <v>9.5075100642306412E-2</v>
      </c>
      <c r="E13" s="113">
        <f ca="1">'AMZN DCF'!B12</f>
        <v>8.7531307151859569E-2</v>
      </c>
      <c r="F13" s="113">
        <f ca="1">'NVDA DCF'!B12</f>
        <v>0.14967436549682989</v>
      </c>
      <c r="G13" s="113">
        <f ca="1">'META DCF'!B12</f>
        <v>9.345613080524226E-2</v>
      </c>
      <c r="H13" s="113">
        <f ca="1">'TSLA DCF'!B12</f>
        <v>0.1211934192737834</v>
      </c>
    </row>
    <row r="14" spans="1:8" x14ac:dyDescent="0.25">
      <c r="A14" t="s">
        <v>989</v>
      </c>
      <c r="B14" s="133" t="str">
        <f t="shared" ref="B14:H14" ca="1" si="1">IF(B12&gt;B13,"yes","NO")</f>
        <v>yes</v>
      </c>
      <c r="C14" s="133" t="str">
        <f t="shared" ca="1" si="1"/>
        <v>yes</v>
      </c>
      <c r="D14" s="133" t="str">
        <f t="shared" ca="1" si="1"/>
        <v>yes</v>
      </c>
      <c r="E14" s="133" t="str">
        <f t="shared" ca="1" si="1"/>
        <v>yes</v>
      </c>
      <c r="F14" s="133" t="str">
        <f t="shared" ca="1" si="1"/>
        <v>yes</v>
      </c>
      <c r="G14" s="133" t="str">
        <f t="shared" ca="1" si="1"/>
        <v>yes</v>
      </c>
      <c r="H14" s="133" t="str">
        <f t="shared" ca="1" si="1"/>
        <v>NO</v>
      </c>
    </row>
    <row r="15" spans="1:8" x14ac:dyDescent="0.25">
      <c r="A15" t="s">
        <v>990</v>
      </c>
      <c r="B15" s="80">
        <f ca="1">'AAPL DCF'!B101</f>
        <v>2900529.9653430851</v>
      </c>
      <c r="C15" s="80">
        <f ca="1">'MSFT DCF'!B101</f>
        <v>2753878.0193568901</v>
      </c>
      <c r="D15" s="80">
        <f ca="1">'GOOGL DCF'!B101</f>
        <v>2929750.9634347726</v>
      </c>
      <c r="E15" s="80">
        <f ca="1">'AMZN DCF'!B101</f>
        <v>1014964.3122656832</v>
      </c>
      <c r="F15" s="80">
        <f ca="1">'NVDA DCF'!B101</f>
        <v>1632686.5498151996</v>
      </c>
      <c r="G15" s="80">
        <f ca="1">'META DCF'!B101</f>
        <v>2091296.4238718934</v>
      </c>
      <c r="H15" s="80">
        <f ca="1">'TSLA DCF'!B101</f>
        <v>37856.632868388864</v>
      </c>
    </row>
    <row r="16" spans="1:8" x14ac:dyDescent="0.25">
      <c r="A16" t="s">
        <v>991</v>
      </c>
      <c r="B16" s="80">
        <f>'AAPL - Reconciliation FY'!B32</f>
        <v>54956.22</v>
      </c>
      <c r="C16" s="80">
        <f>'MSFT - Reconciliation FY'!B32</f>
        <v>351327.48</v>
      </c>
      <c r="D16" s="80">
        <f>'GOOGL - Reconciliation FY'!B32</f>
        <v>292791.71999999997</v>
      </c>
      <c r="E16" s="80">
        <f>'AMZN - Reconciliation FY'!B32</f>
        <v>556899.48</v>
      </c>
      <c r="F16" s="80">
        <f>'NVDA - Reconciliation FY'!B32</f>
        <v>88216.760000000009</v>
      </c>
      <c r="G16" s="80">
        <f>'META - Reconciliation FY'!B32</f>
        <v>197227.32</v>
      </c>
      <c r="H16" s="80">
        <f>'TSLA - Reconciliation FY'!B32</f>
        <v>48719.54</v>
      </c>
    </row>
    <row r="17" spans="1:8" x14ac:dyDescent="0.25">
      <c r="A17" t="s">
        <v>992</v>
      </c>
      <c r="B17" s="133" t="str">
        <f t="shared" ref="B17:H17" ca="1" si="2">IF(B15&gt;B16,"yes","NO")</f>
        <v>yes</v>
      </c>
      <c r="C17" s="133" t="str">
        <f t="shared" ca="1" si="2"/>
        <v>yes</v>
      </c>
      <c r="D17" s="133" t="str">
        <f t="shared" ca="1" si="2"/>
        <v>yes</v>
      </c>
      <c r="E17" s="133" t="str">
        <f t="shared" ca="1" si="2"/>
        <v>yes</v>
      </c>
      <c r="F17" s="133" t="str">
        <f t="shared" ca="1" si="2"/>
        <v>yes</v>
      </c>
      <c r="G17" s="133" t="str">
        <f t="shared" ca="1" si="2"/>
        <v>yes</v>
      </c>
      <c r="H17" s="133" t="str">
        <f t="shared" ca="1" si="2"/>
        <v>NO</v>
      </c>
    </row>
    <row r="18" spans="1:8" x14ac:dyDescent="0.25">
      <c r="A18" s="9" t="s">
        <v>1002</v>
      </c>
      <c r="B18" s="133" t="str">
        <f t="shared" ref="B18:H18" ca="1" si="3">IF(SIGN(B12-B13)=SIGN(B15-B16),"consistent","INCONSISTENT")</f>
        <v>consistent</v>
      </c>
      <c r="C18" s="133" t="str">
        <f t="shared" ca="1" si="3"/>
        <v>consistent</v>
      </c>
      <c r="D18" s="133" t="str">
        <f t="shared" ca="1" si="3"/>
        <v>consistent</v>
      </c>
      <c r="E18" s="133" t="str">
        <f t="shared" ca="1" si="3"/>
        <v>consistent</v>
      </c>
      <c r="F18" s="133" t="str">
        <f t="shared" ca="1" si="3"/>
        <v>consistent</v>
      </c>
      <c r="G18" s="133" t="str">
        <f t="shared" ca="1" si="3"/>
        <v>consistent</v>
      </c>
      <c r="H18" s="133" t="str">
        <f t="shared" ca="1" si="3"/>
        <v>consistent</v>
      </c>
    </row>
    <row r="19" spans="1:8" x14ac:dyDescent="0.25">
      <c r="A19" s="67" t="s">
        <v>993</v>
      </c>
    </row>
    <row r="20" spans="1:8" x14ac:dyDescent="0.25">
      <c r="A20" t="s">
        <v>994</v>
      </c>
      <c r="B20" s="80">
        <f ca="1">'AAPL DCF'!B80*(1-'AAPL DCF'!$E$8/'AAPL DCF'!$E$9)/('AAPL DCF'!$B$12-'AAPL DCF'!$E$8)</f>
        <v>2833310.3101322181</v>
      </c>
      <c r="C20" s="80">
        <f ca="1">'MSFT DCF'!B80*(1-'MSFT DCF'!$E$8/'MSFT DCF'!$E$9)/('MSFT DCF'!$B$12-'MSFT DCF'!$E$8)</f>
        <v>2357923.1444797446</v>
      </c>
      <c r="D20" s="80">
        <f ca="1">'GOOGL DCF'!B80*(1-'GOOGL DCF'!$E$8/'GOOGL DCF'!$E$9)/('GOOGL DCF'!$B$12-'GOOGL DCF'!$E$8)</f>
        <v>2545308.2742955326</v>
      </c>
      <c r="E20" s="80">
        <f ca="1">'AMZN DCF'!B80*(1-'AMZN DCF'!$E$8/'AMZN DCF'!$E$9)/('AMZN DCF'!$B$12-'AMZN DCF'!$E$8)</f>
        <v>831856.84087430115</v>
      </c>
      <c r="F20" s="80">
        <f ca="1">'NVDA DCF'!B80*(1-'NVDA DCF'!$E$8/'NVDA DCF'!$E$9)/('NVDA DCF'!$B$12-'NVDA DCF'!$E$8)</f>
        <v>858010.84596562386</v>
      </c>
      <c r="G20" s="80">
        <f ca="1">'META DCF'!B80*(1-'META DCF'!$E$8/'META DCF'!$E$9)/('META DCF'!$B$12-'META DCF'!$E$8)</f>
        <v>1740826.2384277228</v>
      </c>
      <c r="H20" s="80">
        <f ca="1">'TSLA DCF'!B80*(1-'TSLA DCF'!$E$8/'TSLA DCF'!$E$9)/('TSLA DCF'!$B$12-'TSLA DCF'!$E$8)</f>
        <v>34091.99787803497</v>
      </c>
    </row>
    <row r="21" spans="1:8" x14ac:dyDescent="0.25">
      <c r="A21" t="s">
        <v>995</v>
      </c>
      <c r="B21" s="80">
        <f ca="1">'AAPL DCF'!B101</f>
        <v>2900529.9653430851</v>
      </c>
      <c r="C21" s="80">
        <f ca="1">'MSFT DCF'!B101</f>
        <v>2753878.0193568901</v>
      </c>
      <c r="D21" s="80">
        <f ca="1">'GOOGL DCF'!B101</f>
        <v>2929750.9634347726</v>
      </c>
      <c r="E21" s="80">
        <f ca="1">'AMZN DCF'!B101</f>
        <v>1014964.3122656832</v>
      </c>
      <c r="F21" s="80">
        <f ca="1">'NVDA DCF'!B101</f>
        <v>1632686.5498151996</v>
      </c>
      <c r="G21" s="80">
        <f ca="1">'META DCF'!B101</f>
        <v>2091296.4238718934</v>
      </c>
      <c r="H21" s="80">
        <f ca="1">'TSLA DCF'!B101</f>
        <v>37856.632868388864</v>
      </c>
    </row>
    <row r="22" spans="1:8" x14ac:dyDescent="0.25">
      <c r="A22" t="s">
        <v>996</v>
      </c>
      <c r="B22" s="138">
        <f t="shared" ref="B22:H22" ca="1" si="4">B20/B21</f>
        <v>0.97682504369406986</v>
      </c>
      <c r="C22" s="138">
        <f t="shared" ca="1" si="4"/>
        <v>0.85621916726376557</v>
      </c>
      <c r="D22" s="138">
        <f t="shared" ca="1" si="4"/>
        <v>0.86877973795816144</v>
      </c>
      <c r="E22" s="138">
        <f t="shared" ca="1" si="4"/>
        <v>0.81959220715589975</v>
      </c>
      <c r="F22" s="138">
        <f t="shared" ca="1" si="4"/>
        <v>0.52552086379516039</v>
      </c>
      <c r="G22" s="138">
        <f t="shared" ca="1" si="4"/>
        <v>0.832414868861441</v>
      </c>
      <c r="H22" s="138">
        <f t="shared" ca="1" si="4"/>
        <v>0.90055547191843766</v>
      </c>
    </row>
    <row r="24" spans="1:8" x14ac:dyDescent="0.25">
      <c r="A24" s="67" t="s">
        <v>997</v>
      </c>
    </row>
    <row r="25" spans="1:8" x14ac:dyDescent="0.25">
      <c r="A25" t="s">
        <v>998</v>
      </c>
      <c r="B25" s="114" t="str">
        <f>'AAPL DCF'!B115</f>
        <v>OK - steady state reached</v>
      </c>
      <c r="C25" s="114" t="str">
        <f>'MSFT DCF'!B115</f>
        <v>OK - steady state reached</v>
      </c>
      <c r="D25" s="114" t="str">
        <f>'GOOGL DCF'!B115</f>
        <v>OK - steady state reached</v>
      </c>
      <c r="E25" s="114" t="str">
        <f>'AMZN DCF'!B115</f>
        <v>OK - steady state reached</v>
      </c>
      <c r="F25" s="114" t="str">
        <f>'NVDA DCF'!B115</f>
        <v>OK - steady state reached</v>
      </c>
      <c r="G25" s="114" t="str">
        <f>'META DCF'!B115</f>
        <v>OK - steady state reached</v>
      </c>
      <c r="H25" s="114" t="str">
        <f>'TSLA DCF'!B115</f>
        <v>OK - steady state reached</v>
      </c>
    </row>
    <row r="27" spans="1:8" x14ac:dyDescent="0.25">
      <c r="A27" s="67" t="s">
        <v>999</v>
      </c>
    </row>
    <row r="28" spans="1:8" x14ac:dyDescent="0.25">
      <c r="A28" t="s">
        <v>1000</v>
      </c>
      <c r="B28" s="114" t="str">
        <f ca="1">IF(ABS('AAPL DCF'!$E$9-'AAPL DCF'!$B$12)&lt;0.0001,"flat - as book predicts","varies (RONIC&lt;&gt;WACC)")</f>
        <v>varies (RONIC&lt;&gt;WACC)</v>
      </c>
      <c r="C28" s="114" t="str">
        <f ca="1">IF(ABS('MSFT DCF'!$E$9-'MSFT DCF'!$B$12)&lt;0.0001,"flat - as book predicts","varies (RONIC&lt;&gt;WACC)")</f>
        <v>varies (RONIC&lt;&gt;WACC)</v>
      </c>
      <c r="D28" s="114" t="str">
        <f ca="1">IF(ABS('GOOGL DCF'!$E$9-'GOOGL DCF'!$B$12)&lt;0.0001,"flat - as book predicts","varies (RONIC&lt;&gt;WACC)")</f>
        <v>varies (RONIC&lt;&gt;WACC)</v>
      </c>
      <c r="E28" s="114" t="str">
        <f ca="1">IF(ABS('AMZN DCF'!$E$9-'AMZN DCF'!$B$12)&lt;0.0001,"flat - as book predicts","varies (RONIC&lt;&gt;WACC)")</f>
        <v>flat - as book predicts</v>
      </c>
      <c r="F28" s="114" t="str">
        <f ca="1">IF(ABS('NVDA DCF'!$E$9-'NVDA DCF'!$B$12)&lt;0.0001,"flat - as book predicts","varies (RONIC&lt;&gt;WACC)")</f>
        <v>flat - as book predicts</v>
      </c>
      <c r="G28" s="114" t="str">
        <f ca="1">IF(ABS('META DCF'!$E$9-'META DCF'!$B$12)&lt;0.0001,"flat - as book predicts","varies (RONIC&lt;&gt;WACC)")</f>
        <v>varies (RONIC&lt;&gt;WACC)</v>
      </c>
      <c r="H28" s="114" t="str">
        <f ca="1">IF(ABS('TSLA DCF'!$E$9-'TSLA DCF'!$B$12)&lt;0.0001,"flat - as book predicts","varies (RONIC&lt;&gt;WACC)")</f>
        <v>flat - as book predicts</v>
      </c>
    </row>
    <row r="31" spans="1:8" x14ac:dyDescent="0.25">
      <c r="A31" s="201" t="s">
        <v>1467</v>
      </c>
    </row>
    <row r="32" spans="1:8" x14ac:dyDescent="0.25">
      <c r="A32" t="s">
        <v>289</v>
      </c>
      <c r="B32" s="77" t="s">
        <v>296</v>
      </c>
      <c r="C32" s="77" t="s">
        <v>295</v>
      </c>
      <c r="D32" s="77" t="s">
        <v>308</v>
      </c>
      <c r="E32" s="77" t="s">
        <v>291</v>
      </c>
      <c r="F32" s="77" t="s">
        <v>294</v>
      </c>
      <c r="G32" s="77" t="s">
        <v>292</v>
      </c>
      <c r="H32" s="77" t="s">
        <v>293</v>
      </c>
    </row>
    <row r="33" spans="1:8" x14ac:dyDescent="0.25">
      <c r="A33" t="s">
        <v>1468</v>
      </c>
      <c r="B33" s="202" cm="1">
        <f t="array" aca="1" ref="B33" ca="1">SUMPRODUCT(--ISERROR('AAPL DCF'!$A$1:$K$115))</f>
        <v>0</v>
      </c>
      <c r="C33" s="202" cm="1">
        <f t="array" aca="1" ref="C33" ca="1">SUMPRODUCT(--ISERROR('MSFT DCF'!$A$1:$K$115))</f>
        <v>0</v>
      </c>
      <c r="D33" s="202" cm="1">
        <f t="array" aca="1" ref="D33" ca="1">SUMPRODUCT(--ISERROR('GOOGL DCF'!$A$1:$K$115))</f>
        <v>0</v>
      </c>
      <c r="E33" s="202" cm="1">
        <f t="array" aca="1" ref="E33" ca="1">SUMPRODUCT(--ISERROR('AMZN DCF'!$A$1:$K$115))</f>
        <v>0</v>
      </c>
      <c r="F33" s="202" cm="1">
        <f t="array" aca="1" ref="F33" ca="1">SUMPRODUCT(--ISERROR('NVDA DCF'!$A$1:$K$115))</f>
        <v>0</v>
      </c>
      <c r="G33" s="202" cm="1">
        <f t="array" aca="1" ref="G33" ca="1">SUMPRODUCT(--ISERROR('META DCF'!$A$1:$K$115))</f>
        <v>0</v>
      </c>
      <c r="H33" s="202" cm="1">
        <f t="array" aca="1" ref="H33" ca="1">SUMPRODUCT(--ISERROR('TSLA DCF'!$A$1:$K$115))</f>
        <v>0</v>
      </c>
    </row>
    <row r="34" spans="1:8" x14ac:dyDescent="0.25">
      <c r="A34" t="s">
        <v>1469</v>
      </c>
      <c r="B34" s="202" cm="1">
        <f t="array" ref="B34">SUMPRODUCT(--ISERROR('AAPL Forecast'!$A$1:$K$118))</f>
        <v>0</v>
      </c>
      <c r="C34" s="202" cm="1">
        <f t="array" ref="C34">SUMPRODUCT(--ISERROR('MSFT Forecast'!$A$1:$K$118))</f>
        <v>0</v>
      </c>
      <c r="D34" s="202" cm="1">
        <f t="array" ref="D34">SUMPRODUCT(--ISERROR('GOOGL Forecast'!$A$1:$K$118))</f>
        <v>0</v>
      </c>
      <c r="E34" s="202" cm="1">
        <f t="array" ref="E34">SUMPRODUCT(--ISERROR('AMZN Forecast'!$A$1:$K$118))</f>
        <v>0</v>
      </c>
      <c r="F34" s="202" cm="1">
        <f t="array" ref="F34">SUMPRODUCT(--ISERROR('NVDA Forecast'!$A$1:$K$118))</f>
        <v>0</v>
      </c>
      <c r="G34" s="202" cm="1">
        <f t="array" ref="G34">SUMPRODUCT(--ISERROR('META Forecast'!$A$1:$K$118))</f>
        <v>0</v>
      </c>
      <c r="H34" s="202" cm="1">
        <f t="array" ref="H34">SUMPRODUCT(--ISERROR('TSLA Forecast'!$A$1:$K$118))</f>
        <v>0</v>
      </c>
    </row>
    <row r="35" spans="1:8" x14ac:dyDescent="0.25">
      <c r="A35" t="s">
        <v>1470</v>
      </c>
      <c r="B35" s="202" cm="1">
        <f t="array" ref="B35">SUMPRODUCT(--ISERROR('AAPL - Reconciliation FY'!$A$1:$H$146))</f>
        <v>0</v>
      </c>
      <c r="C35" s="202" cm="1">
        <f t="array" ref="C35">SUMPRODUCT(--ISERROR('MSFT - Reconciliation FY'!$A$1:$H$146))</f>
        <v>0</v>
      </c>
      <c r="D35" s="202" cm="1">
        <f t="array" ref="D35">SUMPRODUCT(--ISERROR('GOOGL - Reconciliation FY'!$A$1:$H$146))</f>
        <v>0</v>
      </c>
      <c r="E35" s="202" cm="1">
        <f t="array" ref="E35">SUMPRODUCT(--ISERROR('AMZN - Reconciliation FY'!$A$1:$H$146))</f>
        <v>0</v>
      </c>
      <c r="F35" s="202" cm="1">
        <f t="array" ref="F35">SUMPRODUCT(--ISERROR('NVDA - Reconciliation FY'!$A$1:$H$146))</f>
        <v>0</v>
      </c>
      <c r="G35" s="202" cm="1">
        <f t="array" ref="G35">SUMPRODUCT(--ISERROR('META - Reconciliation FY'!$A$1:$H$146))</f>
        <v>0</v>
      </c>
      <c r="H35" s="202" cm="1">
        <f t="array" ref="H35">SUMPRODUCT(--ISERROR('TSLA - Reconciliation FY'!$A$1:$H$146))</f>
        <v>0</v>
      </c>
    </row>
    <row r="36" spans="1:8" x14ac:dyDescent="0.25">
      <c r="A36" t="s">
        <v>1471</v>
      </c>
      <c r="B36" s="202">
        <f ca="1">IFERROR('AAPL DCF'!$B$102,999999999)</f>
        <v>0</v>
      </c>
      <c r="C36" s="202">
        <f ca="1">IFERROR('MSFT DCF'!$B$102,999999999)</f>
        <v>0</v>
      </c>
      <c r="D36" s="202">
        <f ca="1">IFERROR('GOOGL DCF'!$B$102,999999999)</f>
        <v>0</v>
      </c>
      <c r="E36" s="202">
        <f ca="1">IFERROR('AMZN DCF'!$B$102,999999999)</f>
        <v>0</v>
      </c>
      <c r="F36" s="202">
        <f ca="1">IFERROR('NVDA DCF'!$B$102,999999999)</f>
        <v>0</v>
      </c>
      <c r="G36" s="202">
        <f ca="1">IFERROR('META DCF'!$B$102,999999999)</f>
        <v>0</v>
      </c>
      <c r="H36" s="202">
        <f ca="1">IFERROR('TSLA DCF'!$B$102,999999999)</f>
        <v>0</v>
      </c>
    </row>
    <row r="37" spans="1:8" x14ac:dyDescent="0.25">
      <c r="A37" t="s">
        <v>1472</v>
      </c>
      <c r="B37" s="202">
        <f t="shared" ref="B37:H37" si="5">B6</f>
        <v>0</v>
      </c>
      <c r="C37" s="202">
        <f t="shared" si="5"/>
        <v>0</v>
      </c>
      <c r="D37" s="202">
        <f t="shared" si="5"/>
        <v>0</v>
      </c>
      <c r="E37" s="202">
        <f t="shared" si="5"/>
        <v>0</v>
      </c>
      <c r="F37" s="202">
        <f t="shared" si="5"/>
        <v>0</v>
      </c>
      <c r="G37" s="202">
        <f t="shared" si="5"/>
        <v>0</v>
      </c>
      <c r="H37" s="202">
        <f t="shared" si="5"/>
        <v>0</v>
      </c>
    </row>
    <row r="38" spans="1:8" x14ac:dyDescent="0.25">
      <c r="A38" t="s">
        <v>1473</v>
      </c>
      <c r="B38" s="62" t="str">
        <f>IF(LEFT('AAPL DCF'!$B$115,2)="OK","ok","NOT STEADY")</f>
        <v>ok</v>
      </c>
      <c r="C38" s="62" t="str">
        <f>IF(LEFT('MSFT DCF'!$B$115,2)="OK","ok","NOT STEADY")</f>
        <v>ok</v>
      </c>
      <c r="D38" s="62" t="str">
        <f>IF(LEFT('GOOGL DCF'!$B$115,2)="OK","ok","NOT STEADY")</f>
        <v>ok</v>
      </c>
      <c r="E38" s="62" t="str">
        <f>IF(LEFT('AMZN DCF'!$B$115,2)="OK","ok","NOT STEADY")</f>
        <v>ok</v>
      </c>
      <c r="F38" s="62" t="str">
        <f>IF(LEFT('NVDA DCF'!$B$115,2)="OK","ok","NOT STEADY")</f>
        <v>ok</v>
      </c>
      <c r="G38" s="62" t="str">
        <f>IF(LEFT('META DCF'!$B$115,2)="OK","ok","NOT STEADY")</f>
        <v>ok</v>
      </c>
      <c r="H38" s="62" t="str">
        <f>IF(LEFT('TSLA DCF'!$B$115,2)="OK","ok","NOT STEADY")</f>
        <v>ok</v>
      </c>
    </row>
    <row r="39" spans="1:8" x14ac:dyDescent="0.25">
      <c r="A39" t="s">
        <v>1474</v>
      </c>
      <c r="B39" s="62" t="str">
        <f>IF('AAPL DCF'!$E$8&lt;=0.0603+0.00001,"ok","BREACH")</f>
        <v>ok</v>
      </c>
      <c r="C39" s="62" t="str">
        <f>IF('MSFT DCF'!$E$8&lt;=0.0603+0.00001,"ok","BREACH")</f>
        <v>ok</v>
      </c>
      <c r="D39" s="62" t="str">
        <f>IF('GOOGL DCF'!$E$8&lt;=0.0603+0.00001,"ok","BREACH")</f>
        <v>ok</v>
      </c>
      <c r="E39" s="62" t="str">
        <f>IF('AMZN DCF'!$E$8&lt;=0.0603+0.00001,"ok","BREACH")</f>
        <v>ok</v>
      </c>
      <c r="F39" s="62" t="str">
        <f>IF('NVDA DCF'!$E$8&lt;=0.0603+0.00001,"ok","BREACH")</f>
        <v>ok</v>
      </c>
      <c r="G39" s="62" t="str">
        <f>IF('META DCF'!$E$8&lt;=0.0603+0.00001,"ok","BREACH")</f>
        <v>ok</v>
      </c>
      <c r="H39" s="62" t="str">
        <f>IF('TSLA DCF'!$E$8&lt;=0.0603+0.00001,"ok","BREACH")</f>
        <v>ok</v>
      </c>
    </row>
    <row r="40" spans="1:8" x14ac:dyDescent="0.25">
      <c r="A40" t="s">
        <v>1475</v>
      </c>
      <c r="B40" s="62" t="str">
        <f>IF(OR('Valuation Dashboard'!B22="Base",'Valuation Dashboard'!B22="Worst",'Valuation Dashboard'!B22="Best"),"ok","INVALID")</f>
        <v>ok</v>
      </c>
      <c r="C40" s="62" t="str">
        <f>IF(OR('Valuation Dashboard'!C22="Base",'Valuation Dashboard'!C22="Worst",'Valuation Dashboard'!C22="Best"),"ok","INVALID")</f>
        <v>ok</v>
      </c>
      <c r="D40" s="62" t="str">
        <f>IF(OR('Valuation Dashboard'!D22="Base",'Valuation Dashboard'!D22="Worst",'Valuation Dashboard'!D22="Best"),"ok","INVALID")</f>
        <v>ok</v>
      </c>
      <c r="E40" s="62" t="str">
        <f>IF(OR('Valuation Dashboard'!E22="Base",'Valuation Dashboard'!E22="Worst",'Valuation Dashboard'!E22="Best"),"ok","INVALID")</f>
        <v>ok</v>
      </c>
      <c r="F40" s="62" t="str">
        <f>IF(OR('Valuation Dashboard'!F22="Base",'Valuation Dashboard'!F22="Worst",'Valuation Dashboard'!F22="Best"),"ok","INVALID")</f>
        <v>ok</v>
      </c>
      <c r="G40" s="62" t="str">
        <f>IF(OR('Valuation Dashboard'!G22="Base",'Valuation Dashboard'!G22="Worst",'Valuation Dashboard'!G22="Best"),"ok","INVALID")</f>
        <v>ok</v>
      </c>
      <c r="H40" s="62" t="str">
        <f>IF(OR('Valuation Dashboard'!H22="Base",'Valuation Dashboard'!H22="Worst",'Valuation Dashboard'!H22="Best"),"ok","INVALID")</f>
        <v>ok</v>
      </c>
    </row>
    <row r="41" spans="1:8" x14ac:dyDescent="0.25">
      <c r="A41" t="s">
        <v>1503</v>
      </c>
      <c r="B41" s="62" t="str">
        <f>IF('AAPL - Reconciliation FY'!$B$156="ok","ok","MISSING")</f>
        <v>ok</v>
      </c>
      <c r="C41" s="62" t="str">
        <f>IF('MSFT - Reconciliation FY'!$B$156="ok","ok","MISSING")</f>
        <v>ok</v>
      </c>
      <c r="D41" s="62" t="str">
        <f>IF('GOOGL - Reconciliation FY'!$B$156="ok","ok","MISSING")</f>
        <v>ok</v>
      </c>
      <c r="E41" s="62" t="str">
        <f>IF('AMZN - Reconciliation FY'!$B$156="ok","ok","MISSING")</f>
        <v>ok</v>
      </c>
      <c r="F41" s="62" t="str">
        <f>IF('NVDA - Reconciliation FY'!$B$156="ok","ok","MISSING")</f>
        <v>ok</v>
      </c>
      <c r="G41" s="62" t="str">
        <f>IF('META - Reconciliation FY'!$B$156="ok","ok","MISSING")</f>
        <v>ok</v>
      </c>
      <c r="H41" s="62" t="str">
        <f>IF('TSLA - Reconciliation FY'!$B$156="ok","ok","MISSING")</f>
        <v>ok</v>
      </c>
    </row>
    <row r="42" spans="1:8" x14ac:dyDescent="0.25">
      <c r="A42" s="201" t="s">
        <v>1476</v>
      </c>
    </row>
    <row r="43" spans="1:8" x14ac:dyDescent="0.25">
      <c r="A43" t="s">
        <v>1477</v>
      </c>
      <c r="B43" s="35">
        <f ca="1">SUM(B33:H35)</f>
        <v>0</v>
      </c>
    </row>
    <row r="44" spans="1:8" x14ac:dyDescent="0.25">
      <c r="A44" t="s">
        <v>1485</v>
      </c>
      <c r="B44" s="35" cm="1">
        <f t="array" aca="1" ref="B44" ca="1">SUMPRODUCT(--ISERROR('Valuation Dashboard'!$A$4:$H$180))+SUMPRODUCT(--ISERROR(Multiples!$A$1:$S$75))+SUMPRODUCT(--ISERROR('NVDA High-Growth Ch23'!$A$1:$K$152))+SUMPRODUCT(--ISERROR('Ch 11 Checks'!$A$1:$H$29))</f>
        <v>0</v>
      </c>
      <c r="C44" s="66" t="s">
        <v>1486</v>
      </c>
    </row>
    <row r="45" spans="1:8" x14ac:dyDescent="0.25">
      <c r="A45" t="s">
        <v>1569</v>
      </c>
      <c r="B45" t="str" cm="1">
        <f t="array" ref="B45">IF(SUMPRODUCT(--(ABS('Valuation Dashboard'!$B$131:$H$131-1)&gt;0.0001))=0,"ok","NOT 100%")</f>
        <v>ok</v>
      </c>
    </row>
    <row r="46" spans="1:8" x14ac:dyDescent="0.25">
      <c r="A46" t="s">
        <v>1478</v>
      </c>
      <c r="B46" t="str">
        <f>IF(AND('Valuation Dashboard'!$B$148&gt;=1,'Valuation Dashboard'!$B$148&lt;=4),"ok","INVALID")</f>
        <v>ok</v>
      </c>
    </row>
    <row r="47" spans="1:8" x14ac:dyDescent="0.25">
      <c r="A47" t="s">
        <v>1479</v>
      </c>
      <c r="B47" t="str">
        <f ca="1">IF(LEFT('Valuation Dashboard'!$B$49,7)="current","ok","STALE")</f>
        <v>ok</v>
      </c>
    </row>
    <row r="48" spans="1:8" x14ac:dyDescent="0.25">
      <c r="A48" t="s">
        <v>1480</v>
      </c>
      <c r="B48" s="35">
        <f>COUNTIF(Multiples!$B$46:$H$46,"&lt;3")</f>
        <v>1</v>
      </c>
    </row>
    <row r="49" spans="1:8" x14ac:dyDescent="0.25">
      <c r="A49" t="s">
        <v>1481</v>
      </c>
      <c r="B49" s="35">
        <f>COUNTIF(Multiples!$P$5:$P$42,0)</f>
        <v>3</v>
      </c>
    </row>
    <row r="50" spans="1:8" x14ac:dyDescent="0.25">
      <c r="A50" t="s">
        <v>1482</v>
      </c>
      <c r="B50" s="35">
        <f>SUMPRODUCT(--(('NVDA - Reconciliation FY'!$B$129=0)))</f>
        <v>0</v>
      </c>
    </row>
    <row r="51" spans="1:8" x14ac:dyDescent="0.25">
      <c r="A51" t="s">
        <v>1504</v>
      </c>
      <c r="B51" s="35">
        <f>COUNTIF(B41:H41,"MISSING")</f>
        <v>0</v>
      </c>
    </row>
    <row r="52" spans="1:8" ht="15.75" x14ac:dyDescent="0.25">
      <c r="A52" s="197" t="s">
        <v>1483</v>
      </c>
      <c r="B52" s="197" t="str" cm="1">
        <f t="array" aca="1" ref="B52" ca="1">IFERROR(IF(AND(B43=0,B44=0,B60=0,SUMPRODUCT(--(ABS(B36:H36)&gt;=1))=0,SUMPRODUCT(--(ABS(B37:H37)&gt;=1))=0,B45="ok",B46="ok",COUNTIF(B39:H39,"ok")=7,COUNTIF(B40:H40,"ok")=7),"ALL STRUCTURAL CHECKS PASS","ATTENTION REQUIRED - see the tripwires above"),"ATTENTION REQUIRED - a tripwire is itself returning an error")</f>
        <v>ALL STRUCTURAL CHECKS PASS</v>
      </c>
    </row>
    <row r="53" spans="1:8" x14ac:dyDescent="0.25">
      <c r="A53" s="66" t="s">
        <v>1484</v>
      </c>
    </row>
    <row r="56" spans="1:8" x14ac:dyDescent="0.25">
      <c r="A56" s="201" t="s">
        <v>1613</v>
      </c>
      <c r="B56" s="230"/>
      <c r="C56" s="230"/>
      <c r="D56" s="230"/>
      <c r="E56" s="230"/>
      <c r="F56" s="230"/>
      <c r="G56" s="230"/>
      <c r="H56" s="230"/>
    </row>
    <row r="57" spans="1:8" x14ac:dyDescent="0.25">
      <c r="A57" t="s">
        <v>1614</v>
      </c>
      <c r="B57" s="35" cm="1">
        <f t="array" ref="B57">SUMPRODUCT(--NOT(_xlfn.ISFORMULA('Valuation Dashboard'!$B$28:$H$39)))</f>
        <v>0</v>
      </c>
    </row>
    <row r="58" spans="1:8" x14ac:dyDescent="0.25">
      <c r="A58" t="s">
        <v>1615</v>
      </c>
      <c r="B58" s="35" cm="1">
        <f t="array" ref="B58">SUMPRODUCT(--NOT(_xlfn.ISFORMULA('Valuation Dashboard'!$B$157:$H$167)))</f>
        <v>0</v>
      </c>
    </row>
    <row r="59" spans="1:8" x14ac:dyDescent="0.25">
      <c r="A59" t="s">
        <v>1616</v>
      </c>
      <c r="B59" s="35" cm="1">
        <f t="array" ref="B59">SUMPRODUCT(--NOT(_xlfn.ISFORMULA('AAPL DCF'!$B$31:$B$36)))+SUMPRODUCT(--NOT(_xlfn.ISFORMULA('AAPL DCF'!$B$38:$B$42)))+SUMPRODUCT(--NOT(_xlfn.ISFORMULA('MSFT DCF'!$B$31:$B$36)))+SUMPRODUCT(--NOT(_xlfn.ISFORMULA('MSFT DCF'!$B$38:$B$42)))+SUMPRODUCT(--NOT(_xlfn.ISFORMULA('GOOGL DCF'!$B$31:$B$36)))+SUMPRODUCT(--NOT(_xlfn.ISFORMULA('GOOGL DCF'!$B$38:$B$42)))+SUMPRODUCT(--NOT(_xlfn.ISFORMULA('AMZN DCF'!$B$31:$B$36)))+SUMPRODUCT(--NOT(_xlfn.ISFORMULA('AMZN DCF'!$B$38:$B$42)))+SUMPRODUCT(--NOT(_xlfn.ISFORMULA('NVDA DCF'!$B$31:$B$36)))+SUMPRODUCT(--NOT(_xlfn.ISFORMULA('NVDA DCF'!$B$38:$B$42)))+SUMPRODUCT(--NOT(_xlfn.ISFORMULA('META DCF'!$B$31:$B$36)))+SUMPRODUCT(--NOT(_xlfn.ISFORMULA('META DCF'!$B$38:$B$42)))+SUMPRODUCT(--NOT(_xlfn.ISFORMULA('TSLA DCF'!$B$31:$B$36)))+SUMPRODUCT(--NOT(_xlfn.ISFORMULA('TSLA DCF'!$B$38:$B$42)))</f>
        <v>0</v>
      </c>
    </row>
    <row r="60" spans="1:8" x14ac:dyDescent="0.25">
      <c r="A60" t="s">
        <v>1617</v>
      </c>
      <c r="B60" s="36">
        <f>SUM(B57:B59)</f>
        <v>0</v>
      </c>
    </row>
  </sheetData>
  <conditionalFormatting sqref="B52">
    <cfRule type="containsText" dxfId="20" priority="1" operator="containsText" text="PASS">
      <formula>NOT(ISERROR(SEARCH("PASS",B52)))</formula>
    </cfRule>
    <cfRule type="containsText" dxfId="19" priority="2" operator="containsText" text="ATTENTION">
      <formula>NOT(ISERROR(SEARCH("ATTENTION",B52)))</formula>
    </cfRule>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7E181F-911D-4A67-B1A8-E9FE2F7CFC66}">
  <sheetPr>
    <tabColor rgb="FFD0CECE"/>
  </sheetPr>
  <dimension ref="A1:I73"/>
  <sheetViews>
    <sheetView workbookViewId="0">
      <pane ySplit="4" topLeftCell="A5" activePane="bottomLeft" state="frozen"/>
      <selection pane="bottomLeft"/>
    </sheetView>
  </sheetViews>
  <sheetFormatPr defaultRowHeight="15" x14ac:dyDescent="0.25"/>
  <cols>
    <col min="1" max="1" width="22.85546875" customWidth="1"/>
    <col min="2" max="2" width="64.7109375" customWidth="1"/>
    <col min="3" max="3" width="13.28515625" customWidth="1"/>
    <col min="4" max="4" width="49.5703125" customWidth="1"/>
    <col min="5" max="5" width="45.7109375" customWidth="1"/>
    <col min="6" max="6" width="57.140625" customWidth="1"/>
    <col min="8" max="8" width="28.5703125" customWidth="1"/>
  </cols>
  <sheetData>
    <row r="1" spans="1:9" ht="21" x14ac:dyDescent="0.35">
      <c r="A1" s="65" t="s">
        <v>1076</v>
      </c>
    </row>
    <row r="2" spans="1:9" x14ac:dyDescent="0.25">
      <c r="A2" s="66" t="s">
        <v>1077</v>
      </c>
    </row>
    <row r="4" spans="1:9" x14ac:dyDescent="0.25">
      <c r="A4" s="101" t="s">
        <v>1078</v>
      </c>
      <c r="B4" s="101" t="s">
        <v>1079</v>
      </c>
      <c r="C4" s="101" t="s">
        <v>1080</v>
      </c>
      <c r="D4" s="101" t="s">
        <v>1081</v>
      </c>
      <c r="E4" s="101" t="s">
        <v>1082</v>
      </c>
      <c r="F4" s="101" t="s">
        <v>744</v>
      </c>
      <c r="H4" s="106" t="s">
        <v>1223</v>
      </c>
    </row>
    <row r="5" spans="1:9" x14ac:dyDescent="0.25">
      <c r="A5" s="102" t="s">
        <v>1083</v>
      </c>
      <c r="B5" s="102" t="s">
        <v>1084</v>
      </c>
      <c r="C5" s="103" t="s">
        <v>1085</v>
      </c>
      <c r="D5" s="102" t="s">
        <v>1086</v>
      </c>
      <c r="E5" s="104"/>
      <c r="F5" s="105"/>
      <c r="H5" t="s">
        <v>1085</v>
      </c>
      <c r="I5">
        <f>COUNTIF($C$5:$C$73,"Done")</f>
        <v>53</v>
      </c>
    </row>
    <row r="6" spans="1:9" x14ac:dyDescent="0.25">
      <c r="A6" s="102" t="s">
        <v>1083</v>
      </c>
      <c r="B6" s="102" t="s">
        <v>1087</v>
      </c>
      <c r="C6" s="103" t="s">
        <v>1085</v>
      </c>
      <c r="D6" s="102" t="s">
        <v>1088</v>
      </c>
      <c r="E6" s="104" t="str">
        <f ca="1">IF(MAX(ABS('AAPL DCF'!$B$102),ABS('MSFT DCF'!$B$102),ABS('GOOGL DCF'!$B$102),ABS('AMZN DCF'!$B$102),ABS('NVDA DCF'!$B$102),ABS('META DCF'!$B$102),ABS('TSLA DCF'!$B$102))&lt;1,"ties to zero on all 7","MISMATCH")</f>
        <v>ties to zero on all 7</v>
      </c>
      <c r="F6" s="105"/>
      <c r="H6" t="s">
        <v>1102</v>
      </c>
      <c r="I6">
        <f>COUNTIF($C$5:$C$73,"Partial")</f>
        <v>5</v>
      </c>
    </row>
    <row r="7" spans="1:9" x14ac:dyDescent="0.25">
      <c r="A7" s="102" t="s">
        <v>1083</v>
      </c>
      <c r="B7" s="102" t="s">
        <v>1089</v>
      </c>
      <c r="C7" s="103" t="s">
        <v>1090</v>
      </c>
      <c r="D7" s="102" t="s">
        <v>1091</v>
      </c>
      <c r="E7" s="104"/>
      <c r="F7" s="105" t="s">
        <v>1212</v>
      </c>
      <c r="H7" t="s">
        <v>1090</v>
      </c>
      <c r="I7">
        <f>COUNTIF($C$5:$C$73,"Not done")</f>
        <v>9</v>
      </c>
    </row>
    <row r="8" spans="1:9" x14ac:dyDescent="0.25">
      <c r="A8" s="102" t="s">
        <v>1083</v>
      </c>
      <c r="B8" s="102" t="s">
        <v>1092</v>
      </c>
      <c r="C8" s="103" t="s">
        <v>1093</v>
      </c>
      <c r="D8" s="102" t="s">
        <v>1091</v>
      </c>
      <c r="E8" s="104"/>
      <c r="F8" s="105" t="s">
        <v>1213</v>
      </c>
      <c r="H8" t="s">
        <v>1189</v>
      </c>
      <c r="I8">
        <f>COUNTIF($C$5:$C$73,"REVIEW")</f>
        <v>0</v>
      </c>
    </row>
    <row r="9" spans="1:9" x14ac:dyDescent="0.25">
      <c r="A9" s="102" t="s">
        <v>1094</v>
      </c>
      <c r="B9" s="102" t="s">
        <v>1095</v>
      </c>
      <c r="C9" s="103" t="s">
        <v>1085</v>
      </c>
      <c r="D9" s="102" t="s">
        <v>1096</v>
      </c>
      <c r="E9" s="104"/>
      <c r="F9" s="105"/>
      <c r="H9" t="s">
        <v>1093</v>
      </c>
      <c r="I9">
        <f>COUNTIF($C$5:$C$73,"N/A")</f>
        <v>2</v>
      </c>
    </row>
    <row r="10" spans="1:9" x14ac:dyDescent="0.25">
      <c r="A10" s="102" t="s">
        <v>1094</v>
      </c>
      <c r="B10" s="102" t="s">
        <v>1097</v>
      </c>
      <c r="C10" s="103" t="s">
        <v>1085</v>
      </c>
      <c r="D10" s="102" t="s">
        <v>1098</v>
      </c>
      <c r="E10" s="104" t="str">
        <f ca="1">IF(COUNTIF('Ch 11 Checks'!$B$18:$H$18,"consistent")=7,"consistent on all 7","REVIEW")</f>
        <v>consistent on all 7</v>
      </c>
      <c r="F10" s="105"/>
      <c r="H10" s="9" t="s">
        <v>1224</v>
      </c>
      <c r="I10" s="9">
        <f>SUM(I5:I9)</f>
        <v>69</v>
      </c>
    </row>
    <row r="11" spans="1:9" x14ac:dyDescent="0.25">
      <c r="A11" s="102" t="s">
        <v>1094</v>
      </c>
      <c r="B11" s="102" t="s">
        <v>1099</v>
      </c>
      <c r="C11" s="103" t="s">
        <v>1085</v>
      </c>
      <c r="D11" s="102" t="s">
        <v>1100</v>
      </c>
      <c r="E11" s="104"/>
      <c r="F11" s="105"/>
    </row>
    <row r="12" spans="1:9" x14ac:dyDescent="0.25">
      <c r="A12" s="102" t="s">
        <v>1094</v>
      </c>
      <c r="B12" s="102" t="s">
        <v>1101</v>
      </c>
      <c r="C12" s="103" t="s">
        <v>1102</v>
      </c>
      <c r="D12" s="102" t="s">
        <v>1103</v>
      </c>
      <c r="E12" s="104"/>
      <c r="F12" s="105" t="s">
        <v>1214</v>
      </c>
    </row>
    <row r="13" spans="1:9" x14ac:dyDescent="0.25">
      <c r="A13" s="102" t="s">
        <v>1104</v>
      </c>
      <c r="B13" s="102" t="s">
        <v>1105</v>
      </c>
      <c r="C13" s="103" t="s">
        <v>1085</v>
      </c>
      <c r="D13" s="102" t="s">
        <v>1106</v>
      </c>
      <c r="E13" s="104" t="str">
        <f>IF(MAX('Ch 11 Checks'!$B$6:$H$6)&lt;1,"balances, 7 years x 7 companies","REVIEW")</f>
        <v>balances, 7 years x 7 companies</v>
      </c>
      <c r="F13" s="105"/>
    </row>
    <row r="14" spans="1:9" x14ac:dyDescent="0.25">
      <c r="A14" s="102" t="s">
        <v>1104</v>
      </c>
      <c r="B14" s="102" t="s">
        <v>1107</v>
      </c>
      <c r="C14" s="103" t="s">
        <v>1085</v>
      </c>
      <c r="D14" s="102" t="s">
        <v>1108</v>
      </c>
      <c r="E14" s="104"/>
      <c r="F14" s="105"/>
    </row>
    <row r="15" spans="1:9" x14ac:dyDescent="0.25">
      <c r="A15" s="102" t="s">
        <v>1104</v>
      </c>
      <c r="B15" s="102" t="s">
        <v>1109</v>
      </c>
      <c r="C15" s="103" t="s">
        <v>1085</v>
      </c>
      <c r="D15" s="102" t="s">
        <v>1110</v>
      </c>
      <c r="E15" s="104"/>
      <c r="F15" s="105"/>
    </row>
    <row r="16" spans="1:9" x14ac:dyDescent="0.25">
      <c r="A16" s="102" t="s">
        <v>1104</v>
      </c>
      <c r="B16" s="102" t="s">
        <v>1111</v>
      </c>
      <c r="C16" s="103" t="s">
        <v>1085</v>
      </c>
      <c r="D16" s="102" t="s">
        <v>1112</v>
      </c>
      <c r="E16" s="104"/>
      <c r="F16" s="105"/>
    </row>
    <row r="17" spans="1:6" x14ac:dyDescent="0.25">
      <c r="A17" s="102" t="s">
        <v>1104</v>
      </c>
      <c r="B17" s="102" t="s">
        <v>1113</v>
      </c>
      <c r="C17" s="103" t="s">
        <v>1085</v>
      </c>
      <c r="D17" s="102" t="s">
        <v>1114</v>
      </c>
      <c r="E17" s="104"/>
      <c r="F17" s="105"/>
    </row>
    <row r="18" spans="1:6" x14ac:dyDescent="0.25">
      <c r="A18" s="102" t="s">
        <v>1104</v>
      </c>
      <c r="B18" s="102" t="s">
        <v>1115</v>
      </c>
      <c r="C18" s="103" t="s">
        <v>1085</v>
      </c>
      <c r="D18" s="102" t="s">
        <v>1116</v>
      </c>
      <c r="E18" s="104"/>
      <c r="F18" s="105"/>
    </row>
    <row r="19" spans="1:6" x14ac:dyDescent="0.25">
      <c r="A19" s="102" t="s">
        <v>1104</v>
      </c>
      <c r="B19" s="102" t="s">
        <v>1117</v>
      </c>
      <c r="C19" s="103" t="s">
        <v>1090</v>
      </c>
      <c r="D19" s="102" t="s">
        <v>1091</v>
      </c>
      <c r="E19" s="104"/>
      <c r="F19" s="105" t="s">
        <v>1215</v>
      </c>
    </row>
    <row r="20" spans="1:6" x14ac:dyDescent="0.25">
      <c r="A20" s="102" t="s">
        <v>1104</v>
      </c>
      <c r="B20" s="102" t="s">
        <v>1118</v>
      </c>
      <c r="C20" s="103" t="s">
        <v>1090</v>
      </c>
      <c r="D20" s="102" t="s">
        <v>1091</v>
      </c>
      <c r="E20" s="104"/>
      <c r="F20" s="105" t="s">
        <v>1215</v>
      </c>
    </row>
    <row r="21" spans="1:6" x14ac:dyDescent="0.25">
      <c r="A21" s="102" t="s">
        <v>1104</v>
      </c>
      <c r="B21" s="102" t="s">
        <v>1119</v>
      </c>
      <c r="C21" s="103" t="s">
        <v>1085</v>
      </c>
      <c r="D21" s="102" t="s">
        <v>1429</v>
      </c>
      <c r="E21" s="104"/>
      <c r="F21" s="105" t="s">
        <v>1556</v>
      </c>
    </row>
    <row r="22" spans="1:6" x14ac:dyDescent="0.25">
      <c r="A22" s="102" t="s">
        <v>1120</v>
      </c>
      <c r="B22" s="102" t="s">
        <v>1121</v>
      </c>
      <c r="C22" s="103" t="s">
        <v>1085</v>
      </c>
      <c r="D22" s="102" t="s">
        <v>1122</v>
      </c>
      <c r="E22" s="104"/>
      <c r="F22" s="105"/>
    </row>
    <row r="23" spans="1:6" x14ac:dyDescent="0.25">
      <c r="A23" s="102" t="s">
        <v>1120</v>
      </c>
      <c r="B23" s="102" t="s">
        <v>1123</v>
      </c>
      <c r="C23" s="103" t="s">
        <v>1085</v>
      </c>
      <c r="D23" s="102" t="s">
        <v>1124</v>
      </c>
      <c r="E23" s="104"/>
      <c r="F23" s="105"/>
    </row>
    <row r="24" spans="1:6" x14ac:dyDescent="0.25">
      <c r="A24" s="102" t="s">
        <v>1120</v>
      </c>
      <c r="B24" s="102" t="s">
        <v>1125</v>
      </c>
      <c r="C24" s="103" t="s">
        <v>1085</v>
      </c>
      <c r="D24" s="102" t="s">
        <v>1126</v>
      </c>
      <c r="E24" s="104"/>
      <c r="F24" s="105"/>
    </row>
    <row r="25" spans="1:6" x14ac:dyDescent="0.25">
      <c r="A25" s="102" t="s">
        <v>1120</v>
      </c>
      <c r="B25" s="102" t="s">
        <v>1127</v>
      </c>
      <c r="C25" s="103" t="s">
        <v>1085</v>
      </c>
      <c r="D25" s="102" t="s">
        <v>1128</v>
      </c>
      <c r="E25" s="104" t="str">
        <f>COUNTIF('Ch 11 Checks'!$B$25:$H$25,"OK*")&amp;" of 7 reach steady state"</f>
        <v>7 of 7 reach steady state</v>
      </c>
      <c r="F25" s="105"/>
    </row>
    <row r="26" spans="1:6" x14ac:dyDescent="0.25">
      <c r="A26" s="102" t="s">
        <v>1120</v>
      </c>
      <c r="B26" s="102" t="s">
        <v>1129</v>
      </c>
      <c r="C26" s="103" t="s">
        <v>1085</v>
      </c>
      <c r="D26" s="102" t="s">
        <v>1130</v>
      </c>
      <c r="E26" s="104" t="str">
        <f>IF(MAX('Ch 11 Checks'!$B$8:$H$8)&lt;1,"forecast balances on all 7","REVIEW")</f>
        <v>forecast balances on all 7</v>
      </c>
      <c r="F26" s="105"/>
    </row>
    <row r="27" spans="1:6" x14ac:dyDescent="0.25">
      <c r="A27" s="102" t="s">
        <v>1120</v>
      </c>
      <c r="B27" s="102" t="s">
        <v>1131</v>
      </c>
      <c r="C27" s="103" t="s">
        <v>1085</v>
      </c>
      <c r="D27" s="102" t="s">
        <v>1132</v>
      </c>
      <c r="E27" s="104"/>
      <c r="F27" s="105"/>
    </row>
    <row r="28" spans="1:6" x14ac:dyDescent="0.25">
      <c r="A28" s="102" t="s">
        <v>1133</v>
      </c>
      <c r="B28" s="102" t="s">
        <v>1134</v>
      </c>
      <c r="C28" s="103" t="s">
        <v>1085</v>
      </c>
      <c r="D28" s="102" t="s">
        <v>1135</v>
      </c>
      <c r="E28" s="104"/>
      <c r="F28" s="105"/>
    </row>
    <row r="29" spans="1:6" x14ac:dyDescent="0.25">
      <c r="A29" s="102" t="s">
        <v>1133</v>
      </c>
      <c r="B29" s="102" t="s">
        <v>1136</v>
      </c>
      <c r="C29" s="103" t="s">
        <v>1085</v>
      </c>
      <c r="D29" s="102" t="s">
        <v>1137</v>
      </c>
      <c r="E29" s="104" t="str">
        <f>IF(MAX('AAPL DCF'!$E$8,'MSFT DCF'!$E$8,'GOOGL DCF'!$E$8,'AMZN DCF'!$E$8,'NVDA DCF'!$E$8,'META DCF'!$E$8,'TSLA DCF'!$E$8)&lt;=0.0603+0.00001,"g at or below nominal GDP on all 7","BREACH")</f>
        <v>g at or below nominal GDP on all 7</v>
      </c>
      <c r="F29" s="105"/>
    </row>
    <row r="30" spans="1:6" x14ac:dyDescent="0.25">
      <c r="A30" s="102" t="s">
        <v>1133</v>
      </c>
      <c r="B30" s="102" t="s">
        <v>1138</v>
      </c>
      <c r="C30" s="103" t="s">
        <v>1085</v>
      </c>
      <c r="D30" s="102" t="s">
        <v>1554</v>
      </c>
      <c r="E30" s="104"/>
      <c r="F30" s="105" t="s">
        <v>1555</v>
      </c>
    </row>
    <row r="31" spans="1:6" x14ac:dyDescent="0.25">
      <c r="A31" s="102" t="s">
        <v>1133</v>
      </c>
      <c r="B31" s="102" t="s">
        <v>1139</v>
      </c>
      <c r="C31" s="103" t="s">
        <v>1085</v>
      </c>
      <c r="D31" s="102" t="s">
        <v>1140</v>
      </c>
      <c r="E31" s="104"/>
      <c r="F31" s="105"/>
    </row>
    <row r="32" spans="1:6" x14ac:dyDescent="0.25">
      <c r="A32" s="102" t="s">
        <v>1133</v>
      </c>
      <c r="B32" s="102" t="s">
        <v>1141</v>
      </c>
      <c r="C32" s="103" t="s">
        <v>1085</v>
      </c>
      <c r="D32" s="102" t="s">
        <v>1142</v>
      </c>
      <c r="E32" s="104"/>
      <c r="F32" s="105"/>
    </row>
    <row r="33" spans="1:6" x14ac:dyDescent="0.25">
      <c r="A33" s="102" t="s">
        <v>1133</v>
      </c>
      <c r="B33" s="102" t="s">
        <v>1143</v>
      </c>
      <c r="C33" s="103" t="s">
        <v>1085</v>
      </c>
      <c r="D33" s="102" t="s">
        <v>1144</v>
      </c>
      <c r="E33" s="104"/>
      <c r="F33" s="105" t="s">
        <v>1216</v>
      </c>
    </row>
    <row r="34" spans="1:6" x14ac:dyDescent="0.25">
      <c r="A34" s="102" t="s">
        <v>1145</v>
      </c>
      <c r="B34" s="102" t="s">
        <v>1146</v>
      </c>
      <c r="C34" s="103" t="s">
        <v>1085</v>
      </c>
      <c r="D34" s="102" t="s">
        <v>1147</v>
      </c>
      <c r="E34" s="104" t="str">
        <f ca="1">IF(MIN(WACC!$C$38:$I$38)&gt;0,"market-value weights live on all 7","REVIEW")</f>
        <v>market-value weights live on all 7</v>
      </c>
      <c r="F34" s="105"/>
    </row>
    <row r="35" spans="1:6" x14ac:dyDescent="0.25">
      <c r="A35" s="102" t="s">
        <v>1145</v>
      </c>
      <c r="B35" s="102" t="s">
        <v>1148</v>
      </c>
      <c r="C35" s="103" t="s">
        <v>1085</v>
      </c>
      <c r="D35" s="102" t="s">
        <v>1149</v>
      </c>
      <c r="E35" s="104"/>
      <c r="F35" s="105"/>
    </row>
    <row r="36" spans="1:6" x14ac:dyDescent="0.25">
      <c r="A36" s="102" t="s">
        <v>1145</v>
      </c>
      <c r="B36" s="102" t="s">
        <v>1150</v>
      </c>
      <c r="C36" s="103" t="s">
        <v>1085</v>
      </c>
      <c r="D36" s="102" t="s">
        <v>1151</v>
      </c>
      <c r="E36" s="104"/>
      <c r="F36" s="105"/>
    </row>
    <row r="37" spans="1:6" x14ac:dyDescent="0.25">
      <c r="A37" s="102" t="s">
        <v>1145</v>
      </c>
      <c r="B37" s="102" t="s">
        <v>1152</v>
      </c>
      <c r="C37" s="103" t="s">
        <v>1085</v>
      </c>
      <c r="D37" s="102" t="s">
        <v>1153</v>
      </c>
      <c r="E37" s="107">
        <f>'Valuation Dashboard'!$B$11</f>
        <v>4.8503846153846154E-2</v>
      </c>
      <c r="F37" s="105" t="s">
        <v>1225</v>
      </c>
    </row>
    <row r="38" spans="1:6" x14ac:dyDescent="0.25">
      <c r="A38" s="102" t="s">
        <v>1145</v>
      </c>
      <c r="B38" s="102" t="s">
        <v>1154</v>
      </c>
      <c r="C38" s="103" t="s">
        <v>1085</v>
      </c>
      <c r="D38" s="102" t="s">
        <v>1155</v>
      </c>
      <c r="E38" s="104"/>
      <c r="F38" s="105"/>
    </row>
    <row r="39" spans="1:6" x14ac:dyDescent="0.25">
      <c r="A39" s="102" t="s">
        <v>1145</v>
      </c>
      <c r="B39" s="102" t="s">
        <v>1156</v>
      </c>
      <c r="C39" s="103" t="s">
        <v>1085</v>
      </c>
      <c r="D39" s="102" t="s">
        <v>1157</v>
      </c>
      <c r="E39" s="104"/>
      <c r="F39" s="105"/>
    </row>
    <row r="40" spans="1:6" x14ac:dyDescent="0.25">
      <c r="A40" s="102" t="s">
        <v>1145</v>
      </c>
      <c r="B40" s="102" t="s">
        <v>1158</v>
      </c>
      <c r="C40" s="103" t="s">
        <v>1102</v>
      </c>
      <c r="D40" s="102" t="s">
        <v>1159</v>
      </c>
      <c r="E40" s="104"/>
      <c r="F40" s="105" t="s">
        <v>1217</v>
      </c>
    </row>
    <row r="41" spans="1:6" x14ac:dyDescent="0.25">
      <c r="A41" s="102" t="s">
        <v>1160</v>
      </c>
      <c r="B41" s="102" t="s">
        <v>1161</v>
      </c>
      <c r="C41" s="103" t="s">
        <v>1085</v>
      </c>
      <c r="D41" s="102" t="s">
        <v>1162</v>
      </c>
      <c r="E41" s="104"/>
      <c r="F41" s="105"/>
    </row>
    <row r="42" spans="1:6" x14ac:dyDescent="0.25">
      <c r="A42" s="102" t="s">
        <v>1160</v>
      </c>
      <c r="B42" s="102" t="s">
        <v>1163</v>
      </c>
      <c r="C42" s="103" t="s">
        <v>1085</v>
      </c>
      <c r="D42" s="102" t="s">
        <v>1164</v>
      </c>
      <c r="E42" s="104"/>
      <c r="F42" s="105"/>
    </row>
    <row r="43" spans="1:6" x14ac:dyDescent="0.25">
      <c r="A43" s="102" t="s">
        <v>1160</v>
      </c>
      <c r="B43" s="102" t="s">
        <v>1165</v>
      </c>
      <c r="C43" s="103" t="s">
        <v>1085</v>
      </c>
      <c r="D43" s="102" t="s">
        <v>1166</v>
      </c>
      <c r="E43" s="104"/>
      <c r="F43" s="105"/>
    </row>
    <row r="44" spans="1:6" x14ac:dyDescent="0.25">
      <c r="A44" s="102" t="s">
        <v>1160</v>
      </c>
      <c r="B44" s="102" t="s">
        <v>1167</v>
      </c>
      <c r="C44" s="103" t="s">
        <v>1090</v>
      </c>
      <c r="D44" s="102" t="s">
        <v>1091</v>
      </c>
      <c r="E44" s="104"/>
      <c r="F44" s="105" t="s">
        <v>1215</v>
      </c>
    </row>
    <row r="45" spans="1:6" x14ac:dyDescent="0.25">
      <c r="A45" s="102" t="s">
        <v>1160</v>
      </c>
      <c r="B45" s="102" t="s">
        <v>1168</v>
      </c>
      <c r="C45" s="103" t="s">
        <v>1085</v>
      </c>
      <c r="D45" s="102" t="s">
        <v>1169</v>
      </c>
      <c r="E45" s="104"/>
      <c r="F45" s="105"/>
    </row>
    <row r="46" spans="1:6" x14ac:dyDescent="0.25">
      <c r="A46" s="102" t="s">
        <v>1160</v>
      </c>
      <c r="B46" s="102" t="s">
        <v>1170</v>
      </c>
      <c r="C46" s="103" t="s">
        <v>1085</v>
      </c>
      <c r="D46" s="102" t="s">
        <v>1171</v>
      </c>
      <c r="E46" s="104"/>
      <c r="F46" s="105"/>
    </row>
    <row r="47" spans="1:6" x14ac:dyDescent="0.25">
      <c r="A47" s="102" t="s">
        <v>1160</v>
      </c>
      <c r="B47" s="102" t="s">
        <v>1172</v>
      </c>
      <c r="C47" s="103" t="s">
        <v>1085</v>
      </c>
      <c r="D47" s="102" t="s">
        <v>1173</v>
      </c>
      <c r="E47" s="104" t="str">
        <f ca="1">IF(COUNTIF('Ch 11 Checks'!$B$10:$H$10,"all pass")=7,"all 7 pass","REVIEW")</f>
        <v>all 7 pass</v>
      </c>
      <c r="F47" s="105"/>
    </row>
    <row r="48" spans="1:6" x14ac:dyDescent="0.25">
      <c r="A48" s="102" t="s">
        <v>1160</v>
      </c>
      <c r="B48" s="102" t="s">
        <v>1174</v>
      </c>
      <c r="C48" s="103" t="s">
        <v>1085</v>
      </c>
      <c r="D48" s="102" t="s">
        <v>1175</v>
      </c>
      <c r="E48" s="104"/>
      <c r="F48" s="105"/>
    </row>
    <row r="49" spans="1:6" x14ac:dyDescent="0.25">
      <c r="A49" s="102" t="s">
        <v>1160</v>
      </c>
      <c r="B49" s="102" t="s">
        <v>1176</v>
      </c>
      <c r="C49" s="103" t="s">
        <v>1085</v>
      </c>
      <c r="D49" s="102" t="s">
        <v>1177</v>
      </c>
      <c r="E49" s="104"/>
      <c r="F49" s="105"/>
    </row>
    <row r="50" spans="1:6" x14ac:dyDescent="0.25">
      <c r="A50" s="102" t="s">
        <v>1160</v>
      </c>
      <c r="B50" s="102" t="s">
        <v>1178</v>
      </c>
      <c r="C50" s="103" t="s">
        <v>1085</v>
      </c>
      <c r="D50" s="102" t="s">
        <v>1179</v>
      </c>
      <c r="E50" s="104"/>
      <c r="F50" s="105"/>
    </row>
    <row r="51" spans="1:6" x14ac:dyDescent="0.25">
      <c r="A51" s="102" t="s">
        <v>1180</v>
      </c>
      <c r="B51" s="102" t="s">
        <v>1181</v>
      </c>
      <c r="C51" s="103" t="s">
        <v>1085</v>
      </c>
      <c r="D51" s="102" t="s">
        <v>1182</v>
      </c>
      <c r="E51" s="104"/>
      <c r="F51" s="105"/>
    </row>
    <row r="52" spans="1:6" x14ac:dyDescent="0.25">
      <c r="A52" s="102" t="s">
        <v>1180</v>
      </c>
      <c r="B52" s="102" t="s">
        <v>1183</v>
      </c>
      <c r="C52" s="103" t="s">
        <v>1085</v>
      </c>
      <c r="D52" s="102" t="s">
        <v>1184</v>
      </c>
      <c r="E52" s="104"/>
      <c r="F52" s="105"/>
    </row>
    <row r="53" spans="1:6" x14ac:dyDescent="0.25">
      <c r="A53" s="102" t="s">
        <v>1180</v>
      </c>
      <c r="B53" s="102" t="s">
        <v>1185</v>
      </c>
      <c r="C53" s="103" t="s">
        <v>1085</v>
      </c>
      <c r="D53" s="102" t="s">
        <v>1430</v>
      </c>
      <c r="E53" s="104"/>
      <c r="F53" s="105" t="s">
        <v>1431</v>
      </c>
    </row>
    <row r="54" spans="1:6" x14ac:dyDescent="0.25">
      <c r="A54" s="102" t="s">
        <v>1180</v>
      </c>
      <c r="B54" s="102" t="s">
        <v>1186</v>
      </c>
      <c r="C54" s="103" t="s">
        <v>1085</v>
      </c>
      <c r="D54" s="102" t="s">
        <v>1187</v>
      </c>
      <c r="E54" s="104"/>
      <c r="F54" s="105"/>
    </row>
    <row r="55" spans="1:6" x14ac:dyDescent="0.25">
      <c r="A55" s="102" t="s">
        <v>1180</v>
      </c>
      <c r="B55" s="102" t="s">
        <v>1188</v>
      </c>
      <c r="C55" s="103" t="s">
        <v>1102</v>
      </c>
      <c r="D55" s="102" t="s">
        <v>1452</v>
      </c>
      <c r="E55" s="104" t="str">
        <f>MIN(Multiples!$B$46:$H$46)&amp;" peers minimum, "&amp;MAX(Multiples!$B$46:$H$46)&amp;" maximum"</f>
        <v>1 peers minimum, 7 maximum</v>
      </c>
      <c r="F55" s="105" t="s">
        <v>1453</v>
      </c>
    </row>
    <row r="56" spans="1:6" x14ac:dyDescent="0.25">
      <c r="A56" s="102" t="s">
        <v>1190</v>
      </c>
      <c r="B56" s="102" t="s">
        <v>1191</v>
      </c>
      <c r="C56" s="103" t="s">
        <v>1090</v>
      </c>
      <c r="D56" s="102" t="s">
        <v>1091</v>
      </c>
      <c r="E56" s="104"/>
      <c r="F56" s="105" t="s">
        <v>1218</v>
      </c>
    </row>
    <row r="57" spans="1:6" x14ac:dyDescent="0.25">
      <c r="A57" s="102" t="s">
        <v>1190</v>
      </c>
      <c r="B57" s="102" t="s">
        <v>1192</v>
      </c>
      <c r="C57" s="103" t="s">
        <v>1090</v>
      </c>
      <c r="D57" s="102" t="s">
        <v>1091</v>
      </c>
      <c r="E57" s="104"/>
      <c r="F57" s="105"/>
    </row>
    <row r="58" spans="1:6" x14ac:dyDescent="0.25">
      <c r="A58" s="102" t="s">
        <v>1190</v>
      </c>
      <c r="B58" s="102" t="s">
        <v>1193</v>
      </c>
      <c r="C58" s="103" t="s">
        <v>1090</v>
      </c>
      <c r="D58" s="102" t="s">
        <v>1194</v>
      </c>
      <c r="E58" s="104"/>
      <c r="F58" s="105"/>
    </row>
    <row r="59" spans="1:6" x14ac:dyDescent="0.25">
      <c r="A59" s="102" t="s">
        <v>1195</v>
      </c>
      <c r="B59" s="102" t="s">
        <v>1196</v>
      </c>
      <c r="C59" s="103" t="s">
        <v>1102</v>
      </c>
      <c r="D59" s="102" t="s">
        <v>1197</v>
      </c>
      <c r="E59" s="104"/>
      <c r="F59" s="105" t="s">
        <v>1219</v>
      </c>
    </row>
    <row r="60" spans="1:6" x14ac:dyDescent="0.25">
      <c r="A60" s="102" t="s">
        <v>1198</v>
      </c>
      <c r="B60" s="102" t="s">
        <v>1199</v>
      </c>
      <c r="C60" s="103" t="s">
        <v>1093</v>
      </c>
      <c r="D60" s="102" t="s">
        <v>1091</v>
      </c>
      <c r="E60" s="104"/>
      <c r="F60" s="105" t="s">
        <v>1220</v>
      </c>
    </row>
    <row r="61" spans="1:6" x14ac:dyDescent="0.25">
      <c r="A61" s="102" t="s">
        <v>1200</v>
      </c>
      <c r="B61" s="102" t="s">
        <v>1201</v>
      </c>
      <c r="C61" s="103" t="s">
        <v>1085</v>
      </c>
      <c r="D61" s="102" t="s">
        <v>1202</v>
      </c>
      <c r="E61" s="104"/>
      <c r="F61" s="105"/>
    </row>
    <row r="62" spans="1:6" x14ac:dyDescent="0.25">
      <c r="A62" s="102" t="s">
        <v>1200</v>
      </c>
      <c r="B62" s="102" t="s">
        <v>1203</v>
      </c>
      <c r="C62" s="103" t="s">
        <v>1085</v>
      </c>
      <c r="D62" s="102" t="s">
        <v>1204</v>
      </c>
      <c r="E62" s="104"/>
      <c r="F62" s="105"/>
    </row>
    <row r="63" spans="1:6" x14ac:dyDescent="0.25">
      <c r="A63" s="102" t="s">
        <v>1200</v>
      </c>
      <c r="B63" s="102" t="s">
        <v>1205</v>
      </c>
      <c r="C63" s="103" t="s">
        <v>1085</v>
      </c>
      <c r="D63" s="102" t="s">
        <v>1206</v>
      </c>
      <c r="E63" s="104"/>
      <c r="F63" s="105"/>
    </row>
    <row r="64" spans="1:6" x14ac:dyDescent="0.25">
      <c r="A64" s="102" t="s">
        <v>1200</v>
      </c>
      <c r="B64" s="102" t="s">
        <v>1207</v>
      </c>
      <c r="C64" s="103" t="s">
        <v>1085</v>
      </c>
      <c r="D64" s="102" t="s">
        <v>1574</v>
      </c>
      <c r="E64" s="104"/>
      <c r="F64" s="105" t="s">
        <v>1575</v>
      </c>
    </row>
    <row r="65" spans="1:6" x14ac:dyDescent="0.25">
      <c r="A65" s="102" t="s">
        <v>1200</v>
      </c>
      <c r="B65" s="102" t="s">
        <v>1208</v>
      </c>
      <c r="C65" s="103" t="s">
        <v>1090</v>
      </c>
      <c r="D65" s="102" t="s">
        <v>1209</v>
      </c>
      <c r="E65" s="104"/>
      <c r="F65" s="105" t="s">
        <v>1221</v>
      </c>
    </row>
    <row r="66" spans="1:6" x14ac:dyDescent="0.25">
      <c r="A66" s="102" t="s">
        <v>1210</v>
      </c>
      <c r="B66" s="102" t="s">
        <v>1211</v>
      </c>
      <c r="C66" s="103" t="s">
        <v>1090</v>
      </c>
      <c r="D66" s="102" t="s">
        <v>1091</v>
      </c>
      <c r="E66" s="104"/>
      <c r="F66" s="105" t="s">
        <v>1222</v>
      </c>
    </row>
    <row r="67" spans="1:6" x14ac:dyDescent="0.25">
      <c r="A67" s="83" t="s">
        <v>1160</v>
      </c>
      <c r="B67" s="83" t="s">
        <v>1432</v>
      </c>
      <c r="C67" s="83" t="s">
        <v>1085</v>
      </c>
      <c r="D67" s="83" t="s">
        <v>1433</v>
      </c>
      <c r="E67" s="83"/>
      <c r="F67" s="83" t="s">
        <v>1434</v>
      </c>
    </row>
    <row r="68" spans="1:6" x14ac:dyDescent="0.25">
      <c r="A68" s="83" t="s">
        <v>1160</v>
      </c>
      <c r="B68" s="83" t="s">
        <v>1435</v>
      </c>
      <c r="C68" s="83" t="s">
        <v>1085</v>
      </c>
      <c r="D68" s="83" t="s">
        <v>1436</v>
      </c>
      <c r="E68" s="83"/>
      <c r="F68" s="83" t="s">
        <v>1437</v>
      </c>
    </row>
    <row r="69" spans="1:6" x14ac:dyDescent="0.25">
      <c r="A69" s="83" t="s">
        <v>1438</v>
      </c>
      <c r="B69" s="83" t="s">
        <v>1439</v>
      </c>
      <c r="C69" s="83" t="s">
        <v>1102</v>
      </c>
      <c r="D69" s="83" t="s">
        <v>1440</v>
      </c>
      <c r="E69" s="83"/>
      <c r="F69" s="83" t="s">
        <v>1441</v>
      </c>
    </row>
    <row r="70" spans="1:6" x14ac:dyDescent="0.25">
      <c r="A70" s="83" t="s">
        <v>1180</v>
      </c>
      <c r="B70" s="83" t="s">
        <v>1454</v>
      </c>
      <c r="C70" s="83" t="s">
        <v>1085</v>
      </c>
      <c r="D70" s="83" t="s">
        <v>1455</v>
      </c>
      <c r="E70" s="83"/>
      <c r="F70" s="83"/>
    </row>
    <row r="71" spans="1:6" x14ac:dyDescent="0.25">
      <c r="A71" s="83" t="s">
        <v>1120</v>
      </c>
      <c r="B71" s="83" t="s">
        <v>1463</v>
      </c>
      <c r="C71" s="83" t="s">
        <v>1085</v>
      </c>
      <c r="D71" s="83" t="s">
        <v>1464</v>
      </c>
      <c r="E71" s="83"/>
      <c r="F71" s="83" t="s">
        <v>1465</v>
      </c>
    </row>
    <row r="72" spans="1:6" x14ac:dyDescent="0.25">
      <c r="A72" s="83" t="s">
        <v>1438</v>
      </c>
      <c r="B72" s="83" t="s">
        <v>1487</v>
      </c>
      <c r="C72" s="83" t="s">
        <v>1085</v>
      </c>
      <c r="D72" s="83" t="s">
        <v>1488</v>
      </c>
      <c r="E72" s="83"/>
      <c r="F72" s="83" t="s">
        <v>1489</v>
      </c>
    </row>
    <row r="73" spans="1:6" x14ac:dyDescent="0.25">
      <c r="A73" s="83" t="s">
        <v>1438</v>
      </c>
      <c r="B73" s="83" t="s">
        <v>1490</v>
      </c>
      <c r="C73" s="83" t="s">
        <v>1085</v>
      </c>
      <c r="D73" s="83" t="s">
        <v>1491</v>
      </c>
      <c r="E73" s="83"/>
      <c r="F73" s="83" t="s">
        <v>1492</v>
      </c>
    </row>
  </sheetData>
  <conditionalFormatting sqref="C5:C73">
    <cfRule type="containsText" dxfId="18" priority="1" operator="containsText" text="Not done">
      <formula>NOT(ISERROR(SEARCH("Not done",C5)))</formula>
    </cfRule>
    <cfRule type="containsText" dxfId="17" priority="2" operator="containsText" text="REVIEW">
      <formula>NOT(ISERROR(SEARCH("REVIEW",C5)))</formula>
    </cfRule>
    <cfRule type="containsText" dxfId="16" priority="3" operator="containsText" text="Partial">
      <formula>NOT(ISERROR(SEARCH("Partial",C5)))</formula>
    </cfRule>
    <cfRule type="containsText" dxfId="15" priority="4" operator="containsText" text="N/A">
      <formula>NOT(ISERROR(SEARCH("N/A",C5)))</formula>
    </cfRule>
    <cfRule type="containsText" dxfId="14" priority="5" operator="containsText" text="Done">
      <formula>NOT(ISERROR(SEARCH("Done",C5)))</formula>
    </cfRule>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80660A-237B-41DD-8723-2EA1DF54A9F3}">
  <sheetPr>
    <tabColor rgb="FF002060"/>
  </sheetPr>
  <dimension ref="A1"/>
  <sheetViews>
    <sheetView workbookViewId="0">
      <selection activeCell="Q17" sqref="Q17"/>
    </sheetView>
  </sheetViews>
  <sheetFormatPr defaultRowHeight="15" x14ac:dyDescent="0.25"/>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051876-43A4-4FD4-B09F-A417FAA071C6}">
  <sheetPr>
    <tabColor rgb="FFB8CCE4"/>
  </sheetPr>
  <dimension ref="A1:E7"/>
  <sheetViews>
    <sheetView workbookViewId="0">
      <selection activeCell="C7" sqref="C7"/>
    </sheetView>
  </sheetViews>
  <sheetFormatPr defaultRowHeight="15" x14ac:dyDescent="0.25"/>
  <cols>
    <col min="4" max="4" width="13.85546875" bestFit="1" customWidth="1"/>
    <col min="5" max="5" width="19" bestFit="1" customWidth="1"/>
  </cols>
  <sheetData>
    <row r="1" spans="1:5" x14ac:dyDescent="0.25">
      <c r="A1" s="9" t="e" vm="1">
        <v>#VALUE!</v>
      </c>
      <c r="B1" s="52" cm="1">
        <f t="array" aca="1" ref="B1" ca="1">_FV(A1,"Price")</f>
        <v>305.93</v>
      </c>
      <c r="C1" s="26" cm="1">
        <f t="array" aca="1" ref="C1" ca="1">_FV(A1,"P/E",TRUE)</f>
        <v>35.125399999999999</v>
      </c>
      <c r="D1" s="35" cm="1">
        <f t="array" aca="1" ref="D1" ca="1">_FV(A1,"Shares outstanding",TRUE)</f>
        <v>14594180000</v>
      </c>
      <c r="E1" s="53" cm="1">
        <f t="array" aca="1" ref="E1" ca="1">_FV(A1,"Market cap",TRUE)</f>
        <v>4464797487400</v>
      </c>
    </row>
    <row r="2" spans="1:5" x14ac:dyDescent="0.25">
      <c r="A2" s="9" t="e" vm="2">
        <v>#VALUE!</v>
      </c>
      <c r="B2" s="52" cm="1">
        <f t="array" aca="1" ref="B2" ca="1">_FV(A2,"Price")</f>
        <v>495.4</v>
      </c>
      <c r="C2" s="26" cm="1">
        <f t="array" aca="1" ref="C2" ca="1">_FV(A2,"P/E",TRUE)</f>
        <v>27.603999999999999</v>
      </c>
      <c r="D2" s="35" cm="1">
        <f t="array" aca="1" ref="D2" ca="1">_FV(A2,"Shares outstanding",TRUE)</f>
        <v>7425545000</v>
      </c>
      <c r="E2" s="53" cm="1">
        <f t="array" aca="1" ref="E2" ca="1">_FV(A2,"Market cap",TRUE)</f>
        <v>3678614993000</v>
      </c>
    </row>
    <row r="3" spans="1:5" x14ac:dyDescent="0.25">
      <c r="A3" s="9" t="e" vm="3">
        <v>#VALUE!</v>
      </c>
      <c r="B3" s="52" cm="1">
        <f t="array" aca="1" ref="B3" ca="1">_FV(A3,"Price")</f>
        <v>345.9</v>
      </c>
      <c r="C3" s="26" cm="1">
        <f t="array" aca="1" ref="C3" ca="1">_FV(A3,"P/E",TRUE)</f>
        <v>17.378799999999998</v>
      </c>
      <c r="D3" s="35" cm="1">
        <f t="array" aca="1" ref="D3" ca="1">_FV(A3,"Shares outstanding",TRUE)</f>
        <v>12230000000</v>
      </c>
      <c r="E3" s="53" cm="1">
        <f t="array" aca="1" ref="E3" ca="1">_FV(A3,"Market cap",TRUE)</f>
        <v>4230356999999</v>
      </c>
    </row>
    <row r="4" spans="1:5" x14ac:dyDescent="0.25">
      <c r="A4" s="9" t="e" vm="4">
        <v>#VALUE!</v>
      </c>
      <c r="B4" s="52" cm="1">
        <f t="array" aca="1" ref="B4" ca="1">_FV(A4,"Price")</f>
        <v>262.64999999999998</v>
      </c>
      <c r="C4" s="26" cm="1">
        <f t="array" aca="1" ref="C4" ca="1">_FV(A4,"P/E",TRUE)</f>
        <v>21.325299999999999</v>
      </c>
      <c r="D4" s="35" cm="1">
        <f t="array" aca="1" ref="D4" ca="1">_FV(A4,"Shares outstanding",TRUE)</f>
        <v>10786310000</v>
      </c>
      <c r="E4" s="53" cm="1">
        <f t="array" aca="1" ref="E4" ca="1">_FV(A4,"Market cap",TRUE)</f>
        <v>2833024321499</v>
      </c>
    </row>
    <row r="5" spans="1:5" x14ac:dyDescent="0.25">
      <c r="A5" s="9" t="e" vm="5">
        <v>#VALUE!</v>
      </c>
      <c r="B5" s="52" cm="1">
        <f t="array" aca="1" ref="B5" ca="1">_FV(A5,"Price")</f>
        <v>225.16</v>
      </c>
      <c r="C5" s="26" cm="1">
        <f t="array" aca="1" ref="C5" ca="1">_FV(A5,"P/E",TRUE)</f>
        <v>34.502499999999998</v>
      </c>
      <c r="D5" s="35" cm="1">
        <f t="array" aca="1" ref="D5" ca="1">_FV(A5,"Shares outstanding",TRUE)</f>
        <v>24200000000</v>
      </c>
      <c r="E5" s="53" cm="1">
        <f t="array" aca="1" ref="E5" ca="1">_FV(A5,"Market cap",TRUE)</f>
        <v>5448872000000</v>
      </c>
    </row>
    <row r="6" spans="1:5" x14ac:dyDescent="0.25">
      <c r="A6" s="9" t="e" vm="6">
        <v>#VALUE!</v>
      </c>
      <c r="B6" s="52" cm="1">
        <f t="array" aca="1" ref="B6" ca="1">_FV(A6,"Price")</f>
        <v>589.85</v>
      </c>
      <c r="C6" s="26" cm="1">
        <f t="array" aca="1" ref="C6" ca="1">_FV(A6,"P/E",TRUE)</f>
        <v>20.4254</v>
      </c>
      <c r="D6" s="35" cm="1">
        <f t="array" aca="1" ref="D6" ca="1">_FV(A6,"Shares outstanding",TRUE)</f>
        <v>2547506000</v>
      </c>
      <c r="E6" s="53" cm="1">
        <f t="array" aca="1" ref="E6" ca="1">_FV(A6,"Market cap",TRUE)</f>
        <v>1502646414100</v>
      </c>
    </row>
    <row r="7" spans="1:5" x14ac:dyDescent="0.25">
      <c r="A7" s="9" t="e" vm="7">
        <v>#VALUE!</v>
      </c>
      <c r="B7" s="52" cm="1">
        <f t="array" aca="1" ref="B7" ca="1">_FV(A7,"Price")</f>
        <v>342.27</v>
      </c>
      <c r="C7" s="26" cm="1">
        <f t="array" aca="1" ref="C7" ca="1">_FV(A7,"P/E",TRUE)</f>
        <v>340.24919999999997</v>
      </c>
      <c r="D7" s="35" cm="1">
        <f t="array" aca="1" ref="D7" ca="1">_FV(A7,"Shares outstanding",TRUE)</f>
        <v>3949547000</v>
      </c>
      <c r="E7" s="53" cm="1">
        <f t="array" aca="1" ref="E7" ca="1">_FV(A7,"Market cap",TRUE)</f>
        <v>1351811451690</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E169D6-467E-4C68-929D-6BE006A69E16}">
  <sheetPr>
    <tabColor rgb="FFB8CCE4"/>
  </sheetPr>
  <dimension ref="A1:AB39"/>
  <sheetViews>
    <sheetView workbookViewId="0"/>
  </sheetViews>
  <sheetFormatPr defaultRowHeight="15" x14ac:dyDescent="0.25"/>
  <cols>
    <col min="1" max="1" width="8.42578125" bestFit="1" customWidth="1"/>
    <col min="2" max="2" width="17.85546875" bestFit="1" customWidth="1"/>
    <col min="3" max="3" width="13.140625" bestFit="1" customWidth="1"/>
    <col min="4" max="4" width="20.5703125" bestFit="1" customWidth="1"/>
    <col min="5" max="5" width="11.140625" bestFit="1" customWidth="1"/>
    <col min="6" max="6" width="12.85546875" bestFit="1" customWidth="1"/>
    <col min="7" max="7" width="13.42578125" bestFit="1" customWidth="1"/>
    <col min="8" max="8" width="11.85546875" bestFit="1" customWidth="1"/>
    <col min="9" max="9" width="12.42578125" bestFit="1" customWidth="1"/>
    <col min="10" max="10" width="23.85546875" bestFit="1" customWidth="1"/>
    <col min="11" max="11" width="15.5703125" bestFit="1" customWidth="1"/>
    <col min="12" max="12" width="12" bestFit="1" customWidth="1"/>
    <col min="13" max="13" width="14.140625" bestFit="1" customWidth="1"/>
    <col min="14" max="14" width="19" bestFit="1" customWidth="1"/>
    <col min="15" max="15" width="15.42578125" bestFit="1" customWidth="1"/>
    <col min="16" max="16" width="12.7109375" bestFit="1" customWidth="1"/>
    <col min="17" max="17" width="19.5703125" bestFit="1" customWidth="1"/>
    <col min="18" max="18" width="26" bestFit="1" customWidth="1"/>
    <col min="19" max="19" width="14.7109375" bestFit="1" customWidth="1"/>
    <col min="20" max="20" width="12.7109375" bestFit="1" customWidth="1"/>
    <col min="21" max="21" width="17.28515625" bestFit="1" customWidth="1"/>
    <col min="22" max="22" width="17.5703125" bestFit="1" customWidth="1"/>
    <col min="23" max="23" width="17.42578125" bestFit="1" customWidth="1"/>
    <col min="24" max="24" width="17.7109375" bestFit="1" customWidth="1"/>
    <col min="25" max="25" width="18.42578125" bestFit="1" customWidth="1"/>
    <col min="26" max="26" width="17.42578125" bestFit="1" customWidth="1"/>
    <col min="27" max="27" width="12.5703125" bestFit="1" customWidth="1"/>
    <col min="28" max="28" width="28.28515625" bestFit="1" customWidth="1"/>
  </cols>
  <sheetData>
    <row r="1" spans="1:28" x14ac:dyDescent="0.25">
      <c r="A1" t="s">
        <v>621</v>
      </c>
      <c r="B1" t="s">
        <v>622</v>
      </c>
      <c r="C1" t="s">
        <v>623</v>
      </c>
      <c r="D1" t="s">
        <v>624</v>
      </c>
      <c r="E1" t="s">
        <v>625</v>
      </c>
      <c r="F1" t="s">
        <v>626</v>
      </c>
      <c r="G1" t="s">
        <v>627</v>
      </c>
      <c r="H1" t="s">
        <v>628</v>
      </c>
      <c r="I1" t="s">
        <v>629</v>
      </c>
      <c r="J1" t="s">
        <v>630</v>
      </c>
      <c r="K1" t="s">
        <v>631</v>
      </c>
      <c r="L1" t="s">
        <v>632</v>
      </c>
      <c r="M1" t="s">
        <v>633</v>
      </c>
      <c r="N1" t="s">
        <v>634</v>
      </c>
      <c r="O1" t="s">
        <v>635</v>
      </c>
      <c r="P1" t="s">
        <v>522</v>
      </c>
      <c r="Q1" t="s">
        <v>16</v>
      </c>
      <c r="R1" t="s">
        <v>636</v>
      </c>
      <c r="S1" t="s">
        <v>637</v>
      </c>
      <c r="T1" t="s">
        <v>638</v>
      </c>
      <c r="U1" t="s">
        <v>639</v>
      </c>
      <c r="V1" t="s">
        <v>640</v>
      </c>
      <c r="W1" t="s">
        <v>641</v>
      </c>
      <c r="X1" t="s">
        <v>642</v>
      </c>
      <c r="Y1" t="s">
        <v>643</v>
      </c>
      <c r="Z1" t="s">
        <v>644</v>
      </c>
      <c r="AA1" t="s">
        <v>37</v>
      </c>
      <c r="AB1" t="s">
        <v>74</v>
      </c>
    </row>
    <row r="2" spans="1:28" x14ac:dyDescent="0.25">
      <c r="A2" t="s">
        <v>296</v>
      </c>
      <c r="B2">
        <v>4594739445760</v>
      </c>
      <c r="C2">
        <v>4572794322944</v>
      </c>
      <c r="D2">
        <v>14594180000</v>
      </c>
      <c r="E2" t="s">
        <v>4</v>
      </c>
      <c r="F2">
        <v>8.7100000000000009</v>
      </c>
      <c r="G2">
        <v>9.5130700000000008</v>
      </c>
      <c r="H2">
        <v>35.973590000000002</v>
      </c>
      <c r="I2">
        <v>32.936790000000002</v>
      </c>
      <c r="J2">
        <v>128929996800</v>
      </c>
      <c r="K2">
        <v>466822987776</v>
      </c>
      <c r="L2">
        <v>167959003136</v>
      </c>
      <c r="M2">
        <v>227123003392</v>
      </c>
      <c r="N2">
        <v>0.32623002000000001</v>
      </c>
      <c r="O2">
        <v>0.27618998</v>
      </c>
      <c r="P2">
        <v>133050000000</v>
      </c>
      <c r="Q2">
        <v>133050000000</v>
      </c>
      <c r="R2">
        <v>11698000000</v>
      </c>
      <c r="T2">
        <v>133050000000</v>
      </c>
      <c r="U2">
        <v>1.4875100999999999</v>
      </c>
      <c r="V2">
        <v>0.27082001999999999</v>
      </c>
      <c r="W2">
        <v>0.16400000000000001</v>
      </c>
      <c r="X2">
        <v>0.28699999999999998</v>
      </c>
      <c r="AA2">
        <v>98657000000</v>
      </c>
      <c r="AB2">
        <v>35934000000</v>
      </c>
    </row>
    <row r="3" spans="1:28" x14ac:dyDescent="0.25">
      <c r="A3" t="s">
        <v>295</v>
      </c>
      <c r="B3">
        <v>3764668596224</v>
      </c>
      <c r="C3">
        <v>3712698548224</v>
      </c>
      <c r="D3">
        <v>7425545491</v>
      </c>
      <c r="E3" t="s">
        <v>4</v>
      </c>
      <c r="F3">
        <v>17.95</v>
      </c>
      <c r="G3">
        <v>23.4742</v>
      </c>
      <c r="H3">
        <v>27.854595</v>
      </c>
      <c r="I3">
        <v>21.299555000000002</v>
      </c>
      <c r="J3">
        <v>133748998144</v>
      </c>
      <c r="K3">
        <v>331839012864</v>
      </c>
      <c r="L3">
        <v>194237005824</v>
      </c>
      <c r="M3">
        <v>225465008128</v>
      </c>
      <c r="N3">
        <v>0.45111000000000001</v>
      </c>
      <c r="O3">
        <v>0.40305000000000002</v>
      </c>
      <c r="P3">
        <v>168985000000</v>
      </c>
      <c r="Q3">
        <v>155237000000</v>
      </c>
      <c r="R3">
        <v>38534000000</v>
      </c>
      <c r="T3">
        <v>168985000000</v>
      </c>
      <c r="U3">
        <v>0.34039003000000001</v>
      </c>
      <c r="V3">
        <v>0.14088000000000001</v>
      </c>
      <c r="W3">
        <v>0.17699999999999999</v>
      </c>
      <c r="X3">
        <v>0.317</v>
      </c>
      <c r="AA3">
        <v>56826000000</v>
      </c>
      <c r="AB3">
        <v>20935000000</v>
      </c>
    </row>
    <row r="4" spans="1:28" x14ac:dyDescent="0.25">
      <c r="A4" t="s">
        <v>645</v>
      </c>
      <c r="B4">
        <v>314434977792</v>
      </c>
      <c r="C4">
        <v>293200035840</v>
      </c>
      <c r="D4">
        <v>325046693</v>
      </c>
      <c r="E4" t="s">
        <v>4</v>
      </c>
      <c r="F4">
        <v>12.57</v>
      </c>
      <c r="G4">
        <v>21.85059</v>
      </c>
      <c r="H4">
        <v>36.099440000000001</v>
      </c>
      <c r="I4">
        <v>20.766945</v>
      </c>
      <c r="J4">
        <v>8408999936</v>
      </c>
      <c r="K4">
        <v>134001999872</v>
      </c>
      <c r="L4">
        <v>14065000448</v>
      </c>
      <c r="M4">
        <v>25745000448</v>
      </c>
      <c r="N4">
        <v>8.8570006000000007E-2</v>
      </c>
      <c r="O4">
        <v>6.2750003999999998E-2</v>
      </c>
      <c r="P4">
        <v>8823000000</v>
      </c>
      <c r="Q4">
        <v>8446000000</v>
      </c>
      <c r="R4">
        <v>3029000000</v>
      </c>
      <c r="T4">
        <v>8823000000</v>
      </c>
      <c r="V4">
        <v>7.0040000000000005E-2</v>
      </c>
      <c r="W4">
        <v>0.875</v>
      </c>
      <c r="X4">
        <v>2.8250000000000002</v>
      </c>
      <c r="Y4">
        <v>0</v>
      </c>
      <c r="AA4">
        <v>31503000000</v>
      </c>
      <c r="AB4">
        <v>11528000000</v>
      </c>
    </row>
    <row r="5" spans="1:28" x14ac:dyDescent="0.25">
      <c r="A5" t="s">
        <v>646</v>
      </c>
      <c r="B5">
        <v>34642407424</v>
      </c>
      <c r="C5">
        <v>27481405440</v>
      </c>
      <c r="D5">
        <v>914522690</v>
      </c>
      <c r="E5" t="s">
        <v>4</v>
      </c>
      <c r="F5">
        <v>2.7</v>
      </c>
      <c r="G5">
        <v>3.0095800000000001</v>
      </c>
      <c r="H5">
        <v>11.129629</v>
      </c>
      <c r="I5">
        <v>9.9847819999999992</v>
      </c>
      <c r="J5">
        <v>2552999936</v>
      </c>
      <c r="K5">
        <v>57416998912</v>
      </c>
      <c r="L5">
        <v>4712000000</v>
      </c>
      <c r="M5">
        <v>11664000000</v>
      </c>
      <c r="N5">
        <v>7.1139999999999995E-2</v>
      </c>
      <c r="O5">
        <v>4.4460001999999998E-2</v>
      </c>
      <c r="P5">
        <v>3223000000</v>
      </c>
      <c r="Q5">
        <v>3624000000</v>
      </c>
      <c r="R5">
        <v>916000000</v>
      </c>
      <c r="S5">
        <v>345000000</v>
      </c>
      <c r="T5">
        <v>3223000000</v>
      </c>
      <c r="V5">
        <v>5.8790002000000001E-2</v>
      </c>
      <c r="W5">
        <v>0.09</v>
      </c>
      <c r="X5">
        <v>0.16200000000000001</v>
      </c>
      <c r="Z5">
        <v>0</v>
      </c>
      <c r="AA5">
        <v>10882000000</v>
      </c>
      <c r="AB5">
        <v>3690000000</v>
      </c>
    </row>
    <row r="6" spans="1:28" x14ac:dyDescent="0.25">
      <c r="A6" t="s">
        <v>647</v>
      </c>
      <c r="B6">
        <v>244025966592</v>
      </c>
      <c r="C6">
        <v>137767944192</v>
      </c>
      <c r="D6">
        <v>5872462070</v>
      </c>
      <c r="E6" t="s">
        <v>4</v>
      </c>
      <c r="F6">
        <v>1.18</v>
      </c>
      <c r="G6">
        <v>1.19</v>
      </c>
      <c r="H6">
        <v>19.881354999999999</v>
      </c>
      <c r="I6">
        <v>19.714285</v>
      </c>
      <c r="J6">
        <v>1114027065344</v>
      </c>
      <c r="K6">
        <v>12695775477760</v>
      </c>
      <c r="L6">
        <v>2079234064384</v>
      </c>
      <c r="M6">
        <v>4094076125184</v>
      </c>
      <c r="N6">
        <v>0.16721000999999999</v>
      </c>
      <c r="O6">
        <v>-1.746E-2</v>
      </c>
      <c r="P6">
        <v>1457949000000</v>
      </c>
      <c r="Q6">
        <v>1553690000000</v>
      </c>
      <c r="R6">
        <v>1180655000000</v>
      </c>
      <c r="T6">
        <v>1457949000000</v>
      </c>
      <c r="U6">
        <v>0.13159999</v>
      </c>
      <c r="V6">
        <v>4.2529996E-2</v>
      </c>
      <c r="W6">
        <v>8.2000000000000003E-2</v>
      </c>
      <c r="X6">
        <v>0.47599999999999998</v>
      </c>
      <c r="Y6">
        <v>394578000000</v>
      </c>
      <c r="AA6">
        <v>1669669000000</v>
      </c>
      <c r="AB6">
        <v>2208879000000</v>
      </c>
    </row>
    <row r="7" spans="1:28" x14ac:dyDescent="0.25">
      <c r="A7" t="s">
        <v>648</v>
      </c>
      <c r="B7">
        <v>564526841856</v>
      </c>
      <c r="C7">
        <v>423486849024</v>
      </c>
      <c r="D7">
        <v>2880471000</v>
      </c>
      <c r="E7" t="s">
        <v>4</v>
      </c>
      <c r="F7">
        <v>5.84</v>
      </c>
      <c r="G7">
        <v>10.89015</v>
      </c>
      <c r="H7">
        <v>25.174658000000001</v>
      </c>
      <c r="I7">
        <v>13.500273999999999</v>
      </c>
      <c r="J7">
        <v>16984000512</v>
      </c>
      <c r="K7">
        <v>67356999680</v>
      </c>
      <c r="L7">
        <v>30493999104</v>
      </c>
      <c r="M7">
        <v>44336001024</v>
      </c>
      <c r="N7">
        <v>0.36202000000000001</v>
      </c>
      <c r="O7">
        <v>0.25368000000000002</v>
      </c>
      <c r="P7">
        <v>24153000000</v>
      </c>
      <c r="Q7">
        <v>22444000000</v>
      </c>
      <c r="R7">
        <v>9294000000</v>
      </c>
      <c r="S7">
        <v>1671000000</v>
      </c>
      <c r="T7">
        <v>24153000000</v>
      </c>
      <c r="U7">
        <v>0.53376000000000001</v>
      </c>
      <c r="V7">
        <v>6.5049999999999997E-2</v>
      </c>
      <c r="W7">
        <v>0.20599999999999999</v>
      </c>
      <c r="X7">
        <v>0.219</v>
      </c>
      <c r="Y7">
        <v>548000000</v>
      </c>
      <c r="Z7">
        <v>4954000000</v>
      </c>
      <c r="AA7">
        <v>156189000000</v>
      </c>
      <c r="AB7">
        <v>31289000000</v>
      </c>
    </row>
    <row r="8" spans="1:28" x14ac:dyDescent="0.25">
      <c r="A8" t="s">
        <v>649</v>
      </c>
      <c r="B8">
        <v>188565061632</v>
      </c>
      <c r="C8">
        <v>157854056448</v>
      </c>
      <c r="D8">
        <v>819000000</v>
      </c>
      <c r="E8" t="s">
        <v>4</v>
      </c>
      <c r="F8">
        <v>8.6300000000000008</v>
      </c>
      <c r="G8">
        <v>15.51229</v>
      </c>
      <c r="H8">
        <v>22.33372</v>
      </c>
      <c r="I8">
        <v>12.424987</v>
      </c>
      <c r="J8">
        <v>8023000064</v>
      </c>
      <c r="K8">
        <v>42829000704</v>
      </c>
      <c r="L8">
        <v>12894999552</v>
      </c>
      <c r="M8">
        <v>33254000640</v>
      </c>
      <c r="N8">
        <v>0.218</v>
      </c>
      <c r="O8">
        <v>0.18733</v>
      </c>
      <c r="P8">
        <v>8917000000</v>
      </c>
      <c r="Q8">
        <v>8917000000</v>
      </c>
      <c r="R8">
        <v>3631000000</v>
      </c>
      <c r="S8">
        <v>995000000</v>
      </c>
      <c r="T8">
        <v>8917000000</v>
      </c>
      <c r="U8">
        <v>0.16908000000000001</v>
      </c>
      <c r="V8">
        <v>5.7029999999999997E-2</v>
      </c>
      <c r="W8">
        <v>0.13300000000000001</v>
      </c>
      <c r="X8">
        <v>0.52200000000000002</v>
      </c>
      <c r="Z8">
        <v>0</v>
      </c>
      <c r="AA8">
        <v>17176000000</v>
      </c>
      <c r="AB8">
        <v>7327000000</v>
      </c>
    </row>
    <row r="9" spans="1:28" x14ac:dyDescent="0.25">
      <c r="A9" t="s">
        <v>650</v>
      </c>
      <c r="B9">
        <v>106871971840</v>
      </c>
      <c r="C9">
        <v>105420972032</v>
      </c>
      <c r="D9">
        <v>397500000</v>
      </c>
      <c r="E9" t="s">
        <v>4</v>
      </c>
      <c r="F9">
        <v>17.48</v>
      </c>
      <c r="G9">
        <v>27.48687</v>
      </c>
      <c r="H9">
        <v>15.172196</v>
      </c>
      <c r="I9">
        <v>9.6486059999999991</v>
      </c>
      <c r="J9">
        <v>7229000192</v>
      </c>
      <c r="K9">
        <v>25198000128</v>
      </c>
      <c r="L9">
        <v>9729000448</v>
      </c>
      <c r="M9">
        <v>22528000000</v>
      </c>
      <c r="N9">
        <v>0.35327997999999999</v>
      </c>
      <c r="O9">
        <v>0.28688999999999998</v>
      </c>
      <c r="P9">
        <v>8997000000</v>
      </c>
      <c r="Q9">
        <v>8706000000</v>
      </c>
      <c r="R9">
        <v>818000000</v>
      </c>
      <c r="S9">
        <v>157000000</v>
      </c>
      <c r="T9">
        <v>8997000000</v>
      </c>
      <c r="U9">
        <v>0.62953996999999995</v>
      </c>
      <c r="V9">
        <v>0.19926000999999999</v>
      </c>
      <c r="W9">
        <v>0.127</v>
      </c>
      <c r="X9">
        <v>7.9000000000000001E-2</v>
      </c>
      <c r="Z9">
        <v>0</v>
      </c>
      <c r="AA9">
        <v>6648000000</v>
      </c>
      <c r="AB9">
        <v>5431000000</v>
      </c>
    </row>
    <row r="10" spans="1:28" x14ac:dyDescent="0.25">
      <c r="A10" t="s">
        <v>651</v>
      </c>
      <c r="B10">
        <v>132897685504</v>
      </c>
      <c r="C10">
        <v>129108688896</v>
      </c>
      <c r="D10">
        <v>1033862000</v>
      </c>
      <c r="E10" t="s">
        <v>4</v>
      </c>
      <c r="F10">
        <v>1.6</v>
      </c>
      <c r="G10">
        <v>5.0061900000000001</v>
      </c>
      <c r="H10">
        <v>78.049994999999996</v>
      </c>
      <c r="I10">
        <v>24.945118000000001</v>
      </c>
      <c r="J10">
        <v>1670000000</v>
      </c>
      <c r="K10">
        <v>14732000256</v>
      </c>
      <c r="L10">
        <v>2896999936</v>
      </c>
      <c r="M10">
        <v>11015000064</v>
      </c>
      <c r="N10">
        <v>4.0629999999999999E-2</v>
      </c>
      <c r="O10">
        <v>0.11336</v>
      </c>
      <c r="P10">
        <v>2284000000</v>
      </c>
      <c r="Q10">
        <v>1824000000</v>
      </c>
      <c r="R10">
        <v>738000000</v>
      </c>
      <c r="T10">
        <v>2284000000</v>
      </c>
      <c r="U10">
        <v>0.14244000000000001</v>
      </c>
      <c r="V10">
        <v>4.249E-2</v>
      </c>
      <c r="W10">
        <v>0.24</v>
      </c>
      <c r="X10">
        <v>-0.219</v>
      </c>
      <c r="Z10">
        <v>0</v>
      </c>
      <c r="AA10">
        <v>2403000000</v>
      </c>
      <c r="AB10">
        <v>3726000000</v>
      </c>
    </row>
    <row r="11" spans="1:28" x14ac:dyDescent="0.25">
      <c r="A11" t="s">
        <v>652</v>
      </c>
      <c r="B11">
        <v>3350225747968</v>
      </c>
      <c r="C11">
        <v>237950763008</v>
      </c>
      <c r="D11">
        <v>1154204232</v>
      </c>
      <c r="E11" t="s">
        <v>4</v>
      </c>
      <c r="F11">
        <v>7.71</v>
      </c>
      <c r="G11">
        <v>9.5998099999999997</v>
      </c>
      <c r="H11">
        <v>26.7393</v>
      </c>
      <c r="I11">
        <v>21.475425999999999</v>
      </c>
      <c r="J11">
        <v>7795999744</v>
      </c>
      <c r="K11">
        <v>38192001024</v>
      </c>
      <c r="L11">
        <v>11760000000</v>
      </c>
      <c r="M11">
        <v>28131999744</v>
      </c>
      <c r="N11">
        <v>0.2762</v>
      </c>
      <c r="O11">
        <v>0.20413000000000001</v>
      </c>
      <c r="P11">
        <v>10762000000</v>
      </c>
      <c r="Q11">
        <v>9620000000</v>
      </c>
      <c r="R11">
        <v>1311000000</v>
      </c>
      <c r="T11">
        <v>10762000000</v>
      </c>
      <c r="U11">
        <v>0.18320998999999999</v>
      </c>
      <c r="V11">
        <v>9.5399999999999999E-2</v>
      </c>
      <c r="W11">
        <v>9.4E-2</v>
      </c>
      <c r="X11">
        <v>0.30599999999999999</v>
      </c>
      <c r="Y11">
        <v>488000000</v>
      </c>
      <c r="AA11">
        <v>7476000000</v>
      </c>
      <c r="AB11">
        <v>8220000000</v>
      </c>
    </row>
    <row r="12" spans="1:28" x14ac:dyDescent="0.25">
      <c r="A12" t="s">
        <v>653</v>
      </c>
      <c r="B12">
        <v>280778637312</v>
      </c>
      <c r="C12">
        <v>223549652992</v>
      </c>
      <c r="D12">
        <v>942134390</v>
      </c>
      <c r="E12" t="s">
        <v>4</v>
      </c>
      <c r="F12">
        <v>11.27</v>
      </c>
      <c r="G12">
        <v>13.174910000000001</v>
      </c>
      <c r="H12">
        <v>21.054124999999999</v>
      </c>
      <c r="I12">
        <v>18.009989999999998</v>
      </c>
      <c r="J12">
        <v>10705000448</v>
      </c>
      <c r="K12">
        <v>69094998016</v>
      </c>
      <c r="L12">
        <v>16472999936</v>
      </c>
      <c r="M12">
        <v>40142999552</v>
      </c>
      <c r="N12">
        <v>0.16547999999999999</v>
      </c>
      <c r="O12">
        <v>0.15522</v>
      </c>
      <c r="P12">
        <v>12263000000</v>
      </c>
      <c r="Q12">
        <v>12492000000</v>
      </c>
      <c r="R12">
        <v>5021000000</v>
      </c>
      <c r="S12">
        <v>1279000000</v>
      </c>
      <c r="T12">
        <v>12263000000</v>
      </c>
      <c r="U12">
        <v>0.34460997999999998</v>
      </c>
      <c r="V12">
        <v>5.3039997999999998E-2</v>
      </c>
      <c r="W12">
        <v>1.0999999999999999E-2</v>
      </c>
      <c r="X12">
        <v>-1.7999999999999999E-2</v>
      </c>
      <c r="Y12">
        <v>93000000</v>
      </c>
      <c r="AA12">
        <v>64607000000</v>
      </c>
      <c r="AB12">
        <v>13587000000</v>
      </c>
    </row>
    <row r="13" spans="1:28" x14ac:dyDescent="0.25">
      <c r="A13" t="s">
        <v>308</v>
      </c>
      <c r="B13">
        <v>4229428936704</v>
      </c>
      <c r="C13">
        <v>4333065732096</v>
      </c>
      <c r="D13">
        <v>5867155790</v>
      </c>
      <c r="E13" t="s">
        <v>4</v>
      </c>
      <c r="F13">
        <v>19.95</v>
      </c>
      <c r="G13">
        <v>14.73443</v>
      </c>
      <c r="H13">
        <v>17.759398000000001</v>
      </c>
      <c r="I13">
        <v>24.045721</v>
      </c>
      <c r="J13">
        <v>244118994944</v>
      </c>
      <c r="K13">
        <v>445865984000</v>
      </c>
      <c r="L13">
        <v>173164003328</v>
      </c>
      <c r="M13">
        <v>271517007872</v>
      </c>
      <c r="N13">
        <v>0.34033000000000002</v>
      </c>
      <c r="O13">
        <v>0.54771000000000003</v>
      </c>
      <c r="P13">
        <v>159562000000</v>
      </c>
      <c r="Q13">
        <v>129039000000</v>
      </c>
      <c r="R13">
        <v>21136000000</v>
      </c>
      <c r="T13">
        <v>159562000000</v>
      </c>
      <c r="U13">
        <v>0.48676000000000003</v>
      </c>
      <c r="V13">
        <v>0.12958998999999999</v>
      </c>
      <c r="W13">
        <v>0.24199999999999999</v>
      </c>
      <c r="X13">
        <v>2.94</v>
      </c>
      <c r="Z13">
        <v>0</v>
      </c>
      <c r="AA13">
        <v>59291000000</v>
      </c>
      <c r="AB13">
        <v>30708000000</v>
      </c>
    </row>
    <row r="14" spans="1:28" x14ac:dyDescent="0.25">
      <c r="A14" t="s">
        <v>292</v>
      </c>
      <c r="B14">
        <v>1530436386816</v>
      </c>
      <c r="C14">
        <v>1508378279936</v>
      </c>
      <c r="D14">
        <v>2205128509</v>
      </c>
      <c r="E14" t="s">
        <v>4</v>
      </c>
      <c r="F14">
        <v>26.53</v>
      </c>
      <c r="G14">
        <v>35.136249999999997</v>
      </c>
      <c r="H14">
        <v>22.318128999999999</v>
      </c>
      <c r="I14">
        <v>16.851541999999998</v>
      </c>
      <c r="J14">
        <v>68097998848</v>
      </c>
      <c r="K14">
        <v>228246994944</v>
      </c>
      <c r="L14">
        <v>109654999040</v>
      </c>
      <c r="M14">
        <v>186586005504</v>
      </c>
      <c r="N14">
        <v>0.34827000000000002</v>
      </c>
      <c r="O14">
        <v>0.29834998000000001</v>
      </c>
      <c r="P14">
        <v>87097000000</v>
      </c>
      <c r="Q14">
        <v>83276000000</v>
      </c>
      <c r="R14">
        <v>18616000000</v>
      </c>
      <c r="T14">
        <v>87097000000</v>
      </c>
      <c r="U14">
        <v>0.29848000000000002</v>
      </c>
      <c r="V14">
        <v>0.14591000000000001</v>
      </c>
      <c r="W14">
        <v>0.28000000000000003</v>
      </c>
      <c r="X14">
        <v>-0.13400000000000001</v>
      </c>
      <c r="AA14">
        <v>83897000000</v>
      </c>
      <c r="AB14">
        <v>35873000000</v>
      </c>
    </row>
    <row r="15" spans="1:28" x14ac:dyDescent="0.25">
      <c r="A15" t="s">
        <v>654</v>
      </c>
      <c r="B15">
        <v>5433123840</v>
      </c>
      <c r="C15">
        <v>6487495168</v>
      </c>
      <c r="D15">
        <v>426999732</v>
      </c>
      <c r="E15" t="s">
        <v>4</v>
      </c>
      <c r="F15">
        <v>0.84</v>
      </c>
      <c r="G15">
        <v>0.99533000000000005</v>
      </c>
      <c r="H15">
        <v>16.428571999999999</v>
      </c>
      <c r="I15">
        <v>13.864749</v>
      </c>
      <c r="J15">
        <v>406888000</v>
      </c>
      <c r="K15">
        <v>2990138112</v>
      </c>
      <c r="L15">
        <v>697982016</v>
      </c>
      <c r="M15">
        <v>2298586880</v>
      </c>
      <c r="N15">
        <v>0.14205000000000001</v>
      </c>
      <c r="O15">
        <v>0.13608000000000001</v>
      </c>
      <c r="P15">
        <v>589321000</v>
      </c>
      <c r="Q15">
        <v>589321000</v>
      </c>
      <c r="R15">
        <v>115784000</v>
      </c>
      <c r="T15">
        <v>589321000</v>
      </c>
      <c r="U15">
        <v>0.15440999999999999</v>
      </c>
      <c r="V15">
        <v>6.2520000000000006E-2</v>
      </c>
      <c r="W15">
        <v>0.03</v>
      </c>
      <c r="X15">
        <v>-0.23599999999999999</v>
      </c>
      <c r="Z15">
        <v>0</v>
      </c>
      <c r="AA15">
        <v>436330000</v>
      </c>
      <c r="AB15">
        <v>658175000</v>
      </c>
    </row>
    <row r="16" spans="1:28" x14ac:dyDescent="0.25">
      <c r="A16" t="s">
        <v>655</v>
      </c>
      <c r="B16">
        <v>13332026368</v>
      </c>
      <c r="C16">
        <v>13264525312</v>
      </c>
      <c r="D16">
        <v>481750308</v>
      </c>
      <c r="E16" t="s">
        <v>4</v>
      </c>
      <c r="F16">
        <v>0.34</v>
      </c>
      <c r="G16">
        <v>2.3877899999999999</v>
      </c>
      <c r="H16">
        <v>69.647059999999996</v>
      </c>
      <c r="I16">
        <v>9.9171200000000006</v>
      </c>
      <c r="J16">
        <v>248922000</v>
      </c>
      <c r="K16">
        <v>4555720192</v>
      </c>
      <c r="L16">
        <v>316556000</v>
      </c>
      <c r="M16">
        <v>3620571904</v>
      </c>
      <c r="N16">
        <v>-3.4639999999999997E-2</v>
      </c>
      <c r="O16">
        <v>5.4640002999999999E-2</v>
      </c>
      <c r="P16">
        <v>319883000</v>
      </c>
      <c r="Q16">
        <v>319883000</v>
      </c>
      <c r="R16">
        <v>25151000</v>
      </c>
      <c r="T16">
        <v>319883000</v>
      </c>
      <c r="U16">
        <v>6.4610000000000001E-2</v>
      </c>
      <c r="V16">
        <v>3.5130000000000002E-2</v>
      </c>
      <c r="W16">
        <v>0.182</v>
      </c>
      <c r="AA16">
        <v>262018000</v>
      </c>
      <c r="AB16">
        <v>969342000</v>
      </c>
    </row>
    <row r="17" spans="1:28" x14ac:dyDescent="0.25">
      <c r="A17" t="s">
        <v>656</v>
      </c>
      <c r="B17">
        <v>10580072448</v>
      </c>
      <c r="C17">
        <v>9014083584</v>
      </c>
      <c r="D17">
        <v>1437047479</v>
      </c>
      <c r="E17" t="s">
        <v>4</v>
      </c>
      <c r="F17">
        <v>-0.18</v>
      </c>
      <c r="G17">
        <v>0.77115999999999996</v>
      </c>
      <c r="I17">
        <v>6.9116654000000004</v>
      </c>
      <c r="J17">
        <v>-311243008</v>
      </c>
      <c r="K17">
        <v>6351084032</v>
      </c>
      <c r="L17">
        <v>-146279008</v>
      </c>
      <c r="M17">
        <v>3641295104</v>
      </c>
      <c r="N17">
        <v>-2.6400001999999999E-2</v>
      </c>
      <c r="O17">
        <v>-4.9009999999999998E-2</v>
      </c>
      <c r="P17">
        <v>-329138000</v>
      </c>
      <c r="Q17">
        <v>-532167000</v>
      </c>
      <c r="R17">
        <v>163633000</v>
      </c>
      <c r="T17">
        <v>-329138000</v>
      </c>
      <c r="U17">
        <v>-0.15576000000000001</v>
      </c>
      <c r="V17">
        <v>-2.7220000000000001E-2</v>
      </c>
      <c r="W17">
        <v>0.189</v>
      </c>
      <c r="AA17">
        <v>4143131000</v>
      </c>
      <c r="AB17">
        <v>1030435000</v>
      </c>
    </row>
    <row r="18" spans="1:28" x14ac:dyDescent="0.25">
      <c r="A18" t="s">
        <v>291</v>
      </c>
      <c r="B18">
        <v>3089274241024</v>
      </c>
      <c r="C18">
        <v>2960627335168</v>
      </c>
      <c r="D18">
        <v>10786313572</v>
      </c>
      <c r="E18" t="s">
        <v>4</v>
      </c>
      <c r="F18">
        <v>12.43</v>
      </c>
      <c r="G18">
        <v>10.330539999999999</v>
      </c>
      <c r="H18">
        <v>22.082059999999998</v>
      </c>
      <c r="I18">
        <v>26.569765</v>
      </c>
      <c r="J18">
        <v>135281000448</v>
      </c>
      <c r="K18">
        <v>775680032768</v>
      </c>
      <c r="L18">
        <v>168911994880</v>
      </c>
      <c r="M18">
        <v>393809985536</v>
      </c>
      <c r="N18">
        <v>0.13689000000000001</v>
      </c>
      <c r="O18">
        <v>0.1744</v>
      </c>
      <c r="P18">
        <v>99585000000</v>
      </c>
      <c r="Q18">
        <v>79975000000</v>
      </c>
      <c r="R18">
        <v>65756000000</v>
      </c>
      <c r="T18">
        <v>99585000000</v>
      </c>
      <c r="U18">
        <v>0.30558002000000001</v>
      </c>
      <c r="V18">
        <v>6.5890000000000004E-2</v>
      </c>
      <c r="W18">
        <v>0.19600000000000001</v>
      </c>
      <c r="X18">
        <v>2.423</v>
      </c>
      <c r="Z18">
        <v>0</v>
      </c>
      <c r="AA18">
        <v>152987000000</v>
      </c>
      <c r="AB18">
        <v>86810000000</v>
      </c>
    </row>
    <row r="19" spans="1:28" x14ac:dyDescent="0.25">
      <c r="A19" t="s">
        <v>657</v>
      </c>
      <c r="B19">
        <v>961572175872</v>
      </c>
      <c r="C19">
        <v>890111131648</v>
      </c>
      <c r="D19">
        <v>7958079155</v>
      </c>
      <c r="E19" t="s">
        <v>4</v>
      </c>
      <c r="F19">
        <v>2.84</v>
      </c>
      <c r="G19">
        <v>3.2798400000000001</v>
      </c>
      <c r="H19">
        <v>39.383803999999998</v>
      </c>
      <c r="I19">
        <v>34.102271999999999</v>
      </c>
      <c r="J19">
        <v>22735998976</v>
      </c>
      <c r="K19">
        <v>725304999936</v>
      </c>
      <c r="L19">
        <v>44837998592</v>
      </c>
      <c r="M19">
        <v>181155004416</v>
      </c>
      <c r="N19">
        <v>4.2150001999999999E-2</v>
      </c>
      <c r="O19">
        <v>3.1350000000000003E-2</v>
      </c>
      <c r="P19">
        <v>32268000000</v>
      </c>
      <c r="Q19">
        <v>29825000000</v>
      </c>
      <c r="R19">
        <v>14203000000</v>
      </c>
      <c r="T19">
        <v>32268000000</v>
      </c>
      <c r="U19">
        <v>0.24132000000000001</v>
      </c>
      <c r="V19">
        <v>6.8349999999999994E-2</v>
      </c>
      <c r="W19">
        <v>7.2999999999999995E-2</v>
      </c>
      <c r="X19">
        <v>0.19400000000000001</v>
      </c>
      <c r="Y19">
        <v>6563000000</v>
      </c>
      <c r="AA19">
        <v>67095000000</v>
      </c>
      <c r="AB19">
        <v>10727000000</v>
      </c>
    </row>
    <row r="20" spans="1:28" x14ac:dyDescent="0.25">
      <c r="A20" t="s">
        <v>658</v>
      </c>
      <c r="B20">
        <v>418664087552</v>
      </c>
      <c r="C20">
        <v>420338106368</v>
      </c>
      <c r="D20">
        <v>443478804</v>
      </c>
      <c r="E20" t="s">
        <v>4</v>
      </c>
      <c r="F20">
        <v>19.899999999999999</v>
      </c>
      <c r="G20">
        <v>22.658339999999999</v>
      </c>
      <c r="H20">
        <v>47.629147000000003</v>
      </c>
      <c r="I20">
        <v>41.830956</v>
      </c>
      <c r="J20">
        <v>8837999616</v>
      </c>
      <c r="K20">
        <v>293586993152</v>
      </c>
      <c r="L20">
        <v>13790000128</v>
      </c>
      <c r="M20">
        <v>37802000384</v>
      </c>
      <c r="N20">
        <v>3.6730002999999997E-2</v>
      </c>
      <c r="O20">
        <v>3.0099999999999998E-2</v>
      </c>
      <c r="P20">
        <v>10972000000</v>
      </c>
      <c r="Q20">
        <v>10383000000</v>
      </c>
      <c r="R20">
        <v>2426000000</v>
      </c>
      <c r="T20">
        <v>10972000000</v>
      </c>
      <c r="U20">
        <v>0.29152</v>
      </c>
      <c r="V20">
        <v>8.6660004999999998E-2</v>
      </c>
      <c r="W20">
        <v>0.215</v>
      </c>
      <c r="X20">
        <v>0.45500000000000002</v>
      </c>
      <c r="Y20">
        <v>0</v>
      </c>
      <c r="Z20">
        <v>0</v>
      </c>
      <c r="AA20">
        <v>8173000000</v>
      </c>
      <c r="AB20">
        <v>14161000000</v>
      </c>
    </row>
    <row r="21" spans="1:28" x14ac:dyDescent="0.25">
      <c r="A21" t="s">
        <v>659</v>
      </c>
      <c r="B21">
        <v>329961046016</v>
      </c>
      <c r="C21">
        <v>307782549504</v>
      </c>
      <c r="D21">
        <v>2396873615</v>
      </c>
      <c r="E21" t="s">
        <v>4</v>
      </c>
      <c r="F21">
        <v>6.52</v>
      </c>
      <c r="G21">
        <v>9.0700029999999998</v>
      </c>
      <c r="H21">
        <v>19.694786000000001</v>
      </c>
      <c r="I21">
        <v>14.157659000000001</v>
      </c>
      <c r="J21">
        <v>105903996928</v>
      </c>
      <c r="K21">
        <v>1023670026240</v>
      </c>
      <c r="L21">
        <v>110100996096</v>
      </c>
      <c r="M21">
        <v>407534010368</v>
      </c>
      <c r="N21">
        <v>1.01499995E-2</v>
      </c>
      <c r="O21">
        <v>0.1012</v>
      </c>
      <c r="P21">
        <v>139180000000</v>
      </c>
      <c r="Q21">
        <v>59665000000</v>
      </c>
      <c r="R21">
        <v>47118000000</v>
      </c>
      <c r="S21">
        <v>5079000000</v>
      </c>
      <c r="T21">
        <v>139180000000</v>
      </c>
      <c r="U21">
        <v>9.2159993999999995E-2</v>
      </c>
      <c r="V21">
        <v>2.12E-2</v>
      </c>
      <c r="W21">
        <v>2.9000000000000001E-2</v>
      </c>
      <c r="X21">
        <v>1.0409999999999999</v>
      </c>
      <c r="Y21">
        <v>65384000000</v>
      </c>
      <c r="AA21">
        <v>281722000000</v>
      </c>
      <c r="AB21">
        <v>131530000000</v>
      </c>
    </row>
    <row r="22" spans="1:28" x14ac:dyDescent="0.25">
      <c r="A22" t="s">
        <v>660</v>
      </c>
      <c r="B22">
        <v>190247616512</v>
      </c>
      <c r="C22">
        <v>195016638464</v>
      </c>
      <c r="D22">
        <v>1208570347</v>
      </c>
      <c r="E22" t="s">
        <v>4</v>
      </c>
      <c r="F22">
        <v>1.49</v>
      </c>
      <c r="G22">
        <v>2.4338799999999998</v>
      </c>
      <c r="H22">
        <v>101.72484</v>
      </c>
      <c r="I22">
        <v>62.27505</v>
      </c>
      <c r="J22">
        <v>1928000000</v>
      </c>
      <c r="K22">
        <v>13269000192</v>
      </c>
      <c r="L22">
        <v>2395000064</v>
      </c>
      <c r="M22">
        <v>6337999872</v>
      </c>
      <c r="N22">
        <v>0.17555000000000001</v>
      </c>
      <c r="O22">
        <v>0.14530000000000001</v>
      </c>
      <c r="P22">
        <v>1885000000</v>
      </c>
      <c r="Q22">
        <v>1885000000</v>
      </c>
      <c r="R22">
        <v>31000000</v>
      </c>
      <c r="T22">
        <v>1885000000</v>
      </c>
      <c r="U22">
        <v>0.15543000000000001</v>
      </c>
      <c r="V22">
        <v>0.10187</v>
      </c>
      <c r="W22">
        <v>0.33700000000000002</v>
      </c>
      <c r="X22">
        <v>0.68100000000000005</v>
      </c>
      <c r="AA22">
        <v>188000000</v>
      </c>
      <c r="AB22">
        <v>1534000000</v>
      </c>
    </row>
    <row r="23" spans="1:28" x14ac:dyDescent="0.25">
      <c r="A23" t="s">
        <v>661</v>
      </c>
      <c r="B23">
        <v>83730407424</v>
      </c>
      <c r="C23">
        <v>67992408064</v>
      </c>
      <c r="D23">
        <v>454191112</v>
      </c>
      <c r="E23" t="s">
        <v>4</v>
      </c>
      <c r="F23">
        <v>7.57</v>
      </c>
      <c r="G23">
        <v>8.9887899999999998</v>
      </c>
      <c r="H23">
        <v>19.775428999999999</v>
      </c>
      <c r="I23">
        <v>16.654077999999998</v>
      </c>
      <c r="J23">
        <v>3449999872</v>
      </c>
      <c r="K23">
        <v>106377003008</v>
      </c>
      <c r="L23">
        <v>8344000000</v>
      </c>
      <c r="M23">
        <v>29933000704</v>
      </c>
      <c r="N23">
        <v>4.5199999999999997E-2</v>
      </c>
      <c r="O23">
        <v>3.243E-2</v>
      </c>
      <c r="P23">
        <v>5212000000</v>
      </c>
      <c r="Q23">
        <v>5117000000</v>
      </c>
      <c r="R23">
        <v>3134000000</v>
      </c>
      <c r="T23">
        <v>5212000000</v>
      </c>
      <c r="U23">
        <v>0.22015000000000001</v>
      </c>
      <c r="V23">
        <v>5.6750003E-2</v>
      </c>
      <c r="W23">
        <v>6.7000000000000004E-2</v>
      </c>
      <c r="X23">
        <v>-0.247</v>
      </c>
      <c r="AA23">
        <v>20290000000</v>
      </c>
      <c r="AB23">
        <v>5488000000</v>
      </c>
    </row>
    <row r="24" spans="1:28" x14ac:dyDescent="0.25">
      <c r="A24" t="s">
        <v>662</v>
      </c>
      <c r="B24">
        <v>53662101504</v>
      </c>
      <c r="C24">
        <v>49831100416</v>
      </c>
      <c r="D24">
        <v>445000000</v>
      </c>
      <c r="E24" t="s">
        <v>4</v>
      </c>
      <c r="F24">
        <v>4.76</v>
      </c>
      <c r="G24">
        <v>6.7061599999999997</v>
      </c>
      <c r="H24">
        <v>23.525210000000001</v>
      </c>
      <c r="I24">
        <v>16.698080000000001</v>
      </c>
      <c r="J24">
        <v>2193999872</v>
      </c>
      <c r="K24">
        <v>12007999488</v>
      </c>
      <c r="L24">
        <v>3096000000</v>
      </c>
      <c r="M24">
        <v>8652000256</v>
      </c>
      <c r="N24">
        <v>0.2157</v>
      </c>
      <c r="O24">
        <v>0.18570999999999999</v>
      </c>
      <c r="P24">
        <v>2553000000</v>
      </c>
      <c r="Q24">
        <v>2277000000</v>
      </c>
      <c r="R24">
        <v>407000000</v>
      </c>
      <c r="S24">
        <v>24000000</v>
      </c>
      <c r="T24">
        <v>2553000000</v>
      </c>
      <c r="U24">
        <v>0.46611000000000002</v>
      </c>
      <c r="V24">
        <v>9.1450006E-2</v>
      </c>
      <c r="W24">
        <v>0.14799999999999999</v>
      </c>
      <c r="X24">
        <v>0.55000000000000004</v>
      </c>
      <c r="AA24">
        <v>7180000000</v>
      </c>
      <c r="AB24">
        <v>1867000000</v>
      </c>
    </row>
    <row r="25" spans="1:28" x14ac:dyDescent="0.25">
      <c r="A25" t="s">
        <v>294</v>
      </c>
      <c r="B25">
        <v>5379473801216</v>
      </c>
      <c r="C25">
        <v>5424535306240</v>
      </c>
      <c r="D25">
        <v>24221000000</v>
      </c>
      <c r="E25" t="s">
        <v>4</v>
      </c>
      <c r="F25">
        <v>6.54</v>
      </c>
      <c r="G25">
        <v>12.89043</v>
      </c>
      <c r="H25">
        <v>34.244647999999998</v>
      </c>
      <c r="I25">
        <v>17.374130000000001</v>
      </c>
      <c r="J25">
        <v>159612993536</v>
      </c>
      <c r="K25">
        <v>253491003392</v>
      </c>
      <c r="L25">
        <v>165514002432</v>
      </c>
      <c r="M25">
        <v>187952005120</v>
      </c>
      <c r="N25">
        <v>0.65595999999999999</v>
      </c>
      <c r="O25">
        <v>0.62966</v>
      </c>
      <c r="P25">
        <v>141709000000</v>
      </c>
      <c r="Q25">
        <v>130387000000</v>
      </c>
      <c r="R25">
        <v>2843000000</v>
      </c>
      <c r="T25">
        <v>141709000000</v>
      </c>
      <c r="U25">
        <v>1.1428799999999999</v>
      </c>
      <c r="V25">
        <v>0.52727000000000002</v>
      </c>
      <c r="W25">
        <v>0.85199999999999998</v>
      </c>
      <c r="X25">
        <v>2.145</v>
      </c>
      <c r="Z25">
        <v>0</v>
      </c>
      <c r="AA25">
        <v>11040000000</v>
      </c>
      <c r="AB25">
        <v>10605000000</v>
      </c>
    </row>
    <row r="26" spans="1:28" x14ac:dyDescent="0.25">
      <c r="A26" t="s">
        <v>663</v>
      </c>
      <c r="B26">
        <v>780238127104</v>
      </c>
      <c r="C26">
        <v>789073100800</v>
      </c>
      <c r="D26">
        <v>1632475042</v>
      </c>
      <c r="E26" t="s">
        <v>4</v>
      </c>
      <c r="F26">
        <v>3.92</v>
      </c>
      <c r="G26">
        <v>15.45987</v>
      </c>
      <c r="H26">
        <v>123.30611399999999</v>
      </c>
      <c r="I26">
        <v>31.265460999999998</v>
      </c>
      <c r="J26">
        <v>6469000192</v>
      </c>
      <c r="K26">
        <v>41305001984</v>
      </c>
      <c r="L26">
        <v>9562000384</v>
      </c>
      <c r="M26">
        <v>23017000960</v>
      </c>
      <c r="N26">
        <v>0.17249999999999999</v>
      </c>
      <c r="O26">
        <v>0.15576999999999999</v>
      </c>
      <c r="P26">
        <v>4271000000</v>
      </c>
      <c r="Q26">
        <v>3694000000</v>
      </c>
      <c r="R26">
        <v>3004000000</v>
      </c>
      <c r="S26">
        <v>1223000000</v>
      </c>
      <c r="T26">
        <v>4271000000</v>
      </c>
      <c r="U26">
        <v>0.10196</v>
      </c>
      <c r="V26">
        <v>5.1279999999999999E-2</v>
      </c>
      <c r="W26">
        <v>0.501</v>
      </c>
      <c r="X26">
        <v>1.595</v>
      </c>
      <c r="AA26">
        <v>3847000000</v>
      </c>
      <c r="AB26">
        <v>5539000000</v>
      </c>
    </row>
    <row r="27" spans="1:28" x14ac:dyDescent="0.25">
      <c r="A27" t="s">
        <v>664</v>
      </c>
      <c r="B27">
        <v>2080381468672</v>
      </c>
      <c r="C27">
        <v>2035102646272</v>
      </c>
      <c r="D27">
        <v>4757580198</v>
      </c>
      <c r="E27" t="s">
        <v>4</v>
      </c>
      <c r="F27">
        <v>5.99</v>
      </c>
      <c r="G27">
        <v>19.530660000000001</v>
      </c>
      <c r="H27">
        <v>71.412360000000007</v>
      </c>
      <c r="I27">
        <v>21.901973999999999</v>
      </c>
      <c r="J27">
        <v>29316999168</v>
      </c>
      <c r="K27">
        <v>75464998912</v>
      </c>
      <c r="L27">
        <v>42083999744</v>
      </c>
      <c r="M27">
        <v>57568002048</v>
      </c>
      <c r="N27">
        <v>0.48987999999999998</v>
      </c>
      <c r="O27">
        <v>0.38847999999999999</v>
      </c>
      <c r="P27">
        <v>25939000000</v>
      </c>
      <c r="Q27">
        <v>26075000000</v>
      </c>
      <c r="R27">
        <v>8775000000</v>
      </c>
      <c r="S27">
        <v>2031000000</v>
      </c>
      <c r="T27">
        <v>25939000000</v>
      </c>
      <c r="U27">
        <v>0.37280997999999999</v>
      </c>
      <c r="V27">
        <v>0.121190004</v>
      </c>
      <c r="W27">
        <v>0.47899999999999998</v>
      </c>
      <c r="X27">
        <v>0.85399999999999998</v>
      </c>
      <c r="Z27">
        <v>0</v>
      </c>
      <c r="AA27">
        <v>65136000000</v>
      </c>
      <c r="AB27">
        <v>16178000000</v>
      </c>
    </row>
    <row r="28" spans="1:28" x14ac:dyDescent="0.25">
      <c r="A28" t="s">
        <v>665</v>
      </c>
      <c r="B28">
        <v>14934351020032</v>
      </c>
      <c r="C28">
        <v>2178526609408</v>
      </c>
      <c r="D28">
        <v>5186474013</v>
      </c>
      <c r="E28" t="s">
        <v>4</v>
      </c>
      <c r="F28">
        <v>11.38</v>
      </c>
      <c r="G28">
        <v>21.608090000000001</v>
      </c>
      <c r="H28">
        <v>36.91037</v>
      </c>
      <c r="I28">
        <v>19.439015999999999</v>
      </c>
      <c r="J28">
        <v>2216808939520</v>
      </c>
      <c r="K28">
        <v>4440492343296</v>
      </c>
      <c r="L28">
        <v>3175220510720</v>
      </c>
      <c r="M28">
        <v>2852135895040</v>
      </c>
      <c r="N28">
        <v>0.60344005000000001</v>
      </c>
      <c r="O28">
        <v>0.49923000000000001</v>
      </c>
      <c r="P28">
        <v>2054025100000</v>
      </c>
      <c r="Q28">
        <v>1936095600000</v>
      </c>
      <c r="R28">
        <v>688096400000</v>
      </c>
      <c r="T28">
        <v>2054025100000</v>
      </c>
      <c r="U28">
        <v>0.39969002999999997</v>
      </c>
      <c r="V28">
        <v>0.19014</v>
      </c>
      <c r="W28">
        <v>0.36</v>
      </c>
      <c r="X28">
        <v>0.77400000000000002</v>
      </c>
      <c r="Y28">
        <v>41180500000</v>
      </c>
      <c r="AA28">
        <v>1064582700000</v>
      </c>
      <c r="AB28">
        <v>2767856400000</v>
      </c>
    </row>
    <row r="29" spans="1:28" x14ac:dyDescent="0.25">
      <c r="A29" t="s">
        <v>666</v>
      </c>
      <c r="B29">
        <v>183258267648</v>
      </c>
      <c r="C29">
        <v>176252993536</v>
      </c>
      <c r="D29">
        <v>1050000000</v>
      </c>
      <c r="E29" t="s">
        <v>4</v>
      </c>
      <c r="F29">
        <v>8.75</v>
      </c>
      <c r="G29">
        <v>10.264889999999999</v>
      </c>
      <c r="H29">
        <v>19.184000000000001</v>
      </c>
      <c r="I29">
        <v>16.352830000000001</v>
      </c>
      <c r="J29">
        <v>9260000256</v>
      </c>
      <c r="K29">
        <v>44068999168</v>
      </c>
      <c r="L29">
        <v>11998999552</v>
      </c>
      <c r="M29">
        <v>23896999936</v>
      </c>
      <c r="N29">
        <v>0.18528</v>
      </c>
      <c r="O29">
        <v>0.21013000000000001</v>
      </c>
      <c r="P29">
        <v>13327000000</v>
      </c>
      <c r="Q29">
        <v>12394000000</v>
      </c>
      <c r="R29">
        <v>1602000000</v>
      </c>
      <c r="T29">
        <v>13327000000</v>
      </c>
      <c r="U29">
        <v>0.33754002999999999</v>
      </c>
      <c r="V29">
        <v>0.11612</v>
      </c>
      <c r="W29">
        <v>-0.04</v>
      </c>
      <c r="X29">
        <v>-0.23</v>
      </c>
      <c r="Z29">
        <v>0</v>
      </c>
      <c r="AA29">
        <v>14811000000</v>
      </c>
      <c r="AB29">
        <v>5520000000</v>
      </c>
    </row>
    <row r="30" spans="1:28" x14ac:dyDescent="0.25">
      <c r="A30" t="s">
        <v>667</v>
      </c>
      <c r="B30">
        <v>971475517440</v>
      </c>
      <c r="C30">
        <v>991121571840</v>
      </c>
      <c r="D30">
        <v>1129393151</v>
      </c>
      <c r="E30" t="s">
        <v>4</v>
      </c>
      <c r="F30">
        <v>44.23</v>
      </c>
      <c r="G30">
        <v>155.06258</v>
      </c>
      <c r="H30">
        <v>19.841059000000001</v>
      </c>
      <c r="I30">
        <v>5.6594569999999997</v>
      </c>
      <c r="J30">
        <v>50468999168</v>
      </c>
      <c r="K30">
        <v>90273996800</v>
      </c>
      <c r="L30">
        <v>68222001152</v>
      </c>
      <c r="M30">
        <v>65510998016</v>
      </c>
      <c r="N30">
        <v>0.80370003000000001</v>
      </c>
      <c r="O30">
        <v>0.55906</v>
      </c>
      <c r="P30">
        <v>10131000000</v>
      </c>
      <c r="Q30">
        <v>9809000000</v>
      </c>
      <c r="R30">
        <v>8352000000</v>
      </c>
      <c r="T30">
        <v>10131000000</v>
      </c>
      <c r="U30">
        <v>0.66637999999999997</v>
      </c>
      <c r="V30">
        <v>0.34870000000000001</v>
      </c>
      <c r="W30">
        <v>3.4569999999999999</v>
      </c>
      <c r="X30">
        <v>13.685</v>
      </c>
      <c r="AA30">
        <v>15278000000</v>
      </c>
      <c r="AB30">
        <v>9642000000</v>
      </c>
    </row>
    <row r="31" spans="1:28" x14ac:dyDescent="0.25">
      <c r="A31" t="s">
        <v>668</v>
      </c>
      <c r="B31">
        <v>549133615104</v>
      </c>
      <c r="C31">
        <v>512722567168</v>
      </c>
      <c r="D31">
        <v>5044000000</v>
      </c>
      <c r="E31" t="s">
        <v>4</v>
      </c>
      <c r="F31">
        <v>-2.09</v>
      </c>
      <c r="G31">
        <v>2.0596100000000002</v>
      </c>
      <c r="I31">
        <v>49.354008</v>
      </c>
      <c r="J31">
        <v>-11288999936</v>
      </c>
      <c r="K31">
        <v>57031999488</v>
      </c>
      <c r="L31">
        <v>16839999488</v>
      </c>
      <c r="M31">
        <v>22169999360</v>
      </c>
      <c r="N31">
        <v>0.12189999</v>
      </c>
      <c r="O31">
        <v>-0.19794</v>
      </c>
      <c r="P31">
        <v>2648000000</v>
      </c>
      <c r="Q31">
        <v>-23000000</v>
      </c>
      <c r="R31">
        <v>11706000000</v>
      </c>
      <c r="T31">
        <v>2648000000</v>
      </c>
      <c r="U31">
        <v>-0.10715</v>
      </c>
      <c r="V31">
        <v>1.4119999500000001E-2</v>
      </c>
      <c r="W31">
        <v>0.254</v>
      </c>
      <c r="Y31">
        <v>12079000000</v>
      </c>
      <c r="Z31">
        <v>0</v>
      </c>
      <c r="AA31">
        <v>46585000000</v>
      </c>
      <c r="AB31">
        <v>14265000000</v>
      </c>
    </row>
    <row r="32" spans="1:28" x14ac:dyDescent="0.25">
      <c r="A32" t="s">
        <v>669</v>
      </c>
      <c r="B32">
        <v>298381770752</v>
      </c>
      <c r="C32">
        <v>301784367104</v>
      </c>
      <c r="D32">
        <v>1067998569</v>
      </c>
      <c r="E32" t="s">
        <v>4</v>
      </c>
      <c r="F32">
        <v>0.99</v>
      </c>
      <c r="G32">
        <v>3.0692599999999999</v>
      </c>
      <c r="H32">
        <v>285.42426</v>
      </c>
      <c r="I32">
        <v>92.064544999999995</v>
      </c>
      <c r="J32">
        <v>1044000000</v>
      </c>
      <c r="K32">
        <v>5155999744</v>
      </c>
      <c r="L32">
        <v>1063699968</v>
      </c>
      <c r="M32">
        <v>5029000192</v>
      </c>
      <c r="N32">
        <v>7.603E-2</v>
      </c>
      <c r="O32">
        <v>0.20247999</v>
      </c>
      <c r="P32">
        <v>908000000</v>
      </c>
      <c r="Q32">
        <v>908000000</v>
      </c>
      <c r="R32">
        <v>249000000</v>
      </c>
      <c r="T32">
        <v>908000000</v>
      </c>
      <c r="U32">
        <v>0.13352998999999999</v>
      </c>
      <c r="V32">
        <v>5.4149999999999997E-2</v>
      </c>
      <c r="W32">
        <v>0.224</v>
      </c>
      <c r="X32">
        <v>1.083</v>
      </c>
      <c r="AA32">
        <v>457000000</v>
      </c>
      <c r="AB32">
        <v>2751000000</v>
      </c>
    </row>
    <row r="33" spans="1:28" x14ac:dyDescent="0.25">
      <c r="A33" t="s">
        <v>670</v>
      </c>
      <c r="B33">
        <v>28345026560</v>
      </c>
      <c r="C33">
        <v>31110514688</v>
      </c>
      <c r="D33">
        <v>146103200</v>
      </c>
      <c r="E33" t="s">
        <v>4</v>
      </c>
      <c r="F33">
        <v>4.3</v>
      </c>
      <c r="G33">
        <v>9.6298399999999997</v>
      </c>
      <c r="H33">
        <v>37.604649999999999</v>
      </c>
      <c r="I33">
        <v>16.791554999999999</v>
      </c>
      <c r="J33">
        <v>871094976</v>
      </c>
      <c r="K33">
        <v>2778833920</v>
      </c>
      <c r="L33">
        <v>801516992</v>
      </c>
      <c r="M33">
        <v>2541031936</v>
      </c>
      <c r="N33">
        <v>0.28788000000000002</v>
      </c>
      <c r="O33">
        <v>0.31347999999999998</v>
      </c>
      <c r="P33">
        <v>441984000</v>
      </c>
      <c r="Q33">
        <v>441984000</v>
      </c>
      <c r="R33">
        <v>15948000</v>
      </c>
      <c r="T33">
        <v>441984000</v>
      </c>
      <c r="U33">
        <v>0.30712</v>
      </c>
      <c r="V33">
        <v>0.15653</v>
      </c>
      <c r="W33">
        <v>0.61099999999999999</v>
      </c>
      <c r="X33">
        <v>1.778</v>
      </c>
      <c r="Z33">
        <v>0</v>
      </c>
      <c r="AA33">
        <v>23214000</v>
      </c>
      <c r="AB33">
        <v>953569000</v>
      </c>
    </row>
    <row r="34" spans="1:28" x14ac:dyDescent="0.25">
      <c r="A34" t="s">
        <v>293</v>
      </c>
      <c r="B34">
        <v>1270959308800</v>
      </c>
      <c r="C34">
        <v>1297742299136</v>
      </c>
      <c r="D34">
        <v>3949547394</v>
      </c>
      <c r="E34" t="s">
        <v>4</v>
      </c>
      <c r="F34">
        <v>1.08</v>
      </c>
      <c r="G34">
        <v>2.21923</v>
      </c>
      <c r="H34">
        <v>304.24072000000001</v>
      </c>
      <c r="I34">
        <v>148.06036</v>
      </c>
      <c r="J34">
        <v>3806000128</v>
      </c>
      <c r="K34">
        <v>103619002368</v>
      </c>
      <c r="L34">
        <v>10755000320</v>
      </c>
      <c r="M34">
        <v>19534000128</v>
      </c>
      <c r="N34">
        <v>1.4099999E-2</v>
      </c>
      <c r="O34">
        <v>3.671E-2</v>
      </c>
      <c r="P34">
        <v>5616000000</v>
      </c>
      <c r="Q34">
        <v>4849000000</v>
      </c>
      <c r="R34">
        <v>6148000000</v>
      </c>
      <c r="T34">
        <v>5616000000</v>
      </c>
      <c r="U34">
        <v>4.6669996999999998E-2</v>
      </c>
      <c r="V34">
        <v>1.9299999000000002E-2</v>
      </c>
      <c r="W34">
        <v>0.255</v>
      </c>
      <c r="X34">
        <v>-0.03</v>
      </c>
      <c r="Y34">
        <v>728000000</v>
      </c>
      <c r="Z34">
        <v>0</v>
      </c>
      <c r="AA34">
        <v>14719000000</v>
      </c>
      <c r="AB34">
        <v>16513000000</v>
      </c>
    </row>
    <row r="35" spans="1:28" x14ac:dyDescent="0.25">
      <c r="A35" t="s">
        <v>671</v>
      </c>
      <c r="B35">
        <v>182541205504</v>
      </c>
      <c r="C35">
        <v>79211864064</v>
      </c>
      <c r="D35">
        <v>904451541</v>
      </c>
      <c r="E35" t="s">
        <v>4</v>
      </c>
      <c r="F35">
        <v>2.2400000000000002</v>
      </c>
      <c r="G35">
        <v>14.70702</v>
      </c>
      <c r="H35">
        <v>39.098213000000001</v>
      </c>
      <c r="I35">
        <v>5.9549794</v>
      </c>
      <c r="J35">
        <v>1856999936</v>
      </c>
      <c r="K35">
        <v>185527992320</v>
      </c>
      <c r="L35">
        <v>16462000128</v>
      </c>
      <c r="M35">
        <v>18882000896</v>
      </c>
      <c r="N35">
        <v>3.202E-2</v>
      </c>
      <c r="O35">
        <v>1.051E-2</v>
      </c>
      <c r="P35">
        <v>3844000000</v>
      </c>
      <c r="Q35">
        <v>2909000000</v>
      </c>
      <c r="R35">
        <v>14588000000</v>
      </c>
      <c r="T35">
        <v>3844000000</v>
      </c>
      <c r="U35">
        <v>3.1640000000000001E-2</v>
      </c>
      <c r="V35">
        <v>2.247E-2</v>
      </c>
      <c r="W35">
        <v>1.9E-2</v>
      </c>
      <c r="X35">
        <v>-0.26200000000000001</v>
      </c>
      <c r="Y35">
        <v>2049000000</v>
      </c>
      <c r="AA35">
        <v>131312000000</v>
      </c>
      <c r="AB35">
        <v>20945000000</v>
      </c>
    </row>
    <row r="36" spans="1:28" x14ac:dyDescent="0.25">
      <c r="A36" t="s">
        <v>672</v>
      </c>
      <c r="B36">
        <v>196958584832</v>
      </c>
      <c r="C36">
        <v>55746588672</v>
      </c>
      <c r="D36">
        <v>3916743591</v>
      </c>
      <c r="E36" t="s">
        <v>4</v>
      </c>
      <c r="F36">
        <v>-1.87</v>
      </c>
      <c r="G36">
        <v>1.90421</v>
      </c>
      <c r="I36">
        <v>7.3416269999999999</v>
      </c>
      <c r="J36">
        <v>-7395999744</v>
      </c>
      <c r="K36">
        <v>187972993024</v>
      </c>
      <c r="L36">
        <v>7642999808</v>
      </c>
      <c r="M36">
        <v>13374999552</v>
      </c>
      <c r="N36">
        <v>1.8819999E-2</v>
      </c>
      <c r="O36">
        <v>-3.9350000000000003E-2</v>
      </c>
      <c r="P36">
        <v>-10497000000</v>
      </c>
      <c r="Q36">
        <v>-9169000000</v>
      </c>
      <c r="R36">
        <v>14135000000</v>
      </c>
      <c r="T36">
        <v>-10497000000</v>
      </c>
      <c r="U36">
        <v>-0.18251999999999999</v>
      </c>
      <c r="V36">
        <v>3.48E-3</v>
      </c>
      <c r="W36">
        <v>-3.7999999999999999E-2</v>
      </c>
      <c r="Y36">
        <v>28000000</v>
      </c>
      <c r="AA36">
        <v>165738000000</v>
      </c>
      <c r="AB36">
        <v>23356000000</v>
      </c>
    </row>
    <row r="37" spans="1:28" x14ac:dyDescent="0.25">
      <c r="A37" t="s">
        <v>673</v>
      </c>
      <c r="B37">
        <v>23229769728</v>
      </c>
      <c r="C37">
        <v>23165769728</v>
      </c>
      <c r="D37">
        <v>1443948130</v>
      </c>
      <c r="E37" t="s">
        <v>4</v>
      </c>
      <c r="F37">
        <v>-2.59</v>
      </c>
      <c r="G37">
        <v>-1.78668</v>
      </c>
      <c r="I37">
        <v>-8.9551569999999998</v>
      </c>
      <c r="J37">
        <v>-3232999936</v>
      </c>
      <c r="K37">
        <v>5882999808</v>
      </c>
      <c r="L37">
        <v>-2713999872</v>
      </c>
      <c r="M37">
        <v>442000000</v>
      </c>
      <c r="N37">
        <v>-0.50422</v>
      </c>
      <c r="O37">
        <v>-0.54954999999999998</v>
      </c>
      <c r="P37">
        <v>-3346000000</v>
      </c>
      <c r="Q37">
        <v>-3585000000</v>
      </c>
      <c r="R37">
        <v>784000000</v>
      </c>
      <c r="T37">
        <v>-3346000000</v>
      </c>
      <c r="U37">
        <v>-0.57523000000000002</v>
      </c>
      <c r="V37">
        <v>-0.14368</v>
      </c>
      <c r="W37">
        <v>0.27200000000000002</v>
      </c>
      <c r="Y37">
        <v>28000000</v>
      </c>
      <c r="Z37">
        <v>0</v>
      </c>
      <c r="AA37">
        <v>6651000000</v>
      </c>
      <c r="AB37">
        <v>3579000000</v>
      </c>
    </row>
    <row r="38" spans="1:28" x14ac:dyDescent="0.25">
      <c r="A38" t="s">
        <v>674</v>
      </c>
      <c r="B38">
        <v>8575864832</v>
      </c>
      <c r="C38">
        <v>2747407872</v>
      </c>
      <c r="D38">
        <v>390256808</v>
      </c>
      <c r="E38" t="s">
        <v>4</v>
      </c>
      <c r="F38">
        <v>-13.72</v>
      </c>
      <c r="G38">
        <v>-5.09</v>
      </c>
      <c r="I38">
        <v>-1.3831040999999999</v>
      </c>
      <c r="J38">
        <v>-4604930048</v>
      </c>
      <c r="K38">
        <v>1547122048</v>
      </c>
      <c r="L38">
        <v>-3525987072</v>
      </c>
      <c r="M38">
        <v>-1493953024</v>
      </c>
      <c r="N38">
        <v>-2.5866600000000002</v>
      </c>
      <c r="O38">
        <v>-2.49214</v>
      </c>
      <c r="P38">
        <v>-2605283000</v>
      </c>
      <c r="Q38">
        <v>-3501753000</v>
      </c>
      <c r="R38">
        <v>451243000</v>
      </c>
      <c r="T38">
        <v>-2605283000</v>
      </c>
      <c r="U38">
        <v>-1.2599199999999999</v>
      </c>
      <c r="V38">
        <v>-0.30230000000000001</v>
      </c>
      <c r="W38">
        <v>0.56200000000000006</v>
      </c>
      <c r="Z38">
        <v>0</v>
      </c>
      <c r="AA38">
        <v>3196708000</v>
      </c>
      <c r="AB38">
        <v>997827000</v>
      </c>
    </row>
    <row r="39" spans="1:28" x14ac:dyDescent="0.25">
      <c r="A39" t="s">
        <v>675</v>
      </c>
      <c r="B39">
        <v>36618194944</v>
      </c>
      <c r="C39">
        <v>20795627520</v>
      </c>
      <c r="D39">
        <v>2900941252</v>
      </c>
      <c r="E39" t="s">
        <v>4</v>
      </c>
      <c r="F39">
        <v>-7.82</v>
      </c>
      <c r="G39">
        <v>1.3402499999999999</v>
      </c>
      <c r="I39">
        <v>4.1186347000000003</v>
      </c>
      <c r="J39">
        <v>-19471998976</v>
      </c>
      <c r="K39">
        <v>160860995584</v>
      </c>
      <c r="L39">
        <v>187000000</v>
      </c>
      <c r="M39">
        <v>11043000320</v>
      </c>
      <c r="N39">
        <v>2.2380000000000001E-2</v>
      </c>
      <c r="O39">
        <v>-0.12104999</v>
      </c>
      <c r="P39">
        <v>-25129000000</v>
      </c>
      <c r="Q39">
        <v>-22231000000</v>
      </c>
      <c r="R39">
        <v>6981000000</v>
      </c>
      <c r="T39">
        <v>-25129000000</v>
      </c>
      <c r="U39">
        <v>-0.28693999999999997</v>
      </c>
      <c r="V39">
        <v>-1.1299999999999999E-2</v>
      </c>
      <c r="W39">
        <v>0.13100000000000001</v>
      </c>
      <c r="Y39">
        <v>450000000</v>
      </c>
      <c r="AA39">
        <v>45947000000</v>
      </c>
      <c r="AB39">
        <v>30146000000</v>
      </c>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95B01B-E0A7-434D-ACB5-D26ECD0CE896}">
  <sheetPr>
    <tabColor rgb="FFB8CCE4"/>
  </sheetPr>
  <dimension ref="A1:F39"/>
  <sheetViews>
    <sheetView workbookViewId="0">
      <selection activeCell="K17" sqref="K17"/>
    </sheetView>
  </sheetViews>
  <sheetFormatPr defaultRowHeight="15" x14ac:dyDescent="0.25"/>
  <cols>
    <col min="4" max="6" width="12" bestFit="1" customWidth="1"/>
  </cols>
  <sheetData>
    <row r="1" spans="1:6" x14ac:dyDescent="0.25">
      <c r="A1" t="s">
        <v>621</v>
      </c>
      <c r="B1" t="s">
        <v>676</v>
      </c>
      <c r="C1" t="s">
        <v>625</v>
      </c>
      <c r="D1" t="s">
        <v>677</v>
      </c>
      <c r="E1" t="s">
        <v>678</v>
      </c>
      <c r="F1" t="s">
        <v>679</v>
      </c>
    </row>
    <row r="2" spans="1:6" x14ac:dyDescent="0.25">
      <c r="A2" t="s">
        <v>296</v>
      </c>
      <c r="B2" t="s">
        <v>680</v>
      </c>
      <c r="C2" t="s">
        <v>4</v>
      </c>
      <c r="D2">
        <v>4519525613568</v>
      </c>
      <c r="E2">
        <v>84343996416</v>
      </c>
      <c r="F2">
        <v>62399000576</v>
      </c>
    </row>
    <row r="3" spans="1:6" x14ac:dyDescent="0.25">
      <c r="A3" t="s">
        <v>650</v>
      </c>
      <c r="B3" t="s">
        <v>681</v>
      </c>
      <c r="C3" t="s">
        <v>4</v>
      </c>
      <c r="D3">
        <v>102368174080</v>
      </c>
      <c r="E3">
        <v>7077000192</v>
      </c>
      <c r="F3">
        <v>5625999872</v>
      </c>
    </row>
    <row r="4" spans="1:6" x14ac:dyDescent="0.25">
      <c r="A4" t="s">
        <v>663</v>
      </c>
      <c r="B4" t="s">
        <v>682</v>
      </c>
      <c r="C4" t="s">
        <v>4</v>
      </c>
      <c r="D4">
        <v>794396000256</v>
      </c>
      <c r="E4">
        <v>3871000064</v>
      </c>
      <c r="F4">
        <v>12346999808</v>
      </c>
    </row>
    <row r="5" spans="1:6" x14ac:dyDescent="0.25">
      <c r="A5" t="s">
        <v>291</v>
      </c>
      <c r="B5" t="s">
        <v>683</v>
      </c>
      <c r="C5" t="s">
        <v>4</v>
      </c>
      <c r="D5">
        <v>2931396182016</v>
      </c>
      <c r="E5">
        <v>251635007488</v>
      </c>
      <c r="F5">
        <v>122988003328</v>
      </c>
    </row>
    <row r="6" spans="1:6" x14ac:dyDescent="0.25">
      <c r="A6" t="s">
        <v>669</v>
      </c>
      <c r="B6" t="s">
        <v>684</v>
      </c>
      <c r="C6" t="s">
        <v>4</v>
      </c>
      <c r="D6">
        <v>296198733824</v>
      </c>
      <c r="E6">
        <v>485000000</v>
      </c>
      <c r="F6">
        <v>3888000000</v>
      </c>
    </row>
    <row r="7" spans="1:6" x14ac:dyDescent="0.25">
      <c r="A7" t="s">
        <v>664</v>
      </c>
      <c r="B7" t="s">
        <v>685</v>
      </c>
      <c r="C7" t="s">
        <v>4</v>
      </c>
      <c r="D7">
        <v>1999278047232</v>
      </c>
      <c r="E7">
        <v>64907001856</v>
      </c>
      <c r="F7">
        <v>19627999232</v>
      </c>
    </row>
    <row r="8" spans="1:6" x14ac:dyDescent="0.25">
      <c r="A8" t="s">
        <v>659</v>
      </c>
      <c r="B8" t="s">
        <v>686</v>
      </c>
      <c r="C8" t="s">
        <v>4</v>
      </c>
      <c r="D8">
        <v>307878232064</v>
      </c>
      <c r="E8">
        <v>281721995264</v>
      </c>
      <c r="F8">
        <v>316819996672</v>
      </c>
    </row>
    <row r="9" spans="1:6" x14ac:dyDescent="0.25">
      <c r="A9" t="s">
        <v>658</v>
      </c>
      <c r="B9" t="s">
        <v>687</v>
      </c>
      <c r="C9" t="s">
        <v>4</v>
      </c>
      <c r="D9">
        <v>417592967168</v>
      </c>
      <c r="E9">
        <v>10227999744</v>
      </c>
      <c r="F9">
        <v>11125999616</v>
      </c>
    </row>
    <row r="10" spans="1:6" x14ac:dyDescent="0.25">
      <c r="A10" t="s">
        <v>649</v>
      </c>
      <c r="B10" t="s">
        <v>688</v>
      </c>
      <c r="C10" t="s">
        <v>4</v>
      </c>
      <c r="D10">
        <v>157465034752</v>
      </c>
      <c r="E10">
        <v>42547998720</v>
      </c>
      <c r="F10">
        <v>11836999680</v>
      </c>
    </row>
    <row r="11" spans="1:6" x14ac:dyDescent="0.25">
      <c r="A11" t="s">
        <v>645</v>
      </c>
      <c r="B11" t="s">
        <v>689</v>
      </c>
      <c r="C11" t="s">
        <v>4</v>
      </c>
      <c r="D11">
        <v>308384366592</v>
      </c>
      <c r="E11">
        <v>31924000768</v>
      </c>
      <c r="F11">
        <v>11580999680</v>
      </c>
    </row>
    <row r="12" spans="1:6" x14ac:dyDescent="0.25">
      <c r="A12" t="s">
        <v>662</v>
      </c>
      <c r="B12" t="s">
        <v>690</v>
      </c>
      <c r="C12" t="s">
        <v>4</v>
      </c>
      <c r="D12">
        <v>47308201984</v>
      </c>
      <c r="E12">
        <v>7206000128</v>
      </c>
      <c r="F12">
        <v>3860000000</v>
      </c>
    </row>
    <row r="13" spans="1:6" x14ac:dyDescent="0.25">
      <c r="A13" t="s">
        <v>672</v>
      </c>
      <c r="B13" t="s">
        <v>691</v>
      </c>
      <c r="C13" t="s">
        <v>4</v>
      </c>
      <c r="D13">
        <v>56743886848</v>
      </c>
      <c r="E13">
        <v>163296002048</v>
      </c>
      <c r="F13">
        <v>22119999488</v>
      </c>
    </row>
    <row r="14" spans="1:6" x14ac:dyDescent="0.25">
      <c r="A14" t="s">
        <v>671</v>
      </c>
      <c r="B14" t="s">
        <v>692</v>
      </c>
      <c r="C14" t="s">
        <v>4</v>
      </c>
      <c r="D14">
        <v>80626966528</v>
      </c>
      <c r="E14">
        <v>128771997696</v>
      </c>
      <c r="F14">
        <v>24718999552</v>
      </c>
    </row>
    <row r="15" spans="1:6" x14ac:dyDescent="0.25">
      <c r="A15" t="s">
        <v>308</v>
      </c>
      <c r="B15" t="s">
        <v>693</v>
      </c>
      <c r="C15" t="s">
        <v>4</v>
      </c>
      <c r="D15">
        <v>4436653506560</v>
      </c>
      <c r="E15">
        <v>120790999040</v>
      </c>
      <c r="F15">
        <v>242473992192</v>
      </c>
    </row>
    <row r="16" spans="1:6" x14ac:dyDescent="0.25">
      <c r="A16" t="s">
        <v>646</v>
      </c>
      <c r="B16" t="s">
        <v>694</v>
      </c>
      <c r="C16" t="s">
        <v>4</v>
      </c>
      <c r="D16">
        <v>26397698048</v>
      </c>
      <c r="E16">
        <v>10864000000</v>
      </c>
      <c r="F16">
        <v>3703000064</v>
      </c>
    </row>
    <row r="17" spans="1:6" x14ac:dyDescent="0.25">
      <c r="A17" t="s">
        <v>653</v>
      </c>
      <c r="B17" t="s">
        <v>695</v>
      </c>
      <c r="C17" t="s">
        <v>4</v>
      </c>
      <c r="D17">
        <v>224491782144</v>
      </c>
      <c r="E17">
        <v>65272000512</v>
      </c>
      <c r="F17">
        <v>8131999744</v>
      </c>
    </row>
    <row r="18" spans="1:6" x14ac:dyDescent="0.25">
      <c r="A18" t="s">
        <v>668</v>
      </c>
      <c r="B18" t="s">
        <v>696</v>
      </c>
      <c r="C18" t="s">
        <v>4</v>
      </c>
      <c r="D18">
        <v>513756626944</v>
      </c>
      <c r="E18">
        <v>50537000960</v>
      </c>
      <c r="F18">
        <v>29727000576</v>
      </c>
    </row>
    <row r="19" spans="1:6" x14ac:dyDescent="0.25">
      <c r="A19" t="s">
        <v>674</v>
      </c>
      <c r="B19" t="s">
        <v>697</v>
      </c>
      <c r="C19" t="s">
        <v>4</v>
      </c>
      <c r="D19">
        <v>2583500032</v>
      </c>
      <c r="E19">
        <v>3168143104</v>
      </c>
      <c r="F19">
        <v>700355968</v>
      </c>
    </row>
    <row r="20" spans="1:6" x14ac:dyDescent="0.25">
      <c r="A20" t="s">
        <v>292</v>
      </c>
      <c r="B20" t="s">
        <v>698</v>
      </c>
      <c r="C20" t="s">
        <v>4</v>
      </c>
      <c r="D20">
        <v>1487590785024</v>
      </c>
      <c r="E20">
        <v>112317997056</v>
      </c>
      <c r="F20">
        <v>90259996672</v>
      </c>
    </row>
    <row r="21" spans="1:6" x14ac:dyDescent="0.25">
      <c r="A21" t="s">
        <v>295</v>
      </c>
      <c r="B21" t="s">
        <v>699</v>
      </c>
      <c r="C21" t="s">
        <v>4</v>
      </c>
      <c r="D21">
        <v>3623814692864</v>
      </c>
      <c r="E21">
        <v>128812998656</v>
      </c>
      <c r="F21">
        <v>76651003904</v>
      </c>
    </row>
    <row r="22" spans="1:6" x14ac:dyDescent="0.25">
      <c r="A22" t="s">
        <v>667</v>
      </c>
      <c r="B22" t="s">
        <v>700</v>
      </c>
      <c r="C22" t="s">
        <v>4</v>
      </c>
      <c r="D22">
        <v>1040317939712</v>
      </c>
      <c r="E22">
        <v>6376000000</v>
      </c>
      <c r="F22">
        <v>26022000640</v>
      </c>
    </row>
    <row r="23" spans="1:6" x14ac:dyDescent="0.25">
      <c r="A23" t="s">
        <v>651</v>
      </c>
      <c r="B23" t="s">
        <v>701</v>
      </c>
      <c r="C23" t="s">
        <v>4</v>
      </c>
      <c r="D23">
        <v>120806776832</v>
      </c>
      <c r="E23">
        <v>8453000192</v>
      </c>
      <c r="F23">
        <v>4664000000</v>
      </c>
    </row>
    <row r="24" spans="1:6" x14ac:dyDescent="0.25">
      <c r="A24" t="s">
        <v>294</v>
      </c>
      <c r="B24" t="s">
        <v>702</v>
      </c>
      <c r="C24" t="s">
        <v>4</v>
      </c>
      <c r="D24">
        <v>5361320853504</v>
      </c>
      <c r="E24">
        <v>12814000128</v>
      </c>
      <c r="F24">
        <v>53171998720</v>
      </c>
    </row>
    <row r="25" spans="1:6" x14ac:dyDescent="0.25">
      <c r="A25" t="s">
        <v>648</v>
      </c>
      <c r="B25" t="s">
        <v>703</v>
      </c>
      <c r="C25" t="s">
        <v>4</v>
      </c>
      <c r="D25">
        <v>415796002816</v>
      </c>
      <c r="E25">
        <v>167431995392</v>
      </c>
      <c r="F25">
        <v>31893999616</v>
      </c>
    </row>
    <row r="26" spans="1:6" x14ac:dyDescent="0.25">
      <c r="A26" t="s">
        <v>655</v>
      </c>
      <c r="B26" t="s">
        <v>704</v>
      </c>
      <c r="C26" t="s">
        <v>4</v>
      </c>
      <c r="D26">
        <v>13110481920</v>
      </c>
      <c r="E26">
        <v>1205030016</v>
      </c>
      <c r="F26">
        <v>1298563968</v>
      </c>
    </row>
    <row r="27" spans="1:6" x14ac:dyDescent="0.25">
      <c r="A27" t="s">
        <v>666</v>
      </c>
      <c r="B27" t="s">
        <v>705</v>
      </c>
      <c r="C27" t="s">
        <v>4</v>
      </c>
      <c r="D27">
        <v>165878988800</v>
      </c>
      <c r="E27">
        <v>15269999616</v>
      </c>
      <c r="F27">
        <v>8304000000</v>
      </c>
    </row>
    <row r="28" spans="1:6" x14ac:dyDescent="0.25">
      <c r="A28" t="s">
        <v>670</v>
      </c>
      <c r="B28" t="s">
        <v>706</v>
      </c>
      <c r="C28" t="s">
        <v>4</v>
      </c>
      <c r="D28">
        <v>29864749056</v>
      </c>
      <c r="E28">
        <v>20867000</v>
      </c>
      <c r="F28">
        <v>2786356992</v>
      </c>
    </row>
    <row r="29" spans="1:6" x14ac:dyDescent="0.25">
      <c r="A29" t="s">
        <v>673</v>
      </c>
      <c r="B29" t="s">
        <v>707</v>
      </c>
      <c r="C29" t="s">
        <v>4</v>
      </c>
      <c r="D29">
        <v>22449078272</v>
      </c>
      <c r="E29">
        <v>5352999936</v>
      </c>
      <c r="F29">
        <v>5310000128</v>
      </c>
    </row>
    <row r="30" spans="1:6" x14ac:dyDescent="0.25">
      <c r="A30" t="s">
        <v>652</v>
      </c>
      <c r="B30" t="s">
        <v>708</v>
      </c>
      <c r="C30" t="s">
        <v>4</v>
      </c>
      <c r="D30">
        <v>226252881920</v>
      </c>
      <c r="E30">
        <v>9939000320</v>
      </c>
      <c r="F30">
        <v>11624999936</v>
      </c>
    </row>
    <row r="31" spans="1:6" x14ac:dyDescent="0.25">
      <c r="A31" t="s">
        <v>660</v>
      </c>
      <c r="B31" t="s">
        <v>709</v>
      </c>
      <c r="C31" t="s">
        <v>4</v>
      </c>
      <c r="D31">
        <v>189600317440</v>
      </c>
      <c r="E31">
        <v>179000000</v>
      </c>
      <c r="F31">
        <v>5743000064</v>
      </c>
    </row>
    <row r="32" spans="1:6" x14ac:dyDescent="0.25">
      <c r="A32" t="s">
        <v>656</v>
      </c>
      <c r="B32" t="s">
        <v>710</v>
      </c>
      <c r="C32" t="s">
        <v>4</v>
      </c>
      <c r="D32">
        <v>8914809856</v>
      </c>
      <c r="E32">
        <v>4225746944</v>
      </c>
      <c r="F32">
        <v>2659758080</v>
      </c>
    </row>
    <row r="33" spans="1:6" x14ac:dyDescent="0.25">
      <c r="A33" t="s">
        <v>647</v>
      </c>
      <c r="B33" t="s">
        <v>711</v>
      </c>
      <c r="C33" t="s">
        <v>4</v>
      </c>
      <c r="D33">
        <v>132189118464</v>
      </c>
      <c r="E33">
        <v>1870597980160</v>
      </c>
      <c r="F33">
        <v>2170018988032</v>
      </c>
    </row>
    <row r="34" spans="1:6" x14ac:dyDescent="0.25">
      <c r="A34" t="s">
        <v>675</v>
      </c>
      <c r="B34" t="s">
        <v>712</v>
      </c>
      <c r="C34" t="s">
        <v>4</v>
      </c>
      <c r="D34">
        <v>21322678272</v>
      </c>
      <c r="E34">
        <v>52097998848</v>
      </c>
      <c r="F34">
        <v>31950999552</v>
      </c>
    </row>
    <row r="35" spans="1:6" x14ac:dyDescent="0.25">
      <c r="A35" t="s">
        <v>661</v>
      </c>
      <c r="B35" t="s">
        <v>713</v>
      </c>
      <c r="C35" t="s">
        <v>4</v>
      </c>
      <c r="D35">
        <v>67034062848</v>
      </c>
      <c r="E35">
        <v>19271999488</v>
      </c>
      <c r="F35">
        <v>3534000128</v>
      </c>
    </row>
    <row r="36" spans="1:6" x14ac:dyDescent="0.25">
      <c r="A36" t="s">
        <v>293</v>
      </c>
      <c r="B36" t="s">
        <v>714</v>
      </c>
      <c r="C36" t="s">
        <v>4</v>
      </c>
      <c r="D36">
        <v>1276967780352</v>
      </c>
      <c r="E36">
        <v>16080000000</v>
      </c>
      <c r="F36">
        <v>43524001792</v>
      </c>
    </row>
    <row r="37" spans="1:6" x14ac:dyDescent="0.25">
      <c r="A37" t="s">
        <v>665</v>
      </c>
      <c r="B37" t="s">
        <v>715</v>
      </c>
      <c r="C37" t="s">
        <v>4</v>
      </c>
      <c r="D37">
        <v>2154367811584</v>
      </c>
      <c r="E37">
        <v>982447030272</v>
      </c>
      <c r="F37">
        <v>3518013112320</v>
      </c>
    </row>
    <row r="38" spans="1:6" x14ac:dyDescent="0.25">
      <c r="A38" t="s">
        <v>654</v>
      </c>
      <c r="B38" t="s">
        <v>716</v>
      </c>
      <c r="C38" t="s">
        <v>4</v>
      </c>
      <c r="D38">
        <v>8866243584</v>
      </c>
      <c r="E38">
        <v>423575008</v>
      </c>
      <c r="F38">
        <v>1405915008</v>
      </c>
    </row>
    <row r="39" spans="1:6" x14ac:dyDescent="0.25">
      <c r="A39" t="s">
        <v>657</v>
      </c>
      <c r="B39" t="s">
        <v>717</v>
      </c>
      <c r="C39" t="s">
        <v>4</v>
      </c>
      <c r="D39">
        <v>891185463296</v>
      </c>
      <c r="E39">
        <v>75545001984</v>
      </c>
      <c r="F39">
        <v>10728999936</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F0D984-7756-4C80-9137-B1AEE34E7B7C}">
  <sheetPr>
    <tabColor rgb="FFB8CCE4"/>
  </sheetPr>
  <dimension ref="A1:AN62"/>
  <sheetViews>
    <sheetView workbookViewId="0"/>
  </sheetViews>
  <sheetFormatPr defaultRowHeight="15" x14ac:dyDescent="0.25"/>
  <sheetData>
    <row r="1" spans="1:40" x14ac:dyDescent="0.25">
      <c r="A1" t="s">
        <v>34</v>
      </c>
      <c r="B1" t="s">
        <v>296</v>
      </c>
      <c r="C1" t="s">
        <v>650</v>
      </c>
      <c r="D1" t="s">
        <v>663</v>
      </c>
      <c r="E1" t="s">
        <v>291</v>
      </c>
      <c r="F1" t="s">
        <v>669</v>
      </c>
      <c r="G1" t="s">
        <v>664</v>
      </c>
      <c r="H1" t="s">
        <v>659</v>
      </c>
      <c r="I1" t="s">
        <v>658</v>
      </c>
      <c r="J1" t="s">
        <v>649</v>
      </c>
      <c r="K1" t="s">
        <v>645</v>
      </c>
      <c r="L1" t="s">
        <v>662</v>
      </c>
      <c r="M1" t="s">
        <v>672</v>
      </c>
      <c r="N1" t="s">
        <v>671</v>
      </c>
      <c r="O1" t="s">
        <v>308</v>
      </c>
      <c r="P1" t="s">
        <v>646</v>
      </c>
      <c r="Q1" t="s">
        <v>653</v>
      </c>
      <c r="R1" t="s">
        <v>668</v>
      </c>
      <c r="S1" t="s">
        <v>674</v>
      </c>
      <c r="T1" t="s">
        <v>292</v>
      </c>
      <c r="U1" t="s">
        <v>295</v>
      </c>
      <c r="V1" t="s">
        <v>667</v>
      </c>
      <c r="W1" t="s">
        <v>651</v>
      </c>
      <c r="X1" t="s">
        <v>294</v>
      </c>
      <c r="Y1" t="s">
        <v>648</v>
      </c>
      <c r="Z1" t="s">
        <v>655</v>
      </c>
      <c r="AA1" t="s">
        <v>666</v>
      </c>
      <c r="AB1" t="s">
        <v>670</v>
      </c>
      <c r="AC1" t="s">
        <v>673</v>
      </c>
      <c r="AD1" t="s">
        <v>652</v>
      </c>
      <c r="AE1" t="s">
        <v>660</v>
      </c>
      <c r="AF1" t="s">
        <v>656</v>
      </c>
      <c r="AG1" t="s">
        <v>647</v>
      </c>
      <c r="AH1" t="s">
        <v>675</v>
      </c>
      <c r="AI1" t="s">
        <v>661</v>
      </c>
      <c r="AJ1" t="s">
        <v>293</v>
      </c>
      <c r="AK1" t="s">
        <v>665</v>
      </c>
      <c r="AL1" t="s">
        <v>654</v>
      </c>
      <c r="AM1" t="s">
        <v>657</v>
      </c>
      <c r="AN1" t="s">
        <v>290</v>
      </c>
    </row>
    <row r="2" spans="1:40" x14ac:dyDescent="0.25">
      <c r="A2" s="47">
        <v>44408</v>
      </c>
      <c r="B2">
        <v>142.17735290527344</v>
      </c>
      <c r="C2">
        <v>621.6300048828125</v>
      </c>
      <c r="D2">
        <v>106.19000244140625</v>
      </c>
      <c r="E2">
        <v>166.37950134277344</v>
      </c>
      <c r="G2">
        <v>44.189975738525391</v>
      </c>
      <c r="H2">
        <v>183.68403625488281</v>
      </c>
      <c r="I2">
        <v>407.23388671875</v>
      </c>
      <c r="J2">
        <v>237.81565856933594</v>
      </c>
      <c r="K2">
        <v>44.485923767089844</v>
      </c>
      <c r="L2">
        <v>62.512630462646484</v>
      </c>
      <c r="M2">
        <v>10.340828895568848</v>
      </c>
      <c r="N2">
        <v>54.593177795410156</v>
      </c>
      <c r="O2">
        <v>133.54234313964844</v>
      </c>
      <c r="P2">
        <v>23.985553741455078</v>
      </c>
      <c r="Q2">
        <v>110.81752014160156</v>
      </c>
      <c r="R2">
        <v>49.159950256347656</v>
      </c>
      <c r="S2">
        <v>237.19999694824219</v>
      </c>
      <c r="T2">
        <v>353.1983642578125</v>
      </c>
      <c r="U2">
        <v>273.42718505859375</v>
      </c>
      <c r="V2">
        <v>75.651138305664063</v>
      </c>
      <c r="W2">
        <v>117.5780029296875</v>
      </c>
      <c r="X2">
        <v>19.431789398193359</v>
      </c>
      <c r="Y2">
        <v>81.460044860839844</v>
      </c>
      <c r="Z2">
        <v>58.900001525878906</v>
      </c>
      <c r="AA2">
        <v>134.47227478027344</v>
      </c>
      <c r="AD2">
        <v>132.12271118164063</v>
      </c>
      <c r="AE2">
        <v>149.99299621582031</v>
      </c>
      <c r="AF2">
        <v>74.419998168945313</v>
      </c>
      <c r="AG2">
        <v>20.348579406738281</v>
      </c>
      <c r="AH2">
        <v>13.990331649780273</v>
      </c>
      <c r="AI2">
        <v>224.34089660644531</v>
      </c>
      <c r="AJ2">
        <v>229.06666564941406</v>
      </c>
      <c r="AK2">
        <v>107.51866912841797</v>
      </c>
      <c r="AL2">
        <v>81.910003662109375</v>
      </c>
      <c r="AM2">
        <v>44.578697204589844</v>
      </c>
      <c r="AN2">
        <v>4395.259765625</v>
      </c>
    </row>
    <row r="3" spans="1:40" x14ac:dyDescent="0.25">
      <c r="A3" s="47">
        <v>44439</v>
      </c>
      <c r="B3">
        <v>148.21835327148438</v>
      </c>
      <c r="C3">
        <v>663.70001220703125</v>
      </c>
      <c r="D3">
        <v>110.72000122070313</v>
      </c>
      <c r="E3">
        <v>173.53950500488281</v>
      </c>
      <c r="G3">
        <v>45.265140533447266</v>
      </c>
      <c r="H3">
        <v>157.14634704589844</v>
      </c>
      <c r="I3">
        <v>431.65545654296875</v>
      </c>
      <c r="J3">
        <v>260.75875854492188</v>
      </c>
      <c r="K3">
        <v>44.872669219970703</v>
      </c>
      <c r="L3">
        <v>70.493743896484375</v>
      </c>
      <c r="M3">
        <v>9.6588525772094727</v>
      </c>
      <c r="N3">
        <v>47.072673797607422</v>
      </c>
      <c r="O3">
        <v>143.42572021484375</v>
      </c>
      <c r="P3">
        <v>24.708362579345703</v>
      </c>
      <c r="Q3">
        <v>111.60031890869141</v>
      </c>
      <c r="R3">
        <v>49.792568206787109</v>
      </c>
      <c r="S3">
        <v>199.60000610351563</v>
      </c>
      <c r="T3">
        <v>376.07742309570313</v>
      </c>
      <c r="U3">
        <v>290.26788330078125</v>
      </c>
      <c r="V3">
        <v>71.867599487304688</v>
      </c>
      <c r="W3">
        <v>128.72799682617188</v>
      </c>
      <c r="X3">
        <v>22.311771392822266</v>
      </c>
      <c r="Y3">
        <v>83.320335388183594</v>
      </c>
      <c r="Z3">
        <v>55.569999694824219</v>
      </c>
      <c r="AA3">
        <v>131.68051147460938</v>
      </c>
      <c r="AD3">
        <v>138.02462768554688</v>
      </c>
      <c r="AE3">
        <v>152.47799682617188</v>
      </c>
      <c r="AF3">
        <v>76.110000610351563</v>
      </c>
      <c r="AG3">
        <v>20.184696197509766</v>
      </c>
      <c r="AH3">
        <v>14.610666275024414</v>
      </c>
      <c r="AI3">
        <v>212.97782897949219</v>
      </c>
      <c r="AJ3">
        <v>245.24000549316406</v>
      </c>
      <c r="AK3">
        <v>109.70331573486328</v>
      </c>
      <c r="AL3">
        <v>80.050003051757813</v>
      </c>
      <c r="AM3">
        <v>46.4847412109375</v>
      </c>
      <c r="AN3">
        <v>4522.68017578125</v>
      </c>
    </row>
    <row r="4" spans="1:40" x14ac:dyDescent="0.25">
      <c r="A4" s="47">
        <v>44469</v>
      </c>
      <c r="B4">
        <v>138.134033203125</v>
      </c>
      <c r="C4">
        <v>575.719970703125</v>
      </c>
      <c r="D4">
        <v>102.90000152587891</v>
      </c>
      <c r="E4">
        <v>164.25199890136719</v>
      </c>
      <c r="G4">
        <v>44.470733642578125</v>
      </c>
      <c r="H4">
        <v>139.32281494140625</v>
      </c>
      <c r="I4">
        <v>425.83663940429688</v>
      </c>
      <c r="J4">
        <v>266.60748291015625</v>
      </c>
      <c r="K4">
        <v>47.902240753173828</v>
      </c>
      <c r="L4">
        <v>63.999229431152344</v>
      </c>
      <c r="M4">
        <v>10.496496200561523</v>
      </c>
      <c r="N4">
        <v>50.626426696777344</v>
      </c>
      <c r="O4">
        <v>132.50108337402344</v>
      </c>
      <c r="P4">
        <v>22.879676818847656</v>
      </c>
      <c r="Q4">
        <v>110.47907257080078</v>
      </c>
      <c r="R4">
        <v>49.074134826660156</v>
      </c>
      <c r="S4">
        <v>253.80000305175781</v>
      </c>
      <c r="T4">
        <v>336.43560791015625</v>
      </c>
      <c r="U4">
        <v>271.07574462890625</v>
      </c>
      <c r="V4">
        <v>69.311996459960938</v>
      </c>
      <c r="W4">
        <v>124.45400238037109</v>
      </c>
      <c r="X4">
        <v>20.648229598999023</v>
      </c>
      <c r="Y4">
        <v>81.450691223144531</v>
      </c>
      <c r="Z4">
        <v>50.950000762939453</v>
      </c>
      <c r="AA4">
        <v>116.32184600830078</v>
      </c>
      <c r="AD4">
        <v>124.14311981201172</v>
      </c>
      <c r="AE4">
        <v>135.5780029296875</v>
      </c>
      <c r="AF4">
        <v>73.870002746582031</v>
      </c>
      <c r="AG4">
        <v>21.623250961303711</v>
      </c>
      <c r="AH4">
        <v>13.93924617767334</v>
      </c>
      <c r="AI4">
        <v>197.27485656738281</v>
      </c>
      <c r="AJ4">
        <v>258.49334716796875</v>
      </c>
      <c r="AK4">
        <v>103.34161376953125</v>
      </c>
      <c r="AL4">
        <v>70.300003051757813</v>
      </c>
      <c r="AM4">
        <v>43.747760772705078</v>
      </c>
      <c r="AN4">
        <v>4307.5400390625</v>
      </c>
    </row>
    <row r="5" spans="1:40" x14ac:dyDescent="0.25">
      <c r="A5" s="47">
        <v>44500</v>
      </c>
      <c r="B5">
        <v>146.23661804199219</v>
      </c>
      <c r="C5">
        <v>650.3599853515625</v>
      </c>
      <c r="D5">
        <v>120.23000335693359</v>
      </c>
      <c r="E5">
        <v>168.62150573730469</v>
      </c>
      <c r="G5">
        <v>48.757049560546875</v>
      </c>
      <c r="H5">
        <v>155.21719360351563</v>
      </c>
      <c r="I5">
        <v>466.57269287109375</v>
      </c>
      <c r="J5">
        <v>294.5933837890625</v>
      </c>
      <c r="K5">
        <v>50.641746520996094</v>
      </c>
      <c r="L5">
        <v>70.475395202636719</v>
      </c>
      <c r="M5">
        <v>12.661028861999512</v>
      </c>
      <c r="N5">
        <v>52.278434753417969</v>
      </c>
      <c r="O5">
        <v>146.74481201171875</v>
      </c>
      <c r="P5">
        <v>25.363321304321289</v>
      </c>
      <c r="Q5">
        <v>99.481269836425781</v>
      </c>
      <c r="R5">
        <v>45.131992340087891</v>
      </c>
      <c r="S5">
        <v>369.89999389648438</v>
      </c>
      <c r="T5">
        <v>320.75332641601563</v>
      </c>
      <c r="U5">
        <v>318.8638916015625</v>
      </c>
      <c r="V5">
        <v>67.476158142089844</v>
      </c>
      <c r="W5">
        <v>139.552001953125</v>
      </c>
      <c r="X5">
        <v>25.483364105224609</v>
      </c>
      <c r="Y5">
        <v>89.998405456542969</v>
      </c>
      <c r="Z5">
        <v>44.639999389648438</v>
      </c>
      <c r="AA5">
        <v>119.98339080810547</v>
      </c>
      <c r="AD5">
        <v>133.09716796875</v>
      </c>
      <c r="AE5">
        <v>146.67300415039063</v>
      </c>
      <c r="AF5">
        <v>52.580001831054688</v>
      </c>
      <c r="AG5">
        <v>22.642040252685547</v>
      </c>
      <c r="AH5">
        <v>14.552282333374023</v>
      </c>
      <c r="AI5">
        <v>223.87763977050781</v>
      </c>
      <c r="AJ5">
        <v>371.33334350585938</v>
      </c>
      <c r="AK5">
        <v>105.23904418945313</v>
      </c>
      <c r="AL5">
        <v>74.910003662109375</v>
      </c>
      <c r="AM5">
        <v>46.899063110351563</v>
      </c>
      <c r="AN5">
        <v>4605.3798828125</v>
      </c>
    </row>
    <row r="6" spans="1:40" x14ac:dyDescent="0.25">
      <c r="A6" s="47">
        <v>44530</v>
      </c>
      <c r="B6">
        <v>161.60340881347656</v>
      </c>
      <c r="C6">
        <v>669.8499755859375</v>
      </c>
      <c r="D6">
        <v>158.3699951171875</v>
      </c>
      <c r="E6">
        <v>175.35350036621094</v>
      </c>
      <c r="G6">
        <v>50.775482177734375</v>
      </c>
      <c r="H6">
        <v>120.01240539550781</v>
      </c>
      <c r="I6">
        <v>511.982666015625</v>
      </c>
      <c r="J6">
        <v>280.1138916015625</v>
      </c>
      <c r="K6">
        <v>51.297996520996094</v>
      </c>
      <c r="L6">
        <v>62.12762451171875</v>
      </c>
      <c r="M6">
        <v>14.296753883361816</v>
      </c>
      <c r="N6">
        <v>55.582454681396484</v>
      </c>
      <c r="O6">
        <v>140.65032958984375</v>
      </c>
      <c r="P6">
        <v>29.502735137939453</v>
      </c>
      <c r="Q6">
        <v>98.702804565429688</v>
      </c>
      <c r="R6">
        <v>45.63134765625</v>
      </c>
      <c r="S6">
        <v>529.79998779296875</v>
      </c>
      <c r="T6">
        <v>321.63546752929688</v>
      </c>
      <c r="U6">
        <v>318.45510864257813</v>
      </c>
      <c r="V6">
        <v>82.026016235351563</v>
      </c>
      <c r="W6">
        <v>129.53999328613281</v>
      </c>
      <c r="X6">
        <v>32.569103240966797</v>
      </c>
      <c r="Y6">
        <v>85.120460510253906</v>
      </c>
      <c r="Z6">
        <v>40.060001373291016</v>
      </c>
      <c r="AA6">
        <v>162.83976745605469</v>
      </c>
      <c r="AC6">
        <v>119.76000213623047</v>
      </c>
      <c r="AD6">
        <v>118.07570648193359</v>
      </c>
      <c r="AE6">
        <v>152.17900085449219</v>
      </c>
      <c r="AF6">
        <v>47.610000610351563</v>
      </c>
      <c r="AG6">
        <v>23.827030181884766</v>
      </c>
      <c r="AH6">
        <v>12.501532554626465</v>
      </c>
      <c r="AI6">
        <v>210.98855590820313</v>
      </c>
      <c r="AJ6">
        <v>381.586669921875</v>
      </c>
      <c r="AK6">
        <v>108.43233489990234</v>
      </c>
      <c r="AL6">
        <v>103.41999816894531</v>
      </c>
      <c r="AM6">
        <v>44.140110015869141</v>
      </c>
      <c r="AN6">
        <v>4567</v>
      </c>
    </row>
    <row r="7" spans="1:40" x14ac:dyDescent="0.25">
      <c r="A7" s="47">
        <v>44561</v>
      </c>
      <c r="B7">
        <v>173.59901428222656</v>
      </c>
      <c r="C7">
        <v>567.05999755859375</v>
      </c>
      <c r="D7">
        <v>143.89999389648438</v>
      </c>
      <c r="E7">
        <v>166.71699523925781</v>
      </c>
      <c r="G7">
        <v>61.412086486816406</v>
      </c>
      <c r="H7">
        <v>111.78761291503906</v>
      </c>
      <c r="I7">
        <v>538.86407470703125</v>
      </c>
      <c r="J7">
        <v>249.80819702148438</v>
      </c>
      <c r="K7">
        <v>51.025463104248047</v>
      </c>
      <c r="L7">
        <v>61.243499755859375</v>
      </c>
      <c r="M7">
        <v>15.473872184753418</v>
      </c>
      <c r="N7">
        <v>56.312408447265625</v>
      </c>
      <c r="O7">
        <v>143.578857421875</v>
      </c>
      <c r="P7">
        <v>31.716070175170898</v>
      </c>
      <c r="Q7">
        <v>112.66111755371094</v>
      </c>
      <c r="R7">
        <v>47.764514923095703</v>
      </c>
      <c r="S7">
        <v>380.5</v>
      </c>
      <c r="T7">
        <v>333.42205810546875</v>
      </c>
      <c r="U7">
        <v>323.97476196289063</v>
      </c>
      <c r="V7">
        <v>91.0579833984375</v>
      </c>
      <c r="W7">
        <v>129.82200622558594</v>
      </c>
      <c r="X7">
        <v>29.318380355834961</v>
      </c>
      <c r="Y7">
        <v>81.809066772460938</v>
      </c>
      <c r="Z7">
        <v>36.349998474121094</v>
      </c>
      <c r="AA7">
        <v>165.54649353027344</v>
      </c>
      <c r="AC7">
        <v>103.69000244140625</v>
      </c>
      <c r="AD7">
        <v>128.80400085449219</v>
      </c>
      <c r="AE7">
        <v>137.73899841308594</v>
      </c>
      <c r="AF7">
        <v>47.029998779296875</v>
      </c>
      <c r="AG7">
        <v>24.716758728027344</v>
      </c>
      <c r="AH7">
        <v>13.691113471984863</v>
      </c>
      <c r="AI7">
        <v>200.25917053222656</v>
      </c>
      <c r="AJ7">
        <v>352.260009765625</v>
      </c>
      <c r="AK7">
        <v>111.81781768798828</v>
      </c>
      <c r="AL7">
        <v>91.639999389648438</v>
      </c>
      <c r="AM7">
        <v>45.597286224365234</v>
      </c>
      <c r="AN7">
        <v>4766.18017578125</v>
      </c>
    </row>
    <row r="8" spans="1:40" x14ac:dyDescent="0.25">
      <c r="A8" s="47">
        <v>44592</v>
      </c>
      <c r="B8">
        <v>170.87139892578125</v>
      </c>
      <c r="C8">
        <v>534.29998779296875</v>
      </c>
      <c r="D8">
        <v>114.25</v>
      </c>
      <c r="E8">
        <v>149.57350158691406</v>
      </c>
      <c r="G8">
        <v>54.072101593017578</v>
      </c>
      <c r="H8">
        <v>118.37499237060547</v>
      </c>
      <c r="I8">
        <v>479.4722900390625</v>
      </c>
      <c r="J8">
        <v>228.673828125</v>
      </c>
      <c r="K8">
        <v>51.606853485107422</v>
      </c>
      <c r="L8">
        <v>55.321762084960938</v>
      </c>
      <c r="M8">
        <v>15.201470375061035</v>
      </c>
      <c r="N8">
        <v>50.645633697509766</v>
      </c>
      <c r="O8">
        <v>134.11428833007813</v>
      </c>
      <c r="P8">
        <v>30.924642562866211</v>
      </c>
      <c r="Q8">
        <v>112.58525848388672</v>
      </c>
      <c r="R8">
        <v>45.278907775878906</v>
      </c>
      <c r="S8">
        <v>293.89999389648438</v>
      </c>
      <c r="T8">
        <v>310.53305053710938</v>
      </c>
      <c r="U8">
        <v>299.56491088867188</v>
      </c>
      <c r="V8">
        <v>80.422332763671875</v>
      </c>
      <c r="W8">
        <v>117.15599822998047</v>
      </c>
      <c r="X8">
        <v>24.40888786315918</v>
      </c>
      <c r="Y8">
        <v>76.416580200195313</v>
      </c>
      <c r="Z8">
        <v>29.559999465942383</v>
      </c>
      <c r="AA8">
        <v>159.11004638671875</v>
      </c>
      <c r="AC8">
        <v>65.739997863769531</v>
      </c>
      <c r="AD8">
        <v>115.10633850097656</v>
      </c>
      <c r="AE8">
        <v>96.424003601074219</v>
      </c>
      <c r="AF8">
        <v>32.540000915527344</v>
      </c>
      <c r="AG8">
        <v>21.834444046020508</v>
      </c>
      <c r="AH8">
        <v>14.077909469604492</v>
      </c>
      <c r="AI8">
        <v>190.73243713378906</v>
      </c>
      <c r="AJ8">
        <v>312.239990234375</v>
      </c>
      <c r="AK8">
        <v>113.97407531738281</v>
      </c>
      <c r="AL8">
        <v>69.540000915527344</v>
      </c>
      <c r="AM8">
        <v>44.059417724609375</v>
      </c>
      <c r="AN8">
        <v>4515.5498046875</v>
      </c>
    </row>
    <row r="9" spans="1:40" x14ac:dyDescent="0.25">
      <c r="A9" s="47">
        <v>44620</v>
      </c>
      <c r="B9">
        <v>161.63311767578125</v>
      </c>
      <c r="C9">
        <v>467.67999267578125</v>
      </c>
      <c r="D9">
        <v>123.33999633789063</v>
      </c>
      <c r="E9">
        <v>153.56300354003906</v>
      </c>
      <c r="G9">
        <v>54.216068267822266</v>
      </c>
      <c r="H9">
        <v>98.989311218261719</v>
      </c>
      <c r="I9">
        <v>493.6220703125</v>
      </c>
      <c r="J9">
        <v>206.94967651367188</v>
      </c>
      <c r="K9">
        <v>46.292652130126953</v>
      </c>
      <c r="L9">
        <v>50.274932861328125</v>
      </c>
      <c r="M9">
        <v>13.149648666381836</v>
      </c>
      <c r="N9">
        <v>44.873199462890625</v>
      </c>
      <c r="O9">
        <v>133.86994934082031</v>
      </c>
      <c r="P9">
        <v>28.929237365722656</v>
      </c>
      <c r="Q9">
        <v>104.5067138671875</v>
      </c>
      <c r="R9">
        <v>44.577152252197266</v>
      </c>
      <c r="S9">
        <v>289.79998779296875</v>
      </c>
      <c r="T9">
        <v>209.19296264648438</v>
      </c>
      <c r="U9">
        <v>288.41748046875</v>
      </c>
      <c r="V9">
        <v>86.864349365234375</v>
      </c>
      <c r="W9">
        <v>115.98400115966797</v>
      </c>
      <c r="X9">
        <v>24.308208465576172</v>
      </c>
      <c r="Y9">
        <v>71.5299072265625</v>
      </c>
      <c r="Z9">
        <v>26.75</v>
      </c>
      <c r="AA9">
        <v>155.69718933105469</v>
      </c>
      <c r="AC9">
        <v>67.55999755859375</v>
      </c>
      <c r="AD9">
        <v>103.49550628662109</v>
      </c>
      <c r="AE9">
        <v>69.426002502441406</v>
      </c>
      <c r="AF9">
        <v>39.939998626708984</v>
      </c>
      <c r="AG9">
        <v>20.049125671386719</v>
      </c>
      <c r="AH9">
        <v>13.340807914733887</v>
      </c>
      <c r="AI9">
        <v>173.60501098632813</v>
      </c>
      <c r="AJ9">
        <v>290.14334106445313</v>
      </c>
      <c r="AK9">
        <v>99.456611633300781</v>
      </c>
      <c r="AL9">
        <v>85.319999694824219</v>
      </c>
      <c r="AM9">
        <v>42.594020843505859</v>
      </c>
      <c r="AN9">
        <v>4373.93994140625</v>
      </c>
    </row>
    <row r="10" spans="1:40" x14ac:dyDescent="0.25">
      <c r="A10" s="47">
        <v>44651</v>
      </c>
      <c r="B10">
        <v>170.92268371582031</v>
      </c>
      <c r="C10">
        <v>455.6199951171875</v>
      </c>
      <c r="D10">
        <v>109.33999633789063</v>
      </c>
      <c r="E10">
        <v>162.99749755859375</v>
      </c>
      <c r="G10">
        <v>58.507480621337891</v>
      </c>
      <c r="H10">
        <v>102.38650512695313</v>
      </c>
      <c r="I10">
        <v>547.428466796875</v>
      </c>
      <c r="J10">
        <v>208.70925903320313</v>
      </c>
      <c r="K10">
        <v>45.593170166015625</v>
      </c>
      <c r="L10">
        <v>52.952400207519531</v>
      </c>
      <c r="M10">
        <v>12.662899017333984</v>
      </c>
      <c r="N10">
        <v>42.011001586914063</v>
      </c>
      <c r="O10">
        <v>137.84521484375</v>
      </c>
      <c r="P10">
        <v>30.778379440307617</v>
      </c>
      <c r="Q10">
        <v>110.91307830810547</v>
      </c>
      <c r="R10">
        <v>46.315380096435547</v>
      </c>
      <c r="S10">
        <v>254</v>
      </c>
      <c r="T10">
        <v>220.42436218261719</v>
      </c>
      <c r="U10">
        <v>297.60693359375</v>
      </c>
      <c r="V10">
        <v>76.14068603515625</v>
      </c>
      <c r="W10">
        <v>111.37799835205078</v>
      </c>
      <c r="X10">
        <v>27.204704284667969</v>
      </c>
      <c r="Y10">
        <v>77.894805908203125</v>
      </c>
      <c r="Z10">
        <v>24.610000610351563</v>
      </c>
      <c r="AA10">
        <v>138.9202880859375</v>
      </c>
      <c r="AC10">
        <v>50.240001678466797</v>
      </c>
      <c r="AD10">
        <v>102.00621795654297</v>
      </c>
      <c r="AE10">
        <v>67.596000671386719</v>
      </c>
      <c r="AF10">
        <v>35.990001678466797</v>
      </c>
      <c r="AG10">
        <v>20.135509490966797</v>
      </c>
      <c r="AH10">
        <v>11.873903274536133</v>
      </c>
      <c r="AI10">
        <v>184.42433166503906</v>
      </c>
      <c r="AJ10">
        <v>359.20001220703125</v>
      </c>
      <c r="AK10">
        <v>97.368057250976563</v>
      </c>
      <c r="AL10">
        <v>69.25</v>
      </c>
      <c r="AM10">
        <v>47.111831665039063</v>
      </c>
      <c r="AN10">
        <v>4530.41015625</v>
      </c>
    </row>
    <row r="11" spans="1:40" x14ac:dyDescent="0.25">
      <c r="A11" s="47">
        <v>44681</v>
      </c>
      <c r="B11">
        <v>154.32086181640625</v>
      </c>
      <c r="C11">
        <v>395.95001220703125</v>
      </c>
      <c r="D11">
        <v>85.519996643066406</v>
      </c>
      <c r="E11">
        <v>124.28150177001953</v>
      </c>
      <c r="G11">
        <v>51.511814117431641</v>
      </c>
      <c r="H11">
        <v>91.366775512695313</v>
      </c>
      <c r="I11">
        <v>506.29910278320313</v>
      </c>
      <c r="J11">
        <v>172.94792175292969</v>
      </c>
      <c r="K11">
        <v>43.003559112548828</v>
      </c>
      <c r="L11">
        <v>48.014118194580078</v>
      </c>
      <c r="M11">
        <v>10.674136161804199</v>
      </c>
      <c r="N11">
        <v>36.411453247070313</v>
      </c>
      <c r="O11">
        <v>113.10655212402344</v>
      </c>
      <c r="P11">
        <v>31.05817985534668</v>
      </c>
      <c r="Q11">
        <v>112.78129577636719</v>
      </c>
      <c r="R11">
        <v>40.736225128173828</v>
      </c>
      <c r="S11">
        <v>180.80000305175781</v>
      </c>
      <c r="T11">
        <v>198.72486877441406</v>
      </c>
      <c r="U11">
        <v>267.88589477539063</v>
      </c>
      <c r="V11">
        <v>66.749649047851563</v>
      </c>
      <c r="W11">
        <v>95.620002746582031</v>
      </c>
      <c r="X11">
        <v>18.491743087768555</v>
      </c>
      <c r="Y11">
        <v>69.380470275878906</v>
      </c>
      <c r="Z11">
        <v>20.520000457763672</v>
      </c>
      <c r="AA11">
        <v>126.98452758789063</v>
      </c>
      <c r="AC11">
        <v>30.239999771118164</v>
      </c>
      <c r="AD11">
        <v>92.666084289550781</v>
      </c>
      <c r="AE11">
        <v>42.681999206542969</v>
      </c>
      <c r="AF11">
        <v>28.459999084472656</v>
      </c>
      <c r="AG11">
        <v>16.869443893432617</v>
      </c>
      <c r="AH11">
        <v>10.540695190429688</v>
      </c>
      <c r="AI11">
        <v>198.70243835449219</v>
      </c>
      <c r="AJ11">
        <v>290.25332641601563</v>
      </c>
      <c r="AK11">
        <v>86.787010192871094</v>
      </c>
      <c r="AL11">
        <v>58.919998168945313</v>
      </c>
      <c r="AM11">
        <v>48.399406433105469</v>
      </c>
      <c r="AN11">
        <v>4131.93017578125</v>
      </c>
    </row>
    <row r="12" spans="1:40" x14ac:dyDescent="0.25">
      <c r="A12" s="47">
        <v>44712</v>
      </c>
      <c r="B12">
        <v>145.91096496582031</v>
      </c>
      <c r="C12">
        <v>416.48001098632813</v>
      </c>
      <c r="D12">
        <v>101.86000061035156</v>
      </c>
      <c r="E12">
        <v>120.20950317382813</v>
      </c>
      <c r="G12">
        <v>53.903484344482422</v>
      </c>
      <c r="H12">
        <v>90.388084411621094</v>
      </c>
      <c r="I12">
        <v>443.93048095703125</v>
      </c>
      <c r="J12">
        <v>157.51490783691406</v>
      </c>
      <c r="K12">
        <v>45.683853149414063</v>
      </c>
      <c r="L12">
        <v>45.212360382080078</v>
      </c>
      <c r="M12">
        <v>10.312302589416504</v>
      </c>
      <c r="N12">
        <v>37.151020050048828</v>
      </c>
      <c r="O12">
        <v>112.76211547851563</v>
      </c>
      <c r="P12">
        <v>32.932014465332031</v>
      </c>
      <c r="Q12">
        <v>119.87366485595703</v>
      </c>
      <c r="R12">
        <v>41.840023040771484</v>
      </c>
      <c r="S12">
        <v>201.80000305175781</v>
      </c>
      <c r="T12">
        <v>191.95433044433594</v>
      </c>
      <c r="U12">
        <v>263.043212890625</v>
      </c>
      <c r="V12">
        <v>72.280281066894531</v>
      </c>
      <c r="W12">
        <v>93.494003295898438</v>
      </c>
      <c r="X12">
        <v>18.616371154785156</v>
      </c>
      <c r="Y12">
        <v>67.981536865234375</v>
      </c>
      <c r="Z12">
        <v>19.649999618530273</v>
      </c>
      <c r="AA12">
        <v>130.19343566894531</v>
      </c>
      <c r="AC12">
        <v>31.399999618530273</v>
      </c>
      <c r="AD12">
        <v>94.478874206542969</v>
      </c>
      <c r="AE12">
        <v>37.512001037597656</v>
      </c>
      <c r="AF12">
        <v>14.109999656677246</v>
      </c>
      <c r="AG12">
        <v>18.441703796386719</v>
      </c>
      <c r="AH12">
        <v>11.904601097106934</v>
      </c>
      <c r="AI12">
        <v>141.25753784179688</v>
      </c>
      <c r="AJ12">
        <v>252.75332641601563</v>
      </c>
      <c r="AK12">
        <v>89.000343322753906</v>
      </c>
      <c r="AL12">
        <v>52.049999237060547</v>
      </c>
      <c r="AM12">
        <v>40.840873718261719</v>
      </c>
      <c r="AN12">
        <v>4132.14990234375</v>
      </c>
    </row>
    <row r="13" spans="1:40" x14ac:dyDescent="0.25">
      <c r="A13" s="47">
        <v>44742</v>
      </c>
      <c r="B13">
        <v>134.02947998046875</v>
      </c>
      <c r="C13">
        <v>366.05999755859375</v>
      </c>
      <c r="D13">
        <v>76.470001220703125</v>
      </c>
      <c r="E13">
        <v>106.20999908447266</v>
      </c>
      <c r="G13">
        <v>45.513858795166016</v>
      </c>
      <c r="H13">
        <v>106.97884368896484</v>
      </c>
      <c r="I13">
        <v>456.36614990234375</v>
      </c>
      <c r="J13">
        <v>162.23326110839844</v>
      </c>
      <c r="K13">
        <v>42.271747589111328</v>
      </c>
      <c r="L13">
        <v>38.709651947021484</v>
      </c>
      <c r="M13">
        <v>8.3900527954101563</v>
      </c>
      <c r="N13">
        <v>30.504558563232422</v>
      </c>
      <c r="O13">
        <v>108.00529479980469</v>
      </c>
      <c r="P13">
        <v>27.97075080871582</v>
      </c>
      <c r="Q13">
        <v>121.90266418457031</v>
      </c>
      <c r="R13">
        <v>35.237178802490234</v>
      </c>
      <c r="S13">
        <v>171.60000610351563</v>
      </c>
      <c r="T13">
        <v>159.84629821777344</v>
      </c>
      <c r="U13">
        <v>248.49154663085938</v>
      </c>
      <c r="V13">
        <v>54.112339019775391</v>
      </c>
      <c r="W13">
        <v>95.103996276855469</v>
      </c>
      <c r="X13">
        <v>15.117032051086426</v>
      </c>
      <c r="Y13">
        <v>66.043777465820313</v>
      </c>
      <c r="Z13">
        <v>18.159999847412109</v>
      </c>
      <c r="AA13">
        <v>116.73271942138672</v>
      </c>
      <c r="AC13">
        <v>25.739999771118164</v>
      </c>
      <c r="AD13">
        <v>85.848602294921875</v>
      </c>
      <c r="AE13">
        <v>31.239999771118164</v>
      </c>
      <c r="AF13">
        <v>13.130000114440918</v>
      </c>
      <c r="AG13">
        <v>16.03038215637207</v>
      </c>
      <c r="AH13">
        <v>9.7444267272949219</v>
      </c>
      <c r="AI13">
        <v>123.23818969726563</v>
      </c>
      <c r="AJ13">
        <v>224.47332763671875</v>
      </c>
      <c r="AK13">
        <v>76.748176574707031</v>
      </c>
      <c r="AL13">
        <v>41.889999389648438</v>
      </c>
      <c r="AM13">
        <v>38.602458953857422</v>
      </c>
      <c r="AN13">
        <v>3785.3798828125</v>
      </c>
    </row>
    <row r="14" spans="1:40" x14ac:dyDescent="0.25">
      <c r="A14" s="47">
        <v>44773</v>
      </c>
      <c r="B14">
        <v>159.31196594238281</v>
      </c>
      <c r="C14">
        <v>410.1199951171875</v>
      </c>
      <c r="D14">
        <v>94.470001220703125</v>
      </c>
      <c r="E14">
        <v>134.94999694824219</v>
      </c>
      <c r="G14">
        <v>50.167259216308594</v>
      </c>
      <c r="H14">
        <v>84.101860046386719</v>
      </c>
      <c r="I14">
        <v>516.31060791015625</v>
      </c>
      <c r="J14">
        <v>180.89051818847656</v>
      </c>
      <c r="K14">
        <v>41.539291381835938</v>
      </c>
      <c r="L14">
        <v>45.175201416015625</v>
      </c>
      <c r="M14">
        <v>11.073661804199219</v>
      </c>
      <c r="N14">
        <v>34.826679229736328</v>
      </c>
      <c r="O14">
        <v>115.29763031005859</v>
      </c>
      <c r="P14">
        <v>28.491250991821289</v>
      </c>
      <c r="Q14">
        <v>112.92333984375</v>
      </c>
      <c r="R14">
        <v>34.201068878173828</v>
      </c>
      <c r="S14">
        <v>182.5</v>
      </c>
      <c r="T14">
        <v>157.71505737304688</v>
      </c>
      <c r="U14">
        <v>271.62527465820313</v>
      </c>
      <c r="V14">
        <v>60.671913146972656</v>
      </c>
      <c r="W14">
        <v>89.332000732421875</v>
      </c>
      <c r="X14">
        <v>18.112710952758789</v>
      </c>
      <c r="Y14">
        <v>73.906394958496094</v>
      </c>
      <c r="Z14">
        <v>19.479999542236328</v>
      </c>
      <c r="AA14">
        <v>132.56025695800781</v>
      </c>
      <c r="AC14">
        <v>34.299999237060547</v>
      </c>
      <c r="AD14">
        <v>88.204887390136719</v>
      </c>
      <c r="AE14">
        <v>34.830001831054688</v>
      </c>
      <c r="AF14">
        <v>9.880000114440918</v>
      </c>
      <c r="AG14">
        <v>16.740053176879883</v>
      </c>
      <c r="AH14">
        <v>11.336963653564453</v>
      </c>
      <c r="AI14">
        <v>142.56645202636719</v>
      </c>
      <c r="AJ14">
        <v>297.14999389648438</v>
      </c>
      <c r="AK14">
        <v>83.066421508789063</v>
      </c>
      <c r="AL14">
        <v>45</v>
      </c>
      <c r="AM14">
        <v>41.926746368408203</v>
      </c>
      <c r="AN14">
        <v>4130.2900390625</v>
      </c>
    </row>
    <row r="15" spans="1:40" x14ac:dyDescent="0.25">
      <c r="A15" s="47">
        <v>44804</v>
      </c>
      <c r="B15">
        <v>154.34011840820313</v>
      </c>
      <c r="C15">
        <v>373.44000244140625</v>
      </c>
      <c r="D15">
        <v>84.870002746582031</v>
      </c>
      <c r="E15">
        <v>126.76999664306641</v>
      </c>
      <c r="G15">
        <v>46.759876251220703</v>
      </c>
      <c r="H15">
        <v>89.785820007324219</v>
      </c>
      <c r="I15">
        <v>497.99697875976563</v>
      </c>
      <c r="J15">
        <v>153.4649658203125</v>
      </c>
      <c r="K15">
        <v>35.298252105712891</v>
      </c>
      <c r="L15">
        <v>41.198802947998047</v>
      </c>
      <c r="M15">
        <v>11.60284423828125</v>
      </c>
      <c r="N15">
        <v>36.78338623046875</v>
      </c>
      <c r="O15">
        <v>107.26882171630859</v>
      </c>
      <c r="P15">
        <v>24.497871398925781</v>
      </c>
      <c r="Q15">
        <v>112.30030059814453</v>
      </c>
      <c r="R15">
        <v>30.369573593139648</v>
      </c>
      <c r="S15">
        <v>153.39999389648438</v>
      </c>
      <c r="T15">
        <v>161.51167297363281</v>
      </c>
      <c r="U15">
        <v>253.51785278320313</v>
      </c>
      <c r="V15">
        <v>55.444278717041016</v>
      </c>
      <c r="W15">
        <v>86.924003601074219</v>
      </c>
      <c r="X15">
        <v>15.052211761474609</v>
      </c>
      <c r="Y15">
        <v>70.402870178222656</v>
      </c>
      <c r="Z15">
        <v>23.040000915527344</v>
      </c>
      <c r="AA15">
        <v>121.55064392089844</v>
      </c>
      <c r="AC15">
        <v>32.709999084472656</v>
      </c>
      <c r="AD15">
        <v>80.643936157226563</v>
      </c>
      <c r="AE15">
        <v>31.649999618530273</v>
      </c>
      <c r="AF15">
        <v>10.880000114440918</v>
      </c>
      <c r="AG15">
        <v>15.555960655212402</v>
      </c>
      <c r="AH15">
        <v>10.564346313476563</v>
      </c>
      <c r="AI15">
        <v>140.79067993164063</v>
      </c>
      <c r="AJ15">
        <v>275.6099853515625</v>
      </c>
      <c r="AK15">
        <v>78.250267028808594</v>
      </c>
      <c r="AL15">
        <v>62.700000762939453</v>
      </c>
      <c r="AM15">
        <v>42.268798828125</v>
      </c>
      <c r="AN15">
        <v>3955</v>
      </c>
    </row>
    <row r="16" spans="1:40" x14ac:dyDescent="0.25">
      <c r="A16" s="47">
        <v>44834</v>
      </c>
      <c r="B16">
        <v>135.66856384277344</v>
      </c>
      <c r="C16">
        <v>275.20001220703125</v>
      </c>
      <c r="D16">
        <v>63.360000610351563</v>
      </c>
      <c r="E16">
        <v>113</v>
      </c>
      <c r="G16">
        <v>41.946559906005859</v>
      </c>
      <c r="H16">
        <v>75.274787902832031</v>
      </c>
      <c r="I16">
        <v>450.467529296875</v>
      </c>
      <c r="J16">
        <v>141.39382934570313</v>
      </c>
      <c r="K16">
        <v>31.500160217285156</v>
      </c>
      <c r="L16">
        <v>34.365009307861328</v>
      </c>
      <c r="M16">
        <v>8.5270233154296875</v>
      </c>
      <c r="N16">
        <v>30.891885757446289</v>
      </c>
      <c r="O16">
        <v>94.809310913085938</v>
      </c>
      <c r="P16">
        <v>21.452024459838867</v>
      </c>
      <c r="Q16">
        <v>103.87230682373047</v>
      </c>
      <c r="R16">
        <v>24.518295288085938</v>
      </c>
      <c r="S16">
        <v>139.69999694824219</v>
      </c>
      <c r="T16">
        <v>134.4989013671875</v>
      </c>
      <c r="U16">
        <v>225.81678771972656</v>
      </c>
      <c r="V16">
        <v>49.137763977050781</v>
      </c>
      <c r="W16">
        <v>75.522003173828125</v>
      </c>
      <c r="X16">
        <v>12.108988761901855</v>
      </c>
      <c r="Y16">
        <v>57.983856201171875</v>
      </c>
      <c r="Z16">
        <v>23.299999237060547</v>
      </c>
      <c r="AA16">
        <v>103.82390594482422</v>
      </c>
      <c r="AC16">
        <v>32.909999847412109</v>
      </c>
      <c r="AD16">
        <v>76.887107849121094</v>
      </c>
      <c r="AE16">
        <v>26.940000534057617</v>
      </c>
      <c r="AF16">
        <v>9.8199996948242188</v>
      </c>
      <c r="AG16">
        <v>12.605057716369629</v>
      </c>
      <c r="AH16">
        <v>9.334467887878418</v>
      </c>
      <c r="AI16">
        <v>130.29763793945313</v>
      </c>
      <c r="AJ16">
        <v>265.25</v>
      </c>
      <c r="AK16">
        <v>64.729232788085938</v>
      </c>
      <c r="AL16">
        <v>59.75</v>
      </c>
      <c r="AM16">
        <v>41.359954833984375</v>
      </c>
      <c r="AN16">
        <v>3585.6201171875</v>
      </c>
    </row>
    <row r="17" spans="1:40" x14ac:dyDescent="0.25">
      <c r="A17" s="47">
        <v>44865</v>
      </c>
      <c r="B17">
        <v>150.53121948242188</v>
      </c>
      <c r="C17">
        <v>318.5</v>
      </c>
      <c r="D17">
        <v>60.060001373291016</v>
      </c>
      <c r="E17">
        <v>102.44000244140625</v>
      </c>
      <c r="G17">
        <v>44.413223266601563</v>
      </c>
      <c r="H17">
        <v>59.832115173339844</v>
      </c>
      <c r="I17">
        <v>479.2115478515625</v>
      </c>
      <c r="J17">
        <v>159.82496643066406</v>
      </c>
      <c r="K17">
        <v>35.741836547851563</v>
      </c>
      <c r="L17">
        <v>37.193756103515625</v>
      </c>
      <c r="M17">
        <v>10.179135322570801</v>
      </c>
      <c r="N17">
        <v>37.784557342529297</v>
      </c>
      <c r="O17">
        <v>93.6793212890625</v>
      </c>
      <c r="P17">
        <v>23.776281356811523</v>
      </c>
      <c r="Q17">
        <v>120.90313720703125</v>
      </c>
      <c r="R17">
        <v>27.049091339111328</v>
      </c>
      <c r="S17">
        <v>142.89999389648438</v>
      </c>
      <c r="T17">
        <v>92.349029541015625</v>
      </c>
      <c r="U17">
        <v>225.07017517089844</v>
      </c>
      <c r="V17">
        <v>53.172901153564453</v>
      </c>
      <c r="W17">
        <v>84.148002624511719</v>
      </c>
      <c r="X17">
        <v>13.463631629943848</v>
      </c>
      <c r="Y17">
        <v>74.505805969238281</v>
      </c>
      <c r="Z17">
        <v>24.600000381469727</v>
      </c>
      <c r="AA17">
        <v>108.12464904785156</v>
      </c>
      <c r="AC17">
        <v>34.970001220703125</v>
      </c>
      <c r="AD17">
        <v>90.90185546875</v>
      </c>
      <c r="AE17">
        <v>34.229999542236328</v>
      </c>
      <c r="AF17">
        <v>9.9099998474121094</v>
      </c>
      <c r="AG17">
        <v>13.278116226196289</v>
      </c>
      <c r="AH17">
        <v>10.658952713012695</v>
      </c>
      <c r="AI17">
        <v>144.22395324707031</v>
      </c>
      <c r="AJ17">
        <v>227.53999328613281</v>
      </c>
      <c r="AK17">
        <v>58.110904693603516</v>
      </c>
      <c r="AL17">
        <v>53.240001678466797</v>
      </c>
      <c r="AM17">
        <v>45.387535095214844</v>
      </c>
      <c r="AN17">
        <v>3871.97998046875</v>
      </c>
    </row>
    <row r="18" spans="1:40" x14ac:dyDescent="0.25">
      <c r="A18" s="47">
        <v>44895</v>
      </c>
      <c r="B18">
        <v>145.55953979492188</v>
      </c>
      <c r="C18">
        <v>344.92999267578125</v>
      </c>
      <c r="D18">
        <v>77.629997253417969</v>
      </c>
      <c r="E18">
        <v>96.540000915527344</v>
      </c>
      <c r="G18">
        <v>52.056961059570313</v>
      </c>
      <c r="H18">
        <v>82.3985595703125</v>
      </c>
      <c r="I18">
        <v>515.2838134765625</v>
      </c>
      <c r="J18">
        <v>157.52471923828125</v>
      </c>
      <c r="K18">
        <v>41.689498901367188</v>
      </c>
      <c r="L18">
        <v>42.636093139648438</v>
      </c>
      <c r="M18">
        <v>10.693264961242676</v>
      </c>
      <c r="N18">
        <v>39.045646667480469</v>
      </c>
      <c r="O18">
        <v>100.10237121582031</v>
      </c>
      <c r="P18">
        <v>25.859500885009766</v>
      </c>
      <c r="Q18">
        <v>131.73130798339844</v>
      </c>
      <c r="R18">
        <v>28.995832443237305</v>
      </c>
      <c r="S18">
        <v>101.40000152587891</v>
      </c>
      <c r="T18">
        <v>117.07191467285156</v>
      </c>
      <c r="U18">
        <v>248.0775146484375</v>
      </c>
      <c r="V18">
        <v>56.662063598632813</v>
      </c>
      <c r="W18">
        <v>83.260002136230469</v>
      </c>
      <c r="X18">
        <v>16.885482788085938</v>
      </c>
      <c r="Y18">
        <v>79.239364624023438</v>
      </c>
      <c r="Z18">
        <v>25.420000076293945</v>
      </c>
      <c r="AA18">
        <v>116.98017120361328</v>
      </c>
      <c r="AC18">
        <v>32.040000915527344</v>
      </c>
      <c r="AD18">
        <v>104.91661071777344</v>
      </c>
      <c r="AE18">
        <v>40.880001068115234</v>
      </c>
      <c r="AF18">
        <v>10.310000419616699</v>
      </c>
      <c r="AG18">
        <v>16.348199844360352</v>
      </c>
      <c r="AH18">
        <v>12.314558982849121</v>
      </c>
      <c r="AI18">
        <v>147.62025451660156</v>
      </c>
      <c r="AJ18">
        <v>194.69999694824219</v>
      </c>
      <c r="AK18">
        <v>78.343505859375</v>
      </c>
      <c r="AL18">
        <v>52.139999389648438</v>
      </c>
      <c r="AM18">
        <v>48.605136871337891</v>
      </c>
      <c r="AN18">
        <v>4080.110107421875</v>
      </c>
    </row>
    <row r="19" spans="1:40" x14ac:dyDescent="0.25">
      <c r="A19" s="47">
        <v>44926</v>
      </c>
      <c r="B19">
        <v>127.76160430908203</v>
      </c>
      <c r="C19">
        <v>336.52999877929688</v>
      </c>
      <c r="D19">
        <v>64.769996643066406</v>
      </c>
      <c r="E19">
        <v>84</v>
      </c>
      <c r="G19">
        <v>53.262924194335938</v>
      </c>
      <c r="H19">
        <v>82.897308349609375</v>
      </c>
      <c r="I19">
        <v>436.21157836914063</v>
      </c>
      <c r="J19">
        <v>130.33509826660156</v>
      </c>
      <c r="K19">
        <v>37.43585205078125</v>
      </c>
      <c r="L19">
        <v>38.911067962646484</v>
      </c>
      <c r="M19">
        <v>8.9469537734985352</v>
      </c>
      <c r="N19">
        <v>32.456035614013672</v>
      </c>
      <c r="O19">
        <v>87.454536437988281</v>
      </c>
      <c r="P19">
        <v>23.342195510864258</v>
      </c>
      <c r="Q19">
        <v>124.64486694335938</v>
      </c>
      <c r="R19">
        <v>25.485864639282227</v>
      </c>
      <c r="S19">
        <v>68.300003051757813</v>
      </c>
      <c r="T19">
        <v>119.29241943359375</v>
      </c>
      <c r="U19">
        <v>233.18165588378906</v>
      </c>
      <c r="V19">
        <v>49.23529052734375</v>
      </c>
      <c r="W19">
        <v>77.653999328613281</v>
      </c>
      <c r="X19">
        <v>14.58160400390625</v>
      </c>
      <c r="Y19">
        <v>78.008262634277344</v>
      </c>
      <c r="Z19">
        <v>24.280000686645508</v>
      </c>
      <c r="AA19">
        <v>101.6744384765625</v>
      </c>
      <c r="AC19">
        <v>18.430000305175781</v>
      </c>
      <c r="AD19">
        <v>97.648994445800781</v>
      </c>
      <c r="AE19">
        <v>34.709999084472656</v>
      </c>
      <c r="AF19">
        <v>8.9499998092651367</v>
      </c>
      <c r="AG19">
        <v>15.01192569732666</v>
      </c>
      <c r="AH19">
        <v>11.195054054260254</v>
      </c>
      <c r="AI19">
        <v>131.68928527832031</v>
      </c>
      <c r="AJ19">
        <v>123.18000030517578</v>
      </c>
      <c r="AK19">
        <v>70.726516723632813</v>
      </c>
      <c r="AL19">
        <v>44.830001831054688</v>
      </c>
      <c r="AM19">
        <v>45.385784149169922</v>
      </c>
      <c r="AN19">
        <v>3839.5</v>
      </c>
    </row>
    <row r="20" spans="1:40" x14ac:dyDescent="0.25">
      <c r="A20" s="47">
        <v>44957</v>
      </c>
      <c r="B20">
        <v>141.88194274902344</v>
      </c>
      <c r="C20">
        <v>370.33999633789063</v>
      </c>
      <c r="D20">
        <v>75.150001525878906</v>
      </c>
      <c r="E20">
        <v>103.12999725341797</v>
      </c>
      <c r="G20">
        <v>55.728256225585938</v>
      </c>
      <c r="H20">
        <v>103.70396423339844</v>
      </c>
      <c r="I20">
        <v>488.42318725585938</v>
      </c>
      <c r="J20">
        <v>165.11346435546875</v>
      </c>
      <c r="K20">
        <v>38.114635467529297</v>
      </c>
      <c r="L20">
        <v>46.445568084716797</v>
      </c>
      <c r="M20">
        <v>10.393238067626953</v>
      </c>
      <c r="N20">
        <v>37.936119079589844</v>
      </c>
      <c r="O20">
        <v>97.971260070800781</v>
      </c>
      <c r="P20">
        <v>25.314165115356445</v>
      </c>
      <c r="Q20">
        <v>119.19511413574219</v>
      </c>
      <c r="R20">
        <v>27.25048828125</v>
      </c>
      <c r="S20">
        <v>116.90000152587891</v>
      </c>
      <c r="T20">
        <v>147.67318725585938</v>
      </c>
      <c r="U20">
        <v>240.950439453125</v>
      </c>
      <c r="V20">
        <v>59.401512145996094</v>
      </c>
      <c r="W20">
        <v>91.0260009765625</v>
      </c>
      <c r="X20">
        <v>19.493682861328125</v>
      </c>
      <c r="Y20">
        <v>84.738014221191406</v>
      </c>
      <c r="Z20">
        <v>26.290000915527344</v>
      </c>
      <c r="AA20">
        <v>123.19495391845703</v>
      </c>
      <c r="AC20">
        <v>19.399999618530273</v>
      </c>
      <c r="AD20">
        <v>112.16527557373047</v>
      </c>
      <c r="AE20">
        <v>49.270000457763672</v>
      </c>
      <c r="AF20">
        <v>11.560000419616699</v>
      </c>
      <c r="AG20">
        <v>17.605751037597656</v>
      </c>
      <c r="AH20">
        <v>12.393398284912109</v>
      </c>
      <c r="AI20">
        <v>152.10002136230469</v>
      </c>
      <c r="AJ20">
        <v>173.22000122070313</v>
      </c>
      <c r="AK20">
        <v>88.044975280761719</v>
      </c>
      <c r="AL20">
        <v>50.700000762939453</v>
      </c>
      <c r="AM20">
        <v>46.051586151123047</v>
      </c>
      <c r="AN20">
        <v>4076.60009765625</v>
      </c>
    </row>
    <row r="21" spans="1:40" x14ac:dyDescent="0.25">
      <c r="A21" s="47">
        <v>44985</v>
      </c>
      <c r="B21">
        <v>145.17121887207031</v>
      </c>
      <c r="C21">
        <v>323.95001220703125</v>
      </c>
      <c r="D21">
        <v>78.580001831054688</v>
      </c>
      <c r="E21">
        <v>94.230003356933594</v>
      </c>
      <c r="G21">
        <v>56.612274169921875</v>
      </c>
      <c r="H21">
        <v>82.614997863769531</v>
      </c>
      <c r="I21">
        <v>463.46682739257813</v>
      </c>
      <c r="J21">
        <v>160.82759094238281</v>
      </c>
      <c r="K21">
        <v>38.133407592773438</v>
      </c>
      <c r="L21">
        <v>43.067699432373047</v>
      </c>
      <c r="M21">
        <v>9.8708171844482422</v>
      </c>
      <c r="N21">
        <v>37.376541137695313</v>
      </c>
      <c r="O21">
        <v>89.2684326171875</v>
      </c>
      <c r="P21">
        <v>25.64427375793457</v>
      </c>
      <c r="Q21">
        <v>115.79632568359375</v>
      </c>
      <c r="R21">
        <v>24.332361221313477</v>
      </c>
      <c r="S21">
        <v>91.300003051757813</v>
      </c>
      <c r="T21">
        <v>173.41716003417969</v>
      </c>
      <c r="U21">
        <v>243.123291015625</v>
      </c>
      <c r="V21">
        <v>56.958473205566406</v>
      </c>
      <c r="W21">
        <v>86.433998107910156</v>
      </c>
      <c r="X21">
        <v>23.164529800415039</v>
      </c>
      <c r="Y21">
        <v>83.722625732421875</v>
      </c>
      <c r="Z21">
        <v>25.110000610351563</v>
      </c>
      <c r="AA21">
        <v>114.24272155761719</v>
      </c>
      <c r="AC21">
        <v>19.299999237060547</v>
      </c>
      <c r="AD21">
        <v>107.70819854736328</v>
      </c>
      <c r="AE21">
        <v>41.139999389648438</v>
      </c>
      <c r="AF21">
        <v>10.149999618530273</v>
      </c>
      <c r="AG21">
        <v>16.448566436767578</v>
      </c>
      <c r="AH21">
        <v>13.812490463256836</v>
      </c>
      <c r="AI21">
        <v>149.81733703613281</v>
      </c>
      <c r="AJ21">
        <v>205.71000671386719</v>
      </c>
      <c r="AK21">
        <v>82.670921325683594</v>
      </c>
      <c r="AL21">
        <v>55.959999084472656</v>
      </c>
      <c r="AM21">
        <v>45.494617462158203</v>
      </c>
      <c r="AN21">
        <v>3970.14990234375</v>
      </c>
    </row>
    <row r="22" spans="1:40" x14ac:dyDescent="0.25">
      <c r="A22" s="47">
        <v>45016</v>
      </c>
      <c r="B22">
        <v>162.39556884765625</v>
      </c>
      <c r="C22">
        <v>385.3699951171875</v>
      </c>
      <c r="D22">
        <v>98.010002136230469</v>
      </c>
      <c r="E22">
        <v>103.29000091552734</v>
      </c>
      <c r="G22">
        <v>61.553184509277344</v>
      </c>
      <c r="H22">
        <v>96.15673828125</v>
      </c>
      <c r="I22">
        <v>475.61383056640625</v>
      </c>
      <c r="J22">
        <v>196.38249206542969</v>
      </c>
      <c r="K22">
        <v>37.72991943359375</v>
      </c>
      <c r="L22">
        <v>41.868602752685547</v>
      </c>
      <c r="M22">
        <v>10.304248809814453</v>
      </c>
      <c r="N22">
        <v>35.471485137939453</v>
      </c>
      <c r="O22">
        <v>102.81829071044922</v>
      </c>
      <c r="P22">
        <v>25.733482360839844</v>
      </c>
      <c r="Q22">
        <v>117.39936828613281</v>
      </c>
      <c r="R22">
        <v>31.886812210083008</v>
      </c>
      <c r="S22">
        <v>80.400001525878906</v>
      </c>
      <c r="T22">
        <v>210.09500122070313</v>
      </c>
      <c r="U22">
        <v>281.021728515625</v>
      </c>
      <c r="V22">
        <v>59.440929412841797</v>
      </c>
      <c r="W22">
        <v>92.944000244140625</v>
      </c>
      <c r="X22">
        <v>27.720125198364258</v>
      </c>
      <c r="Y22">
        <v>89.0103759765625</v>
      </c>
      <c r="Z22">
        <v>27.270000457763672</v>
      </c>
      <c r="AA22">
        <v>118.70896148681641</v>
      </c>
      <c r="AC22">
        <v>15.479999542236328</v>
      </c>
      <c r="AD22">
        <v>119.75463104248047</v>
      </c>
      <c r="AE22">
        <v>47.939998626708984</v>
      </c>
      <c r="AF22">
        <v>11.210000038146973</v>
      </c>
      <c r="AG22">
        <v>17.898199081420898</v>
      </c>
      <c r="AH22">
        <v>14.340706825256348</v>
      </c>
      <c r="AI22">
        <v>147.26557922363281</v>
      </c>
      <c r="AJ22">
        <v>207.46000671386719</v>
      </c>
      <c r="AK22">
        <v>88.780075073242188</v>
      </c>
      <c r="AL22">
        <v>60.909999847412109</v>
      </c>
      <c r="AM22">
        <v>47.390949249267578</v>
      </c>
      <c r="AN22">
        <v>4109.31005859375</v>
      </c>
    </row>
    <row r="23" spans="1:40" x14ac:dyDescent="0.25">
      <c r="A23" s="47">
        <v>45046</v>
      </c>
      <c r="B23">
        <v>167.10295104980469</v>
      </c>
      <c r="C23">
        <v>377.55999755859375</v>
      </c>
      <c r="D23">
        <v>89.370002746582031</v>
      </c>
      <c r="E23">
        <v>105.44999694824219</v>
      </c>
      <c r="G23">
        <v>60.110164642333984</v>
      </c>
      <c r="H23">
        <v>79.697738647460938</v>
      </c>
      <c r="I23">
        <v>481.69219970703125</v>
      </c>
      <c r="J23">
        <v>194.99647521972656</v>
      </c>
      <c r="K23">
        <v>41.160896301269531</v>
      </c>
      <c r="L23">
        <v>43.812473297119141</v>
      </c>
      <c r="M23">
        <v>9.8367776870727539</v>
      </c>
      <c r="N23">
        <v>31.951417922973633</v>
      </c>
      <c r="O23">
        <v>106.39656066894531</v>
      </c>
      <c r="P23">
        <v>26.049121856689453</v>
      </c>
      <c r="Q23">
        <v>113.20816040039063</v>
      </c>
      <c r="R23">
        <v>30.315408706665039</v>
      </c>
      <c r="S23">
        <v>79.400001525878906</v>
      </c>
      <c r="T23">
        <v>238.22801208496094</v>
      </c>
      <c r="U23">
        <v>299.50311279296875</v>
      </c>
      <c r="V23">
        <v>63.529151916503906</v>
      </c>
      <c r="W23">
        <v>91.884002685546875</v>
      </c>
      <c r="X23">
        <v>27.692184448242188</v>
      </c>
      <c r="Y23">
        <v>91.114593505859375</v>
      </c>
      <c r="Z23">
        <v>23</v>
      </c>
      <c r="AA23">
        <v>108.67853546142578</v>
      </c>
      <c r="AC23">
        <v>12.819999694824219</v>
      </c>
      <c r="AD23">
        <v>128.00640869140625</v>
      </c>
      <c r="AE23">
        <v>48.450000762939453</v>
      </c>
      <c r="AF23">
        <v>8.7100000381469727</v>
      </c>
      <c r="AG23">
        <v>17.704706192016602</v>
      </c>
      <c r="AH23">
        <v>14.302426338195801</v>
      </c>
      <c r="AI23">
        <v>140.25926208496094</v>
      </c>
      <c r="AJ23">
        <v>164.30999755859375</v>
      </c>
      <c r="AK23">
        <v>80.457550048828125</v>
      </c>
      <c r="AL23">
        <v>64.339996337890625</v>
      </c>
      <c r="AM23">
        <v>48.522293090820313</v>
      </c>
      <c r="AN23">
        <v>4169.47998046875</v>
      </c>
    </row>
    <row r="24" spans="1:40" x14ac:dyDescent="0.25">
      <c r="A24" s="47">
        <v>45077</v>
      </c>
      <c r="B24">
        <v>174.79948425292969</v>
      </c>
      <c r="C24">
        <v>417.79000854492188</v>
      </c>
      <c r="D24">
        <v>118.20999908447266</v>
      </c>
      <c r="E24">
        <v>120.58000183105469</v>
      </c>
      <c r="G24">
        <v>77.520515441894531</v>
      </c>
      <c r="H24">
        <v>74.860725402832031</v>
      </c>
      <c r="I24">
        <v>490.69677734375</v>
      </c>
      <c r="J24">
        <v>219.58116149902344</v>
      </c>
      <c r="K24">
        <v>42.410198211669922</v>
      </c>
      <c r="L24">
        <v>40.3731689453125</v>
      </c>
      <c r="M24">
        <v>9.9361419677734375</v>
      </c>
      <c r="N24">
        <v>31.342180252075195</v>
      </c>
      <c r="O24">
        <v>121.79006958007813</v>
      </c>
      <c r="P24">
        <v>25.479213714599609</v>
      </c>
      <c r="Q24">
        <v>116.73075866699219</v>
      </c>
      <c r="R24">
        <v>30.81196403503418</v>
      </c>
      <c r="S24">
        <v>77.599998474121094</v>
      </c>
      <c r="T24">
        <v>262.41555786132813</v>
      </c>
      <c r="U24">
        <v>320.79946899414063</v>
      </c>
      <c r="V24">
        <v>67.319564819335938</v>
      </c>
      <c r="W24">
        <v>108.95600128173828</v>
      </c>
      <c r="X24">
        <v>37.756538391113281</v>
      </c>
      <c r="Y24">
        <v>101.90751647949219</v>
      </c>
      <c r="Z24">
        <v>23.940000534057617</v>
      </c>
      <c r="AA24">
        <v>106.25705718994141</v>
      </c>
      <c r="AC24">
        <v>14.729999542236328</v>
      </c>
      <c r="AD24">
        <v>125.48763275146484</v>
      </c>
      <c r="AE24">
        <v>57.189998626708984</v>
      </c>
      <c r="AF24">
        <v>10.199999809265137</v>
      </c>
      <c r="AG24">
        <v>18.500400543212891</v>
      </c>
      <c r="AH24">
        <v>13.158576965332031</v>
      </c>
      <c r="AI24">
        <v>117.20127105712891</v>
      </c>
      <c r="AJ24">
        <v>203.92999267578125</v>
      </c>
      <c r="AK24">
        <v>94.096183776855469</v>
      </c>
      <c r="AL24">
        <v>70.080001831054688</v>
      </c>
      <c r="AM24">
        <v>47.383853912353516</v>
      </c>
      <c r="AN24">
        <v>4179.830078125</v>
      </c>
    </row>
    <row r="25" spans="1:40" x14ac:dyDescent="0.25">
      <c r="A25" s="47">
        <v>45107</v>
      </c>
      <c r="B25">
        <v>191.28828430175781</v>
      </c>
      <c r="C25">
        <v>488.989990234375</v>
      </c>
      <c r="D25">
        <v>113.91000366210938</v>
      </c>
      <c r="E25">
        <v>130.36000061035156</v>
      </c>
      <c r="G25">
        <v>83.669815063476563</v>
      </c>
      <c r="H25">
        <v>78.436714172363281</v>
      </c>
      <c r="I25">
        <v>516.42291259765625</v>
      </c>
      <c r="J25">
        <v>207.66722106933594</v>
      </c>
      <c r="K25">
        <v>51.212135314941406</v>
      </c>
      <c r="L25">
        <v>42.413658142089844</v>
      </c>
      <c r="M25">
        <v>12.527816772460938</v>
      </c>
      <c r="N25">
        <v>37.393383026123047</v>
      </c>
      <c r="O25">
        <v>118.64793395996094</v>
      </c>
      <c r="P25">
        <v>27.160564422607422</v>
      </c>
      <c r="Q25">
        <v>121.46932983398438</v>
      </c>
      <c r="R25">
        <v>32.772010803222656</v>
      </c>
      <c r="S25">
        <v>68.900001525878906</v>
      </c>
      <c r="T25">
        <v>284.48184204101563</v>
      </c>
      <c r="U25">
        <v>332.66864013671875</v>
      </c>
      <c r="V25">
        <v>62.295295715332031</v>
      </c>
      <c r="W25">
        <v>112.39399719238281</v>
      </c>
      <c r="X25">
        <v>42.219753265380859</v>
      </c>
      <c r="Y25">
        <v>114.55697631835938</v>
      </c>
      <c r="Z25">
        <v>27.340000152587891</v>
      </c>
      <c r="AA25">
        <v>111.53196716308594</v>
      </c>
      <c r="AC25">
        <v>16.659999847412109</v>
      </c>
      <c r="AD25">
        <v>131.61578369140625</v>
      </c>
      <c r="AE25">
        <v>64.599998474121094</v>
      </c>
      <c r="AF25">
        <v>11.840000152587891</v>
      </c>
      <c r="AG25">
        <v>17.777761459350586</v>
      </c>
      <c r="AH25">
        <v>15.085061073303223</v>
      </c>
      <c r="AI25">
        <v>118.06954956054688</v>
      </c>
      <c r="AJ25">
        <v>261.76998901367188</v>
      </c>
      <c r="AK25">
        <v>96.723403930664063</v>
      </c>
      <c r="AL25">
        <v>77.220001220703125</v>
      </c>
      <c r="AM25">
        <v>50.710109710693359</v>
      </c>
      <c r="AN25">
        <v>4450.3798828125</v>
      </c>
    </row>
    <row r="26" spans="1:40" x14ac:dyDescent="0.25">
      <c r="A26" s="47">
        <v>45138</v>
      </c>
      <c r="B26">
        <v>193.7340087890625</v>
      </c>
      <c r="C26">
        <v>546.16998291015625</v>
      </c>
      <c r="D26">
        <v>114.40000152587891</v>
      </c>
      <c r="E26">
        <v>133.67999267578125</v>
      </c>
      <c r="G26">
        <v>86.68121337890625</v>
      </c>
      <c r="H26">
        <v>96.137916564941406</v>
      </c>
      <c r="I26">
        <v>537.80389404296875</v>
      </c>
      <c r="J26">
        <v>221.18339538574219</v>
      </c>
      <c r="K26">
        <v>50.434268951416016</v>
      </c>
      <c r="L26">
        <v>42.242824554443359</v>
      </c>
      <c r="M26">
        <v>11.057096481323242</v>
      </c>
      <c r="N26">
        <v>37.209129333496094</v>
      </c>
      <c r="O26">
        <v>131.55349731445313</v>
      </c>
      <c r="P26">
        <v>29.035537719726563</v>
      </c>
      <c r="Q26">
        <v>130.8829345703125</v>
      </c>
      <c r="R26">
        <v>35.055465698242188</v>
      </c>
      <c r="S26">
        <v>76.099998474121094</v>
      </c>
      <c r="T26">
        <v>315.8265380859375</v>
      </c>
      <c r="U26">
        <v>328.15542602539063</v>
      </c>
      <c r="V26">
        <v>70.601005554199219</v>
      </c>
      <c r="W26">
        <v>116.59999847412109</v>
      </c>
      <c r="X26">
        <v>46.638141632080078</v>
      </c>
      <c r="Y26">
        <v>113.16352844238281</v>
      </c>
      <c r="Z26">
        <v>28.989999771118164</v>
      </c>
      <c r="AA26">
        <v>123.83381652832031</v>
      </c>
      <c r="AC26">
        <v>27.639999389648438</v>
      </c>
      <c r="AD26">
        <v>131.17326354980469</v>
      </c>
      <c r="AE26">
        <v>67.580001831054688</v>
      </c>
      <c r="AF26">
        <v>11.359999656677246</v>
      </c>
      <c r="AG26">
        <v>18.480655670166016</v>
      </c>
      <c r="AH26">
        <v>17.673774719238281</v>
      </c>
      <c r="AI26">
        <v>122.16037750244141</v>
      </c>
      <c r="AJ26">
        <v>267.42999267578125</v>
      </c>
      <c r="AK26">
        <v>95.027023315429688</v>
      </c>
      <c r="AL26">
        <v>91.260002136230469</v>
      </c>
      <c r="AM26">
        <v>51.574741363525391</v>
      </c>
      <c r="AN26">
        <v>4588.9599609375</v>
      </c>
    </row>
    <row r="27" spans="1:40" x14ac:dyDescent="0.25">
      <c r="A27" s="47">
        <v>45169</v>
      </c>
      <c r="B27">
        <v>185.52279663085938</v>
      </c>
      <c r="C27">
        <v>559.34002685546875</v>
      </c>
      <c r="D27">
        <v>105.72000122070313</v>
      </c>
      <c r="E27">
        <v>138.00999450683594</v>
      </c>
      <c r="G27">
        <v>89.019332885742188</v>
      </c>
      <c r="H27">
        <v>87.423774719238281</v>
      </c>
      <c r="I27">
        <v>527.87396240234375</v>
      </c>
      <c r="J27">
        <v>217.69378662109375</v>
      </c>
      <c r="K27">
        <v>53.598335266113281</v>
      </c>
      <c r="L27">
        <v>42.737827301025391</v>
      </c>
      <c r="M27">
        <v>10.153110504150391</v>
      </c>
      <c r="N27">
        <v>32.583995819091797</v>
      </c>
      <c r="O27">
        <v>134.97317504882813</v>
      </c>
      <c r="P27">
        <v>26.276145935058594</v>
      </c>
      <c r="Q27">
        <v>134.82244873046875</v>
      </c>
      <c r="R27">
        <v>34.561946868896484</v>
      </c>
      <c r="S27">
        <v>62.799999237060547</v>
      </c>
      <c r="T27">
        <v>293.31423950195313</v>
      </c>
      <c r="U27">
        <v>320.8619384765625</v>
      </c>
      <c r="V27">
        <v>69.167030334472656</v>
      </c>
      <c r="W27">
        <v>117.76599884033203</v>
      </c>
      <c r="X27">
        <v>49.259037017822266</v>
      </c>
      <c r="Y27">
        <v>116.21390533447266</v>
      </c>
      <c r="Z27">
        <v>27.489999771118164</v>
      </c>
      <c r="AA27">
        <v>108.06623077392578</v>
      </c>
      <c r="AC27">
        <v>22.729999542236328</v>
      </c>
      <c r="AD27">
        <v>134.38644409179688</v>
      </c>
      <c r="AE27">
        <v>66.489997863769531</v>
      </c>
      <c r="AF27">
        <v>10.350000381469727</v>
      </c>
      <c r="AG27">
        <v>16.425277709960938</v>
      </c>
      <c r="AH27">
        <v>15.953699111938477</v>
      </c>
      <c r="AI27">
        <v>114.25161743164063</v>
      </c>
      <c r="AJ27">
        <v>258.07998657226563</v>
      </c>
      <c r="AK27">
        <v>89.679046630859375</v>
      </c>
      <c r="AL27">
        <v>80.029998779296875</v>
      </c>
      <c r="AM27">
        <v>52.648468017578125</v>
      </c>
      <c r="AN27">
        <v>4507.66015625</v>
      </c>
    </row>
    <row r="28" spans="1:40" x14ac:dyDescent="0.25">
      <c r="A28" s="47">
        <v>45199</v>
      </c>
      <c r="B28">
        <v>169.07096862792969</v>
      </c>
      <c r="C28">
        <v>509.89999389648438</v>
      </c>
      <c r="D28">
        <v>102.81999969482422</v>
      </c>
      <c r="E28">
        <v>127.12000274658203</v>
      </c>
      <c r="F28">
        <v>53.520000457763672</v>
      </c>
      <c r="G28">
        <v>80.551712036132813</v>
      </c>
      <c r="H28">
        <v>81.626884460449219</v>
      </c>
      <c r="I28">
        <v>542.94287109375</v>
      </c>
      <c r="J28">
        <v>199.33145141601563</v>
      </c>
      <c r="K28">
        <v>65.663673400878906</v>
      </c>
      <c r="L28">
        <v>42.079292297363281</v>
      </c>
      <c r="M28">
        <v>10.395848274230957</v>
      </c>
      <c r="N28">
        <v>32.058914184570313</v>
      </c>
      <c r="O28">
        <v>129.70982360839844</v>
      </c>
      <c r="P28">
        <v>22.933664321899414</v>
      </c>
      <c r="Q28">
        <v>128.82644653320313</v>
      </c>
      <c r="R28">
        <v>34.965202331542969</v>
      </c>
      <c r="S28">
        <v>55.900001525878906</v>
      </c>
      <c r="T28">
        <v>297.59661865234375</v>
      </c>
      <c r="U28">
        <v>309.10464477539063</v>
      </c>
      <c r="V28">
        <v>67.27813720703125</v>
      </c>
      <c r="W28">
        <v>111.79199981689453</v>
      </c>
      <c r="X28">
        <v>43.417999267578125</v>
      </c>
      <c r="Y28">
        <v>102.24584197998047</v>
      </c>
      <c r="Z28">
        <v>27.030000686645508</v>
      </c>
      <c r="AA28">
        <v>104.79205322265625</v>
      </c>
      <c r="AC28">
        <v>24.280000686645508</v>
      </c>
      <c r="AD28">
        <v>124.41016387939453</v>
      </c>
      <c r="AE28">
        <v>54.569999694824219</v>
      </c>
      <c r="AF28">
        <v>8.9099998474121094</v>
      </c>
      <c r="AG28">
        <v>16.325061798095703</v>
      </c>
      <c r="AH28">
        <v>16.452520370483398</v>
      </c>
      <c r="AI28">
        <v>99.824577331542969</v>
      </c>
      <c r="AJ28">
        <v>250.22000122070313</v>
      </c>
      <c r="AK28">
        <v>83.718673706054688</v>
      </c>
      <c r="AL28">
        <v>78.150001525878906</v>
      </c>
      <c r="AM28">
        <v>51.780754089355469</v>
      </c>
      <c r="AN28">
        <v>4288.0498046875</v>
      </c>
    </row>
    <row r="29" spans="1:40" x14ac:dyDescent="0.25">
      <c r="A29" s="47">
        <v>45230</v>
      </c>
      <c r="B29">
        <v>168.63645935058594</v>
      </c>
      <c r="C29">
        <v>532.05999755859375</v>
      </c>
      <c r="D29">
        <v>98.5</v>
      </c>
      <c r="E29">
        <v>133.08999633789063</v>
      </c>
      <c r="F29">
        <v>49.290000915527344</v>
      </c>
      <c r="G29">
        <v>81.598159790039063</v>
      </c>
      <c r="H29">
        <v>77.674468994140625</v>
      </c>
      <c r="I29">
        <v>530.91082763671875</v>
      </c>
      <c r="J29">
        <v>197.41462707519531</v>
      </c>
      <c r="K29">
        <v>64.127151489257813</v>
      </c>
      <c r="L29">
        <v>37.440929412841797</v>
      </c>
      <c r="M29">
        <v>8.2882423400878906</v>
      </c>
      <c r="N29">
        <v>27.420736312866211</v>
      </c>
      <c r="O29">
        <v>122.98942565917969</v>
      </c>
      <c r="P29">
        <v>23.495853424072266</v>
      </c>
      <c r="Q29">
        <v>132.81153869628906</v>
      </c>
      <c r="R29">
        <v>35.899578094482422</v>
      </c>
      <c r="S29">
        <v>41.200000762939453</v>
      </c>
      <c r="T29">
        <v>298.64736938476563</v>
      </c>
      <c r="U29">
        <v>330.99404907226563</v>
      </c>
      <c r="V29">
        <v>66.241279602050781</v>
      </c>
      <c r="W29">
        <v>116.37000274658203</v>
      </c>
      <c r="X29">
        <v>40.704055786132813</v>
      </c>
      <c r="Y29">
        <v>100.17850494384766</v>
      </c>
      <c r="Z29">
        <v>29.879999160766602</v>
      </c>
      <c r="AA29">
        <v>102.83889007568359</v>
      </c>
      <c r="AC29">
        <v>16.219999313354492</v>
      </c>
      <c r="AD29">
        <v>128.9124755859375</v>
      </c>
      <c r="AE29">
        <v>47.189998626708984</v>
      </c>
      <c r="AF29">
        <v>10.010000228881836</v>
      </c>
      <c r="AG29">
        <v>16.45184326171875</v>
      </c>
      <c r="AH29">
        <v>16.06550407409668</v>
      </c>
      <c r="AI29">
        <v>100.02320861816406</v>
      </c>
      <c r="AJ29">
        <v>200.83999633789063</v>
      </c>
      <c r="AK29">
        <v>83.1502685546875</v>
      </c>
      <c r="AL29">
        <v>70.959999084472656</v>
      </c>
      <c r="AM29">
        <v>52.907489776611328</v>
      </c>
      <c r="AN29">
        <v>4193.7998046875</v>
      </c>
    </row>
    <row r="30" spans="1:40" x14ac:dyDescent="0.25">
      <c r="A30" s="47">
        <v>45260</v>
      </c>
      <c r="B30">
        <v>187.82394409179688</v>
      </c>
      <c r="C30">
        <v>611.010009765625</v>
      </c>
      <c r="D30">
        <v>121.16000366210938</v>
      </c>
      <c r="E30">
        <v>146.08999633789063</v>
      </c>
      <c r="F30">
        <v>61.5</v>
      </c>
      <c r="G30">
        <v>89.779609680175781</v>
      </c>
      <c r="H30">
        <v>70.465995788574219</v>
      </c>
      <c r="I30">
        <v>570.6856689453125</v>
      </c>
      <c r="J30">
        <v>247.61610412597656</v>
      </c>
      <c r="K30">
        <v>72.714485168457031</v>
      </c>
      <c r="L30">
        <v>39.382015228271484</v>
      </c>
      <c r="M30">
        <v>8.7217798233032227</v>
      </c>
      <c r="N30">
        <v>30.814540863037109</v>
      </c>
      <c r="O30">
        <v>131.36515808105469</v>
      </c>
      <c r="P30">
        <v>26.181852340698242</v>
      </c>
      <c r="Q30">
        <v>147.24435424804688</v>
      </c>
      <c r="R30">
        <v>44.1092529296875</v>
      </c>
      <c r="S30">
        <v>42.200000762939453</v>
      </c>
      <c r="T30">
        <v>324.3021240234375</v>
      </c>
      <c r="U30">
        <v>371.68829345703125</v>
      </c>
      <c r="V30">
        <v>75.404327392578125</v>
      </c>
      <c r="W30">
        <v>137.14799499511719</v>
      </c>
      <c r="X30">
        <v>46.682914733886719</v>
      </c>
      <c r="Y30">
        <v>112.58940887451172</v>
      </c>
      <c r="Z30">
        <v>34.069999694824219</v>
      </c>
      <c r="AA30">
        <v>122.54119110107422</v>
      </c>
      <c r="AC30">
        <v>16.760000228881836</v>
      </c>
      <c r="AD30">
        <v>153.07875061035156</v>
      </c>
      <c r="AE30">
        <v>72.819999694824219</v>
      </c>
      <c r="AF30">
        <v>13.829999923706055</v>
      </c>
      <c r="AG30">
        <v>17.02631950378418</v>
      </c>
      <c r="AH30">
        <v>18.628416061401367</v>
      </c>
      <c r="AI30">
        <v>122.05736541748047</v>
      </c>
      <c r="AJ30">
        <v>240.08000183105469</v>
      </c>
      <c r="AK30">
        <v>93.747573852539063</v>
      </c>
      <c r="AL30">
        <v>70.459999084472656</v>
      </c>
      <c r="AM30">
        <v>50.407966613769531</v>
      </c>
      <c r="AN30">
        <v>4567.7998046875</v>
      </c>
    </row>
    <row r="31" spans="1:40" x14ac:dyDescent="0.25">
      <c r="A31" s="47">
        <v>45291</v>
      </c>
      <c r="B31">
        <v>190.37507629394531</v>
      </c>
      <c r="C31">
        <v>596.5999755859375</v>
      </c>
      <c r="D31">
        <v>147.41000366210938</v>
      </c>
      <c r="E31">
        <v>151.94000244140625</v>
      </c>
      <c r="F31">
        <v>75.144996643066406</v>
      </c>
      <c r="G31">
        <v>108.75448608398438</v>
      </c>
      <c r="H31">
        <v>73.921493530273438</v>
      </c>
      <c r="I31">
        <v>649.97210693359375</v>
      </c>
      <c r="J31">
        <v>258.66497802734375</v>
      </c>
      <c r="K31">
        <v>73.318275451660156</v>
      </c>
      <c r="L31">
        <v>41.888404846191406</v>
      </c>
      <c r="M31">
        <v>10.362427711486816</v>
      </c>
      <c r="N31">
        <v>35.02716064453125</v>
      </c>
      <c r="O31">
        <v>138.46221923828125</v>
      </c>
      <c r="P31">
        <v>27.097385406494141</v>
      </c>
      <c r="Q31">
        <v>151.87820434570313</v>
      </c>
      <c r="R31">
        <v>49.585903167724609</v>
      </c>
      <c r="S31">
        <v>42.099998474121094</v>
      </c>
      <c r="T31">
        <v>350.87875366210938</v>
      </c>
      <c r="U31">
        <v>368.87301635742188</v>
      </c>
      <c r="V31">
        <v>84.650810241699219</v>
      </c>
      <c r="W31">
        <v>141.29800415039063</v>
      </c>
      <c r="X31">
        <v>49.434127807617188</v>
      </c>
      <c r="Y31">
        <v>102.145263671875</v>
      </c>
      <c r="Z31">
        <v>37.040000915527344</v>
      </c>
      <c r="AA31">
        <v>137.33538818359375</v>
      </c>
      <c r="AC31">
        <v>23.459999084472656</v>
      </c>
      <c r="AD31">
        <v>148.72073364257813</v>
      </c>
      <c r="AE31">
        <v>77.900001525878906</v>
      </c>
      <c r="AF31">
        <v>16.930000305175781</v>
      </c>
      <c r="AG31">
        <v>18.757675170898438</v>
      </c>
      <c r="AH31">
        <v>20.056079864501953</v>
      </c>
      <c r="AI31">
        <v>129.9111328125</v>
      </c>
      <c r="AJ31">
        <v>248.47999572753906</v>
      </c>
      <c r="AK31">
        <v>100.66484832763672</v>
      </c>
      <c r="AL31">
        <v>71.959999084472656</v>
      </c>
      <c r="AM31">
        <v>51.232128143310547</v>
      </c>
      <c r="AN31">
        <v>4769.830078125</v>
      </c>
    </row>
    <row r="32" spans="1:40" x14ac:dyDescent="0.25">
      <c r="A32" s="47">
        <v>45322</v>
      </c>
      <c r="B32">
        <v>182.3360595703125</v>
      </c>
      <c r="C32">
        <v>617.780029296875</v>
      </c>
      <c r="D32">
        <v>167.69000244140625</v>
      </c>
      <c r="E32">
        <v>155.19999694824219</v>
      </c>
      <c r="F32">
        <v>70.669998168945313</v>
      </c>
      <c r="G32">
        <v>114.96554565429688</v>
      </c>
      <c r="H32">
        <v>68.828720092773438</v>
      </c>
      <c r="I32">
        <v>684.23919677734375</v>
      </c>
      <c r="J32">
        <v>276.3096923828125</v>
      </c>
      <c r="K32">
        <v>79.787796020507813</v>
      </c>
      <c r="L32">
        <v>39.439632415771484</v>
      </c>
      <c r="M32">
        <v>9.9628925323486328</v>
      </c>
      <c r="N32">
        <v>37.8355712890625</v>
      </c>
      <c r="O32">
        <v>138.86860656738281</v>
      </c>
      <c r="P32">
        <v>25.854633331298828</v>
      </c>
      <c r="Q32">
        <v>170.55308532714844</v>
      </c>
      <c r="R32">
        <v>42.510665893554688</v>
      </c>
      <c r="S32">
        <v>33.799999237060547</v>
      </c>
      <c r="T32">
        <v>386.74380493164063</v>
      </c>
      <c r="U32">
        <v>390.00241088867188</v>
      </c>
      <c r="V32">
        <v>85.057510375976563</v>
      </c>
      <c r="W32">
        <v>153.08000183105469</v>
      </c>
      <c r="X32">
        <v>61.417831420898438</v>
      </c>
      <c r="Y32">
        <v>108.63924407958984</v>
      </c>
      <c r="Z32">
        <v>37.470001220703125</v>
      </c>
      <c r="AA32">
        <v>141.01968383789063</v>
      </c>
      <c r="AC32">
        <v>15.310000419616699</v>
      </c>
      <c r="AD32">
        <v>166.52798461914063</v>
      </c>
      <c r="AE32">
        <v>80.069999694824219</v>
      </c>
      <c r="AF32">
        <v>15.890000343322754</v>
      </c>
      <c r="AG32">
        <v>19.363847732543945</v>
      </c>
      <c r="AH32">
        <v>18.88642692565918</v>
      </c>
      <c r="AI32">
        <v>126.86450958251953</v>
      </c>
      <c r="AJ32">
        <v>187.28999328613281</v>
      </c>
      <c r="AK32">
        <v>109.33749389648438</v>
      </c>
      <c r="AL32">
        <v>68.430000305175781</v>
      </c>
      <c r="AM32">
        <v>53.701923370361328</v>
      </c>
      <c r="AN32">
        <v>4845.64990234375</v>
      </c>
    </row>
    <row r="33" spans="1:40" x14ac:dyDescent="0.25">
      <c r="A33" s="47">
        <v>45351</v>
      </c>
      <c r="B33">
        <v>178.95497131347656</v>
      </c>
      <c r="C33">
        <v>560.280029296875</v>
      </c>
      <c r="D33">
        <v>192.52999877929688</v>
      </c>
      <c r="E33">
        <v>176.75999450683594</v>
      </c>
      <c r="F33">
        <v>141.03999328613281</v>
      </c>
      <c r="G33">
        <v>126.70470428466797</v>
      </c>
      <c r="H33">
        <v>70.602607727050781</v>
      </c>
      <c r="I33">
        <v>733.57550048828125</v>
      </c>
      <c r="J33">
        <v>303.568115234375</v>
      </c>
      <c r="K33">
        <v>91.128280639648438</v>
      </c>
      <c r="L33">
        <v>45.403118133544922</v>
      </c>
      <c r="M33">
        <v>10.860288619995117</v>
      </c>
      <c r="N33">
        <v>40.079761505126953</v>
      </c>
      <c r="O33">
        <v>137.2430419921875</v>
      </c>
      <c r="P33">
        <v>25.512424468994141</v>
      </c>
      <c r="Q33">
        <v>173.39181518554688</v>
      </c>
      <c r="R33">
        <v>42.605575561523438</v>
      </c>
      <c r="S33">
        <v>33</v>
      </c>
      <c r="T33">
        <v>486.37890625</v>
      </c>
      <c r="U33">
        <v>406.50668334960938</v>
      </c>
      <c r="V33">
        <v>89.878257751464844</v>
      </c>
      <c r="W33">
        <v>154.26800537109375</v>
      </c>
      <c r="X33">
        <v>78.97161865234375</v>
      </c>
      <c r="Y33">
        <v>108.61978912353516</v>
      </c>
      <c r="Z33">
        <v>36.700000762939453</v>
      </c>
      <c r="AA33">
        <v>150.59266662597656</v>
      </c>
      <c r="AC33">
        <v>11.319999694824219</v>
      </c>
      <c r="AD33">
        <v>180.73719787597656</v>
      </c>
      <c r="AE33">
        <v>76.370002746582031</v>
      </c>
      <c r="AF33">
        <v>11.020000457763672</v>
      </c>
      <c r="AG33">
        <v>16.998586654663086</v>
      </c>
      <c r="AH33">
        <v>22.584589004516602</v>
      </c>
      <c r="AI33">
        <v>140.5220947265625</v>
      </c>
      <c r="AJ33">
        <v>201.8800048828125</v>
      </c>
      <c r="AK33">
        <v>124.54371643066406</v>
      </c>
      <c r="AL33">
        <v>85.430000305175781</v>
      </c>
      <c r="AM33">
        <v>57.140163421630859</v>
      </c>
      <c r="AN33">
        <v>5096.27001953125</v>
      </c>
    </row>
    <row r="34" spans="1:40" x14ac:dyDescent="0.25">
      <c r="A34" s="47">
        <v>45382</v>
      </c>
      <c r="B34">
        <v>169.77702331542969</v>
      </c>
      <c r="C34">
        <v>504.60000610351563</v>
      </c>
      <c r="D34">
        <v>180.49000549316406</v>
      </c>
      <c r="E34">
        <v>180.3800048828125</v>
      </c>
      <c r="F34">
        <v>124.98999786376953</v>
      </c>
      <c r="G34">
        <v>129.68257141113281</v>
      </c>
      <c r="H34">
        <v>69.009925842285156</v>
      </c>
      <c r="I34">
        <v>722.47161865234375</v>
      </c>
      <c r="J34">
        <v>296.44473266601563</v>
      </c>
      <c r="K34">
        <v>109.85260772705078</v>
      </c>
      <c r="L34">
        <v>50.955711364746094</v>
      </c>
      <c r="M34">
        <v>11.593620300292969</v>
      </c>
      <c r="N34">
        <v>44.353759765625</v>
      </c>
      <c r="O34">
        <v>149.60343933105469</v>
      </c>
      <c r="P34">
        <v>27.460046768188477</v>
      </c>
      <c r="Q34">
        <v>178.94883728027344</v>
      </c>
      <c r="R34">
        <v>43.714012145996094</v>
      </c>
      <c r="S34">
        <v>28.5</v>
      </c>
      <c r="T34">
        <v>481.86370849609375</v>
      </c>
      <c r="U34">
        <v>413.46463012695313</v>
      </c>
      <c r="V34">
        <v>117.05082702636719</v>
      </c>
      <c r="W34">
        <v>152.47999572753906</v>
      </c>
      <c r="X34">
        <v>90.199913024902344</v>
      </c>
      <c r="Y34">
        <v>122.16810607910156</v>
      </c>
      <c r="Z34">
        <v>34.669998168945313</v>
      </c>
      <c r="AA34">
        <v>161.57766723632813</v>
      </c>
      <c r="AB34">
        <v>49.319999694824219</v>
      </c>
      <c r="AC34">
        <v>10.949999809265137</v>
      </c>
      <c r="AD34">
        <v>187.6253662109375</v>
      </c>
      <c r="AE34">
        <v>77.169998168945313</v>
      </c>
      <c r="AF34">
        <v>11.479999542236328</v>
      </c>
      <c r="AG34">
        <v>17.041118621826172</v>
      </c>
      <c r="AH34">
        <v>24.339065551757813</v>
      </c>
      <c r="AI34">
        <v>162.84281921386719</v>
      </c>
      <c r="AJ34">
        <v>175.78999328613281</v>
      </c>
      <c r="AK34">
        <v>132.2218017578125</v>
      </c>
      <c r="AL34">
        <v>87.419998168945313</v>
      </c>
      <c r="AM34">
        <v>58.860820770263672</v>
      </c>
      <c r="AN34">
        <v>5254.35009765625</v>
      </c>
    </row>
    <row r="35" spans="1:40" x14ac:dyDescent="0.25">
      <c r="A35" s="47">
        <v>45412</v>
      </c>
      <c r="B35">
        <v>168.63847351074219</v>
      </c>
      <c r="C35">
        <v>462.82998657226563</v>
      </c>
      <c r="D35">
        <v>158.3800048828125</v>
      </c>
      <c r="E35">
        <v>175</v>
      </c>
      <c r="F35">
        <v>101.20999908447266</v>
      </c>
      <c r="G35">
        <v>127.22277069091797</v>
      </c>
      <c r="H35">
        <v>71.3846435546875</v>
      </c>
      <c r="I35">
        <v>714.02081298828125</v>
      </c>
      <c r="J35">
        <v>264.711669921875</v>
      </c>
      <c r="K35">
        <v>120.45638275146484</v>
      </c>
      <c r="L35">
        <v>49.758575439453125</v>
      </c>
      <c r="M35">
        <v>10.607114791870117</v>
      </c>
      <c r="N35">
        <v>43.551773071289063</v>
      </c>
      <c r="O35">
        <v>161.34928894042969</v>
      </c>
      <c r="P35">
        <v>25.524580001831055</v>
      </c>
      <c r="Q35">
        <v>155.7462158203125</v>
      </c>
      <c r="R35">
        <v>30.155445098876953</v>
      </c>
      <c r="S35">
        <v>25.5</v>
      </c>
      <c r="T35">
        <v>426.8778076171875</v>
      </c>
      <c r="U35">
        <v>382.6158447265625</v>
      </c>
      <c r="V35">
        <v>112.15593719482422</v>
      </c>
      <c r="W35">
        <v>138.66600036621094</v>
      </c>
      <c r="X35">
        <v>86.252738952636719</v>
      </c>
      <c r="Y35">
        <v>110.99009704589844</v>
      </c>
      <c r="Z35">
        <v>33.450000762939453</v>
      </c>
      <c r="AA35">
        <v>158.28506469726563</v>
      </c>
      <c r="AB35">
        <v>44.439998626708984</v>
      </c>
      <c r="AC35">
        <v>8.8999996185302734</v>
      </c>
      <c r="AD35">
        <v>174.330078125</v>
      </c>
      <c r="AE35">
        <v>70.199996948242188</v>
      </c>
      <c r="AF35">
        <v>15.050000190734863</v>
      </c>
      <c r="AG35">
        <v>16.411067962646484</v>
      </c>
      <c r="AH35">
        <v>20.492525100708008</v>
      </c>
      <c r="AI35">
        <v>147.92863464355469</v>
      </c>
      <c r="AJ35">
        <v>183.27999877929688</v>
      </c>
      <c r="AK35">
        <v>133.47550964355469</v>
      </c>
      <c r="AL35">
        <v>82.849998474121094</v>
      </c>
      <c r="AM35">
        <v>58.058666229248047</v>
      </c>
      <c r="AN35">
        <v>5035.68994140625</v>
      </c>
    </row>
    <row r="36" spans="1:40" x14ac:dyDescent="0.25">
      <c r="A36" s="47">
        <v>45443</v>
      </c>
      <c r="B36">
        <v>190.59896850585938</v>
      </c>
      <c r="C36">
        <v>444.760009765625</v>
      </c>
      <c r="D36">
        <v>166.89999389648438</v>
      </c>
      <c r="E36">
        <v>176.44000244140625</v>
      </c>
      <c r="F36">
        <v>120.51999664306641</v>
      </c>
      <c r="G36">
        <v>129.98979187011719</v>
      </c>
      <c r="H36">
        <v>74.713066101074219</v>
      </c>
      <c r="I36">
        <v>799.94232177734375</v>
      </c>
      <c r="J36">
        <v>230.75408935546875</v>
      </c>
      <c r="K36">
        <v>134.87559509277344</v>
      </c>
      <c r="L36">
        <v>52.612213134765625</v>
      </c>
      <c r="M36">
        <v>10.718274116516113</v>
      </c>
      <c r="N36">
        <v>44.001674652099609</v>
      </c>
      <c r="O36">
        <v>170.98382568359375</v>
      </c>
      <c r="P36">
        <v>33.166507720947266</v>
      </c>
      <c r="Q36">
        <v>157.90744018554688</v>
      </c>
      <c r="R36">
        <v>30.655534744262695</v>
      </c>
      <c r="S36">
        <v>28.399999618530273</v>
      </c>
      <c r="T36">
        <v>463.25717163085938</v>
      </c>
      <c r="U36">
        <v>408.7069091796875</v>
      </c>
      <c r="V36">
        <v>124.11022186279297</v>
      </c>
      <c r="W36">
        <v>131.38600158691406</v>
      </c>
      <c r="X36">
        <v>109.443603515625</v>
      </c>
      <c r="Y36">
        <v>114.34663391113281</v>
      </c>
      <c r="Z36">
        <v>41.490001678466797</v>
      </c>
      <c r="AA36">
        <v>195.54071044921875</v>
      </c>
      <c r="AB36">
        <v>54.240001678466797</v>
      </c>
      <c r="AC36">
        <v>10.920000076293945</v>
      </c>
      <c r="AD36">
        <v>177.71589660644531</v>
      </c>
      <c r="AE36">
        <v>59.150001525878906</v>
      </c>
      <c r="AF36">
        <v>15.020000457763672</v>
      </c>
      <c r="AG36">
        <v>16.3653564453125</v>
      </c>
      <c r="AH36">
        <v>20.464958190917969</v>
      </c>
      <c r="AI36">
        <v>144.48719787597656</v>
      </c>
      <c r="AJ36">
        <v>178.08000183105469</v>
      </c>
      <c r="AK36">
        <v>146.78999328613281</v>
      </c>
      <c r="AL36">
        <v>92.779998779296875</v>
      </c>
      <c r="AM36">
        <v>64.551849365234375</v>
      </c>
      <c r="AN36">
        <v>5277.509765625</v>
      </c>
    </row>
    <row r="37" spans="1:40" x14ac:dyDescent="0.25">
      <c r="A37" s="47">
        <v>45473</v>
      </c>
      <c r="B37">
        <v>208.81117248535156</v>
      </c>
      <c r="C37">
        <v>555.53997802734375</v>
      </c>
      <c r="D37">
        <v>162.21000671386719</v>
      </c>
      <c r="E37">
        <v>193.25</v>
      </c>
      <c r="F37">
        <v>163.6199951171875</v>
      </c>
      <c r="G37">
        <v>157.5892333984375</v>
      </c>
      <c r="H37">
        <v>70.158958435058594</v>
      </c>
      <c r="I37">
        <v>839.54974365234375</v>
      </c>
      <c r="J37">
        <v>253.05781555175781</v>
      </c>
      <c r="K37">
        <v>133.281005859375</v>
      </c>
      <c r="L37">
        <v>52.127037048339844</v>
      </c>
      <c r="M37">
        <v>11.080556869506836</v>
      </c>
      <c r="N37">
        <v>45.559246063232422</v>
      </c>
      <c r="O37">
        <v>180.75625610351563</v>
      </c>
      <c r="P37">
        <v>32.065334320068359</v>
      </c>
      <c r="Q37">
        <v>163.68051147460938</v>
      </c>
      <c r="R37">
        <v>30.774776458740234</v>
      </c>
      <c r="S37">
        <v>26.100000381469727</v>
      </c>
      <c r="T37">
        <v>500.85775756835938</v>
      </c>
      <c r="U37">
        <v>440.03451538085938</v>
      </c>
      <c r="V37">
        <v>130.59373474121094</v>
      </c>
      <c r="W37">
        <v>157.33399963378906</v>
      </c>
      <c r="X37">
        <v>123.33671569824219</v>
      </c>
      <c r="Y37">
        <v>137.77407836914063</v>
      </c>
      <c r="Z37">
        <v>44.069999694824219</v>
      </c>
      <c r="AA37">
        <v>190.87379455566406</v>
      </c>
      <c r="AB37">
        <v>63.889999389648438</v>
      </c>
      <c r="AC37">
        <v>13.420000076293945</v>
      </c>
      <c r="AD37">
        <v>196.48692321777344</v>
      </c>
      <c r="AE37">
        <v>66.050003051757813</v>
      </c>
      <c r="AF37">
        <v>16.610000610351563</v>
      </c>
      <c r="AG37">
        <v>16.884101867675781</v>
      </c>
      <c r="AH37">
        <v>18.241104125976563</v>
      </c>
      <c r="AI37">
        <v>136.97416687011719</v>
      </c>
      <c r="AJ37">
        <v>197.8800048828125</v>
      </c>
      <c r="AK37">
        <v>169.45220947265625</v>
      </c>
      <c r="AL37">
        <v>97.669998168945313</v>
      </c>
      <c r="AM37">
        <v>66.466026306152344</v>
      </c>
      <c r="AN37">
        <v>5460.47998046875</v>
      </c>
    </row>
    <row r="38" spans="1:40" x14ac:dyDescent="0.25">
      <c r="A38" s="47">
        <v>45504</v>
      </c>
      <c r="B38">
        <v>220.17276000976563</v>
      </c>
      <c r="C38">
        <v>551.6500244140625</v>
      </c>
      <c r="D38">
        <v>144.47999572753906</v>
      </c>
      <c r="E38">
        <v>186.97999572753906</v>
      </c>
      <c r="F38">
        <v>144.16999816894531</v>
      </c>
      <c r="G38">
        <v>157.71391296386719</v>
      </c>
      <c r="H38">
        <v>76.833793640136719</v>
      </c>
      <c r="I38">
        <v>813.05938720703125</v>
      </c>
      <c r="J38">
        <v>255.12762451171875</v>
      </c>
      <c r="K38">
        <v>110.24534606933594</v>
      </c>
      <c r="L38">
        <v>53.960994720458984</v>
      </c>
      <c r="M38">
        <v>9.560734748840332</v>
      </c>
      <c r="N38">
        <v>43.460735321044922</v>
      </c>
      <c r="O38">
        <v>170.22743225097656</v>
      </c>
      <c r="P38">
        <v>33.045063018798828</v>
      </c>
      <c r="Q38">
        <v>181.84199523925781</v>
      </c>
      <c r="R38">
        <v>30.546226501464844</v>
      </c>
      <c r="S38">
        <v>35.200000762939453</v>
      </c>
      <c r="T38">
        <v>471.66378784179688</v>
      </c>
      <c r="U38">
        <v>411.8770751953125</v>
      </c>
      <c r="V38">
        <v>109.13364410400391</v>
      </c>
      <c r="W38">
        <v>162.87800598144531</v>
      </c>
      <c r="X38">
        <v>116.82743835449219</v>
      </c>
      <c r="Y38">
        <v>136.45071411132813</v>
      </c>
      <c r="Z38">
        <v>31.950000762939453</v>
      </c>
      <c r="AA38">
        <v>173.40402221679688</v>
      </c>
      <c r="AB38">
        <v>60.849998474121094</v>
      </c>
      <c r="AC38">
        <v>16.409999847412109</v>
      </c>
      <c r="AD38">
        <v>206.12081909179688</v>
      </c>
      <c r="AE38">
        <v>61.200000762939453</v>
      </c>
      <c r="AF38">
        <v>13.319999694824219</v>
      </c>
      <c r="AG38">
        <v>17.607564926147461</v>
      </c>
      <c r="AH38">
        <v>15.337231636047363</v>
      </c>
      <c r="AI38">
        <v>139.16700744628906</v>
      </c>
      <c r="AJ38">
        <v>232.07000732421875</v>
      </c>
      <c r="AK38">
        <v>161.64303588867188</v>
      </c>
      <c r="AL38">
        <v>89.879997253417969</v>
      </c>
      <c r="AM38">
        <v>67.378936767578125</v>
      </c>
      <c r="AN38">
        <v>5522.2998046875</v>
      </c>
    </row>
    <row r="39" spans="1:40" x14ac:dyDescent="0.25">
      <c r="A39" s="47">
        <v>45535</v>
      </c>
      <c r="B39">
        <v>227.29612731933594</v>
      </c>
      <c r="C39">
        <v>574.40997314453125</v>
      </c>
      <c r="D39">
        <v>148.55999755859375</v>
      </c>
      <c r="E39">
        <v>178.5</v>
      </c>
      <c r="F39">
        <v>132.8800048828125</v>
      </c>
      <c r="G39">
        <v>159.81439208984375</v>
      </c>
      <c r="H39">
        <v>81.208992004394531</v>
      </c>
      <c r="I39">
        <v>882.673828125</v>
      </c>
      <c r="J39">
        <v>249.31129455566406</v>
      </c>
      <c r="K39">
        <v>112.04914855957031</v>
      </c>
      <c r="L39">
        <v>57.612949371337891</v>
      </c>
      <c r="M39">
        <v>10.041687965393066</v>
      </c>
      <c r="N39">
        <v>48.814876556396484</v>
      </c>
      <c r="O39">
        <v>162.12986755371094</v>
      </c>
      <c r="P39">
        <v>33.127471923828125</v>
      </c>
      <c r="Q39">
        <v>192.96968078613281</v>
      </c>
      <c r="R39">
        <v>22.040000915527344</v>
      </c>
      <c r="S39">
        <v>40.200000762939453</v>
      </c>
      <c r="T39">
        <v>517.8338623046875</v>
      </c>
      <c r="U39">
        <v>411.42599487304688</v>
      </c>
      <c r="V39">
        <v>95.638526916503906</v>
      </c>
      <c r="W39">
        <v>171</v>
      </c>
      <c r="X39">
        <v>119.17356872558594</v>
      </c>
      <c r="Y39">
        <v>138.25112915039063</v>
      </c>
      <c r="Z39">
        <v>32.040000915527344</v>
      </c>
      <c r="AA39">
        <v>167.9896240234375</v>
      </c>
      <c r="AB39">
        <v>60.029998779296875</v>
      </c>
      <c r="AC39">
        <v>14.130000114440918</v>
      </c>
      <c r="AD39">
        <v>214.02081298828125</v>
      </c>
      <c r="AE39">
        <v>74.069999694824219</v>
      </c>
      <c r="AF39">
        <v>9.3400001525878906</v>
      </c>
      <c r="AG39">
        <v>19.390382766723633</v>
      </c>
      <c r="AH39">
        <v>15.419937133789063</v>
      </c>
      <c r="AI39">
        <v>143.24867248535156</v>
      </c>
      <c r="AJ39">
        <v>214.11000061035156</v>
      </c>
      <c r="AK39">
        <v>167.39508056640625</v>
      </c>
      <c r="AL39">
        <v>104.52999877929688</v>
      </c>
      <c r="AM39">
        <v>76.027229309082031</v>
      </c>
      <c r="AN39">
        <v>5648.39990234375</v>
      </c>
    </row>
    <row r="40" spans="1:40" x14ac:dyDescent="0.25">
      <c r="A40" s="47">
        <v>45565</v>
      </c>
      <c r="B40">
        <v>231.26637268066406</v>
      </c>
      <c r="C40">
        <v>517.780029296875</v>
      </c>
      <c r="D40">
        <v>164.08000183105469</v>
      </c>
      <c r="E40">
        <v>186.33000183105469</v>
      </c>
      <c r="F40">
        <v>143.00999450683594</v>
      </c>
      <c r="G40">
        <v>169.87261962890625</v>
      </c>
      <c r="H40">
        <v>103.40650939941406</v>
      </c>
      <c r="I40">
        <v>876.87762451171875</v>
      </c>
      <c r="J40">
        <v>270.24966430664063</v>
      </c>
      <c r="K40">
        <v>114.95849609375</v>
      </c>
      <c r="L40">
        <v>63.471729278564453</v>
      </c>
      <c r="M40">
        <v>9.4763383865356445</v>
      </c>
      <c r="N40">
        <v>44.080513000488281</v>
      </c>
      <c r="O40">
        <v>164.79936218261719</v>
      </c>
      <c r="P40">
        <v>33.116703033447266</v>
      </c>
      <c r="Q40">
        <v>211.06089782714844</v>
      </c>
      <c r="R40">
        <v>23.459999084472656</v>
      </c>
      <c r="S40">
        <v>35.299999237060547</v>
      </c>
      <c r="T40">
        <v>569.1654052734375</v>
      </c>
      <c r="U40">
        <v>424.40570068359375</v>
      </c>
      <c r="V40">
        <v>103.06182861328125</v>
      </c>
      <c r="W40">
        <v>178.87800598144531</v>
      </c>
      <c r="X40">
        <v>121.25054931640625</v>
      </c>
      <c r="Y40">
        <v>166.73504638671875</v>
      </c>
      <c r="Z40">
        <v>32.369998931884766</v>
      </c>
      <c r="AA40">
        <v>163.80070495605469</v>
      </c>
      <c r="AB40">
        <v>65.919998168945313</v>
      </c>
      <c r="AC40">
        <v>11.220000267028809</v>
      </c>
      <c r="AD40">
        <v>223.16766357421875</v>
      </c>
      <c r="AE40">
        <v>80.139999389648438</v>
      </c>
      <c r="AF40">
        <v>10.699999809265137</v>
      </c>
      <c r="AG40">
        <v>19.260112762451172</v>
      </c>
      <c r="AH40">
        <v>12.911210060119629</v>
      </c>
      <c r="AI40">
        <v>145.33746337890625</v>
      </c>
      <c r="AJ40">
        <v>261.6300048828125</v>
      </c>
      <c r="AK40">
        <v>169.94064331054688</v>
      </c>
      <c r="AL40">
        <v>109.65000152587891</v>
      </c>
      <c r="AM40">
        <v>79.492416381835938</v>
      </c>
      <c r="AN40">
        <v>5762.47998046875</v>
      </c>
    </row>
    <row r="41" spans="1:40" x14ac:dyDescent="0.25">
      <c r="A41" s="47">
        <v>45596</v>
      </c>
      <c r="B41">
        <v>224.22911071777344</v>
      </c>
      <c r="C41">
        <v>478.07998657226563</v>
      </c>
      <c r="D41">
        <v>144.07000732421875</v>
      </c>
      <c r="E41">
        <v>186.39999389648438</v>
      </c>
      <c r="F41">
        <v>141.30000305175781</v>
      </c>
      <c r="G41">
        <v>167.18417358398438</v>
      </c>
      <c r="H41">
        <v>95.474647521972656</v>
      </c>
      <c r="I41">
        <v>864.671875</v>
      </c>
      <c r="J41">
        <v>287.6864013671875</v>
      </c>
      <c r="K41">
        <v>120.32080841064453</v>
      </c>
      <c r="L41">
        <v>56.062961578369141</v>
      </c>
      <c r="M41">
        <v>9.2340450286865234</v>
      </c>
      <c r="N41">
        <v>49.900238037109375</v>
      </c>
      <c r="O41">
        <v>170.02603149414063</v>
      </c>
      <c r="P41">
        <v>32.793582916259766</v>
      </c>
      <c r="Q41">
        <v>197.35169982910156</v>
      </c>
      <c r="R41">
        <v>21.520000457763672</v>
      </c>
      <c r="S41">
        <v>22.100000381469727</v>
      </c>
      <c r="T41">
        <v>564.333251953125</v>
      </c>
      <c r="U41">
        <v>400.78378295898438</v>
      </c>
      <c r="V41">
        <v>99.138710021972656</v>
      </c>
      <c r="W41">
        <v>186.59800720214844</v>
      </c>
      <c r="X41">
        <v>132.55287170410156</v>
      </c>
      <c r="Y41">
        <v>164.59938049316406</v>
      </c>
      <c r="Z41">
        <v>31.790000915527344</v>
      </c>
      <c r="AA41">
        <v>156.78825378417969</v>
      </c>
      <c r="AB41">
        <v>119.30000305175781</v>
      </c>
      <c r="AC41">
        <v>10.100000381469727</v>
      </c>
      <c r="AD41">
        <v>227.59011840820313</v>
      </c>
      <c r="AE41">
        <v>78.209999084472656</v>
      </c>
      <c r="AF41">
        <v>12.159999847412109</v>
      </c>
      <c r="AG41">
        <v>17.550897598266602</v>
      </c>
      <c r="AH41">
        <v>12.51606273651123</v>
      </c>
      <c r="AI41">
        <v>139.91035461425781</v>
      </c>
      <c r="AJ41">
        <v>249.85000610351563</v>
      </c>
      <c r="AK41">
        <v>186.44837951660156</v>
      </c>
      <c r="AL41">
        <v>120.20999908447266</v>
      </c>
      <c r="AM41">
        <v>80.673721313476563</v>
      </c>
      <c r="AN41">
        <v>5705.4501953125</v>
      </c>
    </row>
    <row r="42" spans="1:40" x14ac:dyDescent="0.25">
      <c r="A42" s="47">
        <v>45626</v>
      </c>
      <c r="B42">
        <v>235.82331848144531</v>
      </c>
      <c r="C42">
        <v>515.92999267578125</v>
      </c>
      <c r="D42">
        <v>137.17999267578125</v>
      </c>
      <c r="E42">
        <v>207.88999938964844</v>
      </c>
      <c r="F42">
        <v>134.28999328613281</v>
      </c>
      <c r="G42">
        <v>159.611328125</v>
      </c>
      <c r="H42">
        <v>85.135948181152344</v>
      </c>
      <c r="I42">
        <v>962.58642578125</v>
      </c>
      <c r="J42">
        <v>325.818115234375</v>
      </c>
      <c r="K42">
        <v>124.17481994628906</v>
      </c>
      <c r="L42">
        <v>61.957653045654297</v>
      </c>
      <c r="M42">
        <v>10.123551368713379</v>
      </c>
      <c r="N42">
        <v>54.648429870605469</v>
      </c>
      <c r="O42">
        <v>167.87971496582031</v>
      </c>
      <c r="P42">
        <v>32.710475921630859</v>
      </c>
      <c r="Q42">
        <v>218.81504821777344</v>
      </c>
      <c r="R42">
        <v>24.049999237060547</v>
      </c>
      <c r="S42">
        <v>21.799999237060547</v>
      </c>
      <c r="T42">
        <v>571.03466796875</v>
      </c>
      <c r="U42">
        <v>418.49545288085938</v>
      </c>
      <c r="V42">
        <v>97.447418212890625</v>
      </c>
      <c r="W42">
        <v>209.88800048828125</v>
      </c>
      <c r="X42">
        <v>138.03433227539063</v>
      </c>
      <c r="Y42">
        <v>181.27117919921875</v>
      </c>
      <c r="Z42">
        <v>30.319999694824219</v>
      </c>
      <c r="AA42">
        <v>152.70407104492188</v>
      </c>
      <c r="AB42">
        <v>140.69000244140625</v>
      </c>
      <c r="AC42">
        <v>12.229999542236328</v>
      </c>
      <c r="AD42">
        <v>231.44757080078125</v>
      </c>
      <c r="AE42">
        <v>115.59999847412109</v>
      </c>
      <c r="AF42">
        <v>11.810000419616699</v>
      </c>
      <c r="AG42">
        <v>19.994060516357422</v>
      </c>
      <c r="AH42">
        <v>12.130105018615723</v>
      </c>
      <c r="AI42">
        <v>124.26958465576172</v>
      </c>
      <c r="AJ42">
        <v>345.16000366210938</v>
      </c>
      <c r="AK42">
        <v>180.69465637207031</v>
      </c>
      <c r="AL42">
        <v>128.55000305175781</v>
      </c>
      <c r="AM42">
        <v>91.059432983398438</v>
      </c>
      <c r="AN42">
        <v>6032.3798828125</v>
      </c>
    </row>
    <row r="43" spans="1:40" x14ac:dyDescent="0.25">
      <c r="A43" s="47">
        <v>45657</v>
      </c>
      <c r="B43">
        <v>248.8302001953125</v>
      </c>
      <c r="C43">
        <v>444.67999267578125</v>
      </c>
      <c r="D43">
        <v>120.79000091552734</v>
      </c>
      <c r="E43">
        <v>219.38999938964844</v>
      </c>
      <c r="F43">
        <v>123.36000061035156</v>
      </c>
      <c r="G43">
        <v>228.92050170898438</v>
      </c>
      <c r="H43">
        <v>82.621917724609375</v>
      </c>
      <c r="I43">
        <v>907.50836181640625</v>
      </c>
      <c r="J43">
        <v>330.47988891601563</v>
      </c>
      <c r="K43">
        <v>112.15538787841797</v>
      </c>
      <c r="L43">
        <v>60.645858764648438</v>
      </c>
      <c r="M43">
        <v>9.0047750473022461</v>
      </c>
      <c r="N43">
        <v>52.485694885253906</v>
      </c>
      <c r="O43">
        <v>188.31640625</v>
      </c>
      <c r="P43">
        <v>30.37666130065918</v>
      </c>
      <c r="Q43">
        <v>211.52154541015625</v>
      </c>
      <c r="R43">
        <v>20.049999237060547</v>
      </c>
      <c r="S43">
        <v>30.200000762939453</v>
      </c>
      <c r="T43">
        <v>582.6302490234375</v>
      </c>
      <c r="U43">
        <v>416.55841064453125</v>
      </c>
      <c r="V43">
        <v>83.836967468261719</v>
      </c>
      <c r="W43">
        <v>212.02400207519531</v>
      </c>
      <c r="X43">
        <v>134.08973693847656</v>
      </c>
      <c r="Y43">
        <v>163.42256164550781</v>
      </c>
      <c r="Z43">
        <v>29</v>
      </c>
      <c r="AA43">
        <v>148.74856567382813</v>
      </c>
      <c r="AB43">
        <v>163.44000244140625</v>
      </c>
      <c r="AC43">
        <v>13.300000190734863</v>
      </c>
      <c r="AD43">
        <v>239.83462524414063</v>
      </c>
      <c r="AE43">
        <v>106.33000183105469</v>
      </c>
      <c r="AF43">
        <v>10.770000457763672</v>
      </c>
      <c r="AG43">
        <v>21.100963592529297</v>
      </c>
      <c r="AH43">
        <v>11.992262840270996</v>
      </c>
      <c r="AI43">
        <v>126.96514892578125</v>
      </c>
      <c r="AJ43">
        <v>403.83999633789063</v>
      </c>
      <c r="AK43">
        <v>193.86280822753906</v>
      </c>
      <c r="AL43">
        <v>117.52999877929688</v>
      </c>
      <c r="AM43">
        <v>89.139968872070313</v>
      </c>
      <c r="AN43">
        <v>5881.6298828125</v>
      </c>
    </row>
    <row r="44" spans="1:40" x14ac:dyDescent="0.25">
      <c r="A44" s="47">
        <v>45688</v>
      </c>
      <c r="B44">
        <v>234.50175476074219</v>
      </c>
      <c r="C44">
        <v>437.45001220703125</v>
      </c>
      <c r="D44">
        <v>115.94999694824219</v>
      </c>
      <c r="E44">
        <v>237.67999267578125</v>
      </c>
      <c r="F44">
        <v>159.55000305175781</v>
      </c>
      <c r="G44">
        <v>218.48361206054688</v>
      </c>
      <c r="H44">
        <v>96.312652587890625</v>
      </c>
      <c r="I44">
        <v>970.50994873046875</v>
      </c>
      <c r="J44">
        <v>337.76504516601563</v>
      </c>
      <c r="K44">
        <v>101.23077392578125</v>
      </c>
      <c r="L44">
        <v>66.059440612792969</v>
      </c>
      <c r="M44">
        <v>9.1684989929199219</v>
      </c>
      <c r="N44">
        <v>48.731788635253906</v>
      </c>
      <c r="O44">
        <v>202.95991516113281</v>
      </c>
      <c r="P44">
        <v>30.255634307861328</v>
      </c>
      <c r="Q44">
        <v>246.03582763671875</v>
      </c>
      <c r="R44">
        <v>19.430000305175781</v>
      </c>
      <c r="S44">
        <v>27.600000381469727</v>
      </c>
      <c r="T44">
        <v>685.79034423828125</v>
      </c>
      <c r="U44">
        <v>410.19390869140625</v>
      </c>
      <c r="V44">
        <v>90.889785766601563</v>
      </c>
      <c r="W44">
        <v>203.67599487304688</v>
      </c>
      <c r="X44">
        <v>119.89094543457031</v>
      </c>
      <c r="Y44">
        <v>167.18646240234375</v>
      </c>
      <c r="Z44">
        <v>32.959999084472656</v>
      </c>
      <c r="AA44">
        <v>167.44621276855469</v>
      </c>
      <c r="AB44">
        <v>199.55000305175781</v>
      </c>
      <c r="AC44">
        <v>12.560000419616699</v>
      </c>
      <c r="AD44">
        <v>268.91168212890625</v>
      </c>
      <c r="AE44">
        <v>116.80000305175781</v>
      </c>
      <c r="AF44">
        <v>11.289999961853027</v>
      </c>
      <c r="AG44">
        <v>21.948593139648438</v>
      </c>
      <c r="AH44">
        <v>12.065778732299805</v>
      </c>
      <c r="AI44">
        <v>129.52926635742188</v>
      </c>
      <c r="AJ44">
        <v>404.60000610351563</v>
      </c>
      <c r="AK44">
        <v>205.47555541992188</v>
      </c>
      <c r="AL44">
        <v>118.68000030517578</v>
      </c>
      <c r="AM44">
        <v>96.845367431640625</v>
      </c>
      <c r="AN44">
        <v>6040.52978515625</v>
      </c>
    </row>
    <row r="45" spans="1:40" x14ac:dyDescent="0.25">
      <c r="A45" s="47">
        <v>45716</v>
      </c>
      <c r="B45">
        <v>240.56889343261719</v>
      </c>
      <c r="C45">
        <v>438.55999755859375</v>
      </c>
      <c r="D45">
        <v>99.860000610351563</v>
      </c>
      <c r="E45">
        <v>212.27999877929688</v>
      </c>
      <c r="F45">
        <v>131.69000244140625</v>
      </c>
      <c r="G45">
        <v>196.91862487792969</v>
      </c>
      <c r="H45">
        <v>129.1217041015625</v>
      </c>
      <c r="I45">
        <v>1039.730224609375</v>
      </c>
      <c r="J45">
        <v>294.4200439453125</v>
      </c>
      <c r="K45">
        <v>100.40999603271484</v>
      </c>
      <c r="L45">
        <v>63.377120971679688</v>
      </c>
      <c r="M45">
        <v>8.9702949523925781</v>
      </c>
      <c r="N45">
        <v>48.406650543212891</v>
      </c>
      <c r="O45">
        <v>169.39518737792969</v>
      </c>
      <c r="P45">
        <v>28.738201141357422</v>
      </c>
      <c r="Q45">
        <v>244.51725769042969</v>
      </c>
      <c r="R45">
        <v>23.729999542236328</v>
      </c>
      <c r="S45">
        <v>22.200000762939453</v>
      </c>
      <c r="T45">
        <v>664.91357421875</v>
      </c>
      <c r="U45">
        <v>393.12237548828125</v>
      </c>
      <c r="V45">
        <v>93.270606994628906</v>
      </c>
      <c r="W45">
        <v>185.95199584960938</v>
      </c>
      <c r="X45">
        <v>124.73371124267578</v>
      </c>
      <c r="Y45">
        <v>163.25404357910156</v>
      </c>
      <c r="Z45">
        <v>36.979999542236328</v>
      </c>
      <c r="AA45">
        <v>152.18600463867188</v>
      </c>
      <c r="AB45">
        <v>161.77999877929688</v>
      </c>
      <c r="AC45">
        <v>11.840000152587891</v>
      </c>
      <c r="AD45">
        <v>267.87911987304688</v>
      </c>
      <c r="AE45">
        <v>112</v>
      </c>
      <c r="AF45">
        <v>10.25</v>
      </c>
      <c r="AG45">
        <v>24.97014045715332</v>
      </c>
      <c r="AH45">
        <v>11.689010620117188</v>
      </c>
      <c r="AI45">
        <v>117.68511962890625</v>
      </c>
      <c r="AJ45">
        <v>292.98001098632813</v>
      </c>
      <c r="AK45">
        <v>177.21432495117188</v>
      </c>
      <c r="AL45">
        <v>70.319999694824219</v>
      </c>
      <c r="AM45">
        <v>97.289337158203125</v>
      </c>
      <c r="AN45">
        <v>5954.5</v>
      </c>
    </row>
    <row r="46" spans="1:40" x14ac:dyDescent="0.25">
      <c r="A46" s="47">
        <v>45747</v>
      </c>
      <c r="B46">
        <v>220.96249389648438</v>
      </c>
      <c r="C46">
        <v>383.52999877929688</v>
      </c>
      <c r="D46">
        <v>102.73999786376953</v>
      </c>
      <c r="E46">
        <v>190.25999450683594</v>
      </c>
      <c r="F46">
        <v>106.79000091552734</v>
      </c>
      <c r="G46">
        <v>165.82185363769531</v>
      </c>
      <c r="H46">
        <v>128.848876953125</v>
      </c>
      <c r="I46">
        <v>937.77105712890625</v>
      </c>
      <c r="J46">
        <v>265.26959228515625</v>
      </c>
      <c r="K46">
        <v>89.065498352050781</v>
      </c>
      <c r="L46">
        <v>66.604812622070313</v>
      </c>
      <c r="M46">
        <v>9.4211578369140625</v>
      </c>
      <c r="N46">
        <v>46.455673217773438</v>
      </c>
      <c r="O46">
        <v>154.01365661621094</v>
      </c>
      <c r="P46">
        <v>26.040760040283203</v>
      </c>
      <c r="Q46">
        <v>240.85591125488281</v>
      </c>
      <c r="R46">
        <v>22.709999084472656</v>
      </c>
      <c r="S46">
        <v>24.200000762939453</v>
      </c>
      <c r="T46">
        <v>574.0355224609375</v>
      </c>
      <c r="U46">
        <v>371.73291015625</v>
      </c>
      <c r="V46">
        <v>86.669181823730469</v>
      </c>
      <c r="W46">
        <v>159.22799682617188</v>
      </c>
      <c r="X46">
        <v>108.22832489013672</v>
      </c>
      <c r="Y46">
        <v>137.44761657714844</v>
      </c>
      <c r="Z46">
        <v>31</v>
      </c>
      <c r="AA46">
        <v>149.54090881347656</v>
      </c>
      <c r="AB46">
        <v>104.90000152587891</v>
      </c>
      <c r="AC46">
        <v>12.449999809265137</v>
      </c>
      <c r="AD46">
        <v>261.48898315429688</v>
      </c>
      <c r="AE46">
        <v>95.480003356933594</v>
      </c>
      <c r="AF46">
        <v>8.7100000381469727</v>
      </c>
      <c r="AG46">
        <v>25.389999389648438</v>
      </c>
      <c r="AH46">
        <v>10.301399230957031</v>
      </c>
      <c r="AI46">
        <v>98.853996276855469</v>
      </c>
      <c r="AJ46">
        <v>259.16000366210938</v>
      </c>
      <c r="AK46">
        <v>163.58609008789063</v>
      </c>
      <c r="AL46">
        <v>54.720001220703125</v>
      </c>
      <c r="AM46">
        <v>86.852104187011719</v>
      </c>
      <c r="AN46">
        <v>5611.85009765625</v>
      </c>
    </row>
    <row r="47" spans="1:40" x14ac:dyDescent="0.25">
      <c r="A47" s="47">
        <v>45777</v>
      </c>
      <c r="B47">
        <v>211.38310241699219</v>
      </c>
      <c r="C47">
        <v>374.98001098632813</v>
      </c>
      <c r="D47">
        <v>97.349998474121094</v>
      </c>
      <c r="E47">
        <v>184.41999816894531</v>
      </c>
      <c r="F47">
        <v>114.05000305175781</v>
      </c>
      <c r="G47">
        <v>190.621337890625</v>
      </c>
      <c r="H47">
        <v>116.37616729736328</v>
      </c>
      <c r="I47">
        <v>986.0784912109375</v>
      </c>
      <c r="J47">
        <v>266.032958984375</v>
      </c>
      <c r="K47">
        <v>90.236557006835938</v>
      </c>
      <c r="L47">
        <v>67.027671813964844</v>
      </c>
      <c r="M47">
        <v>9.4023723602294922</v>
      </c>
      <c r="N47">
        <v>44.687541961669922</v>
      </c>
      <c r="O47">
        <v>158.15679931640625</v>
      </c>
      <c r="P47">
        <v>24.047025680541992</v>
      </c>
      <c r="Q47">
        <v>234.23057556152344</v>
      </c>
      <c r="R47">
        <v>20.100000381469727</v>
      </c>
      <c r="S47">
        <v>25.100000381469727</v>
      </c>
      <c r="T47">
        <v>546.7857666015625</v>
      </c>
      <c r="U47">
        <v>391.4093017578125</v>
      </c>
      <c r="V47">
        <v>76.754440307617188</v>
      </c>
      <c r="W47">
        <v>191.00199890136719</v>
      </c>
      <c r="X47">
        <v>108.76756286621094</v>
      </c>
      <c r="Y47">
        <v>138.83915710449219</v>
      </c>
      <c r="Z47">
        <v>25.319999694824219</v>
      </c>
      <c r="AA47">
        <v>144.52731323242188</v>
      </c>
      <c r="AB47">
        <v>116.56999969482422</v>
      </c>
      <c r="AC47">
        <v>13.659999847412109</v>
      </c>
      <c r="AD47">
        <v>284.6240234375</v>
      </c>
      <c r="AE47">
        <v>95</v>
      </c>
      <c r="AF47">
        <v>7.9600000381469727</v>
      </c>
      <c r="AG47">
        <v>26</v>
      </c>
      <c r="AH47">
        <v>9.2799997329711914</v>
      </c>
      <c r="AI47">
        <v>91.598129272460938</v>
      </c>
      <c r="AJ47">
        <v>282.16000366210938</v>
      </c>
      <c r="AK47">
        <v>164.26603698730469</v>
      </c>
      <c r="AL47">
        <v>53.630001068115234</v>
      </c>
      <c r="AM47">
        <v>96.211029052734375</v>
      </c>
      <c r="AN47">
        <v>5569.06005859375</v>
      </c>
    </row>
    <row r="48" spans="1:40" x14ac:dyDescent="0.25">
      <c r="A48" s="47">
        <v>45808</v>
      </c>
      <c r="B48">
        <v>200.05633544921875</v>
      </c>
      <c r="C48">
        <v>415.08999633789063</v>
      </c>
      <c r="D48">
        <v>110.73000335693359</v>
      </c>
      <c r="E48">
        <v>205.00999450683594</v>
      </c>
      <c r="F48">
        <v>124.54000091552734</v>
      </c>
      <c r="G48">
        <v>239.74493408203125</v>
      </c>
      <c r="H48">
        <v>110.92910003662109</v>
      </c>
      <c r="I48">
        <v>1032.715576171875</v>
      </c>
      <c r="J48">
        <v>262.72616577148438</v>
      </c>
      <c r="K48">
        <v>109.42263793945313</v>
      </c>
      <c r="L48">
        <v>72.242454528808594</v>
      </c>
      <c r="M48">
        <v>9.892176628112793</v>
      </c>
      <c r="N48">
        <v>49.004173278808594</v>
      </c>
      <c r="O48">
        <v>171.04438781738281</v>
      </c>
      <c r="P48">
        <v>23.416933059692383</v>
      </c>
      <c r="Q48">
        <v>252.59930419921875</v>
      </c>
      <c r="R48">
        <v>19.549999237060547</v>
      </c>
      <c r="S48">
        <v>22.299999237060547</v>
      </c>
      <c r="T48">
        <v>644.878662109375</v>
      </c>
      <c r="U48">
        <v>456.71197509765625</v>
      </c>
      <c r="V48">
        <v>94.219947814941406</v>
      </c>
      <c r="W48">
        <v>202.21800231933594</v>
      </c>
      <c r="X48">
        <v>134.94090270996094</v>
      </c>
      <c r="Y48">
        <v>163.31756591796875</v>
      </c>
      <c r="Z48">
        <v>31.110000610351563</v>
      </c>
      <c r="AA48">
        <v>141.35366821289063</v>
      </c>
      <c r="AB48">
        <v>112.34999847412109</v>
      </c>
      <c r="AC48">
        <v>14.529999732971191</v>
      </c>
      <c r="AD48">
        <v>297.68511962890625</v>
      </c>
      <c r="AE48">
        <v>107.22000122070313</v>
      </c>
      <c r="AF48">
        <v>8.25</v>
      </c>
      <c r="AG48">
        <v>26.379999160766602</v>
      </c>
      <c r="AH48">
        <v>10.140000343322754</v>
      </c>
      <c r="AI48">
        <v>90.068069458007813</v>
      </c>
      <c r="AJ48">
        <v>346.45999145507813</v>
      </c>
      <c r="AK48">
        <v>190.50877380371094</v>
      </c>
      <c r="AL48">
        <v>75.220001220703125</v>
      </c>
      <c r="AM48">
        <v>97.901466369628906</v>
      </c>
      <c r="AN48">
        <v>5911.68994140625</v>
      </c>
    </row>
    <row r="49" spans="1:40" x14ac:dyDescent="0.25">
      <c r="A49" s="47">
        <v>45838</v>
      </c>
      <c r="B49">
        <v>204.35926818847656</v>
      </c>
      <c r="C49">
        <v>386.8800048828125</v>
      </c>
      <c r="D49">
        <v>141.89999389648438</v>
      </c>
      <c r="E49">
        <v>219.38999938964844</v>
      </c>
      <c r="F49">
        <v>161.74000549316406</v>
      </c>
      <c r="G49">
        <v>273.64495849609375</v>
      </c>
      <c r="H49">
        <v>112.3779296875</v>
      </c>
      <c r="I49">
        <v>982.8360595703125</v>
      </c>
      <c r="J49">
        <v>270.4013671875</v>
      </c>
      <c r="K49">
        <v>120.56452941894531</v>
      </c>
      <c r="L49">
        <v>73.516098022460938</v>
      </c>
      <c r="M49">
        <v>10.340088844299316</v>
      </c>
      <c r="N49">
        <v>48.763858795166016</v>
      </c>
      <c r="O49">
        <v>175.72869873046875</v>
      </c>
      <c r="P49">
        <v>23.266204833984375</v>
      </c>
      <c r="Q49">
        <v>287.42849731445313</v>
      </c>
      <c r="R49">
        <v>22.399999618530273</v>
      </c>
      <c r="S49">
        <v>21.100000381469727</v>
      </c>
      <c r="T49">
        <v>735.6788330078125</v>
      </c>
      <c r="U49">
        <v>493.4683837890625</v>
      </c>
      <c r="V49">
        <v>122.93678283691406</v>
      </c>
      <c r="W49">
        <v>205.61599731445313</v>
      </c>
      <c r="X49">
        <v>157.77986145019531</v>
      </c>
      <c r="Y49">
        <v>215.70787048339844</v>
      </c>
      <c r="Z49">
        <v>35.860000610351563</v>
      </c>
      <c r="AA49">
        <v>155.97256469726563</v>
      </c>
      <c r="AB49">
        <v>150.57000732421875</v>
      </c>
      <c r="AC49">
        <v>13.739999771118164</v>
      </c>
      <c r="AD49">
        <v>298.9039306640625</v>
      </c>
      <c r="AE49">
        <v>115.34999847412109</v>
      </c>
      <c r="AF49">
        <v>8.6899995803833008</v>
      </c>
      <c r="AG49">
        <v>26.030000686645508</v>
      </c>
      <c r="AH49">
        <v>10.029999732971191</v>
      </c>
      <c r="AI49">
        <v>94.513519287109375</v>
      </c>
      <c r="AJ49">
        <v>317.66000366210938</v>
      </c>
      <c r="AK49">
        <v>224.01254272460938</v>
      </c>
      <c r="AL49">
        <v>71.989997863769531</v>
      </c>
      <c r="AM49">
        <v>96.969253540039063</v>
      </c>
      <c r="AN49">
        <v>6204.9501953125</v>
      </c>
    </row>
    <row r="50" spans="1:40" x14ac:dyDescent="0.25">
      <c r="A50" s="47">
        <v>45869</v>
      </c>
      <c r="B50">
        <v>206.74978637695313</v>
      </c>
      <c r="C50">
        <v>357.69000244140625</v>
      </c>
      <c r="D50">
        <v>176.30999755859375</v>
      </c>
      <c r="E50">
        <v>234.11000061035156</v>
      </c>
      <c r="F50">
        <v>141.375</v>
      </c>
      <c r="G50">
        <v>291.56369018554688</v>
      </c>
      <c r="H50">
        <v>119.53221893310547</v>
      </c>
      <c r="I50">
        <v>932.89697265625</v>
      </c>
      <c r="J50">
        <v>256.16189575195313</v>
      </c>
      <c r="K50">
        <v>131.02040100097656</v>
      </c>
      <c r="L50">
        <v>90.586921691894531</v>
      </c>
      <c r="M50">
        <v>10.549748420715332</v>
      </c>
      <c r="N50">
        <v>52.856414794921875</v>
      </c>
      <c r="O50">
        <v>191.35409545898438</v>
      </c>
      <c r="P50">
        <v>23.589609146118164</v>
      </c>
      <c r="Q50">
        <v>246.83670043945313</v>
      </c>
      <c r="R50">
        <v>19.799999237060547</v>
      </c>
      <c r="S50">
        <v>24.600000381469727</v>
      </c>
      <c r="T50">
        <v>770.913330078125</v>
      </c>
      <c r="U50">
        <v>529.27239990234375</v>
      </c>
      <c r="V50">
        <v>108.96510314941406</v>
      </c>
      <c r="W50">
        <v>188.62399291992188</v>
      </c>
      <c r="X50">
        <v>177.6334228515625</v>
      </c>
      <c r="Y50">
        <v>250.91021728515625</v>
      </c>
      <c r="Z50">
        <v>38.599998474121094</v>
      </c>
      <c r="AA50">
        <v>143.73057556152344</v>
      </c>
      <c r="AB50">
        <v>160.58999633789063</v>
      </c>
      <c r="AC50">
        <v>12.869999885559082</v>
      </c>
      <c r="AD50">
        <v>281.80126953125</v>
      </c>
      <c r="AE50">
        <v>122.20999908447266</v>
      </c>
      <c r="AF50">
        <v>9.4300003051757813</v>
      </c>
      <c r="AG50">
        <v>24.319999694824219</v>
      </c>
      <c r="AH50">
        <v>8.8900003433227539</v>
      </c>
      <c r="AI50">
        <v>96.28594970703125</v>
      </c>
      <c r="AJ50">
        <v>308.26998901367188</v>
      </c>
      <c r="AK50">
        <v>238.97705078125</v>
      </c>
      <c r="AL50">
        <v>86.959999084472656</v>
      </c>
      <c r="AM50">
        <v>97.167610168457031</v>
      </c>
      <c r="AN50">
        <v>6339.39013671875</v>
      </c>
    </row>
    <row r="51" spans="1:40" x14ac:dyDescent="0.25">
      <c r="A51" s="47">
        <v>45900</v>
      </c>
      <c r="B51">
        <v>231.485107421875</v>
      </c>
      <c r="C51">
        <v>356.70001220703125</v>
      </c>
      <c r="D51">
        <v>162.6300048828125</v>
      </c>
      <c r="E51">
        <v>229</v>
      </c>
      <c r="F51">
        <v>138.30999755859375</v>
      </c>
      <c r="G51">
        <v>295.22686767578125</v>
      </c>
      <c r="H51">
        <v>133.77145385742188</v>
      </c>
      <c r="I51">
        <v>937.8480224609375</v>
      </c>
      <c r="J51">
        <v>254.099365234375</v>
      </c>
      <c r="K51">
        <v>120.61302947998047</v>
      </c>
      <c r="L51">
        <v>89.741813659667969</v>
      </c>
      <c r="M51">
        <v>11.36748218536377</v>
      </c>
      <c r="N51">
        <v>58.058818817138672</v>
      </c>
      <c r="O51">
        <v>212.30435180664063</v>
      </c>
      <c r="P51">
        <v>27.147075653076172</v>
      </c>
      <c r="Q51">
        <v>239.0228271484375</v>
      </c>
      <c r="R51">
        <v>24.350000381469727</v>
      </c>
      <c r="S51">
        <v>19.799999237060547</v>
      </c>
      <c r="T51">
        <v>736.28680419921875</v>
      </c>
      <c r="U51">
        <v>503.50119018554688</v>
      </c>
      <c r="V51">
        <v>118.81929016113281</v>
      </c>
      <c r="W51">
        <v>183.49200439453125</v>
      </c>
      <c r="X51">
        <v>173.94830322265625</v>
      </c>
      <c r="Y51">
        <v>223.58169555664063</v>
      </c>
      <c r="Z51">
        <v>36.630001068115234</v>
      </c>
      <c r="AA51">
        <v>157.4122314453125</v>
      </c>
      <c r="AB51">
        <v>225.08000183105469</v>
      </c>
      <c r="AC51">
        <v>13.569999694824219</v>
      </c>
      <c r="AD51">
        <v>267.50970458984375</v>
      </c>
      <c r="AE51">
        <v>141.27999877929688</v>
      </c>
      <c r="AF51">
        <v>7.1399998664855957</v>
      </c>
      <c r="AG51">
        <v>27.520000457763672</v>
      </c>
      <c r="AH51">
        <v>9.630000114440918</v>
      </c>
      <c r="AI51">
        <v>92.952713012695313</v>
      </c>
      <c r="AJ51">
        <v>333.8699951171875</v>
      </c>
      <c r="AK51">
        <v>228.34461975097656</v>
      </c>
      <c r="AL51">
        <v>54.659999847412109</v>
      </c>
      <c r="AM51">
        <v>96.400520324707031</v>
      </c>
      <c r="AN51">
        <v>6460.259765625</v>
      </c>
    </row>
    <row r="52" spans="1:40" x14ac:dyDescent="0.25">
      <c r="A52" s="47">
        <v>45930</v>
      </c>
      <c r="B52">
        <v>253.91166687011719</v>
      </c>
      <c r="C52">
        <v>352.75</v>
      </c>
      <c r="D52">
        <v>161.78999328613281</v>
      </c>
      <c r="E52">
        <v>219.57000732421875</v>
      </c>
      <c r="F52">
        <v>141.49000549316406</v>
      </c>
      <c r="G52">
        <v>328.07144165039063</v>
      </c>
      <c r="H52">
        <v>177.10348510742188</v>
      </c>
      <c r="I52">
        <v>920.26068115234375</v>
      </c>
      <c r="J52">
        <v>235.42013549804688</v>
      </c>
      <c r="K52">
        <v>139.98616027832031</v>
      </c>
      <c r="L52">
        <v>90.07855224609375</v>
      </c>
      <c r="M52">
        <v>11.550984382629395</v>
      </c>
      <c r="N52">
        <v>60.573493957519531</v>
      </c>
      <c r="O52">
        <v>242.62528991699219</v>
      </c>
      <c r="P52">
        <v>26.16136360168457</v>
      </c>
      <c r="Q52">
        <v>276.98336791992188</v>
      </c>
      <c r="R52">
        <v>33.549999237060547</v>
      </c>
      <c r="S52">
        <v>23.790000915527344</v>
      </c>
      <c r="T52">
        <v>732.4749755859375</v>
      </c>
      <c r="U52">
        <v>514.69036865234375</v>
      </c>
      <c r="V52">
        <v>167.0518798828125</v>
      </c>
      <c r="W52">
        <v>184.05599975585938</v>
      </c>
      <c r="X52">
        <v>186.34233093261719</v>
      </c>
      <c r="Y52">
        <v>278.07064819335938</v>
      </c>
      <c r="Z52">
        <v>32.169998168945313</v>
      </c>
      <c r="AA52">
        <v>163.85319519042969</v>
      </c>
      <c r="AB52">
        <v>229.99000549316406</v>
      </c>
      <c r="AC52">
        <v>14.680000305175781</v>
      </c>
      <c r="AD52">
        <v>262.64425659179688</v>
      </c>
      <c r="AE52">
        <v>148.61000061035156</v>
      </c>
      <c r="AF52">
        <v>7.7100000381469727</v>
      </c>
      <c r="AG52">
        <v>28.790000915527344</v>
      </c>
      <c r="AH52">
        <v>9.3400001525878906</v>
      </c>
      <c r="AI52">
        <v>86.87078857421875</v>
      </c>
      <c r="AJ52">
        <v>444.72000122070313</v>
      </c>
      <c r="AK52">
        <v>277.10647583007813</v>
      </c>
      <c r="AL52">
        <v>49.009998321533203</v>
      </c>
      <c r="AM52">
        <v>102.44419097900391</v>
      </c>
      <c r="AN52">
        <v>6688.4599609375</v>
      </c>
    </row>
    <row r="53" spans="1:40" x14ac:dyDescent="0.25">
      <c r="A53" s="47">
        <v>45961</v>
      </c>
      <c r="B53">
        <v>269.60726928710938</v>
      </c>
      <c r="C53">
        <v>340.30999755859375</v>
      </c>
      <c r="D53">
        <v>256.1199951171875</v>
      </c>
      <c r="E53">
        <v>244.22000122070313</v>
      </c>
      <c r="F53">
        <v>169.82000732421875</v>
      </c>
      <c r="G53">
        <v>367.570068359375</v>
      </c>
      <c r="H53">
        <v>168.87901306152344</v>
      </c>
      <c r="I53">
        <v>907.4449462890625</v>
      </c>
      <c r="J53">
        <v>258.67410278320313</v>
      </c>
      <c r="K53">
        <v>160.54145812988281</v>
      </c>
      <c r="L53">
        <v>80.530914306640625</v>
      </c>
      <c r="M53">
        <v>12.680970191955566</v>
      </c>
      <c r="N53">
        <v>68.64068603515625</v>
      </c>
      <c r="O53">
        <v>280.64089965820313</v>
      </c>
      <c r="P53">
        <v>26.584095001220703</v>
      </c>
      <c r="Q53">
        <v>301.77011108398438</v>
      </c>
      <c r="R53">
        <v>39.990001678466797</v>
      </c>
      <c r="S53">
        <v>17.75</v>
      </c>
      <c r="T53">
        <v>646.66815185546875</v>
      </c>
      <c r="U53">
        <v>514.55120849609375</v>
      </c>
      <c r="V53">
        <v>223.55133056640625</v>
      </c>
      <c r="W53">
        <v>183.85600280761719</v>
      </c>
      <c r="X53">
        <v>202.23207092285156</v>
      </c>
      <c r="Y53">
        <v>260.1011962890625</v>
      </c>
      <c r="Z53">
        <v>33.099998474121094</v>
      </c>
      <c r="AA53">
        <v>178.17410278320313</v>
      </c>
      <c r="AB53">
        <v>208.94999694824219</v>
      </c>
      <c r="AC53">
        <v>13.569999694824219</v>
      </c>
      <c r="AD53">
        <v>255.56730651855469</v>
      </c>
      <c r="AE53">
        <v>173.86000061035156</v>
      </c>
      <c r="AF53">
        <v>7.8000001907348633</v>
      </c>
      <c r="AG53">
        <v>27.889999389648438</v>
      </c>
      <c r="AH53">
        <v>10.140000343322754</v>
      </c>
      <c r="AI53">
        <v>89.795539855957031</v>
      </c>
      <c r="AJ53">
        <v>456.55999755859375</v>
      </c>
      <c r="AK53">
        <v>298.0811767578125</v>
      </c>
      <c r="AL53">
        <v>50.279998779296875</v>
      </c>
      <c r="AM53">
        <v>100.57543182373047</v>
      </c>
      <c r="AN53">
        <v>6840.2001953125</v>
      </c>
    </row>
    <row r="54" spans="1:40" x14ac:dyDescent="0.25">
      <c r="A54" s="47">
        <v>45991</v>
      </c>
      <c r="B54">
        <v>278.3328857421875</v>
      </c>
      <c r="C54">
        <v>320.1300048828125</v>
      </c>
      <c r="D54">
        <v>217.52999877929688</v>
      </c>
      <c r="E54">
        <v>233.22000122070313</v>
      </c>
      <c r="F54">
        <v>135.55999755859375</v>
      </c>
      <c r="G54">
        <v>400.71435546875</v>
      </c>
      <c r="H54">
        <v>155.86851501464844</v>
      </c>
      <c r="I54">
        <v>909.5755615234375</v>
      </c>
      <c r="J54">
        <v>229.00320434570313</v>
      </c>
      <c r="K54">
        <v>132.14126586914063</v>
      </c>
      <c r="L54">
        <v>82.286033630371094</v>
      </c>
      <c r="M54">
        <v>12.974174499511719</v>
      </c>
      <c r="N54">
        <v>73.0418701171875</v>
      </c>
      <c r="O54">
        <v>319.55474853515625</v>
      </c>
      <c r="P54">
        <v>23.461641311645508</v>
      </c>
      <c r="Q54">
        <v>304.58883666992188</v>
      </c>
      <c r="R54">
        <v>40.560001373291016</v>
      </c>
      <c r="S54">
        <v>13.630000114440918</v>
      </c>
      <c r="T54">
        <v>646.2691650390625</v>
      </c>
      <c r="U54">
        <v>489.82867431640625</v>
      </c>
      <c r="V54">
        <v>236.24891662597656</v>
      </c>
      <c r="W54">
        <v>162.48199462890625</v>
      </c>
      <c r="X54">
        <v>176.7745361328125</v>
      </c>
      <c r="Y54">
        <v>200.02069091796875</v>
      </c>
      <c r="Z54">
        <v>26.120000839233398</v>
      </c>
      <c r="AA54">
        <v>165.55711364746094</v>
      </c>
      <c r="AB54">
        <v>216.47000122070313</v>
      </c>
      <c r="AC54">
        <v>16.860000610351563</v>
      </c>
      <c r="AD54">
        <v>237.61929321289063</v>
      </c>
      <c r="AE54">
        <v>158.63999938964844</v>
      </c>
      <c r="AF54">
        <v>7.679999828338623</v>
      </c>
      <c r="AG54">
        <v>29.350000381469727</v>
      </c>
      <c r="AH54">
        <v>10.659999847412109</v>
      </c>
      <c r="AI54">
        <v>88.868011474609375</v>
      </c>
      <c r="AJ54">
        <v>430.17001342773438</v>
      </c>
      <c r="AK54">
        <v>289.23089599609375</v>
      </c>
      <c r="AL54">
        <v>39.560001373291016</v>
      </c>
      <c r="AM54">
        <v>109.84967803955078</v>
      </c>
      <c r="AN54">
        <v>6849.08984375</v>
      </c>
    </row>
    <row r="55" spans="1:40" x14ac:dyDescent="0.25">
      <c r="A55" s="47">
        <v>46022</v>
      </c>
      <c r="B55">
        <v>271.3558349609375</v>
      </c>
      <c r="C55">
        <v>349.989990234375</v>
      </c>
      <c r="D55">
        <v>214.16000366210938</v>
      </c>
      <c r="E55">
        <v>230.82000732421875</v>
      </c>
      <c r="F55">
        <v>109.30999755859375</v>
      </c>
      <c r="G55">
        <v>344.82974243164063</v>
      </c>
      <c r="H55">
        <v>145.24606323242188</v>
      </c>
      <c r="I55">
        <v>858.55072021484375</v>
      </c>
      <c r="J55">
        <v>263.56884765625</v>
      </c>
      <c r="K55">
        <v>124.73896789550781</v>
      </c>
      <c r="L55">
        <v>86.569793701171875</v>
      </c>
      <c r="M55">
        <v>12.817858695983887</v>
      </c>
      <c r="N55">
        <v>80.952430725097656</v>
      </c>
      <c r="O55">
        <v>312.59310913085938</v>
      </c>
      <c r="P55">
        <v>21.660554885864258</v>
      </c>
      <c r="Q55">
        <v>292.37881469726563</v>
      </c>
      <c r="R55">
        <v>36.900001525878906</v>
      </c>
      <c r="S55">
        <v>10.569999694824219</v>
      </c>
      <c r="T55">
        <v>658.9146728515625</v>
      </c>
      <c r="U55">
        <v>481.47586059570313</v>
      </c>
      <c r="V55">
        <v>285.24627685546875</v>
      </c>
      <c r="W55">
        <v>153.19000244140625</v>
      </c>
      <c r="X55">
        <v>186.27281188964844</v>
      </c>
      <c r="Y55">
        <v>193.04794311523438</v>
      </c>
      <c r="Z55">
        <v>25.889999389648438</v>
      </c>
      <c r="AA55">
        <v>169.3333740234375</v>
      </c>
      <c r="AB55">
        <v>229.8699951171875</v>
      </c>
      <c r="AC55">
        <v>19.709999084472656</v>
      </c>
      <c r="AD55">
        <v>238.75947570800781</v>
      </c>
      <c r="AE55">
        <v>160.97000122070313</v>
      </c>
      <c r="AF55">
        <v>8.0699996948242188</v>
      </c>
      <c r="AG55">
        <v>25.600000381469727</v>
      </c>
      <c r="AH55">
        <v>10.890000343322754</v>
      </c>
      <c r="AI55">
        <v>95.860160827636719</v>
      </c>
      <c r="AJ55">
        <v>449.72000122070313</v>
      </c>
      <c r="AK55">
        <v>302.328125</v>
      </c>
      <c r="AL55">
        <v>37.959999084472656</v>
      </c>
      <c r="AM55">
        <v>110.97005462646484</v>
      </c>
      <c r="AN55">
        <v>6845.5</v>
      </c>
    </row>
    <row r="56" spans="1:40" x14ac:dyDescent="0.25">
      <c r="A56" s="47">
        <v>46053</v>
      </c>
      <c r="B56">
        <v>258.99880981445313</v>
      </c>
      <c r="C56">
        <v>293.25</v>
      </c>
      <c r="D56">
        <v>236.72999572753906</v>
      </c>
      <c r="E56">
        <v>239.30000305175781</v>
      </c>
      <c r="F56">
        <v>105.36000061035156</v>
      </c>
      <c r="G56">
        <v>330.08407592773438</v>
      </c>
      <c r="H56">
        <v>168.01693725585938</v>
      </c>
      <c r="I56">
        <v>937.39727783203125</v>
      </c>
      <c r="J56">
        <v>211.21524047851563</v>
      </c>
      <c r="K56">
        <v>113.89878082275391</v>
      </c>
      <c r="L56">
        <v>90.664718627929688</v>
      </c>
      <c r="M56">
        <v>13.560357093811035</v>
      </c>
      <c r="N56">
        <v>83.620315551757813</v>
      </c>
      <c r="O56">
        <v>337.56060791015625</v>
      </c>
      <c r="P56">
        <v>18.899515151977539</v>
      </c>
      <c r="Q56">
        <v>302.733154296875</v>
      </c>
      <c r="R56">
        <v>46.470001220703125</v>
      </c>
      <c r="S56">
        <v>11.069999694824219</v>
      </c>
      <c r="T56">
        <v>715.22418212890625</v>
      </c>
      <c r="U56">
        <v>428.38232421875</v>
      </c>
      <c r="V56">
        <v>414.64199829101563</v>
      </c>
      <c r="W56">
        <v>117.01000213623047</v>
      </c>
      <c r="X56">
        <v>190.89717102050781</v>
      </c>
      <c r="Y56">
        <v>163.43858337402344</v>
      </c>
      <c r="Z56">
        <v>22.129999160766602</v>
      </c>
      <c r="AA56">
        <v>150.06866455078125</v>
      </c>
      <c r="AB56">
        <v>180.27000427246094</v>
      </c>
      <c r="AC56">
        <v>14.75</v>
      </c>
      <c r="AD56">
        <v>197.60488891601563</v>
      </c>
      <c r="AE56">
        <v>131.22999572753906</v>
      </c>
      <c r="AF56">
        <v>6.929999828338623</v>
      </c>
      <c r="AG56">
        <v>22.100000381469727</v>
      </c>
      <c r="AH56">
        <v>9.869999885559082</v>
      </c>
      <c r="AI56">
        <v>103.430908203125</v>
      </c>
      <c r="AJ56">
        <v>430.41000366210938</v>
      </c>
      <c r="AK56">
        <v>328.86102294921875</v>
      </c>
      <c r="AL56">
        <v>30.329999923706055</v>
      </c>
      <c r="AM56">
        <v>118.66951751708984</v>
      </c>
      <c r="AN56">
        <v>6939.02978515625</v>
      </c>
    </row>
    <row r="57" spans="1:40" x14ac:dyDescent="0.25">
      <c r="A57" s="47">
        <v>46081</v>
      </c>
      <c r="B57">
        <v>263.93682861328125</v>
      </c>
      <c r="C57">
        <v>262.41000366210938</v>
      </c>
      <c r="D57">
        <v>200.21000671386719</v>
      </c>
      <c r="E57">
        <v>210</v>
      </c>
      <c r="F57">
        <v>127.44999694824219</v>
      </c>
      <c r="G57">
        <v>318.377197265625</v>
      </c>
      <c r="H57">
        <v>142.79853820800781</v>
      </c>
      <c r="I57">
        <v>1007.7232666015625</v>
      </c>
      <c r="J57">
        <v>193.80384826660156</v>
      </c>
      <c r="K57">
        <v>147.37968444824219</v>
      </c>
      <c r="L57">
        <v>90.306907653808594</v>
      </c>
      <c r="M57">
        <v>13.914606094360352</v>
      </c>
      <c r="N57">
        <v>78.354232788085938</v>
      </c>
      <c r="O57">
        <v>311.354736328125</v>
      </c>
      <c r="P57">
        <v>18.462026596069336</v>
      </c>
      <c r="Q57">
        <v>238.45498657226563</v>
      </c>
      <c r="R57">
        <v>45.610000610351563</v>
      </c>
      <c r="S57">
        <v>10</v>
      </c>
      <c r="T57">
        <v>647.02587890625</v>
      </c>
      <c r="U57">
        <v>391.89120483398438</v>
      </c>
      <c r="V57">
        <v>412.13345336914063</v>
      </c>
      <c r="W57">
        <v>108.01000213623047</v>
      </c>
      <c r="X57">
        <v>176.97415161132813</v>
      </c>
      <c r="Y57">
        <v>144.3916015625</v>
      </c>
      <c r="Z57">
        <v>17.129999160766602</v>
      </c>
      <c r="AA57">
        <v>140.93128967285156</v>
      </c>
      <c r="AB57">
        <v>145.80999755859375</v>
      </c>
      <c r="AC57">
        <v>15.329999923706055</v>
      </c>
      <c r="AD57">
        <v>198.08651733398438</v>
      </c>
      <c r="AE57">
        <v>120.73000335693359</v>
      </c>
      <c r="AF57">
        <v>5.2100000381469727</v>
      </c>
      <c r="AG57">
        <v>23.059999465942383</v>
      </c>
      <c r="AH57">
        <v>8.0900001525878906</v>
      </c>
      <c r="AI57">
        <v>112.7249755859375</v>
      </c>
      <c r="AJ57">
        <v>402.510009765625</v>
      </c>
      <c r="AK57">
        <v>372.65475463867188</v>
      </c>
      <c r="AL57">
        <v>23.819999694824219</v>
      </c>
      <c r="AM57">
        <v>127.44472503662109</v>
      </c>
      <c r="AN57">
        <v>6878.8798828125</v>
      </c>
    </row>
    <row r="58" spans="1:40" x14ac:dyDescent="0.25">
      <c r="A58" s="47">
        <v>46112</v>
      </c>
      <c r="B58">
        <v>253.55638122558594</v>
      </c>
      <c r="C58">
        <v>243.08000183105469</v>
      </c>
      <c r="D58">
        <v>203.42999267578125</v>
      </c>
      <c r="E58">
        <v>208.27000427246094</v>
      </c>
      <c r="F58">
        <v>151.27999877929688</v>
      </c>
      <c r="G58">
        <v>309.02093505859375</v>
      </c>
      <c r="H58">
        <v>124.31826782226563</v>
      </c>
      <c r="I58">
        <v>993.40679931640625</v>
      </c>
      <c r="J58">
        <v>185.72494506835938</v>
      </c>
      <c r="K58">
        <v>163.35379028320313</v>
      </c>
      <c r="L58">
        <v>90.768356323242188</v>
      </c>
      <c r="M58">
        <v>11.39634895324707</v>
      </c>
      <c r="N58">
        <v>74.338859558105469</v>
      </c>
      <c r="O58">
        <v>287.38833618164063</v>
      </c>
      <c r="P58">
        <v>18.978923797607422</v>
      </c>
      <c r="Q58">
        <v>240.61904907226563</v>
      </c>
      <c r="R58">
        <v>44.130001068115234</v>
      </c>
      <c r="S58">
        <v>9.5299997329711914</v>
      </c>
      <c r="T58">
        <v>571.6002197265625</v>
      </c>
      <c r="U58">
        <v>369.3699951171875</v>
      </c>
      <c r="V58">
        <v>337.78805541992188</v>
      </c>
      <c r="W58">
        <v>104.55000305175781</v>
      </c>
      <c r="X58">
        <v>174.19697570800781</v>
      </c>
      <c r="Y58">
        <v>146.08975219726563</v>
      </c>
      <c r="Z58">
        <v>18.340000152587891</v>
      </c>
      <c r="AA58">
        <v>128.30610656738281</v>
      </c>
      <c r="AB58">
        <v>134.64999389648438</v>
      </c>
      <c r="AC58">
        <v>15.050000190734863</v>
      </c>
      <c r="AD58">
        <v>168.28459167480469</v>
      </c>
      <c r="AE58">
        <v>118.62000274658203</v>
      </c>
      <c r="AF58">
        <v>4.5999999046325684</v>
      </c>
      <c r="AG58">
        <v>20.700000762939453</v>
      </c>
      <c r="AH58">
        <v>7.0900001525878906</v>
      </c>
      <c r="AI58">
        <v>120.06561279296875</v>
      </c>
      <c r="AJ58">
        <v>371.75</v>
      </c>
      <c r="AK58">
        <v>337.16043090820313</v>
      </c>
      <c r="AL58">
        <v>22.690000534057617</v>
      </c>
      <c r="AM58">
        <v>124.04327392578125</v>
      </c>
      <c r="AN58">
        <v>6528.52001953125</v>
      </c>
    </row>
    <row r="59" spans="1:40" x14ac:dyDescent="0.25">
      <c r="A59" s="47">
        <v>46142</v>
      </c>
      <c r="B59">
        <v>271.10025024414063</v>
      </c>
      <c r="C59">
        <v>246.10000610351563</v>
      </c>
      <c r="D59">
        <v>354.489990234375</v>
      </c>
      <c r="E59">
        <v>265.05999755859375</v>
      </c>
      <c r="F59">
        <v>210.32000732421875</v>
      </c>
      <c r="G59">
        <v>416.7703857421875</v>
      </c>
      <c r="H59">
        <v>130.67984008789063</v>
      </c>
      <c r="I59">
        <v>1011.451904296875</v>
      </c>
      <c r="J59">
        <v>176.07554626464844</v>
      </c>
      <c r="K59">
        <v>208.60528564453125</v>
      </c>
      <c r="L59">
        <v>103.19391632080078</v>
      </c>
      <c r="M59">
        <v>11.92962646484375</v>
      </c>
      <c r="N59">
        <v>76.72369384765625</v>
      </c>
      <c r="O59">
        <v>384.57028198242188</v>
      </c>
      <c r="P59">
        <v>20.609077453613281</v>
      </c>
      <c r="Q59">
        <v>229.29240417480469</v>
      </c>
      <c r="R59">
        <v>94.480003356933594</v>
      </c>
      <c r="S59">
        <v>6.369999885559082</v>
      </c>
      <c r="T59">
        <v>611.3433837890625</v>
      </c>
      <c r="U59">
        <v>406.89871215820313</v>
      </c>
      <c r="V59">
        <v>517.0804443359375</v>
      </c>
      <c r="W59">
        <v>88.30999755859375</v>
      </c>
      <c r="X59">
        <v>199.33767700195313</v>
      </c>
      <c r="Y59">
        <v>160.83047485351563</v>
      </c>
      <c r="Z59">
        <v>19.659999847412109</v>
      </c>
      <c r="AA59">
        <v>178.91917419433594</v>
      </c>
      <c r="AB59">
        <v>147.22999572753906</v>
      </c>
      <c r="AC59">
        <v>16.399999618530273</v>
      </c>
      <c r="AD59">
        <v>166.59397888183594</v>
      </c>
      <c r="AE59">
        <v>121.12999725341797</v>
      </c>
      <c r="AF59">
        <v>6.070000171661377</v>
      </c>
      <c r="AG59">
        <v>20.090000152587891</v>
      </c>
      <c r="AH59">
        <v>7.2800002098083496</v>
      </c>
      <c r="AI59">
        <v>128.53559875488281</v>
      </c>
      <c r="AJ59">
        <v>381.6300048828125</v>
      </c>
      <c r="AK59">
        <v>395.1346435546875</v>
      </c>
      <c r="AL59">
        <v>23.590000152587891</v>
      </c>
      <c r="AM59">
        <v>131.67869567871094</v>
      </c>
      <c r="AN59">
        <v>7209.009765625</v>
      </c>
    </row>
    <row r="60" spans="1:40" x14ac:dyDescent="0.25">
      <c r="A60" s="47">
        <v>46173</v>
      </c>
      <c r="B60">
        <v>312.05999755859375</v>
      </c>
      <c r="C60">
        <v>259.20999145507813</v>
      </c>
      <c r="D60">
        <v>516.0999755859375</v>
      </c>
      <c r="E60">
        <v>270.6400146484375</v>
      </c>
      <c r="F60">
        <v>353.29000854492188</v>
      </c>
      <c r="G60">
        <v>446.06402587890625</v>
      </c>
      <c r="H60">
        <v>123.08955383300781</v>
      </c>
      <c r="I60">
        <v>954.80194091796875</v>
      </c>
      <c r="J60">
        <v>190.60804748535156</v>
      </c>
      <c r="K60">
        <v>420.21560668945313</v>
      </c>
      <c r="L60">
        <v>109.26999664306641</v>
      </c>
      <c r="M60">
        <v>17.440000534057617</v>
      </c>
      <c r="N60">
        <v>83.059951782226563</v>
      </c>
      <c r="O60">
        <v>380.11294555664063</v>
      </c>
      <c r="P60">
        <v>26.714740753173828</v>
      </c>
      <c r="Q60">
        <v>297.79998779296875</v>
      </c>
      <c r="R60">
        <v>114.68000030517578</v>
      </c>
      <c r="S60">
        <v>6.5500001907348633</v>
      </c>
      <c r="T60">
        <v>631.92431640625</v>
      </c>
      <c r="U60">
        <v>450.239990234375</v>
      </c>
      <c r="V60">
        <v>970.8507080078125</v>
      </c>
      <c r="W60">
        <v>124.37000274658203</v>
      </c>
      <c r="X60">
        <v>210.89421081542969</v>
      </c>
      <c r="Y60">
        <v>224.99723815917969</v>
      </c>
      <c r="Z60">
        <v>20.049999237060547</v>
      </c>
      <c r="AA60">
        <v>250.09628295898438</v>
      </c>
      <c r="AB60">
        <v>176</v>
      </c>
      <c r="AC60">
        <v>16.299999237060547</v>
      </c>
      <c r="AD60">
        <v>181.78999328613281</v>
      </c>
      <c r="AE60">
        <v>118.70999908447266</v>
      </c>
      <c r="AF60">
        <v>5.7100000381469727</v>
      </c>
      <c r="AG60">
        <v>21.569999694824219</v>
      </c>
      <c r="AH60">
        <v>7.9800000190734863</v>
      </c>
      <c r="AI60">
        <v>127.06999969482422</v>
      </c>
      <c r="AJ60">
        <v>435.79000854492188</v>
      </c>
      <c r="AK60">
        <v>417.47235107421875</v>
      </c>
      <c r="AL60">
        <v>21.559999465942383</v>
      </c>
      <c r="AM60">
        <v>115.75</v>
      </c>
      <c r="AN60">
        <v>7580.06005859375</v>
      </c>
    </row>
    <row r="61" spans="1:40" x14ac:dyDescent="0.25">
      <c r="A61" s="47">
        <v>46203</v>
      </c>
      <c r="B61">
        <v>289.3599853515625</v>
      </c>
      <c r="C61">
        <v>205.02000427246094</v>
      </c>
      <c r="D61">
        <v>580.90997314453125</v>
      </c>
      <c r="E61">
        <v>238.33999633789063</v>
      </c>
      <c r="F61">
        <v>354.57000732421875</v>
      </c>
      <c r="G61">
        <v>377.75</v>
      </c>
      <c r="H61">
        <v>95.980003356933594</v>
      </c>
      <c r="I61">
        <v>933.9849853515625</v>
      </c>
      <c r="J61">
        <v>156.66000366210938</v>
      </c>
      <c r="K61">
        <v>430.74819946289063</v>
      </c>
      <c r="L61">
        <v>111.75</v>
      </c>
      <c r="M61">
        <v>13.899999618530273</v>
      </c>
      <c r="N61">
        <v>77.080001831054688</v>
      </c>
      <c r="O61">
        <v>357.3699951171875</v>
      </c>
      <c r="P61">
        <v>21.940000534057617</v>
      </c>
      <c r="Q61">
        <v>281.20999145507813</v>
      </c>
      <c r="R61">
        <v>139.6300048828125</v>
      </c>
      <c r="S61">
        <v>6.690000057220459</v>
      </c>
      <c r="T61">
        <v>563.28997802734375</v>
      </c>
      <c r="U61">
        <v>373.01998901367188</v>
      </c>
      <c r="V61">
        <v>1154.112548828125</v>
      </c>
      <c r="W61">
        <v>99.279998779296875</v>
      </c>
      <c r="X61">
        <v>200.08999633789063</v>
      </c>
      <c r="Y61">
        <v>146.04193115234375</v>
      </c>
      <c r="Z61">
        <v>21.030000686645508</v>
      </c>
      <c r="AA61">
        <v>184.78999328613281</v>
      </c>
      <c r="AB61">
        <v>173.58000183105469</v>
      </c>
      <c r="AC61">
        <v>17.350000381469727</v>
      </c>
      <c r="AD61">
        <v>154.11000061035156</v>
      </c>
      <c r="AE61">
        <v>114.18000030517578</v>
      </c>
      <c r="AF61">
        <v>4.440000057220459</v>
      </c>
      <c r="AG61">
        <v>20.059999465942383</v>
      </c>
      <c r="AH61">
        <v>5.7399997711181641</v>
      </c>
      <c r="AI61">
        <v>130.61000061035156</v>
      </c>
      <c r="AJ61">
        <v>420.60000610351563</v>
      </c>
      <c r="AK61">
        <v>477.57000732421875</v>
      </c>
      <c r="AL61">
        <v>18.079999923706055</v>
      </c>
      <c r="AM61">
        <v>113.26000213623047</v>
      </c>
      <c r="AN61">
        <v>7499.35986328125</v>
      </c>
    </row>
    <row r="62" spans="1:40" x14ac:dyDescent="0.25">
      <c r="A62" s="47">
        <v>46234</v>
      </c>
      <c r="B62">
        <v>308.91000366210938</v>
      </c>
      <c r="C62">
        <v>250.41000366210938</v>
      </c>
      <c r="D62">
        <v>476.14999389648438</v>
      </c>
      <c r="E62">
        <v>271.57998657226563</v>
      </c>
      <c r="F62">
        <v>239.69000244140625</v>
      </c>
      <c r="G62">
        <v>389.27999877929688</v>
      </c>
      <c r="H62">
        <v>122.25</v>
      </c>
      <c r="I62">
        <v>951.8900146484375</v>
      </c>
      <c r="J62">
        <v>184.02000427246094</v>
      </c>
      <c r="K62">
        <v>405.3699951171875</v>
      </c>
      <c r="L62">
        <v>114.01000213623047</v>
      </c>
      <c r="M62">
        <v>14.680000305175781</v>
      </c>
      <c r="N62">
        <v>88.860000610351563</v>
      </c>
      <c r="O62">
        <v>356.1300048828125</v>
      </c>
      <c r="P62">
        <v>27.270000457763672</v>
      </c>
      <c r="Q62">
        <v>223.64999389648438</v>
      </c>
      <c r="R62">
        <v>90.199996948242188</v>
      </c>
      <c r="S62">
        <v>7.380000114440918</v>
      </c>
      <c r="T62">
        <v>556.71002197265625</v>
      </c>
      <c r="U62">
        <v>464.72000122070313</v>
      </c>
      <c r="V62">
        <v>823.030029296875</v>
      </c>
      <c r="W62">
        <v>111.23000335693359</v>
      </c>
      <c r="X62">
        <v>200.75</v>
      </c>
      <c r="Y62">
        <v>129.8699951171875</v>
      </c>
      <c r="Z62">
        <v>24.010000228881836</v>
      </c>
      <c r="AA62">
        <v>147.61000061035156</v>
      </c>
      <c r="AB62">
        <v>140.66999816894531</v>
      </c>
      <c r="AC62">
        <v>15.220000267028809</v>
      </c>
      <c r="AD62">
        <v>183.6199951171875</v>
      </c>
      <c r="AE62">
        <v>117.15000152587891</v>
      </c>
      <c r="AF62">
        <v>4.690000057220459</v>
      </c>
      <c r="AG62">
        <v>23.260000228881836</v>
      </c>
      <c r="AH62">
        <v>5.7600002288818359</v>
      </c>
      <c r="AI62">
        <v>144.49000549316406</v>
      </c>
      <c r="AJ62">
        <v>311.20999145507813</v>
      </c>
      <c r="AK62">
        <v>404.25</v>
      </c>
      <c r="AL62">
        <v>18.040000915527344</v>
      </c>
      <c r="AM62">
        <v>111.19999694824219</v>
      </c>
      <c r="AN62">
        <v>7489.72021484375</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EA94B9-1CD7-4320-AA5C-764645C8B740}">
  <sheetPr>
    <tabColor rgb="FFB8CCE4"/>
  </sheetPr>
  <dimension ref="A1:S51"/>
  <sheetViews>
    <sheetView workbookViewId="0">
      <pane ySplit="1" topLeftCell="A44" activePane="bottomLeft" state="frozen"/>
      <selection pane="bottomLeft" activeCell="G31" sqref="G31"/>
    </sheetView>
  </sheetViews>
  <sheetFormatPr defaultRowHeight="15" x14ac:dyDescent="0.25"/>
  <cols>
    <col min="1" max="1" width="7.28515625" bestFit="1" customWidth="1"/>
    <col min="2" max="2" width="10.5703125" bestFit="1" customWidth="1"/>
    <col min="3" max="3" width="16.140625" bestFit="1" customWidth="1"/>
    <col min="4" max="4" width="20.85546875" bestFit="1" customWidth="1"/>
    <col min="5" max="5" width="24.42578125" bestFit="1" customWidth="1"/>
    <col min="6" max="6" width="21" bestFit="1" customWidth="1"/>
    <col min="7" max="7" width="24.5703125" bestFit="1" customWidth="1"/>
    <col min="8" max="8" width="18.85546875" bestFit="1" customWidth="1"/>
    <col min="9" max="9" width="19" bestFit="1" customWidth="1"/>
    <col min="10" max="10" width="22.85546875" bestFit="1" customWidth="1"/>
    <col min="11" max="11" width="13.85546875" bestFit="1" customWidth="1"/>
    <col min="12" max="12" width="22.140625" bestFit="1" customWidth="1"/>
    <col min="13" max="13" width="22.28515625" bestFit="1" customWidth="1"/>
    <col min="14" max="14" width="12.28515625" bestFit="1" customWidth="1"/>
    <col min="15" max="15" width="20.7109375" bestFit="1" customWidth="1"/>
    <col min="16" max="16" width="116.140625" bestFit="1" customWidth="1"/>
    <col min="17" max="17" width="25.85546875" bestFit="1" customWidth="1"/>
    <col min="18" max="18" width="25.28515625" bestFit="1" customWidth="1"/>
    <col min="19" max="19" width="18.7109375" bestFit="1" customWidth="1"/>
  </cols>
  <sheetData>
    <row r="1" spans="1:19" x14ac:dyDescent="0.25">
      <c r="A1" s="63" t="s">
        <v>621</v>
      </c>
      <c r="B1" s="63" t="s">
        <v>835</v>
      </c>
      <c r="C1" s="63" t="s">
        <v>836</v>
      </c>
      <c r="D1" s="63" t="s">
        <v>837</v>
      </c>
      <c r="E1" s="63" t="s">
        <v>838</v>
      </c>
      <c r="F1" s="63" t="s">
        <v>839</v>
      </c>
      <c r="G1" s="63" t="s">
        <v>840</v>
      </c>
      <c r="H1" s="63" t="s">
        <v>841</v>
      </c>
      <c r="I1" s="63" t="s">
        <v>842</v>
      </c>
      <c r="J1" s="63" t="s">
        <v>843</v>
      </c>
      <c r="K1" s="63" t="s">
        <v>844</v>
      </c>
      <c r="L1" s="63" t="s">
        <v>845</v>
      </c>
      <c r="M1" s="63" t="s">
        <v>846</v>
      </c>
      <c r="N1" s="63" t="s">
        <v>847</v>
      </c>
      <c r="O1" s="63" t="s">
        <v>848</v>
      </c>
      <c r="P1" s="63" t="s">
        <v>849</v>
      </c>
      <c r="Q1" s="63" t="s">
        <v>850</v>
      </c>
      <c r="R1" s="63" t="s">
        <v>851</v>
      </c>
      <c r="S1" s="63" t="s">
        <v>909</v>
      </c>
    </row>
    <row r="2" spans="1:19" x14ac:dyDescent="0.25">
      <c r="A2" t="s">
        <v>296</v>
      </c>
      <c r="B2">
        <v>2019</v>
      </c>
      <c r="C2" s="23"/>
      <c r="D2" s="64"/>
      <c r="E2" s="64"/>
      <c r="F2" s="64"/>
      <c r="G2" s="64"/>
      <c r="H2" s="64"/>
      <c r="I2" s="64"/>
      <c r="J2" s="64"/>
      <c r="K2" s="64"/>
      <c r="L2" s="64"/>
      <c r="M2" s="64"/>
      <c r="N2" t="s">
        <v>852</v>
      </c>
      <c r="Q2" t="s">
        <v>853</v>
      </c>
      <c r="R2" t="s">
        <v>854</v>
      </c>
      <c r="S2" s="64" t="str">
        <f>IF(COUNT(D2:G2)=0,"",SUM(D2:G2))</f>
        <v/>
      </c>
    </row>
    <row r="3" spans="1:19" x14ac:dyDescent="0.25">
      <c r="A3" t="s">
        <v>296</v>
      </c>
      <c r="B3">
        <v>2020</v>
      </c>
      <c r="C3" s="23">
        <v>44100</v>
      </c>
      <c r="D3" s="64">
        <v>1436</v>
      </c>
      <c r="E3" s="64">
        <v>7745</v>
      </c>
      <c r="F3" s="64">
        <v>24</v>
      </c>
      <c r="G3" s="64">
        <v>637</v>
      </c>
      <c r="H3" s="64">
        <v>8570</v>
      </c>
      <c r="I3" s="64">
        <v>629</v>
      </c>
      <c r="J3" s="64"/>
      <c r="K3" s="64">
        <v>1500</v>
      </c>
      <c r="L3" s="64"/>
      <c r="M3" s="64"/>
      <c r="N3" t="s">
        <v>852</v>
      </c>
      <c r="O3" t="s">
        <v>855</v>
      </c>
      <c r="P3" t="s">
        <v>856</v>
      </c>
      <c r="Q3" t="s">
        <v>853</v>
      </c>
      <c r="R3" t="s">
        <v>854</v>
      </c>
      <c r="S3" s="64">
        <f t="shared" ref="S3:S51" si="0">IF(COUNT(D3:G3)=0,"",SUM(D3:G3))</f>
        <v>9842</v>
      </c>
    </row>
    <row r="4" spans="1:19" x14ac:dyDescent="0.25">
      <c r="A4" t="s">
        <v>296</v>
      </c>
      <c r="B4">
        <v>2021</v>
      </c>
      <c r="C4" s="23">
        <v>44464</v>
      </c>
      <c r="D4" s="64">
        <v>1449</v>
      </c>
      <c r="E4" s="64">
        <v>9506</v>
      </c>
      <c r="F4" s="64">
        <v>79</v>
      </c>
      <c r="G4" s="64">
        <v>769</v>
      </c>
      <c r="H4" s="64">
        <v>10087</v>
      </c>
      <c r="I4" s="64">
        <v>861</v>
      </c>
      <c r="J4" s="64"/>
      <c r="K4" s="64">
        <v>1700</v>
      </c>
      <c r="L4" s="64"/>
      <c r="M4" s="64"/>
      <c r="N4" t="s">
        <v>852</v>
      </c>
      <c r="O4" t="s">
        <v>857</v>
      </c>
      <c r="P4" t="s">
        <v>856</v>
      </c>
      <c r="Q4" t="s">
        <v>853</v>
      </c>
      <c r="R4" t="s">
        <v>854</v>
      </c>
      <c r="S4" s="64">
        <f t="shared" si="0"/>
        <v>11803</v>
      </c>
    </row>
    <row r="5" spans="1:19" x14ac:dyDescent="0.25">
      <c r="A5" t="s">
        <v>296</v>
      </c>
      <c r="B5">
        <v>2022</v>
      </c>
      <c r="C5" s="23">
        <v>44828</v>
      </c>
      <c r="D5" s="64">
        <v>1534</v>
      </c>
      <c r="E5" s="64">
        <v>9936</v>
      </c>
      <c r="F5" s="64">
        <v>129</v>
      </c>
      <c r="G5" s="64">
        <v>812</v>
      </c>
      <c r="H5" s="64">
        <v>10417</v>
      </c>
      <c r="I5" s="64">
        <v>952</v>
      </c>
      <c r="J5" s="64"/>
      <c r="K5" s="64">
        <v>1900</v>
      </c>
      <c r="L5" s="64"/>
      <c r="M5" s="64"/>
      <c r="N5" t="s">
        <v>852</v>
      </c>
      <c r="O5" t="s">
        <v>858</v>
      </c>
      <c r="P5" t="s">
        <v>856</v>
      </c>
      <c r="Q5" t="s">
        <v>853</v>
      </c>
      <c r="R5" t="s">
        <v>854</v>
      </c>
      <c r="S5" s="64">
        <f t="shared" si="0"/>
        <v>12411</v>
      </c>
    </row>
    <row r="6" spans="1:19" x14ac:dyDescent="0.25">
      <c r="A6" t="s">
        <v>296</v>
      </c>
      <c r="B6">
        <v>2023</v>
      </c>
      <c r="C6" s="23">
        <v>45199</v>
      </c>
      <c r="D6" s="64">
        <v>1410</v>
      </c>
      <c r="E6" s="64">
        <v>10408</v>
      </c>
      <c r="F6" s="64">
        <v>165</v>
      </c>
      <c r="G6" s="64">
        <v>859</v>
      </c>
      <c r="H6" s="64">
        <v>10661</v>
      </c>
      <c r="I6" s="64">
        <v>1015</v>
      </c>
      <c r="J6" s="64"/>
      <c r="K6" s="64">
        <v>2000</v>
      </c>
      <c r="L6" s="64"/>
      <c r="M6" s="64"/>
      <c r="N6" t="s">
        <v>852</v>
      </c>
      <c r="O6" t="s">
        <v>859</v>
      </c>
      <c r="P6" t="s">
        <v>856</v>
      </c>
      <c r="Q6" t="s">
        <v>853</v>
      </c>
      <c r="R6" t="s">
        <v>854</v>
      </c>
      <c r="S6" s="64">
        <f t="shared" si="0"/>
        <v>12842</v>
      </c>
    </row>
    <row r="7" spans="1:19" x14ac:dyDescent="0.25">
      <c r="A7" t="s">
        <v>296</v>
      </c>
      <c r="B7">
        <v>2024</v>
      </c>
      <c r="C7" s="23">
        <v>45563</v>
      </c>
      <c r="D7" s="64">
        <v>1488</v>
      </c>
      <c r="E7" s="64">
        <v>10046</v>
      </c>
      <c r="F7" s="64">
        <v>144</v>
      </c>
      <c r="G7" s="64">
        <v>752</v>
      </c>
      <c r="H7" s="64">
        <v>10234</v>
      </c>
      <c r="I7" s="64">
        <v>1069</v>
      </c>
      <c r="J7" s="64"/>
      <c r="K7" s="64">
        <v>2000</v>
      </c>
      <c r="L7" s="64">
        <v>3.1</v>
      </c>
      <c r="M7" s="64"/>
      <c r="N7" t="s">
        <v>852</v>
      </c>
      <c r="O7" t="s">
        <v>860</v>
      </c>
      <c r="P7" t="s">
        <v>856</v>
      </c>
      <c r="Q7" t="s">
        <v>853</v>
      </c>
      <c r="R7" t="s">
        <v>854</v>
      </c>
      <c r="S7" s="64">
        <f t="shared" si="0"/>
        <v>12430</v>
      </c>
    </row>
    <row r="8" spans="1:19" x14ac:dyDescent="0.25">
      <c r="A8" t="s">
        <v>296</v>
      </c>
      <c r="B8">
        <v>2025</v>
      </c>
      <c r="C8" s="23">
        <v>45927</v>
      </c>
      <c r="D8" s="64">
        <v>1579</v>
      </c>
      <c r="E8" s="64">
        <v>10911</v>
      </c>
      <c r="F8" s="64">
        <v>538</v>
      </c>
      <c r="G8" s="64">
        <v>692</v>
      </c>
      <c r="H8" s="64">
        <v>11205</v>
      </c>
      <c r="I8" s="64">
        <v>1033</v>
      </c>
      <c r="J8" s="64"/>
      <c r="K8" s="64">
        <v>2100</v>
      </c>
      <c r="L8" s="64">
        <v>3.4</v>
      </c>
      <c r="M8" s="64"/>
      <c r="N8" t="s">
        <v>852</v>
      </c>
      <c r="O8" t="s">
        <v>861</v>
      </c>
      <c r="P8" t="s">
        <v>856</v>
      </c>
      <c r="Q8" t="s">
        <v>853</v>
      </c>
      <c r="R8" t="s">
        <v>854</v>
      </c>
      <c r="S8" s="64">
        <f t="shared" si="0"/>
        <v>13720</v>
      </c>
    </row>
    <row r="9" spans="1:19" x14ac:dyDescent="0.25">
      <c r="A9" t="s">
        <v>291</v>
      </c>
      <c r="B9">
        <v>2019</v>
      </c>
      <c r="C9" s="23">
        <v>43830</v>
      </c>
      <c r="D9" s="64">
        <v>3139</v>
      </c>
      <c r="E9" s="64">
        <v>22696</v>
      </c>
      <c r="F9" s="64">
        <v>9884</v>
      </c>
      <c r="G9" s="64">
        <v>17095</v>
      </c>
      <c r="H9" s="64">
        <v>25141</v>
      </c>
      <c r="I9" s="64">
        <v>57400</v>
      </c>
      <c r="J9" s="64">
        <v>695</v>
      </c>
      <c r="K9" s="64">
        <v>3669</v>
      </c>
      <c r="L9" s="64">
        <v>3.1</v>
      </c>
      <c r="M9" s="64">
        <v>2.7</v>
      </c>
      <c r="N9" t="s">
        <v>852</v>
      </c>
      <c r="O9" t="s">
        <v>862</v>
      </c>
      <c r="P9" t="s">
        <v>863</v>
      </c>
      <c r="Q9" t="s">
        <v>853</v>
      </c>
      <c r="R9" t="s">
        <v>854</v>
      </c>
      <c r="S9" s="64">
        <f t="shared" si="0"/>
        <v>52814</v>
      </c>
    </row>
    <row r="10" spans="1:19" x14ac:dyDescent="0.25">
      <c r="A10" t="s">
        <v>291</v>
      </c>
      <c r="B10">
        <v>2020</v>
      </c>
      <c r="C10" s="23">
        <v>44196</v>
      </c>
      <c r="D10" s="64">
        <v>4586</v>
      </c>
      <c r="E10" s="64">
        <v>34513</v>
      </c>
      <c r="F10" s="64">
        <v>10374</v>
      </c>
      <c r="G10" s="64">
        <v>18060</v>
      </c>
      <c r="H10" s="64">
        <v>37553</v>
      </c>
      <c r="I10" s="64">
        <v>68100</v>
      </c>
      <c r="J10" s="64">
        <v>617</v>
      </c>
      <c r="K10" s="64">
        <v>5019</v>
      </c>
      <c r="L10" s="64">
        <v>2.5</v>
      </c>
      <c r="M10" s="64">
        <v>2.1</v>
      </c>
      <c r="N10" t="s">
        <v>852</v>
      </c>
      <c r="O10" t="s">
        <v>864</v>
      </c>
      <c r="P10" t="s">
        <v>863</v>
      </c>
      <c r="Q10" t="s">
        <v>853</v>
      </c>
      <c r="R10" t="s">
        <v>854</v>
      </c>
      <c r="S10" s="64">
        <f t="shared" si="0"/>
        <v>67533</v>
      </c>
    </row>
    <row r="11" spans="1:19" x14ac:dyDescent="0.25">
      <c r="A11" t="s">
        <v>291</v>
      </c>
      <c r="B11">
        <v>2021</v>
      </c>
      <c r="C11" s="23">
        <v>44561</v>
      </c>
      <c r="D11" s="64">
        <v>6349</v>
      </c>
      <c r="E11" s="64">
        <v>51981</v>
      </c>
      <c r="F11" s="64">
        <v>8083</v>
      </c>
      <c r="G11" s="64">
        <v>15670</v>
      </c>
      <c r="H11" s="64">
        <v>56082</v>
      </c>
      <c r="I11" s="64"/>
      <c r="J11" s="64">
        <v>473</v>
      </c>
      <c r="K11" s="64">
        <v>7199</v>
      </c>
      <c r="L11" s="64">
        <v>2.2000000000000002</v>
      </c>
      <c r="M11" s="64">
        <v>2</v>
      </c>
      <c r="N11" t="s">
        <v>852</v>
      </c>
      <c r="O11" t="s">
        <v>865</v>
      </c>
      <c r="P11" t="s">
        <v>863</v>
      </c>
      <c r="Q11" t="s">
        <v>853</v>
      </c>
      <c r="R11" t="s">
        <v>854</v>
      </c>
      <c r="S11" s="64">
        <f t="shared" si="0"/>
        <v>82083</v>
      </c>
    </row>
    <row r="12" spans="1:19" x14ac:dyDescent="0.25">
      <c r="A12" t="s">
        <v>291</v>
      </c>
      <c r="B12">
        <v>2022</v>
      </c>
      <c r="C12" s="23">
        <v>44926</v>
      </c>
      <c r="D12" s="64">
        <v>7458</v>
      </c>
      <c r="E12" s="64">
        <v>61582</v>
      </c>
      <c r="F12" s="64">
        <v>4397</v>
      </c>
      <c r="G12" s="64">
        <v>11386</v>
      </c>
      <c r="H12" s="64">
        <v>66123</v>
      </c>
      <c r="I12" s="64"/>
      <c r="J12" s="64">
        <v>361</v>
      </c>
      <c r="K12" s="64">
        <v>8847</v>
      </c>
      <c r="L12" s="64">
        <v>2.8</v>
      </c>
      <c r="M12" s="64">
        <v>2.2999999999999998</v>
      </c>
      <c r="N12" t="s">
        <v>852</v>
      </c>
      <c r="O12" t="s">
        <v>866</v>
      </c>
      <c r="P12" t="s">
        <v>863</v>
      </c>
      <c r="Q12" t="s">
        <v>853</v>
      </c>
      <c r="R12" t="s">
        <v>854</v>
      </c>
      <c r="S12" s="64">
        <f t="shared" si="0"/>
        <v>84823</v>
      </c>
    </row>
    <row r="13" spans="1:19" x14ac:dyDescent="0.25">
      <c r="A13" t="s">
        <v>291</v>
      </c>
      <c r="B13">
        <v>2023</v>
      </c>
      <c r="C13" s="23">
        <v>45291</v>
      </c>
      <c r="D13" s="64">
        <v>8419</v>
      </c>
      <c r="E13" s="64">
        <v>67220</v>
      </c>
      <c r="F13" s="64">
        <v>2032</v>
      </c>
      <c r="G13" s="64">
        <v>10077</v>
      </c>
      <c r="H13" s="64">
        <v>72513</v>
      </c>
      <c r="I13" s="64"/>
      <c r="J13" s="64">
        <v>304</v>
      </c>
      <c r="K13" s="64">
        <v>10550</v>
      </c>
      <c r="L13" s="64">
        <v>3.3</v>
      </c>
      <c r="M13" s="64">
        <v>2.7</v>
      </c>
      <c r="N13" t="s">
        <v>852</v>
      </c>
      <c r="O13" t="s">
        <v>867</v>
      </c>
      <c r="P13" t="s">
        <v>863</v>
      </c>
      <c r="Q13" t="s">
        <v>853</v>
      </c>
      <c r="R13" t="s">
        <v>854</v>
      </c>
      <c r="S13" s="64">
        <f t="shared" si="0"/>
        <v>87748</v>
      </c>
    </row>
    <row r="14" spans="1:19" x14ac:dyDescent="0.25">
      <c r="A14" t="s">
        <v>291</v>
      </c>
      <c r="B14">
        <v>2024</v>
      </c>
      <c r="C14" s="23">
        <v>45657</v>
      </c>
      <c r="D14" s="64">
        <v>10546</v>
      </c>
      <c r="E14" s="64">
        <v>69050</v>
      </c>
      <c r="F14" s="64">
        <v>1375</v>
      </c>
      <c r="G14" s="64">
        <v>9227</v>
      </c>
      <c r="H14" s="64">
        <v>76141</v>
      </c>
      <c r="I14" s="64"/>
      <c r="J14" s="64">
        <v>285</v>
      </c>
      <c r="K14" s="64">
        <v>11961</v>
      </c>
      <c r="L14" s="64">
        <v>3.5</v>
      </c>
      <c r="M14" s="64">
        <v>3</v>
      </c>
      <c r="N14" t="s">
        <v>852</v>
      </c>
      <c r="O14" t="s">
        <v>868</v>
      </c>
      <c r="P14" t="s">
        <v>863</v>
      </c>
      <c r="Q14" t="s">
        <v>853</v>
      </c>
      <c r="R14" t="s">
        <v>854</v>
      </c>
      <c r="S14" s="64">
        <f t="shared" si="0"/>
        <v>90198</v>
      </c>
    </row>
    <row r="15" spans="1:19" x14ac:dyDescent="0.25">
      <c r="A15" t="s">
        <v>291</v>
      </c>
      <c r="B15">
        <v>2025</v>
      </c>
      <c r="C15" s="23">
        <v>46022</v>
      </c>
      <c r="D15" s="64">
        <v>12655</v>
      </c>
      <c r="E15" s="64">
        <v>76597</v>
      </c>
      <c r="F15" s="64">
        <v>1544</v>
      </c>
      <c r="G15" s="64">
        <v>10742</v>
      </c>
      <c r="H15" s="64">
        <v>86054</v>
      </c>
      <c r="I15" s="64"/>
      <c r="J15" s="64">
        <v>312</v>
      </c>
      <c r="K15" s="64">
        <v>14006</v>
      </c>
      <c r="L15" s="64">
        <v>3.7</v>
      </c>
      <c r="M15" s="64">
        <v>3.4</v>
      </c>
      <c r="N15" t="s">
        <v>852</v>
      </c>
      <c r="O15" t="s">
        <v>869</v>
      </c>
      <c r="P15" t="s">
        <v>863</v>
      </c>
      <c r="Q15" t="s">
        <v>853</v>
      </c>
      <c r="R15" t="s">
        <v>854</v>
      </c>
      <c r="S15" s="64">
        <f t="shared" si="0"/>
        <v>101538</v>
      </c>
    </row>
    <row r="16" spans="1:19" x14ac:dyDescent="0.25">
      <c r="A16" t="s">
        <v>308</v>
      </c>
      <c r="B16">
        <v>2019</v>
      </c>
      <c r="C16" s="23">
        <v>43830</v>
      </c>
      <c r="D16" s="64">
        <v>1199</v>
      </c>
      <c r="E16" s="64">
        <v>10214</v>
      </c>
      <c r="F16" s="64"/>
      <c r="G16" s="64">
        <v>685</v>
      </c>
      <c r="H16" s="64">
        <v>10941</v>
      </c>
      <c r="I16" s="64"/>
      <c r="J16" s="64"/>
      <c r="K16" s="64">
        <v>1820</v>
      </c>
      <c r="L16" s="64">
        <v>2.8</v>
      </c>
      <c r="M16" s="64"/>
      <c r="N16" t="s">
        <v>852</v>
      </c>
      <c r="O16" t="s">
        <v>870</v>
      </c>
      <c r="P16" t="s">
        <v>871</v>
      </c>
      <c r="Q16" t="s">
        <v>853</v>
      </c>
      <c r="R16" t="s">
        <v>854</v>
      </c>
      <c r="S16" s="64">
        <f t="shared" si="0"/>
        <v>12098</v>
      </c>
    </row>
    <row r="17" spans="1:19" x14ac:dyDescent="0.25">
      <c r="A17" t="s">
        <v>308</v>
      </c>
      <c r="B17">
        <v>2020</v>
      </c>
      <c r="C17" s="23">
        <v>44196</v>
      </c>
      <c r="D17" s="64">
        <v>1694</v>
      </c>
      <c r="E17" s="64">
        <v>11146</v>
      </c>
      <c r="F17" s="64">
        <v>101</v>
      </c>
      <c r="G17" s="64"/>
      <c r="H17" s="64">
        <v>12211</v>
      </c>
      <c r="I17" s="64"/>
      <c r="J17" s="64"/>
      <c r="K17" s="64">
        <v>2267</v>
      </c>
      <c r="L17" s="64">
        <v>2.6</v>
      </c>
      <c r="M17" s="64"/>
      <c r="N17" t="s">
        <v>852</v>
      </c>
      <c r="O17" t="s">
        <v>872</v>
      </c>
      <c r="P17" t="s">
        <v>871</v>
      </c>
      <c r="Q17" t="s">
        <v>853</v>
      </c>
      <c r="R17" t="s">
        <v>854</v>
      </c>
      <c r="S17" s="64">
        <f t="shared" si="0"/>
        <v>12941</v>
      </c>
    </row>
    <row r="18" spans="1:19" x14ac:dyDescent="0.25">
      <c r="A18" t="s">
        <v>308</v>
      </c>
      <c r="B18">
        <v>2021</v>
      </c>
      <c r="C18" s="23">
        <v>44561</v>
      </c>
      <c r="D18" s="64">
        <v>2189</v>
      </c>
      <c r="E18" s="64">
        <v>11389</v>
      </c>
      <c r="F18" s="64">
        <v>113</v>
      </c>
      <c r="G18" s="64"/>
      <c r="H18" s="64">
        <v>12959</v>
      </c>
      <c r="I18" s="64"/>
      <c r="J18" s="64"/>
      <c r="K18" s="64">
        <v>2699</v>
      </c>
      <c r="L18" s="64">
        <v>2.2999999999999998</v>
      </c>
      <c r="M18" s="64"/>
      <c r="N18" t="s">
        <v>852</v>
      </c>
      <c r="O18" t="s">
        <v>873</v>
      </c>
      <c r="P18" t="s">
        <v>871</v>
      </c>
      <c r="Q18" t="s">
        <v>853</v>
      </c>
      <c r="R18" t="s">
        <v>854</v>
      </c>
      <c r="S18" s="64">
        <f t="shared" si="0"/>
        <v>13691</v>
      </c>
    </row>
    <row r="19" spans="1:19" x14ac:dyDescent="0.25">
      <c r="A19" t="s">
        <v>308</v>
      </c>
      <c r="B19">
        <v>2022</v>
      </c>
      <c r="C19" s="23">
        <v>44926</v>
      </c>
      <c r="D19" s="64">
        <v>2477</v>
      </c>
      <c r="E19" s="64">
        <v>12501</v>
      </c>
      <c r="F19" s="64">
        <v>298</v>
      </c>
      <c r="G19" s="64"/>
      <c r="H19" s="64">
        <v>14381</v>
      </c>
      <c r="I19" s="64"/>
      <c r="J19" s="64"/>
      <c r="K19" s="64">
        <v>2900</v>
      </c>
      <c r="L19" s="64">
        <v>2.8</v>
      </c>
      <c r="M19" s="64"/>
      <c r="N19" t="s">
        <v>852</v>
      </c>
      <c r="O19" t="s">
        <v>874</v>
      </c>
      <c r="P19" t="s">
        <v>871</v>
      </c>
      <c r="Q19" t="s">
        <v>853</v>
      </c>
      <c r="R19" t="s">
        <v>854</v>
      </c>
      <c r="S19" s="64">
        <f t="shared" si="0"/>
        <v>15276</v>
      </c>
    </row>
    <row r="20" spans="1:19" x14ac:dyDescent="0.25">
      <c r="A20" t="s">
        <v>308</v>
      </c>
      <c r="B20">
        <v>2023</v>
      </c>
      <c r="C20" s="23">
        <v>45291</v>
      </c>
      <c r="D20" s="64">
        <v>2791</v>
      </c>
      <c r="E20" s="64">
        <v>12460</v>
      </c>
      <c r="F20" s="64">
        <v>363</v>
      </c>
      <c r="G20" s="64"/>
      <c r="H20" s="64">
        <v>14091</v>
      </c>
      <c r="I20" s="64"/>
      <c r="J20" s="64"/>
      <c r="K20" s="64">
        <v>3362</v>
      </c>
      <c r="L20" s="64">
        <v>3.1</v>
      </c>
      <c r="M20" s="64"/>
      <c r="N20" t="s">
        <v>852</v>
      </c>
      <c r="O20" t="s">
        <v>875</v>
      </c>
      <c r="P20" t="s">
        <v>871</v>
      </c>
      <c r="Q20" t="s">
        <v>853</v>
      </c>
      <c r="R20" t="s">
        <v>854</v>
      </c>
      <c r="S20" s="64">
        <f t="shared" si="0"/>
        <v>15614</v>
      </c>
    </row>
    <row r="21" spans="1:19" x14ac:dyDescent="0.25">
      <c r="A21" t="s">
        <v>308</v>
      </c>
      <c r="B21">
        <v>2024</v>
      </c>
      <c r="C21" s="23">
        <v>45657</v>
      </c>
      <c r="D21" s="64">
        <v>2887</v>
      </c>
      <c r="E21" s="64">
        <v>11691</v>
      </c>
      <c r="F21" s="64">
        <v>235</v>
      </c>
      <c r="G21" s="64">
        <v>1442</v>
      </c>
      <c r="H21" s="64">
        <v>13588</v>
      </c>
      <c r="I21" s="64">
        <v>2585</v>
      </c>
      <c r="J21" s="64">
        <v>31</v>
      </c>
      <c r="K21" s="64">
        <v>3304</v>
      </c>
      <c r="L21" s="64">
        <v>3.4</v>
      </c>
      <c r="M21" s="64">
        <v>2.8</v>
      </c>
      <c r="N21" t="s">
        <v>852</v>
      </c>
      <c r="O21" t="s">
        <v>876</v>
      </c>
      <c r="P21" t="s">
        <v>871</v>
      </c>
      <c r="Q21" t="s">
        <v>853</v>
      </c>
      <c r="R21" t="s">
        <v>854</v>
      </c>
      <c r="S21" s="64">
        <f t="shared" si="0"/>
        <v>16255</v>
      </c>
    </row>
    <row r="22" spans="1:19" x14ac:dyDescent="0.25">
      <c r="A22" t="s">
        <v>308</v>
      </c>
      <c r="B22">
        <v>2025</v>
      </c>
      <c r="C22" s="23">
        <v>46022</v>
      </c>
      <c r="D22" s="64">
        <v>3209</v>
      </c>
      <c r="E22" s="64">
        <v>12744</v>
      </c>
      <c r="F22" s="64">
        <v>441</v>
      </c>
      <c r="G22" s="64">
        <v>2059</v>
      </c>
      <c r="H22" s="64">
        <v>15221</v>
      </c>
      <c r="I22" s="64">
        <v>4797</v>
      </c>
      <c r="J22" s="64">
        <v>65</v>
      </c>
      <c r="K22" s="64">
        <v>3345</v>
      </c>
      <c r="L22" s="64">
        <v>3.6</v>
      </c>
      <c r="M22" s="64">
        <v>3.1</v>
      </c>
      <c r="N22" t="s">
        <v>852</v>
      </c>
      <c r="O22" t="s">
        <v>877</v>
      </c>
      <c r="P22" t="s">
        <v>871</v>
      </c>
      <c r="Q22" t="s">
        <v>853</v>
      </c>
      <c r="R22" t="s">
        <v>854</v>
      </c>
      <c r="S22" s="64">
        <f t="shared" si="0"/>
        <v>18453</v>
      </c>
    </row>
    <row r="23" spans="1:19" x14ac:dyDescent="0.25">
      <c r="A23" t="s">
        <v>292</v>
      </c>
      <c r="B23">
        <v>2019</v>
      </c>
      <c r="C23" s="23">
        <v>43830</v>
      </c>
      <c r="D23" s="64">
        <v>800</v>
      </c>
      <c r="E23" s="64">
        <v>9524</v>
      </c>
      <c r="F23" s="64">
        <v>55</v>
      </c>
      <c r="G23" s="64">
        <v>418</v>
      </c>
      <c r="H23" s="64">
        <v>9460</v>
      </c>
      <c r="I23" s="64"/>
      <c r="J23" s="64">
        <v>12</v>
      </c>
      <c r="K23" s="64">
        <v>1139</v>
      </c>
      <c r="L23" s="64">
        <v>3.2</v>
      </c>
      <c r="M23" s="64">
        <v>3.1</v>
      </c>
      <c r="N23" t="s">
        <v>852</v>
      </c>
      <c r="O23" t="s">
        <v>878</v>
      </c>
      <c r="P23" t="s">
        <v>879</v>
      </c>
      <c r="Q23" t="s">
        <v>853</v>
      </c>
      <c r="R23" t="s">
        <v>854</v>
      </c>
      <c r="S23" s="64">
        <f t="shared" si="0"/>
        <v>10797</v>
      </c>
    </row>
    <row r="24" spans="1:19" x14ac:dyDescent="0.25">
      <c r="A24" t="s">
        <v>292</v>
      </c>
      <c r="B24">
        <v>2020</v>
      </c>
      <c r="C24" s="23">
        <v>44196</v>
      </c>
      <c r="D24" s="64">
        <v>1023</v>
      </c>
      <c r="E24" s="64">
        <v>9631</v>
      </c>
      <c r="F24" s="64">
        <v>54</v>
      </c>
      <c r="G24" s="64">
        <v>469</v>
      </c>
      <c r="H24" s="64">
        <v>9348</v>
      </c>
      <c r="I24" s="64"/>
      <c r="J24" s="64">
        <v>14</v>
      </c>
      <c r="K24" s="64">
        <v>1391</v>
      </c>
      <c r="L24" s="64">
        <v>3.1</v>
      </c>
      <c r="M24" s="64">
        <v>2.9</v>
      </c>
      <c r="N24" t="s">
        <v>852</v>
      </c>
      <c r="O24" t="s">
        <v>880</v>
      </c>
      <c r="P24" t="s">
        <v>879</v>
      </c>
      <c r="Q24" t="s">
        <v>853</v>
      </c>
      <c r="R24" t="s">
        <v>854</v>
      </c>
      <c r="S24" s="64">
        <f t="shared" si="0"/>
        <v>11177</v>
      </c>
    </row>
    <row r="25" spans="1:19" x14ac:dyDescent="0.25">
      <c r="A25" t="s">
        <v>292</v>
      </c>
      <c r="B25">
        <v>2021</v>
      </c>
      <c r="C25" s="23">
        <v>44561</v>
      </c>
      <c r="D25" s="64">
        <v>1127</v>
      </c>
      <c r="E25" s="64">
        <v>12746</v>
      </c>
      <c r="F25" s="64">
        <v>75</v>
      </c>
      <c r="G25" s="64">
        <v>506</v>
      </c>
      <c r="H25" s="64">
        <v>12155</v>
      </c>
      <c r="I25" s="64"/>
      <c r="J25" s="64">
        <v>15</v>
      </c>
      <c r="K25" s="64">
        <v>1540</v>
      </c>
      <c r="L25" s="64">
        <v>2.8</v>
      </c>
      <c r="M25" s="64">
        <v>2.7</v>
      </c>
      <c r="N25" t="s">
        <v>852</v>
      </c>
      <c r="O25" t="s">
        <v>881</v>
      </c>
      <c r="P25" t="s">
        <v>879</v>
      </c>
      <c r="Q25" t="s">
        <v>853</v>
      </c>
      <c r="R25" t="s">
        <v>854</v>
      </c>
      <c r="S25" s="64">
        <f t="shared" si="0"/>
        <v>14454</v>
      </c>
    </row>
    <row r="26" spans="1:19" x14ac:dyDescent="0.25">
      <c r="A26" t="s">
        <v>292</v>
      </c>
      <c r="B26">
        <v>2022</v>
      </c>
      <c r="C26" s="23">
        <v>44926</v>
      </c>
      <c r="D26" s="64">
        <v>1367</v>
      </c>
      <c r="E26" s="64">
        <v>15301</v>
      </c>
      <c r="F26" s="64">
        <v>129</v>
      </c>
      <c r="G26" s="64">
        <v>558</v>
      </c>
      <c r="H26" s="64">
        <v>12673</v>
      </c>
      <c r="I26" s="64"/>
      <c r="J26" s="64">
        <v>16</v>
      </c>
      <c r="K26" s="64">
        <v>1857</v>
      </c>
      <c r="L26" s="64">
        <v>3.2</v>
      </c>
      <c r="M26" s="64">
        <v>3.1</v>
      </c>
      <c r="N26" t="s">
        <v>852</v>
      </c>
      <c r="O26" t="s">
        <v>882</v>
      </c>
      <c r="P26" t="s">
        <v>879</v>
      </c>
      <c r="Q26" t="s">
        <v>853</v>
      </c>
      <c r="R26" t="s">
        <v>854</v>
      </c>
      <c r="S26" s="64">
        <f t="shared" si="0"/>
        <v>17355</v>
      </c>
    </row>
    <row r="27" spans="1:19" x14ac:dyDescent="0.25">
      <c r="A27" t="s">
        <v>292</v>
      </c>
      <c r="B27">
        <v>2023</v>
      </c>
      <c r="C27" s="23">
        <v>45291</v>
      </c>
      <c r="D27" s="64">
        <v>1623</v>
      </c>
      <c r="E27" s="64">
        <v>17226</v>
      </c>
      <c r="F27" s="64">
        <v>90</v>
      </c>
      <c r="G27" s="64">
        <v>600</v>
      </c>
      <c r="H27" s="64">
        <v>13294</v>
      </c>
      <c r="I27" s="64"/>
      <c r="J27" s="64">
        <v>20</v>
      </c>
      <c r="K27" s="64">
        <v>2091</v>
      </c>
      <c r="L27" s="64">
        <v>3.7</v>
      </c>
      <c r="M27" s="64">
        <v>3.4</v>
      </c>
      <c r="N27" t="s">
        <v>852</v>
      </c>
      <c r="O27" t="s">
        <v>883</v>
      </c>
      <c r="P27" t="s">
        <v>879</v>
      </c>
      <c r="Q27" t="s">
        <v>853</v>
      </c>
      <c r="R27" t="s">
        <v>854</v>
      </c>
      <c r="S27" s="64">
        <f t="shared" si="0"/>
        <v>19539</v>
      </c>
    </row>
    <row r="28" spans="1:19" x14ac:dyDescent="0.25">
      <c r="A28" t="s">
        <v>292</v>
      </c>
      <c r="B28">
        <v>2024</v>
      </c>
      <c r="C28" s="23">
        <v>45657</v>
      </c>
      <c r="D28" s="64">
        <v>1942</v>
      </c>
      <c r="E28" s="64">
        <v>18292</v>
      </c>
      <c r="F28" s="64">
        <v>76</v>
      </c>
      <c r="G28" s="64">
        <v>633</v>
      </c>
      <c r="H28" s="64">
        <v>14922</v>
      </c>
      <c r="I28" s="64"/>
      <c r="J28" s="64">
        <v>23</v>
      </c>
      <c r="K28" s="64">
        <v>2359</v>
      </c>
      <c r="L28" s="64">
        <v>3.9</v>
      </c>
      <c r="M28" s="64">
        <v>3.6</v>
      </c>
      <c r="N28" t="s">
        <v>852</v>
      </c>
      <c r="O28" t="s">
        <v>884</v>
      </c>
      <c r="P28" t="s">
        <v>879</v>
      </c>
      <c r="Q28" t="s">
        <v>853</v>
      </c>
      <c r="R28" t="s">
        <v>854</v>
      </c>
      <c r="S28" s="64">
        <f t="shared" si="0"/>
        <v>20943</v>
      </c>
    </row>
    <row r="29" spans="1:19" x14ac:dyDescent="0.25">
      <c r="A29" t="s">
        <v>292</v>
      </c>
      <c r="B29">
        <v>2025</v>
      </c>
      <c r="C29" s="23">
        <v>46022</v>
      </c>
      <c r="D29" s="64">
        <v>2213</v>
      </c>
      <c r="E29" s="64">
        <v>22940</v>
      </c>
      <c r="F29" s="64">
        <v>308</v>
      </c>
      <c r="G29" s="64">
        <v>876</v>
      </c>
      <c r="H29" s="64">
        <v>20404</v>
      </c>
      <c r="I29" s="64"/>
      <c r="J29" s="64">
        <v>31</v>
      </c>
      <c r="K29" s="64">
        <v>2798</v>
      </c>
      <c r="L29" s="64">
        <v>4.3</v>
      </c>
      <c r="M29" s="64">
        <v>4.0999999999999996</v>
      </c>
      <c r="N29" t="s">
        <v>852</v>
      </c>
      <c r="O29" t="s">
        <v>885</v>
      </c>
      <c r="P29" t="s">
        <v>879</v>
      </c>
      <c r="Q29" t="s">
        <v>853</v>
      </c>
      <c r="R29" t="s">
        <v>854</v>
      </c>
      <c r="S29" s="64">
        <f t="shared" si="0"/>
        <v>26337</v>
      </c>
    </row>
    <row r="30" spans="1:19" x14ac:dyDescent="0.25">
      <c r="A30" t="s">
        <v>295</v>
      </c>
      <c r="B30">
        <v>2019</v>
      </c>
      <c r="C30" s="23">
        <v>43646</v>
      </c>
      <c r="D30" s="64"/>
      <c r="E30" s="64">
        <v>6188</v>
      </c>
      <c r="F30" s="64"/>
      <c r="G30" s="64"/>
      <c r="H30" s="64">
        <v>7379</v>
      </c>
      <c r="I30" s="64"/>
      <c r="J30" s="64">
        <v>247</v>
      </c>
      <c r="K30" s="64">
        <v>1707</v>
      </c>
      <c r="L30" s="64">
        <v>3</v>
      </c>
      <c r="M30" s="64">
        <v>4.5999999999999996</v>
      </c>
      <c r="N30" t="s">
        <v>852</v>
      </c>
      <c r="O30" t="s">
        <v>886</v>
      </c>
      <c r="P30" t="s">
        <v>887</v>
      </c>
      <c r="Q30" t="s">
        <v>853</v>
      </c>
      <c r="R30" t="s">
        <v>910</v>
      </c>
      <c r="S30" s="64">
        <f t="shared" si="0"/>
        <v>6188</v>
      </c>
    </row>
    <row r="31" spans="1:19" x14ac:dyDescent="0.25">
      <c r="A31" t="s">
        <v>295</v>
      </c>
      <c r="B31">
        <v>2020</v>
      </c>
      <c r="C31" s="23">
        <v>44012</v>
      </c>
      <c r="D31" s="64">
        <v>1616</v>
      </c>
      <c r="E31" s="64">
        <v>7671</v>
      </c>
      <c r="F31" s="64">
        <v>540</v>
      </c>
      <c r="G31" s="64">
        <v>8956</v>
      </c>
      <c r="H31" s="64">
        <v>8753</v>
      </c>
      <c r="I31" s="64"/>
      <c r="J31" s="64">
        <v>336</v>
      </c>
      <c r="K31" s="64">
        <v>2043</v>
      </c>
      <c r="L31" s="64">
        <v>2.7</v>
      </c>
      <c r="M31" s="64">
        <v>3.9</v>
      </c>
      <c r="N31" t="s">
        <v>852</v>
      </c>
      <c r="O31" t="s">
        <v>888</v>
      </c>
      <c r="P31" t="s">
        <v>887</v>
      </c>
      <c r="Q31" t="s">
        <v>853</v>
      </c>
      <c r="R31" t="s">
        <v>854</v>
      </c>
      <c r="S31" s="64">
        <f t="shared" si="0"/>
        <v>18783</v>
      </c>
    </row>
    <row r="32" spans="1:19" x14ac:dyDescent="0.25">
      <c r="A32" t="s">
        <v>295</v>
      </c>
      <c r="B32">
        <v>2021</v>
      </c>
      <c r="C32" s="23">
        <v>44377</v>
      </c>
      <c r="D32" s="64">
        <v>1962</v>
      </c>
      <c r="E32" s="64">
        <v>9629</v>
      </c>
      <c r="F32" s="64">
        <v>791</v>
      </c>
      <c r="G32" s="64">
        <v>11750</v>
      </c>
      <c r="H32" s="64">
        <v>11088</v>
      </c>
      <c r="I32" s="64"/>
      <c r="J32" s="64">
        <v>386</v>
      </c>
      <c r="K32" s="64">
        <v>2127</v>
      </c>
      <c r="L32" s="64">
        <v>2.2000000000000002</v>
      </c>
      <c r="M32" s="64">
        <v>3.4</v>
      </c>
      <c r="N32" t="s">
        <v>852</v>
      </c>
      <c r="O32" t="s">
        <v>889</v>
      </c>
      <c r="P32" t="s">
        <v>887</v>
      </c>
      <c r="Q32" t="s">
        <v>853</v>
      </c>
      <c r="R32" t="s">
        <v>854</v>
      </c>
      <c r="S32" s="64">
        <f t="shared" si="0"/>
        <v>24132</v>
      </c>
    </row>
    <row r="33" spans="1:19" x14ac:dyDescent="0.25">
      <c r="A33" t="s">
        <v>295</v>
      </c>
      <c r="B33">
        <v>2022</v>
      </c>
      <c r="C33" s="23">
        <v>44742</v>
      </c>
      <c r="D33" s="64">
        <v>2228</v>
      </c>
      <c r="E33" s="64">
        <v>11489</v>
      </c>
      <c r="F33" s="64">
        <v>1060</v>
      </c>
      <c r="G33" s="64">
        <v>13842</v>
      </c>
      <c r="H33" s="64">
        <v>13148</v>
      </c>
      <c r="I33" s="64"/>
      <c r="J33" s="64">
        <v>429</v>
      </c>
      <c r="K33" s="64">
        <v>2461</v>
      </c>
      <c r="L33" s="64">
        <v>2.1</v>
      </c>
      <c r="M33" s="64">
        <v>3.1</v>
      </c>
      <c r="N33" t="s">
        <v>852</v>
      </c>
      <c r="O33" t="s">
        <v>890</v>
      </c>
      <c r="P33" t="s">
        <v>887</v>
      </c>
      <c r="Q33" t="s">
        <v>853</v>
      </c>
      <c r="R33" t="s">
        <v>854</v>
      </c>
      <c r="S33" s="64">
        <f t="shared" si="0"/>
        <v>28619</v>
      </c>
    </row>
    <row r="34" spans="1:19" x14ac:dyDescent="0.25">
      <c r="A34" t="s">
        <v>295</v>
      </c>
      <c r="B34">
        <v>2023</v>
      </c>
      <c r="C34" s="23">
        <v>45107</v>
      </c>
      <c r="D34" s="64">
        <v>2409</v>
      </c>
      <c r="E34" s="64">
        <v>12728</v>
      </c>
      <c r="F34" s="64">
        <v>1197</v>
      </c>
      <c r="G34" s="64">
        <v>15870</v>
      </c>
      <c r="H34" s="64">
        <v>14346</v>
      </c>
      <c r="I34" s="64"/>
      <c r="J34" s="64">
        <v>501</v>
      </c>
      <c r="K34" s="64">
        <v>2875</v>
      </c>
      <c r="L34" s="64">
        <v>2.9</v>
      </c>
      <c r="M34" s="64">
        <v>3.4</v>
      </c>
      <c r="N34" t="s">
        <v>852</v>
      </c>
      <c r="O34" t="s">
        <v>891</v>
      </c>
      <c r="P34" t="s">
        <v>887</v>
      </c>
      <c r="Q34" t="s">
        <v>853</v>
      </c>
      <c r="R34" t="s">
        <v>854</v>
      </c>
      <c r="S34" s="64">
        <f t="shared" si="0"/>
        <v>32204</v>
      </c>
    </row>
    <row r="35" spans="1:19" x14ac:dyDescent="0.25">
      <c r="A35" t="s">
        <v>295</v>
      </c>
      <c r="B35">
        <v>2024</v>
      </c>
      <c r="C35" s="23">
        <v>45473</v>
      </c>
      <c r="D35" s="64">
        <v>3580</v>
      </c>
      <c r="E35" s="64">
        <v>15497</v>
      </c>
      <c r="F35" s="64">
        <v>2349</v>
      </c>
      <c r="G35" s="64">
        <v>24796</v>
      </c>
      <c r="H35" s="64">
        <v>18961</v>
      </c>
      <c r="I35" s="64"/>
      <c r="J35" s="64">
        <v>734</v>
      </c>
      <c r="K35" s="64">
        <v>3555</v>
      </c>
      <c r="L35" s="64">
        <v>3.3</v>
      </c>
      <c r="M35" s="64">
        <v>3.9</v>
      </c>
      <c r="N35" t="s">
        <v>852</v>
      </c>
      <c r="O35" t="s">
        <v>892</v>
      </c>
      <c r="P35" t="s">
        <v>887</v>
      </c>
      <c r="Q35" t="s">
        <v>853</v>
      </c>
      <c r="R35" t="s">
        <v>854</v>
      </c>
      <c r="S35" s="64">
        <f t="shared" si="0"/>
        <v>46222</v>
      </c>
    </row>
    <row r="36" spans="1:19" x14ac:dyDescent="0.25">
      <c r="A36" t="s">
        <v>295</v>
      </c>
      <c r="B36">
        <v>2025</v>
      </c>
      <c r="C36" s="23">
        <v>45838</v>
      </c>
      <c r="D36" s="64">
        <v>5424</v>
      </c>
      <c r="E36" s="64">
        <v>17437</v>
      </c>
      <c r="F36" s="64">
        <v>3172</v>
      </c>
      <c r="G36" s="64">
        <v>43000</v>
      </c>
      <c r="H36" s="64">
        <v>24823</v>
      </c>
      <c r="I36" s="64"/>
      <c r="J36" s="64">
        <v>1417</v>
      </c>
      <c r="K36" s="64">
        <v>5524</v>
      </c>
      <c r="L36" s="64">
        <v>3.5</v>
      </c>
      <c r="M36" s="64">
        <v>4.2</v>
      </c>
      <c r="N36" t="s">
        <v>852</v>
      </c>
      <c r="O36" t="s">
        <v>893</v>
      </c>
      <c r="P36" t="s">
        <v>887</v>
      </c>
      <c r="Q36" t="s">
        <v>853</v>
      </c>
      <c r="R36" t="s">
        <v>854</v>
      </c>
      <c r="S36" s="64">
        <f t="shared" si="0"/>
        <v>69033</v>
      </c>
    </row>
    <row r="37" spans="1:19" x14ac:dyDescent="0.25">
      <c r="A37" t="s">
        <v>294</v>
      </c>
      <c r="B37">
        <v>2019</v>
      </c>
      <c r="C37" s="23"/>
      <c r="D37" s="64"/>
      <c r="E37" s="64"/>
      <c r="F37" s="64"/>
      <c r="G37" s="64"/>
      <c r="H37" s="64"/>
      <c r="I37" s="64"/>
      <c r="J37" s="64"/>
      <c r="K37" s="64"/>
      <c r="L37" s="64"/>
      <c r="M37" s="64"/>
      <c r="N37" t="s">
        <v>852</v>
      </c>
      <c r="Q37" t="s">
        <v>853</v>
      </c>
      <c r="R37" t="s">
        <v>854</v>
      </c>
      <c r="S37" s="64" t="str">
        <f t="shared" si="0"/>
        <v/>
      </c>
    </row>
    <row r="38" spans="1:19" x14ac:dyDescent="0.25">
      <c r="A38" t="s">
        <v>294</v>
      </c>
      <c r="B38">
        <v>2020</v>
      </c>
      <c r="C38" s="23">
        <v>43856</v>
      </c>
      <c r="D38" s="64">
        <v>91</v>
      </c>
      <c r="E38" s="64">
        <v>561</v>
      </c>
      <c r="F38" s="64"/>
      <c r="G38" s="64"/>
      <c r="H38" s="64">
        <v>618</v>
      </c>
      <c r="I38" s="64"/>
      <c r="J38" s="64"/>
      <c r="K38" s="64">
        <v>114</v>
      </c>
      <c r="L38" s="64">
        <v>3.45</v>
      </c>
      <c r="M38" s="64"/>
      <c r="N38" t="s">
        <v>852</v>
      </c>
      <c r="O38" t="s">
        <v>894</v>
      </c>
      <c r="P38" t="s">
        <v>895</v>
      </c>
      <c r="Q38" t="s">
        <v>853</v>
      </c>
      <c r="R38" t="s">
        <v>854</v>
      </c>
      <c r="S38" s="64">
        <f t="shared" si="0"/>
        <v>652</v>
      </c>
    </row>
    <row r="39" spans="1:19" x14ac:dyDescent="0.25">
      <c r="A39" t="s">
        <v>294</v>
      </c>
      <c r="B39">
        <v>2021</v>
      </c>
      <c r="C39" s="23">
        <v>44227</v>
      </c>
      <c r="D39" s="64">
        <v>121</v>
      </c>
      <c r="E39" s="64">
        <v>634</v>
      </c>
      <c r="F39" s="64"/>
      <c r="G39" s="64"/>
      <c r="H39" s="64">
        <v>707</v>
      </c>
      <c r="I39" s="64"/>
      <c r="J39" s="64"/>
      <c r="K39" s="64">
        <v>145</v>
      </c>
      <c r="L39" s="64">
        <v>2.87</v>
      </c>
      <c r="M39" s="64"/>
      <c r="N39" t="s">
        <v>852</v>
      </c>
      <c r="O39" t="s">
        <v>896</v>
      </c>
      <c r="P39" t="s">
        <v>895</v>
      </c>
      <c r="Q39" t="s">
        <v>853</v>
      </c>
      <c r="R39" t="s">
        <v>854</v>
      </c>
      <c r="S39" s="64">
        <f t="shared" si="0"/>
        <v>755</v>
      </c>
    </row>
    <row r="40" spans="1:19" x14ac:dyDescent="0.25">
      <c r="A40" t="s">
        <v>294</v>
      </c>
      <c r="B40">
        <v>2022</v>
      </c>
      <c r="C40" s="23">
        <v>44591</v>
      </c>
      <c r="D40" s="64">
        <v>144</v>
      </c>
      <c r="E40" s="64">
        <v>741</v>
      </c>
      <c r="F40" s="64"/>
      <c r="G40" s="64"/>
      <c r="H40" s="64">
        <v>829</v>
      </c>
      <c r="I40" s="64"/>
      <c r="J40" s="64"/>
      <c r="K40" s="64">
        <v>168</v>
      </c>
      <c r="L40" s="64">
        <v>2.5099999999999998</v>
      </c>
      <c r="M40" s="64"/>
      <c r="N40" t="s">
        <v>852</v>
      </c>
      <c r="O40" t="s">
        <v>897</v>
      </c>
      <c r="P40" t="s">
        <v>895</v>
      </c>
      <c r="Q40" t="s">
        <v>853</v>
      </c>
      <c r="R40" t="s">
        <v>854</v>
      </c>
      <c r="S40" s="64">
        <f t="shared" si="0"/>
        <v>885</v>
      </c>
    </row>
    <row r="41" spans="1:19" x14ac:dyDescent="0.25">
      <c r="A41" t="s">
        <v>294</v>
      </c>
      <c r="B41">
        <v>2023</v>
      </c>
      <c r="C41" s="23">
        <v>44955</v>
      </c>
      <c r="D41" s="64">
        <v>176</v>
      </c>
      <c r="E41" s="64">
        <v>902</v>
      </c>
      <c r="F41" s="64"/>
      <c r="G41" s="64"/>
      <c r="H41" s="64">
        <v>1038</v>
      </c>
      <c r="I41" s="64"/>
      <c r="J41" s="64"/>
      <c r="K41" s="64">
        <v>193</v>
      </c>
      <c r="L41" s="64">
        <v>3.21</v>
      </c>
      <c r="M41" s="64"/>
      <c r="N41" t="s">
        <v>852</v>
      </c>
      <c r="O41" t="s">
        <v>898</v>
      </c>
      <c r="P41" t="s">
        <v>895</v>
      </c>
      <c r="Q41" t="s">
        <v>853</v>
      </c>
      <c r="R41" t="s">
        <v>854</v>
      </c>
      <c r="S41" s="64">
        <f t="shared" si="0"/>
        <v>1078</v>
      </c>
    </row>
    <row r="42" spans="1:19" x14ac:dyDescent="0.25">
      <c r="A42" t="s">
        <v>294</v>
      </c>
      <c r="B42">
        <v>2024</v>
      </c>
      <c r="C42" s="23">
        <v>45319</v>
      </c>
      <c r="D42" s="64">
        <v>228</v>
      </c>
      <c r="E42" s="64">
        <v>1119</v>
      </c>
      <c r="F42" s="64"/>
      <c r="G42" s="64"/>
      <c r="H42" s="64">
        <v>1346</v>
      </c>
      <c r="I42" s="64"/>
      <c r="J42" s="64"/>
      <c r="K42" s="64">
        <v>269</v>
      </c>
      <c r="L42" s="64">
        <v>3.76</v>
      </c>
      <c r="M42" s="64"/>
      <c r="N42" t="s">
        <v>852</v>
      </c>
      <c r="O42" t="s">
        <v>899</v>
      </c>
      <c r="P42" t="s">
        <v>895</v>
      </c>
      <c r="Q42" t="s">
        <v>853</v>
      </c>
      <c r="R42" t="s">
        <v>854</v>
      </c>
      <c r="S42" s="64">
        <f t="shared" si="0"/>
        <v>1347</v>
      </c>
    </row>
    <row r="43" spans="1:19" x14ac:dyDescent="0.25">
      <c r="A43" t="s">
        <v>294</v>
      </c>
      <c r="B43">
        <v>2025</v>
      </c>
      <c r="C43" s="23">
        <v>45683</v>
      </c>
      <c r="D43" s="64">
        <v>288</v>
      </c>
      <c r="E43" s="64">
        <v>1519</v>
      </c>
      <c r="F43" s="64"/>
      <c r="G43" s="64"/>
      <c r="H43" s="64">
        <v>1793</v>
      </c>
      <c r="I43" s="64"/>
      <c r="J43" s="64"/>
      <c r="K43" s="64">
        <v>356</v>
      </c>
      <c r="L43" s="64">
        <v>4.16</v>
      </c>
      <c r="M43" s="64"/>
      <c r="N43" t="s">
        <v>852</v>
      </c>
      <c r="O43" t="s">
        <v>900</v>
      </c>
      <c r="P43" t="s">
        <v>895</v>
      </c>
      <c r="Q43" t="s">
        <v>853</v>
      </c>
      <c r="R43" t="s">
        <v>854</v>
      </c>
      <c r="S43" s="64">
        <f t="shared" si="0"/>
        <v>1807</v>
      </c>
    </row>
    <row r="44" spans="1:19" x14ac:dyDescent="0.25">
      <c r="A44" t="s">
        <v>294</v>
      </c>
      <c r="B44">
        <v>2026</v>
      </c>
      <c r="C44" s="23">
        <v>46047</v>
      </c>
      <c r="D44" s="64">
        <v>372</v>
      </c>
      <c r="E44" s="64">
        <v>2572</v>
      </c>
      <c r="F44" s="64"/>
      <c r="G44" s="64"/>
      <c r="H44" s="64">
        <v>2867</v>
      </c>
      <c r="I44" s="64"/>
      <c r="J44" s="64"/>
      <c r="K44" s="64">
        <v>462</v>
      </c>
      <c r="L44" s="64">
        <v>4.38</v>
      </c>
      <c r="M44" s="64"/>
      <c r="N44" t="s">
        <v>852</v>
      </c>
      <c r="O44" t="s">
        <v>1493</v>
      </c>
      <c r="P44" t="s">
        <v>1494</v>
      </c>
      <c r="Q44" t="s">
        <v>1495</v>
      </c>
      <c r="R44" t="s">
        <v>1496</v>
      </c>
      <c r="S44" s="64">
        <f>IF(COUNT(D44:G44)=0,"",SUM(D44:G44))</f>
        <v>2944</v>
      </c>
    </row>
    <row r="45" spans="1:19" x14ac:dyDescent="0.25">
      <c r="A45" t="s">
        <v>293</v>
      </c>
      <c r="B45">
        <v>2019</v>
      </c>
      <c r="C45" s="23">
        <v>43830</v>
      </c>
      <c r="D45" s="64">
        <v>228</v>
      </c>
      <c r="E45" s="64">
        <v>956</v>
      </c>
      <c r="F45" s="64">
        <v>386</v>
      </c>
      <c r="G45" s="64">
        <v>1232</v>
      </c>
      <c r="H45" s="64">
        <v>1218</v>
      </c>
      <c r="I45" s="64">
        <v>1630</v>
      </c>
      <c r="J45" s="64">
        <v>104</v>
      </c>
      <c r="K45" s="64">
        <v>829</v>
      </c>
      <c r="L45" s="64">
        <v>6.5</v>
      </c>
      <c r="M45" s="64">
        <v>6.5</v>
      </c>
      <c r="N45" t="s">
        <v>852</v>
      </c>
      <c r="O45" t="s">
        <v>901</v>
      </c>
      <c r="P45" t="s">
        <v>902</v>
      </c>
      <c r="Q45" t="s">
        <v>853</v>
      </c>
      <c r="R45" t="s">
        <v>854</v>
      </c>
      <c r="S45" s="64">
        <f t="shared" si="0"/>
        <v>2802</v>
      </c>
    </row>
    <row r="46" spans="1:19" x14ac:dyDescent="0.25">
      <c r="A46" t="s">
        <v>293</v>
      </c>
      <c r="B46">
        <v>2020</v>
      </c>
      <c r="C46" s="23">
        <v>44196</v>
      </c>
      <c r="D46" s="64">
        <v>286</v>
      </c>
      <c r="E46" s="64">
        <v>1254</v>
      </c>
      <c r="F46" s="64">
        <v>374</v>
      </c>
      <c r="G46" s="64">
        <v>1094</v>
      </c>
      <c r="H46" s="64">
        <v>1558</v>
      </c>
      <c r="I46" s="64">
        <v>1494</v>
      </c>
      <c r="J46" s="64">
        <v>100</v>
      </c>
      <c r="K46" s="64">
        <v>899</v>
      </c>
      <c r="L46" s="64">
        <v>5.8</v>
      </c>
      <c r="M46" s="64">
        <v>6.5</v>
      </c>
      <c r="N46" t="s">
        <v>852</v>
      </c>
      <c r="O46" t="s">
        <v>903</v>
      </c>
      <c r="P46" t="s">
        <v>902</v>
      </c>
      <c r="Q46" t="s">
        <v>853</v>
      </c>
      <c r="R46" t="s">
        <v>854</v>
      </c>
      <c r="S46" s="64">
        <f t="shared" si="0"/>
        <v>3008</v>
      </c>
    </row>
    <row r="47" spans="1:19" x14ac:dyDescent="0.25">
      <c r="A47" t="s">
        <v>293</v>
      </c>
      <c r="B47">
        <v>2021</v>
      </c>
      <c r="C47" s="23">
        <v>44561</v>
      </c>
      <c r="D47" s="64">
        <v>368</v>
      </c>
      <c r="E47" s="64">
        <v>1671</v>
      </c>
      <c r="F47" s="64">
        <v>501</v>
      </c>
      <c r="G47" s="64">
        <v>991</v>
      </c>
      <c r="H47" s="64">
        <v>2016</v>
      </c>
      <c r="I47" s="64">
        <v>1563</v>
      </c>
      <c r="J47" s="64">
        <v>89</v>
      </c>
      <c r="K47" s="64">
        <v>1131</v>
      </c>
      <c r="L47" s="64">
        <v>5</v>
      </c>
      <c r="M47" s="64">
        <v>5.8</v>
      </c>
      <c r="N47" t="s">
        <v>852</v>
      </c>
      <c r="O47" t="s">
        <v>904</v>
      </c>
      <c r="P47" t="s">
        <v>902</v>
      </c>
      <c r="Q47" t="s">
        <v>853</v>
      </c>
      <c r="R47" t="s">
        <v>854</v>
      </c>
      <c r="S47" s="64">
        <f t="shared" si="0"/>
        <v>3531</v>
      </c>
    </row>
    <row r="48" spans="1:19" x14ac:dyDescent="0.25">
      <c r="A48" t="s">
        <v>293</v>
      </c>
      <c r="B48">
        <v>2022</v>
      </c>
      <c r="C48" s="23">
        <v>44926</v>
      </c>
      <c r="D48" s="64">
        <v>485</v>
      </c>
      <c r="E48" s="64">
        <v>2164</v>
      </c>
      <c r="F48" s="64">
        <v>486</v>
      </c>
      <c r="G48" s="64">
        <v>568</v>
      </c>
      <c r="H48" s="64">
        <v>2563</v>
      </c>
      <c r="I48" s="64">
        <v>1119</v>
      </c>
      <c r="J48" s="64">
        <v>72</v>
      </c>
      <c r="K48" s="64">
        <v>1363</v>
      </c>
      <c r="L48" s="64">
        <v>5.3</v>
      </c>
      <c r="M48" s="64">
        <v>5.7</v>
      </c>
      <c r="N48" t="s">
        <v>852</v>
      </c>
      <c r="O48" t="s">
        <v>905</v>
      </c>
      <c r="P48" t="s">
        <v>902</v>
      </c>
      <c r="Q48" t="s">
        <v>853</v>
      </c>
      <c r="R48" t="s">
        <v>854</v>
      </c>
      <c r="S48" s="64">
        <f t="shared" si="0"/>
        <v>3703</v>
      </c>
    </row>
    <row r="49" spans="1:19" x14ac:dyDescent="0.25">
      <c r="A49" t="s">
        <v>293</v>
      </c>
      <c r="B49">
        <v>2023</v>
      </c>
      <c r="C49" s="23">
        <v>45291</v>
      </c>
      <c r="D49" s="64">
        <v>672</v>
      </c>
      <c r="E49" s="64">
        <v>3671</v>
      </c>
      <c r="F49" s="64">
        <v>398</v>
      </c>
      <c r="G49" s="64">
        <v>175</v>
      </c>
      <c r="H49" s="64">
        <v>4180</v>
      </c>
      <c r="I49" s="64">
        <v>624</v>
      </c>
      <c r="J49" s="64">
        <v>45</v>
      </c>
      <c r="K49" s="64">
        <v>1153</v>
      </c>
      <c r="L49" s="64">
        <v>5.6</v>
      </c>
      <c r="M49" s="64">
        <v>5.5</v>
      </c>
      <c r="N49" t="s">
        <v>852</v>
      </c>
      <c r="O49" t="s">
        <v>906</v>
      </c>
      <c r="P49" t="s">
        <v>902</v>
      </c>
      <c r="Q49" t="s">
        <v>853</v>
      </c>
      <c r="R49" t="s">
        <v>854</v>
      </c>
      <c r="S49" s="64">
        <f t="shared" si="0"/>
        <v>4916</v>
      </c>
    </row>
    <row r="50" spans="1:19" x14ac:dyDescent="0.25">
      <c r="A50" t="s">
        <v>293</v>
      </c>
      <c r="B50">
        <v>2024</v>
      </c>
      <c r="C50" s="23">
        <v>45657</v>
      </c>
      <c r="D50" s="64">
        <v>807</v>
      </c>
      <c r="E50" s="64">
        <v>4603</v>
      </c>
      <c r="F50" s="64">
        <v>113</v>
      </c>
      <c r="G50" s="64">
        <v>222</v>
      </c>
      <c r="H50" s="64">
        <v>5160</v>
      </c>
      <c r="I50" s="64">
        <v>371</v>
      </c>
      <c r="J50" s="64">
        <v>21</v>
      </c>
      <c r="K50" s="64">
        <v>1500</v>
      </c>
      <c r="L50" s="64">
        <v>5.3</v>
      </c>
      <c r="M50" s="64">
        <v>4.7</v>
      </c>
      <c r="N50" t="s">
        <v>852</v>
      </c>
      <c r="O50" t="s">
        <v>907</v>
      </c>
      <c r="P50" t="s">
        <v>902</v>
      </c>
      <c r="Q50" t="s">
        <v>853</v>
      </c>
      <c r="R50" t="s">
        <v>854</v>
      </c>
      <c r="S50" s="64">
        <f t="shared" si="0"/>
        <v>5745</v>
      </c>
    </row>
    <row r="51" spans="1:19" x14ac:dyDescent="0.25">
      <c r="A51" t="s">
        <v>293</v>
      </c>
      <c r="B51">
        <v>2025</v>
      </c>
      <c r="C51" s="23">
        <v>46022</v>
      </c>
      <c r="D51" s="64">
        <v>954</v>
      </c>
      <c r="E51" s="64">
        <v>5389</v>
      </c>
      <c r="F51" s="64">
        <v>71</v>
      </c>
      <c r="G51" s="64">
        <v>152</v>
      </c>
      <c r="H51" s="64">
        <v>6027</v>
      </c>
      <c r="I51" s="64">
        <v>248</v>
      </c>
      <c r="J51" s="64">
        <v>12</v>
      </c>
      <c r="K51" s="64">
        <v>1766</v>
      </c>
      <c r="L51" s="64">
        <v>5</v>
      </c>
      <c r="M51" s="64">
        <v>4.7</v>
      </c>
      <c r="N51" t="s">
        <v>852</v>
      </c>
      <c r="O51" t="s">
        <v>908</v>
      </c>
      <c r="P51" t="s">
        <v>902</v>
      </c>
      <c r="Q51" t="s">
        <v>853</v>
      </c>
      <c r="R51" t="s">
        <v>854</v>
      </c>
      <c r="S51" s="64">
        <f t="shared" si="0"/>
        <v>6566</v>
      </c>
    </row>
  </sheetData>
  <pageMargins left="0.7" right="0.7" top="0.75" bottom="0.75" header="0.3" footer="0.3"/>
  <legacy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5AB781-C90B-46B8-86EE-6976960CB921}">
  <sheetPr>
    <tabColor rgb="FF375623"/>
  </sheetPr>
  <dimension ref="A1"/>
  <sheetViews>
    <sheetView workbookViewId="0">
      <selection activeCell="U28" sqref="U28"/>
    </sheetView>
  </sheetViews>
  <sheetFormatPr defaultRowHeight="15" x14ac:dyDescent="0.25"/>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A91DD0-3FED-4AE7-82C4-8CB8455DFC02}">
  <sheetPr>
    <tabColor rgb="FFC6E0B4"/>
  </sheetPr>
  <dimension ref="A1:T38"/>
  <sheetViews>
    <sheetView topLeftCell="A13" workbookViewId="0"/>
  </sheetViews>
  <sheetFormatPr defaultRowHeight="15" x14ac:dyDescent="0.25"/>
  <cols>
    <col min="1" max="1" width="40.7109375" bestFit="1" customWidth="1"/>
    <col min="2" max="16" width="18.28515625" bestFit="1" customWidth="1"/>
    <col min="17" max="20" width="17.28515625" bestFit="1" customWidth="1"/>
  </cols>
  <sheetData>
    <row r="1" spans="1:20" x14ac:dyDescent="0.25">
      <c r="A1" s="10" t="s">
        <v>0</v>
      </c>
      <c r="B1" s="10"/>
      <c r="C1" s="10"/>
      <c r="D1" s="10"/>
      <c r="E1" s="10"/>
      <c r="F1" s="10"/>
      <c r="G1" s="10"/>
      <c r="H1" s="10"/>
      <c r="I1" s="10"/>
      <c r="J1" s="10"/>
      <c r="K1" s="10"/>
      <c r="L1" s="10"/>
      <c r="M1" s="10"/>
      <c r="N1" s="10"/>
      <c r="O1" s="10"/>
      <c r="P1" s="10"/>
      <c r="Q1" s="10"/>
      <c r="R1" s="10"/>
      <c r="S1" s="10"/>
      <c r="T1" s="10"/>
    </row>
    <row r="2" spans="1:20" x14ac:dyDescent="0.25">
      <c r="A2" t="s">
        <v>1</v>
      </c>
      <c r="B2" t="s">
        <v>2</v>
      </c>
    </row>
    <row r="3" spans="1:20" x14ac:dyDescent="0.25">
      <c r="A3" t="s">
        <v>3</v>
      </c>
      <c r="B3" t="s">
        <v>4</v>
      </c>
    </row>
    <row r="4" spans="1:20" x14ac:dyDescent="0.25">
      <c r="A4" t="s">
        <v>32</v>
      </c>
      <c r="B4" s="236" t="s">
        <v>33</v>
      </c>
      <c r="C4" s="236"/>
      <c r="D4" s="236"/>
      <c r="E4" s="236"/>
      <c r="F4" s="236"/>
      <c r="G4" s="236"/>
      <c r="H4" s="236"/>
      <c r="I4" s="236"/>
      <c r="J4" s="236"/>
      <c r="K4" s="236"/>
      <c r="L4" s="236"/>
      <c r="M4" s="236"/>
      <c r="N4" s="236"/>
      <c r="O4" s="236"/>
      <c r="P4" s="236"/>
      <c r="Q4" s="236"/>
      <c r="R4" s="236"/>
      <c r="S4" s="236"/>
      <c r="T4" s="236"/>
    </row>
    <row r="5" spans="1:20" x14ac:dyDescent="0.25">
      <c r="A5" t="s">
        <v>34</v>
      </c>
      <c r="B5" s="8">
        <v>45927</v>
      </c>
      <c r="C5" s="8">
        <v>45563</v>
      </c>
      <c r="D5" s="8">
        <v>45199</v>
      </c>
      <c r="E5" s="8">
        <v>44828</v>
      </c>
      <c r="F5" s="8">
        <v>44464</v>
      </c>
      <c r="G5" s="8">
        <v>44100</v>
      </c>
      <c r="H5" s="8">
        <v>43736</v>
      </c>
      <c r="I5" s="8">
        <v>43372</v>
      </c>
      <c r="J5" s="8">
        <v>43008</v>
      </c>
      <c r="K5" s="8">
        <v>42637</v>
      </c>
      <c r="L5" s="8">
        <v>42273</v>
      </c>
      <c r="M5" s="8">
        <v>41909</v>
      </c>
      <c r="N5" s="8">
        <v>41545</v>
      </c>
      <c r="O5" s="8">
        <v>41181</v>
      </c>
      <c r="P5" s="8">
        <v>40810</v>
      </c>
      <c r="Q5" s="8">
        <v>40446</v>
      </c>
      <c r="R5" s="8">
        <v>40082</v>
      </c>
      <c r="S5" s="8">
        <v>39718</v>
      </c>
      <c r="T5" s="8">
        <v>39354</v>
      </c>
    </row>
    <row r="7" spans="1:20" x14ac:dyDescent="0.25">
      <c r="A7" s="1" t="s">
        <v>31</v>
      </c>
      <c r="B7" s="1">
        <v>416161</v>
      </c>
      <c r="C7" s="1">
        <v>391035</v>
      </c>
      <c r="D7" s="1">
        <v>383285</v>
      </c>
      <c r="E7" s="1">
        <v>394328</v>
      </c>
      <c r="F7" s="1">
        <v>365817</v>
      </c>
      <c r="G7" s="1">
        <v>274515</v>
      </c>
      <c r="H7" s="1">
        <v>260174</v>
      </c>
      <c r="I7" s="1">
        <v>265595</v>
      </c>
      <c r="J7" s="1">
        <v>229234</v>
      </c>
      <c r="K7" s="1">
        <v>215639</v>
      </c>
      <c r="L7" s="1">
        <v>233715</v>
      </c>
      <c r="M7" s="1">
        <v>182795</v>
      </c>
      <c r="N7" s="1">
        <v>170910</v>
      </c>
      <c r="O7" s="1">
        <v>156508</v>
      </c>
      <c r="P7" s="1">
        <v>108249</v>
      </c>
      <c r="Q7" s="1">
        <v>65225</v>
      </c>
      <c r="R7" s="1">
        <v>42603</v>
      </c>
      <c r="S7" s="1">
        <v>32479</v>
      </c>
      <c r="T7" s="1">
        <v>24006</v>
      </c>
    </row>
    <row r="9" spans="1:20" x14ac:dyDescent="0.25">
      <c r="A9" s="1" t="s">
        <v>30</v>
      </c>
      <c r="B9" s="1">
        <v>220960</v>
      </c>
      <c r="C9" s="1">
        <v>210352</v>
      </c>
      <c r="D9" s="1">
        <v>214137</v>
      </c>
      <c r="E9" s="1">
        <v>223546</v>
      </c>
      <c r="F9" s="1">
        <v>212981</v>
      </c>
      <c r="G9" s="1">
        <v>169559</v>
      </c>
      <c r="H9" s="1">
        <v>161782</v>
      </c>
      <c r="I9" s="1">
        <v>163756</v>
      </c>
      <c r="J9" s="1">
        <v>141048</v>
      </c>
      <c r="K9" s="1">
        <v>131376</v>
      </c>
      <c r="L9" s="1">
        <v>140089</v>
      </c>
      <c r="M9" s="1">
        <v>112258</v>
      </c>
      <c r="N9" s="1">
        <v>106606</v>
      </c>
      <c r="O9" s="1">
        <v>87846</v>
      </c>
      <c r="P9" s="1">
        <v>64431</v>
      </c>
      <c r="Q9" s="1">
        <v>39541</v>
      </c>
      <c r="R9" s="1">
        <v>25751</v>
      </c>
      <c r="S9" s="1">
        <v>21334</v>
      </c>
      <c r="T9" s="1">
        <v>15852</v>
      </c>
    </row>
    <row r="10" spans="1:20" x14ac:dyDescent="0.25">
      <c r="A10" s="6" t="s">
        <v>29</v>
      </c>
      <c r="B10" s="4">
        <v>195201</v>
      </c>
      <c r="C10" s="4">
        <v>180683</v>
      </c>
      <c r="D10" s="4">
        <v>169148</v>
      </c>
      <c r="E10" s="4">
        <v>170782</v>
      </c>
      <c r="F10" s="4">
        <v>152836</v>
      </c>
      <c r="G10" s="4">
        <v>104956</v>
      </c>
      <c r="H10" s="4">
        <v>98392</v>
      </c>
      <c r="I10" s="4">
        <v>101839</v>
      </c>
      <c r="J10" s="4">
        <v>88186</v>
      </c>
      <c r="K10" s="4">
        <v>84263</v>
      </c>
      <c r="L10" s="4">
        <v>93626</v>
      </c>
      <c r="M10" s="4">
        <v>70537</v>
      </c>
      <c r="N10" s="4">
        <v>64304</v>
      </c>
      <c r="O10" s="4">
        <v>68662</v>
      </c>
      <c r="P10" s="4">
        <v>43818</v>
      </c>
      <c r="Q10" s="4">
        <v>25684</v>
      </c>
      <c r="R10" s="4">
        <v>16852</v>
      </c>
      <c r="S10" s="4">
        <v>11145</v>
      </c>
      <c r="T10" s="4">
        <v>8154</v>
      </c>
    </row>
    <row r="11" spans="1:20" x14ac:dyDescent="0.25">
      <c r="A11" s="3" t="s">
        <v>28</v>
      </c>
      <c r="B11" s="3">
        <v>0.46905164110000003</v>
      </c>
      <c r="C11" s="3">
        <v>0.46206349819999998</v>
      </c>
      <c r="D11" s="3">
        <v>0.4413112958</v>
      </c>
      <c r="E11" s="3">
        <v>0.43309630560000001</v>
      </c>
      <c r="F11" s="3">
        <v>0.41779359630000001</v>
      </c>
      <c r="G11" s="3">
        <v>0.38233247729999997</v>
      </c>
      <c r="H11" s="3">
        <v>0.3781776811</v>
      </c>
      <c r="I11" s="3">
        <v>0.3834371882</v>
      </c>
      <c r="J11" s="3">
        <v>0.38469860490000002</v>
      </c>
      <c r="K11" s="3">
        <v>0.39075955649999999</v>
      </c>
      <c r="L11" s="3">
        <v>0.40059902019999999</v>
      </c>
      <c r="M11" s="3">
        <v>0.38588035780000002</v>
      </c>
      <c r="N11" s="3">
        <v>0.37624480719999998</v>
      </c>
      <c r="O11" s="3">
        <v>0.43871239810000001</v>
      </c>
      <c r="P11" s="3">
        <v>0.40478895879999999</v>
      </c>
      <c r="Q11" s="3">
        <v>0.39377539290000002</v>
      </c>
      <c r="R11" s="3">
        <v>0.39555899820000001</v>
      </c>
      <c r="S11" s="3">
        <v>0.34314480130000002</v>
      </c>
      <c r="T11" s="3">
        <v>0.33966508369999998</v>
      </c>
    </row>
    <row r="13" spans="1:20" x14ac:dyDescent="0.25">
      <c r="A13" s="1" t="s">
        <v>27</v>
      </c>
      <c r="B13" s="1">
        <v>34550</v>
      </c>
      <c r="C13" s="1">
        <v>31370</v>
      </c>
      <c r="D13" s="1">
        <v>29915</v>
      </c>
      <c r="E13" s="1">
        <v>26251</v>
      </c>
      <c r="F13" s="1">
        <v>21914</v>
      </c>
      <c r="G13" s="1">
        <v>18752</v>
      </c>
      <c r="H13" s="1">
        <v>16217</v>
      </c>
      <c r="I13" s="1">
        <v>14236</v>
      </c>
      <c r="J13" s="1">
        <v>11581</v>
      </c>
      <c r="K13" s="1">
        <v>10045</v>
      </c>
      <c r="L13" s="1">
        <v>8067</v>
      </c>
      <c r="M13" s="1">
        <v>6041</v>
      </c>
      <c r="N13" s="1">
        <v>4475</v>
      </c>
      <c r="O13" s="1">
        <v>3381</v>
      </c>
      <c r="P13" s="1">
        <v>2429</v>
      </c>
      <c r="Q13" s="1">
        <v>1782</v>
      </c>
      <c r="R13" s="1">
        <v>1333</v>
      </c>
      <c r="S13" s="1">
        <v>1109</v>
      </c>
      <c r="T13" s="1">
        <v>782</v>
      </c>
    </row>
    <row r="14" spans="1:20" x14ac:dyDescent="0.25">
      <c r="A14" s="1" t="s">
        <v>24</v>
      </c>
      <c r="B14" s="1">
        <v>27601</v>
      </c>
      <c r="C14" s="1">
        <v>26097</v>
      </c>
      <c r="D14" s="1">
        <v>24932</v>
      </c>
      <c r="E14" s="1">
        <v>25094</v>
      </c>
      <c r="F14" s="1">
        <v>21973</v>
      </c>
      <c r="G14" s="1">
        <v>19916</v>
      </c>
      <c r="H14" s="1">
        <v>18245</v>
      </c>
      <c r="I14" s="1">
        <v>16705</v>
      </c>
      <c r="J14" s="1">
        <v>15261</v>
      </c>
      <c r="K14" s="1">
        <v>14194</v>
      </c>
      <c r="L14" s="1">
        <v>14329</v>
      </c>
      <c r="M14" s="1">
        <v>11993</v>
      </c>
      <c r="N14" s="1">
        <v>10830</v>
      </c>
      <c r="O14" s="1">
        <v>10040</v>
      </c>
      <c r="P14" s="1">
        <v>7599</v>
      </c>
      <c r="Q14" s="1">
        <v>5517</v>
      </c>
      <c r="R14" s="1">
        <v>4149</v>
      </c>
      <c r="S14" s="1">
        <v>3761</v>
      </c>
      <c r="T14" s="1">
        <v>2963</v>
      </c>
    </row>
    <row r="15" spans="1:20" x14ac:dyDescent="0.25">
      <c r="A15" s="1" t="s">
        <v>26</v>
      </c>
      <c r="B15" s="1">
        <v>27601</v>
      </c>
      <c r="C15" s="1">
        <v>7458</v>
      </c>
      <c r="D15" s="1">
        <v>0</v>
      </c>
      <c r="E15" s="1">
        <v>0</v>
      </c>
      <c r="F15" s="1">
        <v>0</v>
      </c>
      <c r="G15" s="1">
        <v>0</v>
      </c>
      <c r="H15" s="1">
        <v>0</v>
      </c>
      <c r="I15" s="1">
        <v>0</v>
      </c>
      <c r="J15" s="1">
        <v>0</v>
      </c>
      <c r="K15" s="1">
        <v>0</v>
      </c>
      <c r="L15" s="1">
        <v>0</v>
      </c>
      <c r="M15" s="1">
        <v>0</v>
      </c>
      <c r="N15" s="1">
        <v>9730</v>
      </c>
      <c r="O15" s="1">
        <v>9040</v>
      </c>
      <c r="P15" s="1">
        <v>0</v>
      </c>
      <c r="Q15" s="1">
        <v>0</v>
      </c>
      <c r="R15" s="1">
        <v>0</v>
      </c>
      <c r="S15" s="1">
        <v>0</v>
      </c>
      <c r="T15" s="1">
        <v>0</v>
      </c>
    </row>
    <row r="16" spans="1:20" x14ac:dyDescent="0.25">
      <c r="A16" s="1" t="s">
        <v>25</v>
      </c>
      <c r="B16" s="1">
        <v>0</v>
      </c>
      <c r="C16" s="1">
        <v>18639</v>
      </c>
      <c r="D16" s="1">
        <v>0</v>
      </c>
      <c r="E16" s="1">
        <v>0</v>
      </c>
      <c r="F16" s="1">
        <v>0</v>
      </c>
      <c r="G16" s="1">
        <v>0</v>
      </c>
      <c r="H16" s="1">
        <v>0</v>
      </c>
      <c r="I16" s="1">
        <v>0</v>
      </c>
      <c r="J16" s="1">
        <v>0</v>
      </c>
      <c r="K16" s="1">
        <v>0</v>
      </c>
      <c r="L16" s="1">
        <v>0</v>
      </c>
      <c r="M16" s="1">
        <v>0</v>
      </c>
      <c r="N16" s="1">
        <v>1100</v>
      </c>
      <c r="O16" s="1">
        <v>1000</v>
      </c>
      <c r="P16" s="1">
        <v>0</v>
      </c>
      <c r="Q16" s="1">
        <v>0</v>
      </c>
      <c r="R16" s="1">
        <v>0</v>
      </c>
      <c r="S16" s="1">
        <v>0</v>
      </c>
      <c r="T16" s="1">
        <v>0</v>
      </c>
    </row>
    <row r="17" spans="1:20" x14ac:dyDescent="0.25">
      <c r="A17" s="1" t="s">
        <v>23</v>
      </c>
      <c r="B17" s="1">
        <v>0</v>
      </c>
      <c r="C17" s="1">
        <v>0</v>
      </c>
      <c r="D17" s="1">
        <v>0</v>
      </c>
      <c r="E17" s="1">
        <v>0</v>
      </c>
      <c r="F17" s="1">
        <v>0</v>
      </c>
      <c r="G17" s="1">
        <v>0</v>
      </c>
      <c r="H17" s="1">
        <v>0</v>
      </c>
      <c r="I17" s="1">
        <v>0</v>
      </c>
      <c r="J17" s="1">
        <v>0</v>
      </c>
      <c r="K17" s="1">
        <v>0</v>
      </c>
      <c r="L17" s="1">
        <v>0</v>
      </c>
      <c r="M17" s="1">
        <v>0</v>
      </c>
      <c r="N17" s="1">
        <v>0</v>
      </c>
      <c r="O17" s="1">
        <v>0</v>
      </c>
      <c r="P17" s="1">
        <v>0</v>
      </c>
      <c r="Q17" s="1">
        <v>0</v>
      </c>
      <c r="R17" s="1">
        <v>0</v>
      </c>
      <c r="S17" s="1">
        <v>0</v>
      </c>
      <c r="T17" s="1">
        <v>0</v>
      </c>
    </row>
    <row r="18" spans="1:20" x14ac:dyDescent="0.25">
      <c r="A18" s="6" t="s">
        <v>22</v>
      </c>
      <c r="B18" s="4">
        <v>62151</v>
      </c>
      <c r="C18" s="4">
        <v>57467</v>
      </c>
      <c r="D18" s="4">
        <v>54847</v>
      </c>
      <c r="E18" s="4">
        <v>51345</v>
      </c>
      <c r="F18" s="4">
        <v>43887</v>
      </c>
      <c r="G18" s="4">
        <v>38668</v>
      </c>
      <c r="H18" s="4">
        <v>34462</v>
      </c>
      <c r="I18" s="4">
        <v>30941</v>
      </c>
      <c r="J18" s="4">
        <v>26842</v>
      </c>
      <c r="K18" s="4">
        <v>24239</v>
      </c>
      <c r="L18" s="4">
        <v>22396</v>
      </c>
      <c r="M18" s="4">
        <v>18034</v>
      </c>
      <c r="N18" s="4">
        <v>15305</v>
      </c>
      <c r="O18" s="4">
        <v>13421</v>
      </c>
      <c r="P18" s="4">
        <v>10028</v>
      </c>
      <c r="Q18" s="4">
        <v>7299</v>
      </c>
      <c r="R18" s="4">
        <v>5482</v>
      </c>
      <c r="S18" s="4">
        <v>4870</v>
      </c>
      <c r="T18" s="4">
        <v>3745</v>
      </c>
    </row>
    <row r="20" spans="1:20" x14ac:dyDescent="0.25">
      <c r="A20" s="1" t="s">
        <v>21</v>
      </c>
      <c r="B20" s="1">
        <v>283111</v>
      </c>
      <c r="C20" s="1">
        <v>267819</v>
      </c>
      <c r="D20" s="1">
        <v>268984</v>
      </c>
      <c r="E20" s="1">
        <v>274891</v>
      </c>
      <c r="F20" s="1">
        <v>256868</v>
      </c>
      <c r="G20" s="1">
        <v>208227</v>
      </c>
      <c r="H20" s="1">
        <v>196244</v>
      </c>
      <c r="I20" s="1">
        <v>194697</v>
      </c>
      <c r="J20" s="1">
        <v>167890</v>
      </c>
      <c r="K20" s="1">
        <v>155615</v>
      </c>
      <c r="L20" s="1">
        <v>162485</v>
      </c>
      <c r="M20" s="1">
        <v>130292</v>
      </c>
      <c r="N20" s="1">
        <v>121911</v>
      </c>
      <c r="O20" s="1">
        <v>101267</v>
      </c>
      <c r="P20" s="1">
        <v>74459</v>
      </c>
      <c r="Q20" s="1">
        <v>46840</v>
      </c>
      <c r="R20" s="1">
        <v>31233</v>
      </c>
      <c r="S20" s="1">
        <v>26204</v>
      </c>
      <c r="T20" s="1">
        <v>19597</v>
      </c>
    </row>
    <row r="21" spans="1:20" x14ac:dyDescent="0.25">
      <c r="A21" s="1" t="s">
        <v>18</v>
      </c>
      <c r="B21" s="1">
        <v>144427</v>
      </c>
      <c r="C21" s="1">
        <v>134930</v>
      </c>
      <c r="D21" s="1">
        <v>129188</v>
      </c>
      <c r="E21" s="1">
        <v>133138</v>
      </c>
      <c r="F21" s="1">
        <v>123136</v>
      </c>
      <c r="G21" s="1">
        <v>81020</v>
      </c>
      <c r="H21" s="1">
        <v>81860</v>
      </c>
      <c r="I21" s="1">
        <v>87046</v>
      </c>
      <c r="J21" s="1">
        <v>76569</v>
      </c>
      <c r="K21" s="1">
        <v>73333</v>
      </c>
      <c r="L21" s="1">
        <v>84505</v>
      </c>
      <c r="M21" s="1">
        <v>61813</v>
      </c>
      <c r="N21" s="1">
        <v>57048</v>
      </c>
      <c r="O21" s="1">
        <v>59040</v>
      </c>
      <c r="P21" s="1">
        <v>36019</v>
      </c>
      <c r="Q21" s="1">
        <v>19412</v>
      </c>
      <c r="R21" s="1">
        <v>12029</v>
      </c>
      <c r="S21" s="1">
        <v>7304</v>
      </c>
      <c r="T21" s="1">
        <v>4724</v>
      </c>
    </row>
    <row r="22" spans="1:20" x14ac:dyDescent="0.25">
      <c r="A22" s="3" t="s">
        <v>17</v>
      </c>
      <c r="B22" s="3">
        <v>0.34704597500000001</v>
      </c>
      <c r="C22" s="3">
        <v>0.34505862650000002</v>
      </c>
      <c r="D22" s="3">
        <v>0.33705467210000001</v>
      </c>
      <c r="E22" s="3">
        <v>0.33763263069999999</v>
      </c>
      <c r="F22" s="3">
        <v>0.33660546120000001</v>
      </c>
      <c r="G22" s="3">
        <v>0.29513869920000002</v>
      </c>
      <c r="H22" s="3">
        <v>0.31463559000000002</v>
      </c>
      <c r="I22" s="3">
        <v>0.32773960349999998</v>
      </c>
      <c r="J22" s="3">
        <v>0.33402113119999999</v>
      </c>
      <c r="K22" s="3">
        <v>0.3400729924</v>
      </c>
      <c r="L22" s="3">
        <v>0.36157285579999998</v>
      </c>
      <c r="M22" s="3">
        <v>0.33815476350000001</v>
      </c>
      <c r="N22" s="3">
        <v>0.33378971390000001</v>
      </c>
      <c r="O22" s="3">
        <v>0.37723311269999998</v>
      </c>
      <c r="P22" s="3">
        <v>0.33274210389999997</v>
      </c>
      <c r="Q22" s="3">
        <v>0.29761594479999998</v>
      </c>
      <c r="R22" s="3">
        <v>0.28235100810000002</v>
      </c>
      <c r="S22" s="3">
        <v>0.22488377109999999</v>
      </c>
      <c r="T22" s="3">
        <v>0.19678413729999999</v>
      </c>
    </row>
    <row r="23" spans="1:20" x14ac:dyDescent="0.25">
      <c r="A23" s="1" t="s">
        <v>20</v>
      </c>
      <c r="B23" s="1">
        <v>0</v>
      </c>
      <c r="C23" s="1">
        <v>0</v>
      </c>
      <c r="D23" s="1">
        <v>3933</v>
      </c>
      <c r="E23" s="1">
        <v>2931</v>
      </c>
      <c r="F23" s="1">
        <v>2645</v>
      </c>
      <c r="G23" s="1">
        <v>2873</v>
      </c>
      <c r="H23" s="1">
        <v>3576</v>
      </c>
      <c r="I23" s="1">
        <v>3240</v>
      </c>
      <c r="J23" s="1">
        <v>2323</v>
      </c>
      <c r="K23" s="1">
        <v>1456</v>
      </c>
      <c r="L23" s="1">
        <v>733</v>
      </c>
      <c r="M23" s="1">
        <v>384</v>
      </c>
      <c r="N23" s="1">
        <v>136</v>
      </c>
      <c r="O23" s="1">
        <v>0</v>
      </c>
      <c r="P23" s="1">
        <v>0</v>
      </c>
      <c r="Q23" s="1">
        <v>0</v>
      </c>
      <c r="R23" s="1">
        <v>0</v>
      </c>
      <c r="S23" s="1">
        <v>0</v>
      </c>
      <c r="T23" s="1">
        <v>0</v>
      </c>
    </row>
    <row r="24" spans="1:20" x14ac:dyDescent="0.25">
      <c r="A24" s="1" t="s">
        <v>19</v>
      </c>
      <c r="B24" s="1">
        <v>11698</v>
      </c>
      <c r="C24" s="1">
        <v>11445</v>
      </c>
      <c r="D24" s="1">
        <v>11519</v>
      </c>
      <c r="E24" s="1">
        <v>11104</v>
      </c>
      <c r="F24" s="1">
        <v>11284</v>
      </c>
      <c r="G24" s="1">
        <v>11056</v>
      </c>
      <c r="H24" s="1">
        <v>12547</v>
      </c>
      <c r="I24" s="1">
        <v>10903</v>
      </c>
      <c r="J24" s="1">
        <v>10157</v>
      </c>
      <c r="K24" s="1">
        <v>10505</v>
      </c>
      <c r="L24" s="1">
        <v>11257</v>
      </c>
      <c r="M24" s="1">
        <v>7946</v>
      </c>
      <c r="N24" s="1">
        <v>6757</v>
      </c>
      <c r="O24" s="1">
        <v>3277</v>
      </c>
      <c r="P24" s="1">
        <v>1814</v>
      </c>
      <c r="Q24" s="1">
        <v>1027</v>
      </c>
      <c r="R24" s="1">
        <v>659</v>
      </c>
      <c r="S24" s="1">
        <v>409</v>
      </c>
      <c r="T24" s="1">
        <v>317</v>
      </c>
    </row>
    <row r="25" spans="1:20" x14ac:dyDescent="0.25">
      <c r="A25" s="6" t="s">
        <v>16</v>
      </c>
      <c r="B25" s="5">
        <v>133050</v>
      </c>
      <c r="C25" s="5">
        <v>123216</v>
      </c>
      <c r="D25" s="5">
        <v>114301</v>
      </c>
      <c r="E25" s="5">
        <v>119437</v>
      </c>
      <c r="F25" s="5">
        <v>108949</v>
      </c>
      <c r="G25" s="5">
        <v>66288</v>
      </c>
      <c r="H25" s="5">
        <v>63930</v>
      </c>
      <c r="I25" s="5">
        <v>70898</v>
      </c>
      <c r="J25" s="5">
        <v>61344</v>
      </c>
      <c r="K25" s="5">
        <v>60024</v>
      </c>
      <c r="L25" s="5">
        <v>71230</v>
      </c>
      <c r="M25" s="5">
        <v>52503</v>
      </c>
      <c r="N25" s="5">
        <v>48999</v>
      </c>
      <c r="O25" s="5">
        <v>55241</v>
      </c>
      <c r="P25" s="5">
        <v>33790</v>
      </c>
      <c r="Q25" s="5">
        <v>18385</v>
      </c>
      <c r="R25" s="5">
        <v>11370</v>
      </c>
      <c r="S25" s="5">
        <v>6275</v>
      </c>
      <c r="T25" s="5">
        <v>4409</v>
      </c>
    </row>
    <row r="26" spans="1:20" x14ac:dyDescent="0.25">
      <c r="A26" s="3" t="s">
        <v>15</v>
      </c>
      <c r="B26" s="7">
        <v>0.31970799760000002</v>
      </c>
      <c r="C26" s="7">
        <v>0.31510222869999999</v>
      </c>
      <c r="D26" s="7">
        <v>0.29821412269999997</v>
      </c>
      <c r="E26" s="7">
        <v>0.30288744400000001</v>
      </c>
      <c r="F26" s="7">
        <v>0.29782377529999998</v>
      </c>
      <c r="G26" s="7">
        <v>0.24147314349999999</v>
      </c>
      <c r="H26" s="7">
        <v>0.24572017190000001</v>
      </c>
      <c r="I26" s="7">
        <v>0.2669402662</v>
      </c>
      <c r="J26" s="7">
        <v>0.26760428209999998</v>
      </c>
      <c r="K26" s="7">
        <v>0.27835410109999997</v>
      </c>
      <c r="L26" s="7">
        <v>0.3047729072</v>
      </c>
      <c r="M26" s="7">
        <v>0.28722339229999999</v>
      </c>
      <c r="N26" s="7">
        <v>0.28669475160000002</v>
      </c>
      <c r="O26" s="7">
        <v>0.35295959310000002</v>
      </c>
      <c r="P26" s="7">
        <v>0.31215068959999998</v>
      </c>
      <c r="Q26" s="7">
        <v>0.28187044839999997</v>
      </c>
      <c r="R26" s="7">
        <v>0.26688261390000001</v>
      </c>
      <c r="S26" s="7">
        <v>0.19320176110000001</v>
      </c>
      <c r="T26" s="7">
        <v>0.1836624177</v>
      </c>
    </row>
    <row r="28" spans="1:20" x14ac:dyDescent="0.25">
      <c r="A28" s="1" t="s">
        <v>14</v>
      </c>
      <c r="B28" s="1">
        <v>-321</v>
      </c>
      <c r="C28" s="1">
        <v>269</v>
      </c>
      <c r="D28" s="1">
        <v>-565</v>
      </c>
      <c r="E28" s="1">
        <v>-334</v>
      </c>
      <c r="F28" s="1">
        <v>258</v>
      </c>
      <c r="G28" s="1">
        <v>803</v>
      </c>
      <c r="H28" s="1">
        <v>1807</v>
      </c>
      <c r="I28" s="1">
        <v>2005</v>
      </c>
      <c r="J28" s="1">
        <v>2745</v>
      </c>
      <c r="K28" s="1">
        <v>1348</v>
      </c>
      <c r="L28" s="1">
        <v>1285</v>
      </c>
      <c r="M28" s="1">
        <v>980</v>
      </c>
      <c r="N28" s="1">
        <v>1156</v>
      </c>
      <c r="O28" s="1">
        <v>522</v>
      </c>
      <c r="P28" s="1">
        <v>415</v>
      </c>
      <c r="Q28" s="1">
        <v>155</v>
      </c>
      <c r="R28" s="1">
        <v>696</v>
      </c>
      <c r="S28" s="1">
        <v>620</v>
      </c>
      <c r="T28" s="1">
        <v>599</v>
      </c>
    </row>
    <row r="29" spans="1:20" x14ac:dyDescent="0.25">
      <c r="A29" s="1" t="s">
        <v>13</v>
      </c>
      <c r="B29" s="1">
        <v>132729</v>
      </c>
      <c r="C29" s="1">
        <v>123485</v>
      </c>
      <c r="D29" s="1">
        <v>113736</v>
      </c>
      <c r="E29" s="1">
        <v>119103</v>
      </c>
      <c r="F29" s="1">
        <v>109207</v>
      </c>
      <c r="G29" s="1">
        <v>67091</v>
      </c>
      <c r="H29" s="1">
        <v>65737</v>
      </c>
      <c r="I29" s="1">
        <v>72903</v>
      </c>
      <c r="J29" s="1">
        <v>64089</v>
      </c>
      <c r="K29" s="1">
        <v>61372</v>
      </c>
      <c r="L29" s="1">
        <v>72515</v>
      </c>
      <c r="M29" s="1">
        <v>53483</v>
      </c>
      <c r="N29" s="1">
        <v>50155</v>
      </c>
      <c r="O29" s="1">
        <v>55763</v>
      </c>
      <c r="P29" s="1">
        <v>34205</v>
      </c>
      <c r="Q29" s="1">
        <v>18540</v>
      </c>
      <c r="R29" s="1">
        <v>12066</v>
      </c>
      <c r="S29" s="1">
        <v>6895</v>
      </c>
      <c r="T29" s="1">
        <v>5008</v>
      </c>
    </row>
    <row r="30" spans="1:20" x14ac:dyDescent="0.25">
      <c r="A30" s="2" t="s">
        <v>12</v>
      </c>
      <c r="B30" s="2">
        <v>0.3189366615</v>
      </c>
      <c r="C30" s="2">
        <v>0.3157901467</v>
      </c>
      <c r="D30" s="2">
        <v>0.29674002370000002</v>
      </c>
      <c r="E30" s="2">
        <v>0.30204043330000002</v>
      </c>
      <c r="F30" s="2">
        <v>0.29852904590000001</v>
      </c>
      <c r="G30" s="2">
        <v>0.2443983025</v>
      </c>
      <c r="H30" s="2">
        <v>0.25266552380000001</v>
      </c>
      <c r="I30" s="2">
        <v>0.27448935410000003</v>
      </c>
      <c r="J30" s="2">
        <v>0.27957894550000001</v>
      </c>
      <c r="K30" s="2">
        <v>0.28460528940000002</v>
      </c>
      <c r="L30" s="2">
        <v>0.31027105659999998</v>
      </c>
      <c r="M30" s="2">
        <v>0.29258458929999998</v>
      </c>
      <c r="N30" s="2">
        <v>0.29345854539999999</v>
      </c>
      <c r="O30" s="2">
        <v>0.35629488590000002</v>
      </c>
      <c r="P30" s="2">
        <v>0.31598444329999997</v>
      </c>
      <c r="Q30" s="2">
        <v>0.28424683789999999</v>
      </c>
      <c r="R30" s="2">
        <v>0.28321949159999998</v>
      </c>
      <c r="S30" s="2">
        <v>0.21229101880000001</v>
      </c>
      <c r="T30" s="2">
        <v>0.208614513</v>
      </c>
    </row>
    <row r="31" spans="1:20" x14ac:dyDescent="0.25">
      <c r="A31" s="1" t="s">
        <v>11</v>
      </c>
      <c r="B31" s="1">
        <v>20719</v>
      </c>
      <c r="C31" s="1">
        <v>29749</v>
      </c>
      <c r="D31" s="1">
        <v>16741</v>
      </c>
      <c r="E31" s="1">
        <v>19300</v>
      </c>
      <c r="F31" s="1">
        <v>14527</v>
      </c>
      <c r="G31" s="1">
        <v>9680</v>
      </c>
      <c r="H31" s="1">
        <v>10481</v>
      </c>
      <c r="I31" s="1">
        <v>13372</v>
      </c>
      <c r="J31" s="1">
        <v>15738</v>
      </c>
      <c r="K31" s="1">
        <v>15685</v>
      </c>
      <c r="L31" s="1">
        <v>19121</v>
      </c>
      <c r="M31" s="1">
        <v>13973</v>
      </c>
      <c r="N31" s="1">
        <v>13118</v>
      </c>
      <c r="O31" s="1">
        <v>14030</v>
      </c>
      <c r="P31" s="1">
        <v>8283</v>
      </c>
      <c r="Q31" s="1">
        <v>4527</v>
      </c>
      <c r="R31" s="1">
        <v>3831</v>
      </c>
      <c r="S31" s="1">
        <v>2061</v>
      </c>
      <c r="T31" s="1">
        <v>1512</v>
      </c>
    </row>
    <row r="32" spans="1:20" x14ac:dyDescent="0.25">
      <c r="A32" s="6" t="s">
        <v>10</v>
      </c>
      <c r="B32" s="5">
        <v>112010</v>
      </c>
      <c r="C32" s="5">
        <v>93736</v>
      </c>
      <c r="D32" s="5">
        <v>96995</v>
      </c>
      <c r="E32" s="5">
        <v>99803</v>
      </c>
      <c r="F32" s="5">
        <v>94680</v>
      </c>
      <c r="G32" s="5">
        <v>57411</v>
      </c>
      <c r="H32" s="5">
        <v>55256</v>
      </c>
      <c r="I32" s="5">
        <v>59531</v>
      </c>
      <c r="J32" s="5">
        <v>48351</v>
      </c>
      <c r="K32" s="5">
        <v>45687</v>
      </c>
      <c r="L32" s="5">
        <v>53394</v>
      </c>
      <c r="M32" s="5">
        <v>39510</v>
      </c>
      <c r="N32" s="5">
        <v>37037</v>
      </c>
      <c r="O32" s="5">
        <v>41733</v>
      </c>
      <c r="P32" s="5">
        <v>25922</v>
      </c>
      <c r="Q32" s="5">
        <v>14013</v>
      </c>
      <c r="R32" s="5">
        <v>8235</v>
      </c>
      <c r="S32" s="5">
        <v>4834</v>
      </c>
      <c r="T32" s="5">
        <v>3495</v>
      </c>
    </row>
    <row r="34" spans="1:20" x14ac:dyDescent="0.25">
      <c r="A34" s="3" t="s">
        <v>9</v>
      </c>
      <c r="B34" s="3">
        <v>0.26915064119999998</v>
      </c>
      <c r="C34" s="3">
        <v>0.2397125577</v>
      </c>
      <c r="D34" s="3">
        <v>0.25306234259999999</v>
      </c>
      <c r="E34" s="3">
        <v>0.25309640709999998</v>
      </c>
      <c r="F34" s="3">
        <v>0.25881793359999999</v>
      </c>
      <c r="G34" s="3">
        <v>0.2091361128</v>
      </c>
      <c r="H34" s="3">
        <v>0.2123809451</v>
      </c>
      <c r="I34" s="3">
        <v>0.2241420207</v>
      </c>
      <c r="J34" s="3">
        <v>0.21092420849999999</v>
      </c>
      <c r="K34" s="3">
        <v>0.21186798309999999</v>
      </c>
      <c r="L34" s="3">
        <v>0.22845773699999999</v>
      </c>
      <c r="M34" s="3">
        <v>0.21614376760000001</v>
      </c>
      <c r="N34" s="3">
        <v>0.21670469840000001</v>
      </c>
      <c r="O34" s="3">
        <v>0.26665090600000002</v>
      </c>
      <c r="P34" s="3">
        <v>0.23946641539999999</v>
      </c>
      <c r="Q34" s="3">
        <v>0.2148409352</v>
      </c>
      <c r="R34" s="3">
        <v>0.19329624670000001</v>
      </c>
      <c r="S34" s="3">
        <v>0.14883463159999999</v>
      </c>
      <c r="T34" s="3">
        <v>0.14558860279999999</v>
      </c>
    </row>
    <row r="35" spans="1:20" x14ac:dyDescent="0.25">
      <c r="A35" s="2" t="s">
        <v>8</v>
      </c>
      <c r="B35" s="2">
        <v>7.49</v>
      </c>
      <c r="C35" s="2">
        <v>6.11</v>
      </c>
      <c r="D35" s="2">
        <v>6.16</v>
      </c>
      <c r="E35" s="2">
        <v>6.15</v>
      </c>
      <c r="F35" s="2">
        <v>5.67</v>
      </c>
      <c r="G35" s="2">
        <v>3.31</v>
      </c>
      <c r="H35" s="2">
        <v>2.99</v>
      </c>
      <c r="I35" s="2">
        <v>3</v>
      </c>
      <c r="J35" s="2">
        <v>2.3199999999999998</v>
      </c>
      <c r="K35" s="2">
        <v>2.09</v>
      </c>
      <c r="L35" s="2">
        <v>2.3199999999999998</v>
      </c>
      <c r="M35" s="2">
        <v>1.62</v>
      </c>
      <c r="N35" s="2">
        <v>1.43</v>
      </c>
      <c r="O35" s="2">
        <v>1.59</v>
      </c>
      <c r="P35" s="2">
        <v>1</v>
      </c>
      <c r="Q35" s="2">
        <v>0.55000000000000004</v>
      </c>
      <c r="R35" s="2">
        <v>0.33</v>
      </c>
      <c r="S35" s="2">
        <v>0.2</v>
      </c>
      <c r="T35" s="2">
        <v>0.14000000000000001</v>
      </c>
    </row>
    <row r="36" spans="1:20" x14ac:dyDescent="0.25">
      <c r="A36" s="2" t="s">
        <v>7</v>
      </c>
      <c r="B36" s="2">
        <v>7.46</v>
      </c>
      <c r="C36" s="2">
        <v>6.08</v>
      </c>
      <c r="D36" s="2">
        <v>6.13</v>
      </c>
      <c r="E36" s="2">
        <v>6.11</v>
      </c>
      <c r="F36" s="2">
        <v>5.61</v>
      </c>
      <c r="G36" s="2">
        <v>3.28</v>
      </c>
      <c r="H36" s="2">
        <v>2.97</v>
      </c>
      <c r="I36" s="2">
        <v>2.98</v>
      </c>
      <c r="J36" s="2">
        <v>2.2999999999999998</v>
      </c>
      <c r="K36" s="2">
        <v>2.08</v>
      </c>
      <c r="L36" s="2">
        <v>2.2999999999999998</v>
      </c>
      <c r="M36" s="2">
        <v>1.61</v>
      </c>
      <c r="N36" s="2">
        <v>1.42</v>
      </c>
      <c r="O36" s="2">
        <v>1.58</v>
      </c>
      <c r="P36" s="2">
        <v>0.99</v>
      </c>
      <c r="Q36" s="2">
        <v>0.54</v>
      </c>
      <c r="R36" s="2">
        <v>0.32</v>
      </c>
      <c r="S36" s="2">
        <v>0.19</v>
      </c>
      <c r="T36" s="2">
        <v>0.14000000000000001</v>
      </c>
    </row>
    <row r="37" spans="1:20" x14ac:dyDescent="0.25">
      <c r="A37" s="1" t="s">
        <v>6</v>
      </c>
      <c r="B37" s="1">
        <v>14948.5</v>
      </c>
      <c r="C37" s="1">
        <v>15343.782999999999</v>
      </c>
      <c r="D37" s="1">
        <v>15744.231</v>
      </c>
      <c r="E37" s="1">
        <v>16215.963</v>
      </c>
      <c r="F37" s="1">
        <v>16701.272000000001</v>
      </c>
      <c r="G37" s="1">
        <v>17352.118999999999</v>
      </c>
      <c r="H37" s="1">
        <v>18471.335999999999</v>
      </c>
      <c r="I37" s="1">
        <v>19821.508000000002</v>
      </c>
      <c r="J37" s="1">
        <v>20868.968000000001</v>
      </c>
      <c r="K37" s="1">
        <v>21883.279999999999</v>
      </c>
      <c r="L37" s="1">
        <v>23013.684000000001</v>
      </c>
      <c r="M37" s="1">
        <v>24342.288</v>
      </c>
      <c r="N37" s="1">
        <v>25909.268</v>
      </c>
      <c r="O37" s="1">
        <v>26174.930174000001</v>
      </c>
      <c r="P37" s="1">
        <v>25879.249878999999</v>
      </c>
      <c r="Q37" s="1">
        <v>25464.933464000002</v>
      </c>
      <c r="R37" s="1">
        <v>25004.473003999999</v>
      </c>
      <c r="S37" s="1">
        <v>24684.576000000001</v>
      </c>
      <c r="T37" s="1">
        <v>24208.684207999999</v>
      </c>
    </row>
    <row r="38" spans="1:20" x14ac:dyDescent="0.25">
      <c r="A38" s="1" t="s">
        <v>5</v>
      </c>
      <c r="B38" s="1">
        <v>15004.697</v>
      </c>
      <c r="C38" s="1">
        <v>15408.094999999999</v>
      </c>
      <c r="D38" s="1">
        <v>15812.547</v>
      </c>
      <c r="E38" s="1">
        <v>16325.819</v>
      </c>
      <c r="F38" s="1">
        <v>16864.919000000002</v>
      </c>
      <c r="G38" s="1">
        <v>17528.214</v>
      </c>
      <c r="H38" s="1">
        <v>18595.651999999998</v>
      </c>
      <c r="I38" s="1">
        <v>20000.436000000002</v>
      </c>
      <c r="J38" s="1">
        <v>21006.768</v>
      </c>
      <c r="K38" s="1">
        <v>22001.124</v>
      </c>
      <c r="L38" s="1">
        <v>23172.276000000002</v>
      </c>
      <c r="M38" s="1">
        <v>24490.651999999998</v>
      </c>
      <c r="N38" s="1">
        <v>26086.536</v>
      </c>
      <c r="O38" s="1">
        <v>26469.932000000001</v>
      </c>
      <c r="P38" s="1">
        <v>26226.06</v>
      </c>
      <c r="Q38" s="1">
        <v>25891.961890999999</v>
      </c>
      <c r="R38" s="1">
        <v>25396.165396</v>
      </c>
      <c r="S38" s="1">
        <v>25259.892</v>
      </c>
      <c r="T38" s="1">
        <v>24900.175999999999</v>
      </c>
    </row>
  </sheetData>
  <mergeCells count="1">
    <mergeCell ref="B4:T4"/>
  </mergeCells>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0ABD13-9633-4FFF-8118-6EBB44264E52}">
  <sheetPr>
    <tabColor rgb="FFC6E0B4"/>
  </sheetPr>
  <dimension ref="A1:T52"/>
  <sheetViews>
    <sheetView workbookViewId="0">
      <selection activeCell="B25" sqref="B25"/>
    </sheetView>
  </sheetViews>
  <sheetFormatPr defaultRowHeight="15" x14ac:dyDescent="0.25"/>
  <cols>
    <col min="1" max="1" width="44.42578125" bestFit="1" customWidth="1"/>
    <col min="2" max="16" width="18.28515625" bestFit="1" customWidth="1"/>
    <col min="17" max="17" width="18" bestFit="1" customWidth="1"/>
    <col min="18" max="18" width="17.28515625" bestFit="1" customWidth="1"/>
    <col min="19" max="19" width="18" bestFit="1" customWidth="1"/>
    <col min="20" max="20" width="17.28515625" bestFit="1" customWidth="1"/>
  </cols>
  <sheetData>
    <row r="1" spans="1:20" x14ac:dyDescent="0.25">
      <c r="A1" s="10" t="s">
        <v>35</v>
      </c>
      <c r="B1" s="10"/>
      <c r="C1" s="10"/>
      <c r="D1" s="10"/>
      <c r="E1" s="10"/>
      <c r="F1" s="10"/>
      <c r="G1" s="10"/>
      <c r="H1" s="10"/>
      <c r="I1" s="10"/>
      <c r="J1" s="10"/>
      <c r="K1" s="10"/>
      <c r="L1" s="10"/>
      <c r="M1" s="10"/>
      <c r="N1" s="10"/>
      <c r="O1" s="10"/>
      <c r="P1" s="10"/>
      <c r="Q1" s="10"/>
      <c r="R1" s="10"/>
      <c r="S1" s="10"/>
      <c r="T1" s="10"/>
    </row>
    <row r="2" spans="1:20" x14ac:dyDescent="0.25">
      <c r="A2" t="s">
        <v>1</v>
      </c>
      <c r="B2" t="s">
        <v>2</v>
      </c>
    </row>
    <row r="3" spans="1:20" x14ac:dyDescent="0.25">
      <c r="A3" t="s">
        <v>3</v>
      </c>
      <c r="B3" t="str">
        <f>'AAPL - Income Statement FY'!B3</f>
        <v>USD</v>
      </c>
    </row>
    <row r="4" spans="1:20" x14ac:dyDescent="0.25">
      <c r="A4" t="s">
        <v>32</v>
      </c>
      <c r="B4" s="236" t="s">
        <v>33</v>
      </c>
      <c r="C4" s="236"/>
      <c r="D4" s="236"/>
      <c r="E4" s="236"/>
      <c r="F4" s="236"/>
      <c r="G4" s="236"/>
      <c r="H4" s="236"/>
      <c r="I4" s="236"/>
      <c r="J4" s="236"/>
      <c r="K4" s="236"/>
      <c r="L4" s="236"/>
      <c r="M4" s="236"/>
      <c r="N4" s="236"/>
      <c r="O4" s="236"/>
      <c r="P4" s="236"/>
      <c r="Q4" s="236"/>
      <c r="R4" s="236"/>
      <c r="S4" s="236"/>
      <c r="T4" s="236"/>
    </row>
    <row r="5" spans="1:20" x14ac:dyDescent="0.25">
      <c r="A5" t="s">
        <v>34</v>
      </c>
      <c r="B5" s="8">
        <v>45927</v>
      </c>
      <c r="C5" s="8">
        <v>45563</v>
      </c>
      <c r="D5" s="8">
        <v>45199</v>
      </c>
      <c r="E5" s="8">
        <v>44828</v>
      </c>
      <c r="F5" s="8">
        <v>44464</v>
      </c>
      <c r="G5" s="8">
        <v>44100</v>
      </c>
      <c r="H5" s="8">
        <v>43736</v>
      </c>
      <c r="I5" s="8">
        <v>43372</v>
      </c>
      <c r="J5" s="8">
        <v>43008</v>
      </c>
      <c r="K5" s="8">
        <v>42637</v>
      </c>
      <c r="L5" s="8">
        <v>42273</v>
      </c>
      <c r="M5" s="8">
        <v>41909</v>
      </c>
      <c r="N5" s="8">
        <v>41545</v>
      </c>
      <c r="O5" s="8">
        <v>41181</v>
      </c>
      <c r="P5" s="8">
        <v>40810</v>
      </c>
      <c r="Q5" s="8">
        <v>40446</v>
      </c>
      <c r="R5" s="8">
        <v>40082</v>
      </c>
      <c r="S5" s="8">
        <v>39718</v>
      </c>
      <c r="T5" s="8">
        <v>39354</v>
      </c>
    </row>
    <row r="7" spans="1:20" x14ac:dyDescent="0.25">
      <c r="A7" s="1" t="s">
        <v>74</v>
      </c>
      <c r="B7" s="1">
        <v>35934</v>
      </c>
      <c r="C7" s="1">
        <v>29943</v>
      </c>
      <c r="D7" s="1">
        <v>29965</v>
      </c>
      <c r="E7" s="1">
        <v>23646</v>
      </c>
      <c r="F7" s="1">
        <v>34940</v>
      </c>
      <c r="G7" s="1">
        <v>38016</v>
      </c>
      <c r="H7" s="1">
        <v>48844</v>
      </c>
      <c r="I7" s="1">
        <v>25913</v>
      </c>
      <c r="J7" s="1">
        <v>20289</v>
      </c>
      <c r="K7" s="1">
        <v>20484</v>
      </c>
      <c r="L7" s="1">
        <v>21120</v>
      </c>
      <c r="M7" s="1">
        <v>13844</v>
      </c>
      <c r="N7" s="1">
        <v>14259</v>
      </c>
      <c r="O7" s="1">
        <v>10746</v>
      </c>
      <c r="P7" s="1">
        <v>9815</v>
      </c>
      <c r="Q7" s="1">
        <v>11261</v>
      </c>
      <c r="R7" s="1">
        <v>5263</v>
      </c>
      <c r="S7" s="1">
        <v>11875</v>
      </c>
      <c r="T7" s="1">
        <v>9352</v>
      </c>
    </row>
    <row r="8" spans="1:20" x14ac:dyDescent="0.25">
      <c r="A8" s="1" t="s">
        <v>73</v>
      </c>
      <c r="B8" s="1">
        <v>18763</v>
      </c>
      <c r="C8" s="1">
        <v>35228</v>
      </c>
      <c r="D8" s="1">
        <v>31590</v>
      </c>
      <c r="E8" s="1">
        <v>24658</v>
      </c>
      <c r="F8" s="1">
        <v>27699</v>
      </c>
      <c r="G8" s="1">
        <v>52927</v>
      </c>
      <c r="H8" s="1">
        <v>51713</v>
      </c>
      <c r="I8" s="1">
        <v>40388</v>
      </c>
      <c r="J8" s="1">
        <v>53892</v>
      </c>
      <c r="K8" s="1">
        <v>46671</v>
      </c>
      <c r="L8" s="1">
        <v>20481</v>
      </c>
      <c r="M8" s="1">
        <v>11233</v>
      </c>
      <c r="N8" s="1">
        <v>26287</v>
      </c>
      <c r="O8" s="1">
        <v>18383</v>
      </c>
      <c r="P8" s="1">
        <v>16137</v>
      </c>
      <c r="Q8" s="1">
        <v>14359</v>
      </c>
      <c r="R8" s="1">
        <v>18201</v>
      </c>
      <c r="S8" s="1">
        <v>10236</v>
      </c>
      <c r="T8" s="1">
        <v>6034</v>
      </c>
    </row>
    <row r="9" spans="1:20" x14ac:dyDescent="0.25">
      <c r="A9" s="1" t="s">
        <v>72</v>
      </c>
      <c r="B9" s="1">
        <v>54697</v>
      </c>
      <c r="C9" s="1">
        <v>65171</v>
      </c>
      <c r="D9" s="1">
        <v>61555</v>
      </c>
      <c r="E9" s="1">
        <v>48304</v>
      </c>
      <c r="F9" s="1">
        <v>62639</v>
      </c>
      <c r="G9" s="1">
        <v>90943</v>
      </c>
      <c r="H9" s="1">
        <v>100557</v>
      </c>
      <c r="I9" s="1">
        <v>66301</v>
      </c>
      <c r="J9" s="1">
        <v>74181</v>
      </c>
      <c r="K9" s="1">
        <v>67155</v>
      </c>
      <c r="L9" s="1">
        <v>41601</v>
      </c>
      <c r="M9" s="1">
        <v>25077</v>
      </c>
      <c r="N9" s="1">
        <v>40546</v>
      </c>
      <c r="O9" s="1">
        <v>29129</v>
      </c>
      <c r="P9" s="1">
        <v>25952</v>
      </c>
      <c r="Q9" s="1">
        <v>25620</v>
      </c>
      <c r="R9" s="1">
        <v>23464</v>
      </c>
      <c r="S9" s="1">
        <v>22111</v>
      </c>
      <c r="T9" s="1">
        <v>15386</v>
      </c>
    </row>
    <row r="10" spans="1:20" x14ac:dyDescent="0.25">
      <c r="A10" s="1" t="s">
        <v>71</v>
      </c>
      <c r="B10" s="1">
        <v>72957</v>
      </c>
      <c r="C10" s="1">
        <v>66243</v>
      </c>
      <c r="D10" s="1">
        <v>60985</v>
      </c>
      <c r="E10" s="1">
        <v>60932</v>
      </c>
      <c r="F10" s="1">
        <v>51506</v>
      </c>
      <c r="G10" s="1">
        <v>37445</v>
      </c>
      <c r="H10" s="1">
        <v>45804</v>
      </c>
      <c r="I10" s="1">
        <v>48995</v>
      </c>
      <c r="J10" s="1">
        <v>35673</v>
      </c>
      <c r="K10" s="1">
        <v>29299</v>
      </c>
      <c r="L10" s="1">
        <v>30343</v>
      </c>
      <c r="M10" s="1">
        <v>27219</v>
      </c>
      <c r="N10" s="1">
        <v>20641</v>
      </c>
      <c r="O10" s="1">
        <v>18692</v>
      </c>
      <c r="P10" s="1">
        <v>11717</v>
      </c>
      <c r="Q10" s="1">
        <v>9924</v>
      </c>
      <c r="R10" s="1">
        <v>5057</v>
      </c>
      <c r="S10" s="1">
        <v>4704</v>
      </c>
      <c r="T10" s="1">
        <v>4029</v>
      </c>
    </row>
    <row r="11" spans="1:20" x14ac:dyDescent="0.25">
      <c r="A11" s="1" t="s">
        <v>70</v>
      </c>
      <c r="B11" s="1">
        <v>5718</v>
      </c>
      <c r="C11" s="1">
        <v>7286</v>
      </c>
      <c r="D11" s="1">
        <v>6331</v>
      </c>
      <c r="E11" s="1">
        <v>4946</v>
      </c>
      <c r="F11" s="1">
        <v>6580</v>
      </c>
      <c r="G11" s="1">
        <v>4061</v>
      </c>
      <c r="H11" s="1">
        <v>4106</v>
      </c>
      <c r="I11" s="1">
        <v>3956</v>
      </c>
      <c r="J11" s="1">
        <v>4855</v>
      </c>
      <c r="K11" s="1">
        <v>2132</v>
      </c>
      <c r="L11" s="1">
        <v>2349</v>
      </c>
      <c r="M11" s="1">
        <v>2111</v>
      </c>
      <c r="N11" s="1">
        <v>1764</v>
      </c>
      <c r="O11" s="1">
        <v>791</v>
      </c>
      <c r="P11" s="1">
        <v>776</v>
      </c>
      <c r="Q11" s="1">
        <v>1051</v>
      </c>
      <c r="R11" s="1">
        <v>455</v>
      </c>
      <c r="S11" s="1">
        <v>509</v>
      </c>
      <c r="T11" s="1">
        <v>346</v>
      </c>
    </row>
    <row r="12" spans="1:20" x14ac:dyDescent="0.25">
      <c r="A12" s="1" t="s">
        <v>69</v>
      </c>
      <c r="B12" s="1">
        <v>14585</v>
      </c>
      <c r="C12" s="1">
        <v>14287</v>
      </c>
      <c r="D12" s="1">
        <v>14695</v>
      </c>
      <c r="E12" s="1">
        <v>21223</v>
      </c>
      <c r="F12" s="1">
        <v>14111</v>
      </c>
      <c r="G12" s="1">
        <v>11264</v>
      </c>
      <c r="H12" s="1">
        <v>12352</v>
      </c>
      <c r="I12" s="1">
        <v>12087</v>
      </c>
      <c r="J12" s="1">
        <v>13936</v>
      </c>
      <c r="K12" s="1">
        <v>8283</v>
      </c>
      <c r="L12" s="1">
        <v>15085</v>
      </c>
      <c r="M12" s="1">
        <v>14124</v>
      </c>
      <c r="N12" s="1">
        <v>10335</v>
      </c>
      <c r="O12" s="1">
        <v>9041</v>
      </c>
      <c r="P12" s="1">
        <v>6543</v>
      </c>
      <c r="Q12" s="1">
        <v>5083</v>
      </c>
      <c r="R12" s="1">
        <v>2579</v>
      </c>
      <c r="S12" s="1">
        <v>2682</v>
      </c>
      <c r="T12" s="1">
        <v>2195</v>
      </c>
    </row>
    <row r="13" spans="1:20" x14ac:dyDescent="0.25">
      <c r="A13" s="6" t="s">
        <v>68</v>
      </c>
      <c r="B13" s="4">
        <v>147957</v>
      </c>
      <c r="C13" s="4">
        <v>152987</v>
      </c>
      <c r="D13" s="4">
        <v>143566</v>
      </c>
      <c r="E13" s="4">
        <v>135405</v>
      </c>
      <c r="F13" s="4">
        <v>134836</v>
      </c>
      <c r="G13" s="4">
        <v>143713</v>
      </c>
      <c r="H13" s="4">
        <v>162819</v>
      </c>
      <c r="I13" s="4">
        <v>131339</v>
      </c>
      <c r="J13" s="4">
        <v>128645</v>
      </c>
      <c r="K13" s="4">
        <v>106869</v>
      </c>
      <c r="L13" s="4">
        <v>89378</v>
      </c>
      <c r="M13" s="4">
        <v>68531</v>
      </c>
      <c r="N13" s="4">
        <v>73286</v>
      </c>
      <c r="O13" s="4">
        <v>57653</v>
      </c>
      <c r="P13" s="4">
        <v>44988</v>
      </c>
      <c r="Q13" s="4">
        <v>41678</v>
      </c>
      <c r="R13" s="4">
        <v>31555</v>
      </c>
      <c r="S13" s="4">
        <v>30006</v>
      </c>
      <c r="T13" s="4">
        <v>21956</v>
      </c>
    </row>
    <row r="15" spans="1:20" x14ac:dyDescent="0.25">
      <c r="A15" s="1" t="s">
        <v>67</v>
      </c>
      <c r="B15" s="1">
        <v>49834</v>
      </c>
      <c r="C15" s="1">
        <v>45680</v>
      </c>
      <c r="D15" s="1">
        <v>54376</v>
      </c>
      <c r="E15" s="1">
        <v>52534</v>
      </c>
      <c r="F15" s="1">
        <v>49527</v>
      </c>
      <c r="G15" s="1">
        <v>45336</v>
      </c>
      <c r="H15" s="1">
        <v>37378</v>
      </c>
      <c r="I15" s="1">
        <v>41304</v>
      </c>
      <c r="J15" s="1">
        <v>33783</v>
      </c>
      <c r="K15" s="1">
        <v>27010</v>
      </c>
      <c r="L15" s="1">
        <v>22471</v>
      </c>
      <c r="M15" s="1">
        <v>20624</v>
      </c>
      <c r="N15" s="1">
        <v>16597</v>
      </c>
      <c r="O15" s="1">
        <v>15452</v>
      </c>
      <c r="P15" s="1">
        <v>7777</v>
      </c>
      <c r="Q15" s="1">
        <v>4768</v>
      </c>
      <c r="R15" s="1">
        <v>2954</v>
      </c>
      <c r="S15" s="1">
        <v>2455</v>
      </c>
      <c r="T15" s="1">
        <v>1832</v>
      </c>
    </row>
    <row r="16" spans="1:20" x14ac:dyDescent="0.25">
      <c r="A16" s="1" t="s">
        <v>66</v>
      </c>
      <c r="B16" s="1">
        <v>0</v>
      </c>
      <c r="C16" s="1">
        <v>0</v>
      </c>
      <c r="D16" s="1">
        <v>0</v>
      </c>
      <c r="E16" s="1">
        <v>0</v>
      </c>
      <c r="F16" s="1">
        <v>0</v>
      </c>
      <c r="G16" s="1">
        <v>0</v>
      </c>
      <c r="H16" s="1">
        <v>0</v>
      </c>
      <c r="I16" s="1">
        <v>0</v>
      </c>
      <c r="J16" s="1">
        <v>5717</v>
      </c>
      <c r="K16" s="1">
        <v>5414</v>
      </c>
      <c r="L16" s="1">
        <v>5116</v>
      </c>
      <c r="M16" s="1">
        <v>4616</v>
      </c>
      <c r="N16" s="1">
        <v>1577</v>
      </c>
      <c r="O16" s="1">
        <v>1135</v>
      </c>
      <c r="P16" s="1">
        <v>896</v>
      </c>
      <c r="Q16" s="1">
        <v>741</v>
      </c>
      <c r="R16" s="1">
        <v>206</v>
      </c>
      <c r="S16" s="1">
        <v>207</v>
      </c>
      <c r="T16" s="1">
        <v>38</v>
      </c>
    </row>
    <row r="17" spans="1:20" x14ac:dyDescent="0.25">
      <c r="A17" s="1" t="s">
        <v>65</v>
      </c>
      <c r="B17" s="1">
        <v>0</v>
      </c>
      <c r="C17" s="1">
        <v>0</v>
      </c>
      <c r="D17" s="1">
        <v>0</v>
      </c>
      <c r="E17" s="1">
        <v>0</v>
      </c>
      <c r="F17" s="1">
        <v>0</v>
      </c>
      <c r="G17" s="1">
        <v>0</v>
      </c>
      <c r="H17" s="1">
        <v>0</v>
      </c>
      <c r="I17" s="1">
        <v>0</v>
      </c>
      <c r="J17" s="1">
        <v>2298</v>
      </c>
      <c r="K17" s="1">
        <v>3206</v>
      </c>
      <c r="L17" s="1">
        <v>3893</v>
      </c>
      <c r="M17" s="1">
        <v>4142</v>
      </c>
      <c r="N17" s="1">
        <v>4179</v>
      </c>
      <c r="O17" s="1">
        <v>4224</v>
      </c>
      <c r="P17" s="1">
        <v>3536</v>
      </c>
      <c r="Q17" s="1">
        <v>342</v>
      </c>
      <c r="R17" s="1">
        <v>247</v>
      </c>
      <c r="S17" s="1">
        <v>285</v>
      </c>
      <c r="T17" s="1">
        <v>299</v>
      </c>
    </row>
    <row r="18" spans="1:20" x14ac:dyDescent="0.25">
      <c r="A18" s="1" t="s">
        <v>64</v>
      </c>
      <c r="B18" s="1">
        <v>0</v>
      </c>
      <c r="C18" s="1">
        <v>0</v>
      </c>
      <c r="D18" s="1">
        <v>0</v>
      </c>
      <c r="E18" s="1">
        <v>0</v>
      </c>
      <c r="F18" s="1">
        <v>0</v>
      </c>
      <c r="G18" s="1">
        <v>0</v>
      </c>
      <c r="H18" s="1">
        <v>0</v>
      </c>
      <c r="I18" s="1">
        <v>0</v>
      </c>
      <c r="J18" s="1">
        <v>8015</v>
      </c>
      <c r="K18" s="1">
        <v>8620</v>
      </c>
      <c r="L18" s="1">
        <v>9009</v>
      </c>
      <c r="M18" s="1">
        <v>8758</v>
      </c>
      <c r="N18" s="1">
        <v>5756</v>
      </c>
      <c r="O18" s="1">
        <v>5359</v>
      </c>
      <c r="P18" s="1">
        <v>4432</v>
      </c>
      <c r="Q18" s="1">
        <v>1083</v>
      </c>
      <c r="R18" s="1">
        <v>453</v>
      </c>
      <c r="S18" s="1">
        <v>492</v>
      </c>
      <c r="T18" s="1">
        <v>337</v>
      </c>
    </row>
    <row r="19" spans="1:20" x14ac:dyDescent="0.25">
      <c r="A19" s="1" t="s">
        <v>63</v>
      </c>
      <c r="B19" s="1">
        <v>77723</v>
      </c>
      <c r="C19" s="1">
        <v>91479</v>
      </c>
      <c r="D19" s="1">
        <v>100544</v>
      </c>
      <c r="E19" s="1">
        <v>120805</v>
      </c>
      <c r="F19" s="1">
        <v>127877</v>
      </c>
      <c r="G19" s="1">
        <v>100887</v>
      </c>
      <c r="H19" s="1">
        <v>105341</v>
      </c>
      <c r="I19" s="1">
        <v>170799</v>
      </c>
      <c r="J19" s="1">
        <v>194714</v>
      </c>
      <c r="K19" s="1">
        <v>170430</v>
      </c>
      <c r="L19" s="1">
        <v>164065</v>
      </c>
      <c r="M19" s="1">
        <v>130162</v>
      </c>
      <c r="N19" s="1">
        <v>106215</v>
      </c>
      <c r="O19" s="1">
        <v>92122</v>
      </c>
      <c r="P19" s="1">
        <v>55618</v>
      </c>
      <c r="Q19" s="1">
        <v>25391</v>
      </c>
      <c r="R19" s="1">
        <v>10528</v>
      </c>
      <c r="S19" s="1">
        <v>2379</v>
      </c>
      <c r="T19" s="1">
        <v>922</v>
      </c>
    </row>
    <row r="20" spans="1:20" x14ac:dyDescent="0.25">
      <c r="A20" s="1" t="s">
        <v>62</v>
      </c>
      <c r="B20" s="1">
        <v>20777</v>
      </c>
      <c r="C20" s="1">
        <v>19499</v>
      </c>
      <c r="D20" s="1">
        <v>17852</v>
      </c>
      <c r="E20" s="1">
        <v>15375</v>
      </c>
      <c r="F20" s="1">
        <v>0</v>
      </c>
      <c r="G20" s="1">
        <v>0</v>
      </c>
      <c r="H20" s="1">
        <v>0</v>
      </c>
      <c r="I20" s="1">
        <v>0</v>
      </c>
      <c r="J20" s="1">
        <v>-8015</v>
      </c>
      <c r="K20" s="1">
        <v>0</v>
      </c>
      <c r="L20" s="1">
        <v>0</v>
      </c>
      <c r="M20" s="1">
        <v>0</v>
      </c>
      <c r="N20" s="1">
        <v>0</v>
      </c>
      <c r="O20" s="1">
        <v>0</v>
      </c>
      <c r="P20" s="1">
        <v>0</v>
      </c>
      <c r="Q20" s="1">
        <v>0</v>
      </c>
      <c r="R20" s="1">
        <v>259</v>
      </c>
      <c r="S20" s="1">
        <v>104</v>
      </c>
      <c r="T20" s="1">
        <v>88</v>
      </c>
    </row>
    <row r="21" spans="1:20" x14ac:dyDescent="0.25">
      <c r="A21" s="1" t="s">
        <v>61</v>
      </c>
      <c r="B21" s="1">
        <v>62950</v>
      </c>
      <c r="C21" s="1">
        <v>55335</v>
      </c>
      <c r="D21" s="1">
        <v>36245</v>
      </c>
      <c r="E21" s="1">
        <v>28636</v>
      </c>
      <c r="F21" s="1">
        <v>38762</v>
      </c>
      <c r="G21" s="1">
        <v>33952</v>
      </c>
      <c r="H21" s="1">
        <v>32978</v>
      </c>
      <c r="I21" s="1">
        <v>22283</v>
      </c>
      <c r="J21" s="1">
        <v>18177</v>
      </c>
      <c r="K21" s="1">
        <v>8757</v>
      </c>
      <c r="L21" s="1">
        <v>5422</v>
      </c>
      <c r="M21" s="1">
        <v>3764</v>
      </c>
      <c r="N21" s="1">
        <v>5146</v>
      </c>
      <c r="O21" s="1">
        <v>5478</v>
      </c>
      <c r="P21" s="1">
        <v>3556</v>
      </c>
      <c r="Q21" s="1">
        <v>2263</v>
      </c>
      <c r="R21" s="1">
        <v>1752</v>
      </c>
      <c r="S21" s="1">
        <v>735</v>
      </c>
      <c r="T21" s="1">
        <v>212</v>
      </c>
    </row>
    <row r="22" spans="1:20" x14ac:dyDescent="0.25">
      <c r="A22" s="6" t="s">
        <v>60</v>
      </c>
      <c r="B22" s="4">
        <v>211284</v>
      </c>
      <c r="C22" s="4">
        <v>211993</v>
      </c>
      <c r="D22" s="4">
        <v>209017</v>
      </c>
      <c r="E22" s="4">
        <v>217350</v>
      </c>
      <c r="F22" s="4">
        <v>216166</v>
      </c>
      <c r="G22" s="4">
        <v>180175</v>
      </c>
      <c r="H22" s="4">
        <v>175697</v>
      </c>
      <c r="I22" s="4">
        <v>234386</v>
      </c>
      <c r="J22" s="4">
        <v>246674</v>
      </c>
      <c r="K22" s="4">
        <v>214817</v>
      </c>
      <c r="L22" s="4">
        <v>200967</v>
      </c>
      <c r="M22" s="4">
        <v>163308</v>
      </c>
      <c r="N22" s="4">
        <v>133714</v>
      </c>
      <c r="O22" s="4">
        <v>118411</v>
      </c>
      <c r="P22" s="4">
        <v>71383</v>
      </c>
      <c r="Q22" s="4">
        <v>33505</v>
      </c>
      <c r="R22" s="4">
        <v>15946</v>
      </c>
      <c r="S22" s="4">
        <v>6165</v>
      </c>
      <c r="T22" s="4">
        <v>3391</v>
      </c>
    </row>
    <row r="24" spans="1:20" x14ac:dyDescent="0.25">
      <c r="A24" s="1" t="s">
        <v>59</v>
      </c>
      <c r="B24" s="1">
        <v>0</v>
      </c>
      <c r="C24" s="1">
        <v>0</v>
      </c>
      <c r="D24" s="1">
        <v>0</v>
      </c>
      <c r="E24" s="1">
        <v>0</v>
      </c>
      <c r="F24" s="1">
        <v>0</v>
      </c>
      <c r="G24" s="1">
        <v>0</v>
      </c>
      <c r="H24" s="1">
        <v>0</v>
      </c>
      <c r="I24" s="1">
        <v>0</v>
      </c>
      <c r="J24" s="1">
        <v>0</v>
      </c>
      <c r="K24" s="1">
        <v>0</v>
      </c>
      <c r="L24" s="1">
        <v>0</v>
      </c>
      <c r="M24" s="1">
        <v>0</v>
      </c>
      <c r="N24" s="1">
        <v>0</v>
      </c>
      <c r="O24" s="1">
        <v>0</v>
      </c>
      <c r="P24" s="1">
        <v>0</v>
      </c>
      <c r="Q24" s="1">
        <v>0</v>
      </c>
      <c r="R24" s="1">
        <v>0</v>
      </c>
      <c r="S24" s="1">
        <v>0</v>
      </c>
      <c r="T24" s="1">
        <v>0</v>
      </c>
    </row>
    <row r="25" spans="1:20" x14ac:dyDescent="0.25">
      <c r="A25" s="6" t="s">
        <v>58</v>
      </c>
      <c r="B25" s="5">
        <v>359241</v>
      </c>
      <c r="C25" s="5">
        <v>364980</v>
      </c>
      <c r="D25" s="5">
        <v>352583</v>
      </c>
      <c r="E25" s="5">
        <v>352755</v>
      </c>
      <c r="F25" s="5">
        <v>351002</v>
      </c>
      <c r="G25" s="5">
        <v>323888</v>
      </c>
      <c r="H25" s="5">
        <v>338516</v>
      </c>
      <c r="I25" s="5">
        <v>365725</v>
      </c>
      <c r="J25" s="5">
        <v>375319</v>
      </c>
      <c r="K25" s="5">
        <v>321686</v>
      </c>
      <c r="L25" s="5">
        <v>290345</v>
      </c>
      <c r="M25" s="5">
        <v>231839</v>
      </c>
      <c r="N25" s="5">
        <v>207000</v>
      </c>
      <c r="O25" s="5">
        <v>176064</v>
      </c>
      <c r="P25" s="5">
        <v>116371</v>
      </c>
      <c r="Q25" s="5">
        <v>75183</v>
      </c>
      <c r="R25" s="5">
        <v>47501</v>
      </c>
      <c r="S25" s="5">
        <v>36171</v>
      </c>
      <c r="T25" s="5">
        <v>25347</v>
      </c>
    </row>
    <row r="27" spans="1:20" x14ac:dyDescent="0.25">
      <c r="A27" s="1" t="s">
        <v>57</v>
      </c>
      <c r="B27" s="1">
        <v>69860</v>
      </c>
      <c r="C27" s="1">
        <v>68960</v>
      </c>
      <c r="D27" s="1">
        <v>62611</v>
      </c>
      <c r="E27" s="1">
        <v>64115</v>
      </c>
      <c r="F27" s="1">
        <v>54763</v>
      </c>
      <c r="G27" s="1">
        <v>42296</v>
      </c>
      <c r="H27" s="1">
        <v>46236</v>
      </c>
      <c r="I27" s="1">
        <v>55888</v>
      </c>
      <c r="J27" s="1">
        <v>44242</v>
      </c>
      <c r="K27" s="1">
        <v>37294</v>
      </c>
      <c r="L27" s="1">
        <v>35490</v>
      </c>
      <c r="M27" s="1">
        <v>30196</v>
      </c>
      <c r="N27" s="1">
        <v>22367</v>
      </c>
      <c r="O27" s="1">
        <v>21175</v>
      </c>
      <c r="P27" s="1">
        <v>14632</v>
      </c>
      <c r="Q27" s="1">
        <v>12015</v>
      </c>
      <c r="R27" s="1">
        <v>5601</v>
      </c>
      <c r="S27" s="1">
        <v>5520</v>
      </c>
      <c r="T27" s="1">
        <v>4970</v>
      </c>
    </row>
    <row r="28" spans="1:20" x14ac:dyDescent="0.25">
      <c r="A28" s="1" t="s">
        <v>56</v>
      </c>
      <c r="B28" s="1">
        <v>22446</v>
      </c>
      <c r="C28" s="1">
        <v>22511</v>
      </c>
      <c r="D28" s="1">
        <v>17382</v>
      </c>
      <c r="E28" s="1">
        <v>22773</v>
      </c>
      <c r="F28" s="1">
        <v>17141</v>
      </c>
      <c r="G28" s="1">
        <v>15229</v>
      </c>
      <c r="H28" s="1">
        <v>16240</v>
      </c>
      <c r="I28" s="1">
        <v>20748</v>
      </c>
      <c r="J28" s="1">
        <v>18473</v>
      </c>
      <c r="K28" s="1">
        <v>11605</v>
      </c>
      <c r="L28" s="1">
        <v>10999</v>
      </c>
      <c r="M28" s="1">
        <v>6308</v>
      </c>
      <c r="N28" s="1">
        <v>0</v>
      </c>
      <c r="O28" s="1">
        <v>0</v>
      </c>
      <c r="P28" s="1">
        <v>0</v>
      </c>
      <c r="Q28" s="1">
        <v>0</v>
      </c>
      <c r="R28" s="1">
        <v>0</v>
      </c>
      <c r="S28" s="1">
        <v>0</v>
      </c>
      <c r="T28" s="1">
        <v>0</v>
      </c>
    </row>
    <row r="29" spans="1:20" x14ac:dyDescent="0.25">
      <c r="A29" s="1" t="s">
        <v>55</v>
      </c>
      <c r="B29" s="1">
        <v>0</v>
      </c>
      <c r="C29" s="1">
        <v>26601</v>
      </c>
      <c r="D29" s="1">
        <v>8819</v>
      </c>
      <c r="E29" s="1">
        <v>6552</v>
      </c>
      <c r="F29" s="1">
        <v>0</v>
      </c>
      <c r="G29" s="1">
        <v>0</v>
      </c>
      <c r="H29" s="1">
        <v>0</v>
      </c>
      <c r="I29" s="1">
        <v>0</v>
      </c>
      <c r="J29" s="1">
        <v>0</v>
      </c>
      <c r="K29" s="1">
        <v>0</v>
      </c>
      <c r="L29" s="1">
        <v>0</v>
      </c>
      <c r="M29" s="1">
        <v>1209</v>
      </c>
      <c r="N29" s="1">
        <v>1200</v>
      </c>
      <c r="O29" s="1">
        <v>1535</v>
      </c>
      <c r="P29" s="1">
        <v>1140</v>
      </c>
      <c r="Q29" s="1">
        <v>210</v>
      </c>
      <c r="R29" s="1">
        <v>430</v>
      </c>
      <c r="S29" s="1">
        <v>506</v>
      </c>
      <c r="T29" s="1">
        <v>488</v>
      </c>
    </row>
    <row r="30" spans="1:20" x14ac:dyDescent="0.25">
      <c r="A30" s="1" t="s">
        <v>54</v>
      </c>
      <c r="B30" s="1">
        <v>9055</v>
      </c>
      <c r="C30" s="1">
        <v>8249</v>
      </c>
      <c r="D30" s="1">
        <v>8061</v>
      </c>
      <c r="E30" s="1">
        <v>7912</v>
      </c>
      <c r="F30" s="1">
        <v>7612</v>
      </c>
      <c r="G30" s="1">
        <v>6643</v>
      </c>
      <c r="H30" s="1">
        <v>5522</v>
      </c>
      <c r="I30" s="1">
        <v>5966</v>
      </c>
      <c r="J30" s="1">
        <v>7548</v>
      </c>
      <c r="K30" s="1">
        <v>8080</v>
      </c>
      <c r="L30" s="1">
        <v>8940</v>
      </c>
      <c r="M30" s="1">
        <v>8491</v>
      </c>
      <c r="N30" s="1">
        <v>7435</v>
      </c>
      <c r="O30" s="1">
        <v>5953</v>
      </c>
      <c r="P30" s="1">
        <v>4091</v>
      </c>
      <c r="Q30" s="1">
        <v>2984</v>
      </c>
      <c r="R30" s="1">
        <v>2053</v>
      </c>
      <c r="S30" s="1">
        <v>1617</v>
      </c>
      <c r="T30" s="1">
        <v>1391</v>
      </c>
    </row>
    <row r="31" spans="1:20" x14ac:dyDescent="0.25">
      <c r="A31" s="1" t="s">
        <v>53</v>
      </c>
      <c r="B31" s="1">
        <v>64270</v>
      </c>
      <c r="C31" s="1">
        <v>50071</v>
      </c>
      <c r="D31" s="1">
        <v>48435</v>
      </c>
      <c r="E31" s="1">
        <v>52630</v>
      </c>
      <c r="F31" s="1">
        <v>45965</v>
      </c>
      <c r="G31" s="1">
        <v>41224</v>
      </c>
      <c r="H31" s="1">
        <v>37720</v>
      </c>
      <c r="I31" s="1">
        <v>33327</v>
      </c>
      <c r="J31" s="1">
        <v>30551</v>
      </c>
      <c r="K31" s="1">
        <v>22027</v>
      </c>
      <c r="L31" s="1">
        <v>25181</v>
      </c>
      <c r="M31" s="1">
        <v>17244</v>
      </c>
      <c r="N31" s="1">
        <v>12656</v>
      </c>
      <c r="O31" s="1">
        <v>9879</v>
      </c>
      <c r="P31" s="1">
        <v>8107</v>
      </c>
      <c r="Q31" s="1">
        <v>5513</v>
      </c>
      <c r="R31" s="1">
        <v>3422</v>
      </c>
      <c r="S31" s="1">
        <v>3718</v>
      </c>
      <c r="T31" s="1">
        <v>2431</v>
      </c>
    </row>
    <row r="32" spans="1:20" x14ac:dyDescent="0.25">
      <c r="A32" s="6" t="s">
        <v>52</v>
      </c>
      <c r="B32" s="4">
        <v>165631</v>
      </c>
      <c r="C32" s="4">
        <v>176392</v>
      </c>
      <c r="D32" s="4">
        <v>145308</v>
      </c>
      <c r="E32" s="4">
        <v>153982</v>
      </c>
      <c r="F32" s="4">
        <v>125481</v>
      </c>
      <c r="G32" s="4">
        <v>105392</v>
      </c>
      <c r="H32" s="4">
        <v>105718</v>
      </c>
      <c r="I32" s="4">
        <v>115929</v>
      </c>
      <c r="J32" s="4">
        <v>100814</v>
      </c>
      <c r="K32" s="4">
        <v>79006</v>
      </c>
      <c r="L32" s="4">
        <v>80610</v>
      </c>
      <c r="M32" s="4">
        <v>63448</v>
      </c>
      <c r="N32" s="4">
        <v>43658</v>
      </c>
      <c r="O32" s="4">
        <v>38542</v>
      </c>
      <c r="P32" s="4">
        <v>27970</v>
      </c>
      <c r="Q32" s="4">
        <v>20722</v>
      </c>
      <c r="R32" s="4">
        <v>11506</v>
      </c>
      <c r="S32" s="4">
        <v>11361</v>
      </c>
      <c r="T32" s="4">
        <v>9280</v>
      </c>
    </row>
    <row r="34" spans="1:20" x14ac:dyDescent="0.25">
      <c r="A34" s="1" t="s">
        <v>51</v>
      </c>
      <c r="B34" s="1">
        <v>89931</v>
      </c>
      <c r="C34" s="1">
        <v>96548</v>
      </c>
      <c r="D34" s="1">
        <v>106548</v>
      </c>
      <c r="E34" s="1">
        <v>109707</v>
      </c>
      <c r="F34" s="1">
        <v>119381</v>
      </c>
      <c r="G34" s="1">
        <v>107049</v>
      </c>
      <c r="H34" s="1">
        <v>91807</v>
      </c>
      <c r="I34" s="1">
        <v>93735</v>
      </c>
      <c r="J34" s="1">
        <v>97207</v>
      </c>
      <c r="K34" s="1">
        <v>75427</v>
      </c>
      <c r="L34" s="1">
        <v>53329</v>
      </c>
      <c r="M34" s="1">
        <v>28987</v>
      </c>
      <c r="N34" s="1">
        <v>16960</v>
      </c>
      <c r="O34" s="1">
        <v>0</v>
      </c>
      <c r="P34" s="1">
        <v>0</v>
      </c>
      <c r="Q34" s="1">
        <v>0</v>
      </c>
      <c r="R34" s="1">
        <v>0</v>
      </c>
      <c r="S34" s="1">
        <v>0</v>
      </c>
      <c r="T34" s="1">
        <v>0</v>
      </c>
    </row>
    <row r="35" spans="1:20" x14ac:dyDescent="0.25">
      <c r="A35" s="1" t="s">
        <v>50</v>
      </c>
      <c r="B35" s="1">
        <v>0</v>
      </c>
      <c r="C35" s="1">
        <v>0</v>
      </c>
      <c r="D35" s="1">
        <v>0</v>
      </c>
      <c r="E35" s="1">
        <v>0</v>
      </c>
      <c r="F35" s="1">
        <v>0</v>
      </c>
      <c r="G35" s="1">
        <v>0</v>
      </c>
      <c r="H35" s="1">
        <v>0</v>
      </c>
      <c r="I35" s="1">
        <v>2797</v>
      </c>
      <c r="J35" s="1">
        <v>2836</v>
      </c>
      <c r="K35" s="1">
        <v>2930</v>
      </c>
      <c r="L35" s="1">
        <v>3624</v>
      </c>
      <c r="M35" s="1">
        <v>3031</v>
      </c>
      <c r="N35" s="1">
        <v>2625</v>
      </c>
      <c r="O35" s="1">
        <v>2648</v>
      </c>
      <c r="P35" s="1">
        <v>1686</v>
      </c>
      <c r="Q35" s="1">
        <v>1139</v>
      </c>
      <c r="R35" s="1">
        <v>853</v>
      </c>
      <c r="S35" s="1">
        <v>768</v>
      </c>
      <c r="T35" s="1">
        <v>849</v>
      </c>
    </row>
    <row r="36" spans="1:20" x14ac:dyDescent="0.25">
      <c r="A36" s="1" t="s">
        <v>49</v>
      </c>
      <c r="B36" s="1">
        <v>0</v>
      </c>
      <c r="C36" s="1">
        <v>0</v>
      </c>
      <c r="D36" s="1">
        <v>0</v>
      </c>
      <c r="E36" s="1">
        <v>0</v>
      </c>
      <c r="F36" s="1">
        <v>0</v>
      </c>
      <c r="G36" s="1">
        <v>0</v>
      </c>
      <c r="H36" s="1">
        <v>0</v>
      </c>
      <c r="I36" s="1">
        <v>426</v>
      </c>
      <c r="J36" s="1">
        <v>31504</v>
      </c>
      <c r="K36" s="1">
        <v>26019</v>
      </c>
      <c r="L36" s="1">
        <v>24062</v>
      </c>
      <c r="M36" s="1">
        <v>20259</v>
      </c>
      <c r="N36" s="1">
        <v>16489</v>
      </c>
      <c r="O36" s="1">
        <v>13847</v>
      </c>
      <c r="P36" s="1">
        <v>8159</v>
      </c>
      <c r="Q36" s="1">
        <v>4300</v>
      </c>
      <c r="R36" s="1">
        <v>966</v>
      </c>
      <c r="S36" s="1">
        <v>999</v>
      </c>
      <c r="T36" s="1">
        <v>619</v>
      </c>
    </row>
    <row r="37" spans="1:20" x14ac:dyDescent="0.25">
      <c r="A37" s="1" t="s">
        <v>48</v>
      </c>
      <c r="B37" s="1">
        <v>29946</v>
      </c>
      <c r="C37" s="1">
        <v>35090</v>
      </c>
      <c r="D37" s="1">
        <v>38581</v>
      </c>
      <c r="E37" s="1">
        <v>38394</v>
      </c>
      <c r="F37" s="1">
        <v>43050</v>
      </c>
      <c r="G37" s="1">
        <v>46108</v>
      </c>
      <c r="H37" s="1">
        <v>50503</v>
      </c>
      <c r="I37" s="1">
        <v>45691</v>
      </c>
      <c r="J37" s="1">
        <v>8911</v>
      </c>
      <c r="K37" s="1">
        <v>10055</v>
      </c>
      <c r="L37" s="1">
        <v>9365</v>
      </c>
      <c r="M37" s="1">
        <v>4567</v>
      </c>
      <c r="N37" s="1">
        <v>3719</v>
      </c>
      <c r="O37" s="1">
        <v>2817</v>
      </c>
      <c r="P37" s="1">
        <v>1941</v>
      </c>
      <c r="Q37" s="1">
        <v>1231</v>
      </c>
      <c r="R37" s="1">
        <v>2536</v>
      </c>
      <c r="S37" s="1">
        <v>746</v>
      </c>
      <c r="T37" s="1">
        <v>67</v>
      </c>
    </row>
    <row r="38" spans="1:20" x14ac:dyDescent="0.25">
      <c r="A38" s="6" t="s">
        <v>47</v>
      </c>
      <c r="B38" s="4">
        <v>119877</v>
      </c>
      <c r="C38" s="4">
        <v>131638</v>
      </c>
      <c r="D38" s="4">
        <v>145129</v>
      </c>
      <c r="E38" s="4">
        <v>148101</v>
      </c>
      <c r="F38" s="4">
        <v>162431</v>
      </c>
      <c r="G38" s="4">
        <v>153157</v>
      </c>
      <c r="H38" s="4">
        <v>142310</v>
      </c>
      <c r="I38" s="4">
        <v>142649</v>
      </c>
      <c r="J38" s="4">
        <v>140458</v>
      </c>
      <c r="K38" s="4">
        <v>114431</v>
      </c>
      <c r="L38" s="4">
        <v>90380</v>
      </c>
      <c r="M38" s="4">
        <v>56844</v>
      </c>
      <c r="N38" s="4">
        <v>39793</v>
      </c>
      <c r="O38" s="4">
        <v>19312</v>
      </c>
      <c r="P38" s="4">
        <v>11786</v>
      </c>
      <c r="Q38" s="4">
        <v>6670</v>
      </c>
      <c r="R38" s="4">
        <v>4355</v>
      </c>
      <c r="S38" s="4">
        <v>2513</v>
      </c>
      <c r="T38" s="4">
        <v>1535</v>
      </c>
    </row>
    <row r="40" spans="1:20" x14ac:dyDescent="0.25">
      <c r="A40" s="1" t="s">
        <v>46</v>
      </c>
      <c r="B40" s="1">
        <v>0</v>
      </c>
      <c r="C40" s="1">
        <v>0</v>
      </c>
      <c r="D40" s="1">
        <v>0</v>
      </c>
      <c r="E40" s="1">
        <v>0</v>
      </c>
      <c r="F40" s="1">
        <v>0</v>
      </c>
      <c r="G40" s="1">
        <v>0</v>
      </c>
      <c r="H40" s="1">
        <v>0</v>
      </c>
      <c r="I40" s="1">
        <v>0</v>
      </c>
      <c r="J40" s="1">
        <v>0</v>
      </c>
      <c r="K40" s="1">
        <v>0</v>
      </c>
      <c r="L40" s="1">
        <v>0</v>
      </c>
      <c r="M40" s="1">
        <v>0</v>
      </c>
      <c r="N40" s="1">
        <v>0</v>
      </c>
      <c r="O40" s="1">
        <v>0</v>
      </c>
      <c r="P40" s="1">
        <v>0</v>
      </c>
      <c r="Q40" s="1">
        <v>0</v>
      </c>
      <c r="R40" s="1">
        <v>0</v>
      </c>
      <c r="S40" s="1">
        <v>0</v>
      </c>
      <c r="T40" s="1">
        <v>0</v>
      </c>
    </row>
    <row r="41" spans="1:20" x14ac:dyDescent="0.25">
      <c r="A41" s="6" t="s">
        <v>45</v>
      </c>
      <c r="B41" s="5">
        <v>285508</v>
      </c>
      <c r="C41" s="5">
        <v>308030</v>
      </c>
      <c r="D41" s="5">
        <v>290437</v>
      </c>
      <c r="E41" s="5">
        <v>302083</v>
      </c>
      <c r="F41" s="5">
        <v>287912</v>
      </c>
      <c r="G41" s="5">
        <v>258549</v>
      </c>
      <c r="H41" s="5">
        <v>248028</v>
      </c>
      <c r="I41" s="5">
        <v>258578</v>
      </c>
      <c r="J41" s="5">
        <v>241272</v>
      </c>
      <c r="K41" s="5">
        <v>193437</v>
      </c>
      <c r="L41" s="5">
        <v>170990</v>
      </c>
      <c r="M41" s="5">
        <v>120292</v>
      </c>
      <c r="N41" s="5">
        <v>83451</v>
      </c>
      <c r="O41" s="5">
        <v>57854</v>
      </c>
      <c r="P41" s="5">
        <v>39756</v>
      </c>
      <c r="Q41" s="5">
        <v>27392</v>
      </c>
      <c r="R41" s="5">
        <v>15861</v>
      </c>
      <c r="S41" s="5">
        <v>13874</v>
      </c>
      <c r="T41" s="5">
        <v>10815</v>
      </c>
    </row>
    <row r="43" spans="1:20" x14ac:dyDescent="0.25">
      <c r="A43" s="1" t="s">
        <v>44</v>
      </c>
      <c r="B43" s="1">
        <v>93568</v>
      </c>
      <c r="C43" s="1">
        <v>83276</v>
      </c>
      <c r="D43" s="1">
        <v>73812</v>
      </c>
      <c r="E43" s="1">
        <v>64849</v>
      </c>
      <c r="F43" s="1">
        <v>57365</v>
      </c>
      <c r="G43" s="1">
        <v>50779</v>
      </c>
      <c r="H43" s="1">
        <v>45174</v>
      </c>
      <c r="I43" s="1">
        <v>40201</v>
      </c>
      <c r="J43" s="1">
        <v>35867</v>
      </c>
      <c r="K43" s="1">
        <v>31251</v>
      </c>
      <c r="L43" s="1">
        <v>27416</v>
      </c>
      <c r="M43" s="1">
        <v>23313</v>
      </c>
      <c r="N43" s="1">
        <v>19764</v>
      </c>
      <c r="O43" s="1">
        <v>16422</v>
      </c>
      <c r="P43" s="1">
        <v>13331</v>
      </c>
      <c r="Q43" s="1">
        <v>10668</v>
      </c>
      <c r="R43" s="1">
        <v>8210</v>
      </c>
      <c r="S43" s="1">
        <v>7177</v>
      </c>
      <c r="T43" s="1">
        <v>5368</v>
      </c>
    </row>
    <row r="44" spans="1:20" x14ac:dyDescent="0.25">
      <c r="A44" s="1" t="s">
        <v>43</v>
      </c>
      <c r="B44" s="1">
        <v>-14264</v>
      </c>
      <c r="C44" s="1">
        <v>-19154</v>
      </c>
      <c r="D44" s="1">
        <v>-214</v>
      </c>
      <c r="E44" s="1">
        <v>-3068</v>
      </c>
      <c r="F44" s="1">
        <v>5562</v>
      </c>
      <c r="G44" s="1">
        <v>14966</v>
      </c>
      <c r="H44" s="1">
        <v>45898</v>
      </c>
      <c r="I44" s="1">
        <v>70400</v>
      </c>
      <c r="J44" s="1">
        <v>98330</v>
      </c>
      <c r="K44" s="1">
        <v>96364</v>
      </c>
      <c r="L44" s="1">
        <v>92284</v>
      </c>
      <c r="M44" s="1">
        <v>87152</v>
      </c>
      <c r="N44" s="1">
        <v>104256</v>
      </c>
      <c r="O44" s="1">
        <v>101289</v>
      </c>
      <c r="P44" s="1">
        <v>62841</v>
      </c>
      <c r="Q44" s="1">
        <v>37169</v>
      </c>
      <c r="R44" s="1">
        <v>23353</v>
      </c>
      <c r="S44" s="1">
        <v>15129</v>
      </c>
      <c r="T44" s="1">
        <v>9101</v>
      </c>
    </row>
    <row r="45" spans="1:20" x14ac:dyDescent="0.25">
      <c r="A45" s="1" t="s">
        <v>42</v>
      </c>
      <c r="B45" s="1">
        <v>-5571</v>
      </c>
      <c r="C45" s="1">
        <v>-7172</v>
      </c>
      <c r="D45" s="1">
        <v>-11452</v>
      </c>
      <c r="E45" s="1">
        <v>-11109</v>
      </c>
      <c r="F45" s="1">
        <v>163</v>
      </c>
      <c r="G45" s="1">
        <v>-406</v>
      </c>
      <c r="H45" s="1">
        <v>-584</v>
      </c>
      <c r="I45" s="1">
        <v>-3454</v>
      </c>
      <c r="J45" s="1">
        <v>-150</v>
      </c>
      <c r="K45" s="1">
        <v>634</v>
      </c>
      <c r="L45" s="1">
        <v>-345</v>
      </c>
      <c r="M45" s="1">
        <v>1082</v>
      </c>
      <c r="N45" s="1">
        <v>-471</v>
      </c>
      <c r="O45" s="1">
        <v>499</v>
      </c>
      <c r="P45" s="1">
        <v>443</v>
      </c>
      <c r="Q45" s="1">
        <v>-46</v>
      </c>
      <c r="R45" s="1">
        <v>77</v>
      </c>
      <c r="S45" s="1">
        <v>-9</v>
      </c>
      <c r="T45" s="1">
        <v>63</v>
      </c>
    </row>
    <row r="46" spans="1:20" x14ac:dyDescent="0.25">
      <c r="A46" s="1" t="s">
        <v>41</v>
      </c>
      <c r="B46" s="1">
        <v>0</v>
      </c>
      <c r="C46" s="1">
        <v>0</v>
      </c>
      <c r="D46" s="1">
        <v>0</v>
      </c>
      <c r="E46" s="1">
        <v>0</v>
      </c>
      <c r="F46" s="1">
        <v>0</v>
      </c>
      <c r="G46" s="1">
        <v>0</v>
      </c>
      <c r="H46" s="1">
        <v>0</v>
      </c>
      <c r="I46" s="1">
        <v>0</v>
      </c>
      <c r="J46" s="1">
        <v>0</v>
      </c>
      <c r="K46" s="1">
        <v>0</v>
      </c>
      <c r="L46" s="1">
        <v>0</v>
      </c>
      <c r="M46" s="1">
        <v>0</v>
      </c>
      <c r="N46" s="1">
        <v>0</v>
      </c>
      <c r="O46" s="1">
        <v>0</v>
      </c>
      <c r="P46" s="1">
        <v>0</v>
      </c>
      <c r="Q46" s="1">
        <v>0</v>
      </c>
      <c r="R46" s="1">
        <v>0</v>
      </c>
      <c r="S46" s="1">
        <v>0</v>
      </c>
      <c r="T46" s="1">
        <v>0</v>
      </c>
    </row>
    <row r="47" spans="1:20" x14ac:dyDescent="0.25">
      <c r="A47" s="6" t="s">
        <v>40</v>
      </c>
      <c r="B47" s="5">
        <v>73733</v>
      </c>
      <c r="C47" s="5">
        <v>56950</v>
      </c>
      <c r="D47" s="5">
        <v>62146</v>
      </c>
      <c r="E47" s="5">
        <v>50672</v>
      </c>
      <c r="F47" s="5">
        <v>63090</v>
      </c>
      <c r="G47" s="5">
        <v>65339</v>
      </c>
      <c r="H47" s="5">
        <v>90488</v>
      </c>
      <c r="I47" s="5">
        <v>107147</v>
      </c>
      <c r="J47" s="5">
        <v>134047</v>
      </c>
      <c r="K47" s="5">
        <v>128249</v>
      </c>
      <c r="L47" s="5">
        <v>119355</v>
      </c>
      <c r="M47" s="5">
        <v>111547</v>
      </c>
      <c r="N47" s="5">
        <v>123549</v>
      </c>
      <c r="O47" s="5">
        <v>118210</v>
      </c>
      <c r="P47" s="5">
        <v>76615</v>
      </c>
      <c r="Q47" s="5">
        <v>47791</v>
      </c>
      <c r="R47" s="5">
        <v>31640</v>
      </c>
      <c r="S47" s="5">
        <v>22297</v>
      </c>
      <c r="T47" s="5">
        <v>14532</v>
      </c>
    </row>
    <row r="49" spans="1:20" x14ac:dyDescent="0.25">
      <c r="A49" s="1" t="s">
        <v>39</v>
      </c>
      <c r="B49" s="1">
        <v>359241</v>
      </c>
      <c r="C49" s="1">
        <v>364980</v>
      </c>
      <c r="D49" s="1">
        <v>352583</v>
      </c>
      <c r="E49" s="1">
        <v>352755</v>
      </c>
      <c r="F49" s="1">
        <v>351002</v>
      </c>
      <c r="G49" s="1">
        <v>323888</v>
      </c>
      <c r="H49" s="1">
        <v>338516</v>
      </c>
      <c r="I49" s="1">
        <v>365725</v>
      </c>
      <c r="J49" s="1">
        <v>375319</v>
      </c>
      <c r="K49" s="1">
        <v>321686</v>
      </c>
      <c r="L49" s="1">
        <v>290345</v>
      </c>
      <c r="M49" s="1">
        <v>231839</v>
      </c>
      <c r="N49" s="1">
        <v>207000</v>
      </c>
      <c r="O49" s="1">
        <v>176064</v>
      </c>
      <c r="P49" s="1">
        <v>116371</v>
      </c>
      <c r="Q49" s="1">
        <v>75183</v>
      </c>
      <c r="R49" s="1">
        <v>47501</v>
      </c>
      <c r="S49" s="1">
        <v>36171</v>
      </c>
      <c r="T49" s="1">
        <v>25347</v>
      </c>
    </row>
    <row r="50" spans="1:20" x14ac:dyDescent="0.25">
      <c r="A50" s="1" t="s">
        <v>38</v>
      </c>
      <c r="B50" s="1">
        <v>96486</v>
      </c>
      <c r="C50" s="1">
        <v>126707</v>
      </c>
      <c r="D50" s="1">
        <v>132134</v>
      </c>
      <c r="E50" s="1">
        <v>145463</v>
      </c>
      <c r="F50" s="1">
        <v>155576</v>
      </c>
      <c r="G50" s="1">
        <v>153814</v>
      </c>
      <c r="H50" s="1">
        <v>157054</v>
      </c>
      <c r="I50" s="1">
        <v>211187</v>
      </c>
      <c r="J50" s="1">
        <v>248606</v>
      </c>
      <c r="K50" s="1">
        <v>217101</v>
      </c>
      <c r="L50" s="1">
        <v>184546</v>
      </c>
      <c r="M50" s="1">
        <v>141395</v>
      </c>
      <c r="N50" s="1">
        <v>132502</v>
      </c>
      <c r="O50" s="1">
        <v>110505</v>
      </c>
      <c r="P50" s="1">
        <v>71755</v>
      </c>
      <c r="Q50" s="1">
        <v>39750</v>
      </c>
      <c r="R50" s="1">
        <v>28729</v>
      </c>
      <c r="S50" s="1">
        <v>12615</v>
      </c>
      <c r="T50" s="1">
        <v>6956</v>
      </c>
    </row>
    <row r="51" spans="1:20" x14ac:dyDescent="0.25">
      <c r="A51" s="1" t="s">
        <v>37</v>
      </c>
      <c r="B51" s="1">
        <v>112377</v>
      </c>
      <c r="C51" s="1">
        <v>119059</v>
      </c>
      <c r="D51" s="1">
        <v>123930</v>
      </c>
      <c r="E51" s="1">
        <v>132480</v>
      </c>
      <c r="F51" s="1">
        <v>136522</v>
      </c>
      <c r="G51" s="1">
        <v>122278</v>
      </c>
      <c r="H51" s="1">
        <v>108047</v>
      </c>
      <c r="I51" s="1">
        <v>114483</v>
      </c>
      <c r="J51" s="1">
        <v>115680</v>
      </c>
      <c r="K51" s="1">
        <v>87032</v>
      </c>
      <c r="L51" s="1">
        <v>64328</v>
      </c>
      <c r="M51" s="1">
        <v>35295</v>
      </c>
      <c r="N51" s="1">
        <v>16960</v>
      </c>
      <c r="O51" s="1">
        <v>0</v>
      </c>
      <c r="P51" s="1">
        <v>0</v>
      </c>
      <c r="Q51" s="1">
        <v>0</v>
      </c>
      <c r="R51" s="1">
        <v>0</v>
      </c>
      <c r="S51" s="1">
        <v>0</v>
      </c>
      <c r="T51" s="1">
        <v>0</v>
      </c>
    </row>
    <row r="52" spans="1:20" x14ac:dyDescent="0.25">
      <c r="A52" s="1" t="s">
        <v>36</v>
      </c>
      <c r="B52" s="1">
        <v>76443</v>
      </c>
      <c r="C52" s="1">
        <v>89116</v>
      </c>
      <c r="D52" s="1">
        <v>93965</v>
      </c>
      <c r="E52" s="1">
        <v>108834</v>
      </c>
      <c r="F52" s="1">
        <v>101582</v>
      </c>
      <c r="G52" s="1">
        <v>84262</v>
      </c>
      <c r="H52" s="1">
        <v>59203</v>
      </c>
      <c r="I52" s="1">
        <v>88570</v>
      </c>
      <c r="J52" s="1">
        <v>95391</v>
      </c>
      <c r="K52" s="1">
        <v>66548</v>
      </c>
      <c r="L52" s="1">
        <v>43208</v>
      </c>
      <c r="M52" s="1">
        <v>21451</v>
      </c>
      <c r="N52" s="1">
        <v>2701</v>
      </c>
      <c r="O52" s="1">
        <v>-10746</v>
      </c>
      <c r="P52" s="1">
        <v>-9815</v>
      </c>
      <c r="Q52" s="1">
        <v>-11261</v>
      </c>
      <c r="R52" s="1">
        <v>-5263</v>
      </c>
      <c r="S52" s="1">
        <v>-11875</v>
      </c>
      <c r="T52" s="1">
        <v>-9352</v>
      </c>
    </row>
  </sheetData>
  <mergeCells count="1">
    <mergeCell ref="B4:T4"/>
  </mergeCells>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4089D2-1211-4EC2-806C-444F25DB6141}">
  <sheetPr>
    <tabColor rgb="FFC6E0B4"/>
  </sheetPr>
  <dimension ref="A1:T39"/>
  <sheetViews>
    <sheetView workbookViewId="0"/>
  </sheetViews>
  <sheetFormatPr defaultRowHeight="15" x14ac:dyDescent="0.25"/>
  <cols>
    <col min="1" max="1" width="44.28515625" bestFit="1" customWidth="1"/>
    <col min="2" max="7" width="19" bestFit="1" customWidth="1"/>
    <col min="8" max="8" width="18" bestFit="1" customWidth="1"/>
    <col min="9" max="9" width="18.28515625" bestFit="1" customWidth="1"/>
    <col min="10" max="16" width="19" bestFit="1" customWidth="1"/>
    <col min="17" max="20" width="18" bestFit="1" customWidth="1"/>
  </cols>
  <sheetData>
    <row r="1" spans="1:20" x14ac:dyDescent="0.25">
      <c r="A1" s="10" t="s">
        <v>75</v>
      </c>
      <c r="B1" s="10"/>
      <c r="C1" s="10"/>
      <c r="D1" s="10"/>
      <c r="E1" s="10"/>
      <c r="F1" s="10"/>
      <c r="G1" s="10"/>
      <c r="H1" s="10"/>
      <c r="I1" s="10"/>
      <c r="J1" s="10"/>
      <c r="K1" s="10"/>
      <c r="L1" s="10"/>
      <c r="M1" s="10"/>
      <c r="N1" s="10"/>
      <c r="O1" s="10"/>
      <c r="P1" s="10"/>
      <c r="Q1" s="10"/>
      <c r="R1" s="10"/>
      <c r="S1" s="10"/>
      <c r="T1" s="10"/>
    </row>
    <row r="2" spans="1:20" x14ac:dyDescent="0.25">
      <c r="A2" t="s">
        <v>1</v>
      </c>
      <c r="B2" t="s">
        <v>2</v>
      </c>
    </row>
    <row r="3" spans="1:20" x14ac:dyDescent="0.25">
      <c r="A3" t="s">
        <v>3</v>
      </c>
      <c r="B3" t="str">
        <f>'AAPL - Income Statement FY'!B3</f>
        <v>USD</v>
      </c>
    </row>
    <row r="4" spans="1:20" x14ac:dyDescent="0.25">
      <c r="A4" t="s">
        <v>32</v>
      </c>
      <c r="B4" s="236" t="s">
        <v>33</v>
      </c>
      <c r="C4" s="236"/>
      <c r="D4" s="236"/>
      <c r="E4" s="236"/>
      <c r="F4" s="236"/>
      <c r="G4" s="236"/>
      <c r="H4" s="236"/>
      <c r="I4" s="236"/>
      <c r="J4" s="236"/>
      <c r="K4" s="236"/>
      <c r="L4" s="236"/>
      <c r="M4" s="236"/>
      <c r="N4" s="236"/>
      <c r="O4" s="236"/>
      <c r="P4" s="236"/>
      <c r="Q4" s="236"/>
      <c r="R4" s="236"/>
      <c r="S4" s="236"/>
      <c r="T4" s="236"/>
    </row>
    <row r="5" spans="1:20" x14ac:dyDescent="0.25">
      <c r="A5" t="s">
        <v>34</v>
      </c>
      <c r="B5" s="8">
        <v>45927</v>
      </c>
      <c r="C5" s="8">
        <v>45563</v>
      </c>
      <c r="D5" s="8">
        <v>45199</v>
      </c>
      <c r="E5" s="8">
        <v>44828</v>
      </c>
      <c r="F5" s="8">
        <v>44464</v>
      </c>
      <c r="G5" s="8">
        <v>44100</v>
      </c>
      <c r="H5" s="8">
        <v>43736</v>
      </c>
      <c r="I5" s="8">
        <v>43372</v>
      </c>
      <c r="J5" s="8">
        <v>43008</v>
      </c>
      <c r="K5" s="8">
        <v>42637</v>
      </c>
      <c r="L5" s="8">
        <v>42273</v>
      </c>
      <c r="M5" s="8">
        <v>41909</v>
      </c>
      <c r="N5" s="8">
        <v>41545</v>
      </c>
      <c r="O5" s="8">
        <v>41181</v>
      </c>
      <c r="P5" s="8">
        <v>40810</v>
      </c>
      <c r="Q5" s="8">
        <v>40446</v>
      </c>
      <c r="R5" s="8">
        <v>40082</v>
      </c>
      <c r="S5" s="8">
        <v>39718</v>
      </c>
      <c r="T5" s="8">
        <v>39354</v>
      </c>
    </row>
    <row r="7" spans="1:20" x14ac:dyDescent="0.25">
      <c r="A7" s="6" t="s">
        <v>10</v>
      </c>
      <c r="B7" s="5">
        <v>112010</v>
      </c>
      <c r="C7" s="5">
        <v>93736</v>
      </c>
      <c r="D7" s="5">
        <v>96995</v>
      </c>
      <c r="E7" s="5">
        <v>99803</v>
      </c>
      <c r="F7" s="5">
        <v>94680</v>
      </c>
      <c r="G7" s="5">
        <v>57411</v>
      </c>
      <c r="H7" s="5">
        <v>55256</v>
      </c>
      <c r="I7" s="5">
        <v>59531</v>
      </c>
      <c r="J7" s="5">
        <v>48351</v>
      </c>
      <c r="K7" s="5">
        <v>45687</v>
      </c>
      <c r="L7" s="5">
        <v>53394</v>
      </c>
      <c r="M7" s="5">
        <v>39510</v>
      </c>
      <c r="N7" s="5">
        <v>37037</v>
      </c>
      <c r="O7" s="5">
        <v>41733</v>
      </c>
      <c r="P7" s="5">
        <v>25922</v>
      </c>
      <c r="Q7" s="5">
        <v>14013</v>
      </c>
      <c r="R7" s="5">
        <v>8235</v>
      </c>
      <c r="S7" s="5">
        <v>6119</v>
      </c>
      <c r="T7" s="5">
        <v>3496</v>
      </c>
    </row>
    <row r="8" spans="1:20" x14ac:dyDescent="0.25">
      <c r="A8" s="1" t="s">
        <v>19</v>
      </c>
      <c r="B8" s="1">
        <v>11698</v>
      </c>
      <c r="C8" s="1">
        <v>11445</v>
      </c>
      <c r="D8" s="1">
        <v>11519</v>
      </c>
      <c r="E8" s="1">
        <v>11104</v>
      </c>
      <c r="F8" s="1">
        <v>11284</v>
      </c>
      <c r="G8" s="1">
        <v>11056</v>
      </c>
      <c r="H8" s="1">
        <v>12547</v>
      </c>
      <c r="I8" s="1">
        <v>10903</v>
      </c>
      <c r="J8" s="1">
        <v>10157</v>
      </c>
      <c r="K8" s="1">
        <v>10505</v>
      </c>
      <c r="L8" s="1">
        <v>11257</v>
      </c>
      <c r="M8" s="1">
        <v>7946</v>
      </c>
      <c r="N8" s="1">
        <v>6757</v>
      </c>
      <c r="O8" s="1">
        <v>3277</v>
      </c>
      <c r="P8" s="1">
        <v>1814</v>
      </c>
      <c r="Q8" s="1">
        <v>1027</v>
      </c>
      <c r="R8" s="1">
        <v>734</v>
      </c>
      <c r="S8" s="1">
        <v>496</v>
      </c>
      <c r="T8" s="1">
        <v>317</v>
      </c>
    </row>
    <row r="9" spans="1:20" x14ac:dyDescent="0.25">
      <c r="A9" s="1" t="s">
        <v>102</v>
      </c>
      <c r="B9" s="1">
        <v>0</v>
      </c>
      <c r="C9" s="1">
        <v>0</v>
      </c>
      <c r="D9" s="1">
        <v>0</v>
      </c>
      <c r="E9" s="1">
        <v>895</v>
      </c>
      <c r="F9" s="1">
        <v>-4774</v>
      </c>
      <c r="G9" s="1">
        <v>-215</v>
      </c>
      <c r="H9" s="1">
        <v>-340</v>
      </c>
      <c r="I9" s="1">
        <v>-32590</v>
      </c>
      <c r="J9" s="1">
        <v>5966</v>
      </c>
      <c r="K9" s="1">
        <v>4938</v>
      </c>
      <c r="L9" s="1">
        <v>1382</v>
      </c>
      <c r="M9" s="1">
        <v>2347</v>
      </c>
      <c r="N9" s="1">
        <v>1141</v>
      </c>
      <c r="O9" s="1">
        <v>4405</v>
      </c>
      <c r="P9" s="1">
        <v>2868</v>
      </c>
      <c r="Q9" s="1">
        <v>1440</v>
      </c>
      <c r="R9" s="1">
        <v>1040</v>
      </c>
      <c r="S9" s="1">
        <v>398</v>
      </c>
      <c r="T9" s="1">
        <v>78</v>
      </c>
    </row>
    <row r="10" spans="1:20" x14ac:dyDescent="0.25">
      <c r="A10" s="1" t="s">
        <v>101</v>
      </c>
      <c r="B10" s="1">
        <v>12863</v>
      </c>
      <c r="C10" s="1">
        <v>11688</v>
      </c>
      <c r="D10" s="1">
        <v>10833</v>
      </c>
      <c r="E10" s="1">
        <v>9038</v>
      </c>
      <c r="F10" s="1">
        <v>7906</v>
      </c>
      <c r="G10" s="1">
        <v>6829</v>
      </c>
      <c r="H10" s="1">
        <v>6068</v>
      </c>
      <c r="I10" s="1">
        <v>5340</v>
      </c>
      <c r="J10" s="1">
        <v>4840</v>
      </c>
      <c r="K10" s="1">
        <v>4210</v>
      </c>
      <c r="L10" s="1">
        <v>3586</v>
      </c>
      <c r="M10" s="1">
        <v>2863</v>
      </c>
      <c r="N10" s="1">
        <v>2253</v>
      </c>
      <c r="O10" s="1">
        <v>1740</v>
      </c>
      <c r="P10" s="1">
        <v>1168</v>
      </c>
      <c r="Q10" s="1">
        <v>879</v>
      </c>
      <c r="R10" s="1">
        <v>710</v>
      </c>
      <c r="S10" s="1">
        <v>516</v>
      </c>
      <c r="T10" s="1">
        <v>242</v>
      </c>
    </row>
    <row r="11" spans="1:20" x14ac:dyDescent="0.25">
      <c r="A11" s="1" t="s">
        <v>100</v>
      </c>
      <c r="B11" s="1">
        <v>-25000</v>
      </c>
      <c r="C11" s="1">
        <v>3651</v>
      </c>
      <c r="D11" s="1">
        <v>-6577</v>
      </c>
      <c r="E11" s="1">
        <v>1200</v>
      </c>
      <c r="F11" s="1">
        <v>-4911</v>
      </c>
      <c r="G11" s="1">
        <v>5690</v>
      </c>
      <c r="H11" s="1">
        <v>-3488</v>
      </c>
      <c r="I11" s="1">
        <v>34694</v>
      </c>
      <c r="J11" s="1">
        <v>-4923</v>
      </c>
      <c r="K11" s="1">
        <v>405</v>
      </c>
      <c r="L11" s="1">
        <v>11262</v>
      </c>
      <c r="M11" s="1">
        <v>7047</v>
      </c>
      <c r="N11" s="1">
        <v>6478</v>
      </c>
      <c r="O11" s="1">
        <v>-299</v>
      </c>
      <c r="P11" s="1">
        <v>5757</v>
      </c>
      <c r="Q11" s="1">
        <v>1236</v>
      </c>
      <c r="R11" s="1">
        <v>-586</v>
      </c>
      <c r="S11" s="1">
        <v>2045</v>
      </c>
      <c r="T11" s="1">
        <v>1325</v>
      </c>
    </row>
    <row r="12" spans="1:20" x14ac:dyDescent="0.25">
      <c r="A12" s="1" t="s">
        <v>99</v>
      </c>
      <c r="B12" s="1">
        <v>-7029</v>
      </c>
      <c r="C12" s="1">
        <v>-5144</v>
      </c>
      <c r="D12" s="1">
        <v>-417</v>
      </c>
      <c r="E12" s="1">
        <v>-9343</v>
      </c>
      <c r="F12" s="1">
        <v>-14028</v>
      </c>
      <c r="G12" s="1">
        <v>8470</v>
      </c>
      <c r="H12" s="1">
        <v>3176</v>
      </c>
      <c r="I12" s="1">
        <v>-13332</v>
      </c>
      <c r="J12" s="1">
        <v>-6347</v>
      </c>
      <c r="K12" s="1">
        <v>476</v>
      </c>
      <c r="L12" s="1">
        <v>-3318</v>
      </c>
      <c r="M12" s="1">
        <v>-6452</v>
      </c>
      <c r="N12" s="1">
        <v>-1949</v>
      </c>
      <c r="O12" s="1">
        <v>-6965</v>
      </c>
      <c r="P12" s="1">
        <v>-1791</v>
      </c>
      <c r="Q12" s="1">
        <v>-4860</v>
      </c>
      <c r="R12" s="1">
        <v>-353</v>
      </c>
      <c r="S12" s="1">
        <v>-675</v>
      </c>
      <c r="T12" s="1">
        <v>-385</v>
      </c>
    </row>
    <row r="13" spans="1:20" x14ac:dyDescent="0.25">
      <c r="A13" s="1" t="s">
        <v>70</v>
      </c>
      <c r="B13" s="1">
        <v>1400</v>
      </c>
      <c r="C13" s="1">
        <v>-1046</v>
      </c>
      <c r="D13" s="1">
        <v>-1618</v>
      </c>
      <c r="E13" s="1">
        <v>1484</v>
      </c>
      <c r="F13" s="1">
        <v>-2642</v>
      </c>
      <c r="G13" s="1">
        <v>-127</v>
      </c>
      <c r="H13" s="1">
        <v>-289</v>
      </c>
      <c r="I13" s="1">
        <v>828</v>
      </c>
      <c r="J13" s="1">
        <v>-2723</v>
      </c>
      <c r="K13" s="1">
        <v>217</v>
      </c>
      <c r="L13" s="1">
        <v>-238</v>
      </c>
      <c r="M13" s="1">
        <v>-76</v>
      </c>
      <c r="N13" s="1">
        <v>-973</v>
      </c>
      <c r="O13" s="1">
        <v>-15</v>
      </c>
      <c r="P13" s="1">
        <v>275</v>
      </c>
      <c r="Q13" s="1">
        <v>-596</v>
      </c>
      <c r="R13" s="1">
        <v>54</v>
      </c>
      <c r="S13" s="1">
        <v>-163</v>
      </c>
      <c r="T13" s="1">
        <v>-76</v>
      </c>
    </row>
    <row r="14" spans="1:20" x14ac:dyDescent="0.25">
      <c r="A14" s="1" t="s">
        <v>98</v>
      </c>
      <c r="B14" s="1">
        <v>902</v>
      </c>
      <c r="C14" s="1">
        <v>6020</v>
      </c>
      <c r="D14" s="1">
        <v>-1889</v>
      </c>
      <c r="E14" s="1">
        <v>9448</v>
      </c>
      <c r="F14" s="1">
        <v>12326</v>
      </c>
      <c r="G14" s="1">
        <v>-4062</v>
      </c>
      <c r="H14" s="1">
        <v>-1923</v>
      </c>
      <c r="I14" s="1">
        <v>9175</v>
      </c>
      <c r="J14" s="1">
        <v>8966</v>
      </c>
      <c r="K14" s="1">
        <v>2117</v>
      </c>
      <c r="L14" s="1">
        <v>5001</v>
      </c>
      <c r="M14" s="1">
        <v>5938</v>
      </c>
      <c r="N14" s="1">
        <v>2340</v>
      </c>
      <c r="O14" s="1">
        <v>4467</v>
      </c>
      <c r="P14" s="1">
        <v>2515</v>
      </c>
      <c r="Q14" s="1">
        <v>6307</v>
      </c>
      <c r="R14" s="1">
        <v>92</v>
      </c>
      <c r="S14" s="1">
        <v>596</v>
      </c>
      <c r="T14" s="1">
        <v>1494</v>
      </c>
    </row>
    <row r="15" spans="1:20" x14ac:dyDescent="0.25">
      <c r="A15" s="1" t="s">
        <v>97</v>
      </c>
      <c r="B15" s="1">
        <v>-20273</v>
      </c>
      <c r="C15" s="1">
        <v>3821</v>
      </c>
      <c r="D15" s="1">
        <v>-2653</v>
      </c>
      <c r="E15" s="1">
        <v>-389</v>
      </c>
      <c r="F15" s="1">
        <v>-567</v>
      </c>
      <c r="G15" s="1">
        <v>1409</v>
      </c>
      <c r="H15" s="1">
        <v>-4452</v>
      </c>
      <c r="I15" s="1">
        <v>38023</v>
      </c>
      <c r="J15" s="1">
        <v>-4819</v>
      </c>
      <c r="K15" s="1">
        <v>-2405</v>
      </c>
      <c r="L15" s="1">
        <v>9817</v>
      </c>
      <c r="M15" s="1">
        <v>7637</v>
      </c>
      <c r="N15" s="1">
        <v>7060</v>
      </c>
      <c r="O15" s="1">
        <v>2214</v>
      </c>
      <c r="P15" s="1">
        <v>4758</v>
      </c>
      <c r="Q15" s="1">
        <v>385</v>
      </c>
      <c r="R15" s="1">
        <v>-379</v>
      </c>
      <c r="S15" s="1">
        <v>2287</v>
      </c>
      <c r="T15" s="1">
        <v>292</v>
      </c>
    </row>
    <row r="16" spans="1:20" x14ac:dyDescent="0.25">
      <c r="A16" s="1" t="s">
        <v>96</v>
      </c>
      <c r="B16" s="1">
        <v>-89</v>
      </c>
      <c r="C16" s="1">
        <v>-2266</v>
      </c>
      <c r="D16" s="1">
        <v>-2227</v>
      </c>
      <c r="E16" s="1">
        <v>111</v>
      </c>
      <c r="F16" s="1">
        <v>-147</v>
      </c>
      <c r="G16" s="1">
        <v>-97</v>
      </c>
      <c r="H16" s="1">
        <v>-652</v>
      </c>
      <c r="I16" s="1">
        <v>-444</v>
      </c>
      <c r="J16" s="1">
        <v>-166</v>
      </c>
      <c r="K16" s="1">
        <v>486</v>
      </c>
      <c r="L16" s="1">
        <v>385</v>
      </c>
      <c r="M16" s="1">
        <v>0</v>
      </c>
      <c r="N16" s="1">
        <v>0</v>
      </c>
      <c r="O16" s="1">
        <v>0</v>
      </c>
      <c r="P16" s="1">
        <v>0</v>
      </c>
      <c r="Q16" s="1">
        <v>0</v>
      </c>
      <c r="R16" s="1">
        <v>26</v>
      </c>
      <c r="S16" s="1">
        <v>22</v>
      </c>
      <c r="T16" s="1">
        <v>12</v>
      </c>
    </row>
    <row r="17" spans="1:20" x14ac:dyDescent="0.25">
      <c r="A17" s="6" t="s">
        <v>95</v>
      </c>
      <c r="B17" s="4">
        <v>111482</v>
      </c>
      <c r="C17" s="4">
        <v>118254</v>
      </c>
      <c r="D17" s="4">
        <v>110543</v>
      </c>
      <c r="E17" s="4">
        <v>122151</v>
      </c>
      <c r="F17" s="4">
        <v>104038</v>
      </c>
      <c r="G17" s="4">
        <v>80674</v>
      </c>
      <c r="H17" s="4">
        <v>69391</v>
      </c>
      <c r="I17" s="4">
        <v>77434</v>
      </c>
      <c r="J17" s="4">
        <v>64225</v>
      </c>
      <c r="K17" s="4">
        <v>66231</v>
      </c>
      <c r="L17" s="4">
        <v>81266</v>
      </c>
      <c r="M17" s="4">
        <v>59713</v>
      </c>
      <c r="N17" s="4">
        <v>53666</v>
      </c>
      <c r="O17" s="4">
        <v>50856</v>
      </c>
      <c r="P17" s="4">
        <v>37529</v>
      </c>
      <c r="Q17" s="4">
        <v>18595</v>
      </c>
      <c r="R17" s="4">
        <v>10159</v>
      </c>
      <c r="S17" s="4">
        <v>9596</v>
      </c>
      <c r="T17" s="4">
        <v>5470</v>
      </c>
    </row>
    <row r="19" spans="1:20" x14ac:dyDescent="0.25">
      <c r="A19" s="1" t="s">
        <v>94</v>
      </c>
      <c r="B19" s="1">
        <v>-12715</v>
      </c>
      <c r="C19" s="1">
        <v>-9447</v>
      </c>
      <c r="D19" s="1">
        <v>-10959</v>
      </c>
      <c r="E19" s="1">
        <v>-10708</v>
      </c>
      <c r="F19" s="1">
        <v>-11085</v>
      </c>
      <c r="G19" s="1">
        <v>-7309</v>
      </c>
      <c r="H19" s="1">
        <v>-10495</v>
      </c>
      <c r="I19" s="1">
        <v>-13313</v>
      </c>
      <c r="J19" s="1">
        <v>-12795</v>
      </c>
      <c r="K19" s="1">
        <v>-13548</v>
      </c>
      <c r="L19" s="1">
        <v>-11488</v>
      </c>
      <c r="M19" s="1">
        <v>-9813</v>
      </c>
      <c r="N19" s="1">
        <v>-9076</v>
      </c>
      <c r="O19" s="1">
        <v>-9402</v>
      </c>
      <c r="P19" s="1">
        <v>-7452</v>
      </c>
      <c r="Q19" s="1">
        <v>-2121</v>
      </c>
      <c r="R19" s="1">
        <v>-1213</v>
      </c>
      <c r="S19" s="1">
        <v>-1199</v>
      </c>
      <c r="T19" s="1">
        <v>-986</v>
      </c>
    </row>
    <row r="20" spans="1:20" x14ac:dyDescent="0.25">
      <c r="A20" s="1" t="s">
        <v>93</v>
      </c>
      <c r="B20" s="1">
        <v>0</v>
      </c>
      <c r="C20" s="1">
        <v>0</v>
      </c>
      <c r="D20" s="1">
        <v>0</v>
      </c>
      <c r="E20" s="1">
        <v>-306</v>
      </c>
      <c r="F20" s="1">
        <v>-33</v>
      </c>
      <c r="G20" s="1">
        <v>-1524</v>
      </c>
      <c r="H20" s="1">
        <v>-624</v>
      </c>
      <c r="I20" s="1">
        <v>-721</v>
      </c>
      <c r="J20" s="1">
        <v>-329</v>
      </c>
      <c r="K20" s="1">
        <v>-297</v>
      </c>
      <c r="L20" s="1">
        <v>-343</v>
      </c>
      <c r="M20" s="1">
        <v>-3765</v>
      </c>
      <c r="N20" s="1">
        <v>-496</v>
      </c>
      <c r="O20" s="1">
        <v>-350</v>
      </c>
      <c r="P20" s="1">
        <v>-244</v>
      </c>
      <c r="Q20" s="1">
        <v>-638</v>
      </c>
      <c r="R20" s="1">
        <v>0</v>
      </c>
      <c r="S20" s="1">
        <v>-220</v>
      </c>
      <c r="T20" s="1">
        <v>0</v>
      </c>
    </row>
    <row r="21" spans="1:20" x14ac:dyDescent="0.25">
      <c r="A21" s="1" t="s">
        <v>92</v>
      </c>
      <c r="B21" s="1">
        <v>-24407</v>
      </c>
      <c r="C21" s="1">
        <v>-48656</v>
      </c>
      <c r="D21" s="1">
        <v>-29513</v>
      </c>
      <c r="E21" s="1">
        <v>-76923</v>
      </c>
      <c r="F21" s="1">
        <v>-109558</v>
      </c>
      <c r="G21" s="1">
        <v>-114938</v>
      </c>
      <c r="H21" s="1">
        <v>-40631</v>
      </c>
      <c r="I21" s="1">
        <v>-73227</v>
      </c>
      <c r="J21" s="1">
        <v>-160007</v>
      </c>
      <c r="K21" s="1">
        <v>-143816</v>
      </c>
      <c r="L21" s="1">
        <v>-166402</v>
      </c>
      <c r="M21" s="1">
        <v>-217138</v>
      </c>
      <c r="N21" s="1">
        <v>-148489</v>
      </c>
      <c r="O21" s="1">
        <v>-151232</v>
      </c>
      <c r="P21" s="1">
        <v>-102317</v>
      </c>
      <c r="Q21" s="1">
        <v>-57793</v>
      </c>
      <c r="R21" s="1">
        <v>-46825</v>
      </c>
      <c r="S21" s="1">
        <v>-23003</v>
      </c>
      <c r="T21" s="1">
        <v>-11736</v>
      </c>
    </row>
    <row r="22" spans="1:20" x14ac:dyDescent="0.25">
      <c r="A22" s="1" t="s">
        <v>91</v>
      </c>
      <c r="B22" s="1">
        <v>53797</v>
      </c>
      <c r="C22" s="1">
        <v>62346</v>
      </c>
      <c r="D22" s="1">
        <v>45514</v>
      </c>
      <c r="E22" s="1">
        <v>67363</v>
      </c>
      <c r="F22" s="1">
        <v>106483</v>
      </c>
      <c r="G22" s="1">
        <v>120391</v>
      </c>
      <c r="H22" s="1">
        <v>98724</v>
      </c>
      <c r="I22" s="1">
        <v>104072</v>
      </c>
      <c r="J22" s="1">
        <v>126465</v>
      </c>
      <c r="K22" s="1">
        <v>111794</v>
      </c>
      <c r="L22" s="1">
        <v>121985</v>
      </c>
      <c r="M22" s="1">
        <v>208111</v>
      </c>
      <c r="N22" s="1">
        <v>124447</v>
      </c>
      <c r="O22" s="1">
        <v>112805</v>
      </c>
      <c r="P22" s="1">
        <v>69853</v>
      </c>
      <c r="Q22" s="1">
        <v>46718</v>
      </c>
      <c r="R22" s="1">
        <v>30678</v>
      </c>
      <c r="S22" s="1">
        <v>16243</v>
      </c>
      <c r="T22" s="1">
        <v>9424</v>
      </c>
    </row>
    <row r="23" spans="1:20" x14ac:dyDescent="0.25">
      <c r="A23" s="1" t="s">
        <v>90</v>
      </c>
      <c r="B23" s="1">
        <v>-1480</v>
      </c>
      <c r="C23" s="1">
        <v>-1308</v>
      </c>
      <c r="D23" s="1">
        <v>-1337</v>
      </c>
      <c r="E23" s="1">
        <v>-1780</v>
      </c>
      <c r="F23" s="1">
        <v>-352</v>
      </c>
      <c r="G23" s="1">
        <v>-909</v>
      </c>
      <c r="H23" s="1">
        <v>-1078</v>
      </c>
      <c r="I23" s="1">
        <v>-745</v>
      </c>
      <c r="J23" s="1">
        <v>-124</v>
      </c>
      <c r="K23" s="1">
        <v>-924</v>
      </c>
      <c r="L23" s="1">
        <v>-26</v>
      </c>
      <c r="M23" s="1">
        <v>26</v>
      </c>
      <c r="N23" s="1">
        <v>-160</v>
      </c>
      <c r="O23" s="1">
        <v>-48</v>
      </c>
      <c r="P23" s="1">
        <v>-259</v>
      </c>
      <c r="Q23" s="1">
        <v>-20</v>
      </c>
      <c r="R23" s="1">
        <v>-74</v>
      </c>
      <c r="S23" s="1">
        <v>-10</v>
      </c>
      <c r="T23" s="1">
        <v>49</v>
      </c>
    </row>
    <row r="24" spans="1:20" x14ac:dyDescent="0.25">
      <c r="A24" s="6" t="s">
        <v>89</v>
      </c>
      <c r="B24" s="4">
        <v>15195</v>
      </c>
      <c r="C24" s="4">
        <v>2935</v>
      </c>
      <c r="D24" s="4">
        <v>3705</v>
      </c>
      <c r="E24" s="4">
        <v>-22354</v>
      </c>
      <c r="F24" s="4">
        <v>-14545</v>
      </c>
      <c r="G24" s="4">
        <v>-4289</v>
      </c>
      <c r="H24" s="4">
        <v>45896</v>
      </c>
      <c r="I24" s="4">
        <v>16066</v>
      </c>
      <c r="J24" s="4">
        <v>-46446</v>
      </c>
      <c r="K24" s="4">
        <v>-45977</v>
      </c>
      <c r="L24" s="4">
        <v>-56274</v>
      </c>
      <c r="M24" s="4">
        <v>-22579</v>
      </c>
      <c r="N24" s="4">
        <v>-33774</v>
      </c>
      <c r="O24" s="4">
        <v>-48227</v>
      </c>
      <c r="P24" s="4">
        <v>-40419</v>
      </c>
      <c r="Q24" s="4">
        <v>-13854</v>
      </c>
      <c r="R24" s="4">
        <v>-17434</v>
      </c>
      <c r="S24" s="4">
        <v>-8189</v>
      </c>
      <c r="T24" s="4">
        <v>-3249</v>
      </c>
    </row>
    <row r="26" spans="1:20" x14ac:dyDescent="0.25">
      <c r="A26" s="1" t="s">
        <v>88</v>
      </c>
      <c r="B26" s="1">
        <v>-8483</v>
      </c>
      <c r="C26" s="1">
        <v>-5998</v>
      </c>
      <c r="D26" s="1">
        <v>-9901</v>
      </c>
      <c r="E26" s="1">
        <v>-123</v>
      </c>
      <c r="F26" s="1">
        <v>12665</v>
      </c>
      <c r="G26" s="1">
        <v>2499</v>
      </c>
      <c r="H26" s="1">
        <v>-7819</v>
      </c>
      <c r="I26" s="1">
        <v>432</v>
      </c>
      <c r="J26" s="1">
        <v>25162</v>
      </c>
      <c r="K26" s="1">
        <v>22057</v>
      </c>
      <c r="L26" s="1">
        <v>29305</v>
      </c>
      <c r="M26" s="1">
        <v>11960</v>
      </c>
      <c r="N26" s="1">
        <v>16896</v>
      </c>
      <c r="O26" s="1">
        <v>0</v>
      </c>
      <c r="P26" s="1">
        <v>0</v>
      </c>
      <c r="Q26" s="1">
        <v>0</v>
      </c>
      <c r="R26" s="1">
        <v>0</v>
      </c>
      <c r="S26" s="1">
        <v>0</v>
      </c>
      <c r="T26" s="1">
        <v>0</v>
      </c>
    </row>
    <row r="27" spans="1:20" x14ac:dyDescent="0.25">
      <c r="A27" s="1" t="s">
        <v>87</v>
      </c>
      <c r="B27" s="1">
        <v>0</v>
      </c>
      <c r="C27" s="1">
        <v>0</v>
      </c>
      <c r="D27" s="1">
        <v>0</v>
      </c>
      <c r="E27" s="1">
        <v>0</v>
      </c>
      <c r="F27" s="1">
        <v>1105</v>
      </c>
      <c r="G27" s="1">
        <v>880</v>
      </c>
      <c r="H27" s="1">
        <v>781</v>
      </c>
      <c r="I27" s="1">
        <v>669</v>
      </c>
      <c r="J27" s="1">
        <v>555</v>
      </c>
      <c r="K27" s="1">
        <v>495</v>
      </c>
      <c r="L27" s="1">
        <v>543</v>
      </c>
      <c r="M27" s="1">
        <v>730</v>
      </c>
      <c r="N27" s="1">
        <v>530</v>
      </c>
      <c r="O27" s="1">
        <v>665</v>
      </c>
      <c r="P27" s="1">
        <v>831</v>
      </c>
      <c r="Q27" s="1">
        <v>912</v>
      </c>
      <c r="R27" s="1">
        <v>475</v>
      </c>
      <c r="S27" s="1">
        <v>483</v>
      </c>
      <c r="T27" s="1">
        <v>365</v>
      </c>
    </row>
    <row r="28" spans="1:20" x14ac:dyDescent="0.25">
      <c r="A28" s="1" t="s">
        <v>86</v>
      </c>
      <c r="B28" s="1">
        <v>-90711</v>
      </c>
      <c r="C28" s="1">
        <v>-94949</v>
      </c>
      <c r="D28" s="1">
        <v>-77550</v>
      </c>
      <c r="E28" s="1">
        <v>-89402</v>
      </c>
      <c r="F28" s="1">
        <v>-85971</v>
      </c>
      <c r="G28" s="1">
        <v>-72358</v>
      </c>
      <c r="H28" s="1">
        <v>-66897</v>
      </c>
      <c r="I28" s="1">
        <v>-72738</v>
      </c>
      <c r="J28" s="1">
        <v>-32900</v>
      </c>
      <c r="K28" s="1">
        <v>-29722</v>
      </c>
      <c r="L28" s="1">
        <v>-35253</v>
      </c>
      <c r="M28" s="1">
        <v>-45000</v>
      </c>
      <c r="N28" s="1">
        <v>-22860</v>
      </c>
      <c r="O28" s="1">
        <v>0</v>
      </c>
      <c r="P28" s="1">
        <v>0</v>
      </c>
      <c r="Q28" s="1">
        <v>0</v>
      </c>
      <c r="R28" s="1">
        <v>0</v>
      </c>
      <c r="S28" s="1">
        <v>0</v>
      </c>
      <c r="T28" s="1">
        <v>-3</v>
      </c>
    </row>
    <row r="29" spans="1:20" x14ac:dyDescent="0.25">
      <c r="A29" s="1" t="s">
        <v>85</v>
      </c>
      <c r="B29" s="1">
        <v>-15421</v>
      </c>
      <c r="C29" s="1">
        <v>-15234</v>
      </c>
      <c r="D29" s="1">
        <v>-15025</v>
      </c>
      <c r="E29" s="1">
        <v>-14841</v>
      </c>
      <c r="F29" s="1">
        <v>-14467</v>
      </c>
      <c r="G29" s="1">
        <v>-14081</v>
      </c>
      <c r="H29" s="1">
        <v>-14119</v>
      </c>
      <c r="I29" s="1">
        <v>-13712</v>
      </c>
      <c r="J29" s="1">
        <v>-12769</v>
      </c>
      <c r="K29" s="1">
        <v>-12150</v>
      </c>
      <c r="L29" s="1">
        <v>-11561</v>
      </c>
      <c r="M29" s="1">
        <v>-11126</v>
      </c>
      <c r="N29" s="1">
        <v>-10564</v>
      </c>
      <c r="O29" s="1">
        <v>-2488</v>
      </c>
      <c r="P29" s="1">
        <v>0</v>
      </c>
      <c r="Q29" s="1">
        <v>0</v>
      </c>
      <c r="R29" s="1">
        <v>0</v>
      </c>
      <c r="S29" s="1">
        <v>0</v>
      </c>
      <c r="T29" s="1">
        <v>0</v>
      </c>
    </row>
    <row r="30" spans="1:20" x14ac:dyDescent="0.25">
      <c r="A30" s="1" t="s">
        <v>84</v>
      </c>
      <c r="B30" s="1">
        <v>-6071</v>
      </c>
      <c r="C30" s="1">
        <v>-5802</v>
      </c>
      <c r="D30" s="1">
        <v>-6012</v>
      </c>
      <c r="E30" s="1">
        <v>-6383</v>
      </c>
      <c r="F30" s="1">
        <v>-6685</v>
      </c>
      <c r="G30" s="1">
        <v>-3760</v>
      </c>
      <c r="H30" s="1">
        <v>-2922</v>
      </c>
      <c r="I30" s="1">
        <v>-2527</v>
      </c>
      <c r="J30" s="1">
        <v>1978</v>
      </c>
      <c r="K30" s="1">
        <v>-1570</v>
      </c>
      <c r="L30" s="1">
        <v>-750</v>
      </c>
      <c r="M30" s="1">
        <v>5887</v>
      </c>
      <c r="N30" s="1">
        <v>-381</v>
      </c>
      <c r="O30" s="1">
        <v>125</v>
      </c>
      <c r="P30" s="1">
        <v>613</v>
      </c>
      <c r="Q30" s="1">
        <v>345</v>
      </c>
      <c r="R30" s="1">
        <v>188</v>
      </c>
      <c r="S30" s="1">
        <v>633</v>
      </c>
      <c r="T30" s="1">
        <v>374</v>
      </c>
    </row>
    <row r="31" spans="1:20" x14ac:dyDescent="0.25">
      <c r="A31" s="6" t="s">
        <v>83</v>
      </c>
      <c r="B31" s="4">
        <v>-120686</v>
      </c>
      <c r="C31" s="4">
        <v>-121983</v>
      </c>
      <c r="D31" s="4">
        <v>-108488</v>
      </c>
      <c r="E31" s="4">
        <v>-110749</v>
      </c>
      <c r="F31" s="4">
        <v>-93353</v>
      </c>
      <c r="G31" s="4">
        <v>-86820</v>
      </c>
      <c r="H31" s="4">
        <v>-90976</v>
      </c>
      <c r="I31" s="4">
        <v>-87876</v>
      </c>
      <c r="J31" s="4">
        <v>-17974</v>
      </c>
      <c r="K31" s="4">
        <v>-20890</v>
      </c>
      <c r="L31" s="4">
        <v>-17716</v>
      </c>
      <c r="M31" s="4">
        <v>-37549</v>
      </c>
      <c r="N31" s="4">
        <v>-16379</v>
      </c>
      <c r="O31" s="4">
        <v>-1698</v>
      </c>
      <c r="P31" s="4">
        <v>1444</v>
      </c>
      <c r="Q31" s="4">
        <v>1257</v>
      </c>
      <c r="R31" s="4">
        <v>663</v>
      </c>
      <c r="S31" s="4">
        <v>1116</v>
      </c>
      <c r="T31" s="4">
        <v>739</v>
      </c>
    </row>
    <row r="33" spans="1:20" x14ac:dyDescent="0.25">
      <c r="A33" s="1" t="s">
        <v>82</v>
      </c>
      <c r="B33" s="1">
        <v>0</v>
      </c>
      <c r="C33" s="1">
        <v>0</v>
      </c>
      <c r="D33" s="1">
        <v>0</v>
      </c>
      <c r="E33" s="1">
        <v>0</v>
      </c>
      <c r="F33" s="1">
        <v>0</v>
      </c>
      <c r="G33" s="1">
        <v>0</v>
      </c>
      <c r="H33" s="1">
        <v>0</v>
      </c>
      <c r="I33" s="1">
        <v>0</v>
      </c>
      <c r="J33" s="1">
        <v>0</v>
      </c>
      <c r="K33" s="1">
        <v>0</v>
      </c>
      <c r="L33" s="1">
        <v>0</v>
      </c>
      <c r="M33" s="1">
        <v>0</v>
      </c>
      <c r="N33" s="1">
        <v>0</v>
      </c>
      <c r="O33" s="1">
        <v>0</v>
      </c>
      <c r="P33" s="1">
        <v>0</v>
      </c>
      <c r="Q33" s="1">
        <v>0</v>
      </c>
      <c r="R33" s="1">
        <v>0</v>
      </c>
      <c r="S33" s="1">
        <v>0</v>
      </c>
      <c r="T33" s="1">
        <v>0</v>
      </c>
    </row>
    <row r="34" spans="1:20" x14ac:dyDescent="0.25">
      <c r="A34" s="1" t="s">
        <v>81</v>
      </c>
      <c r="B34" s="1">
        <v>5991</v>
      </c>
      <c r="C34" s="1">
        <v>-794</v>
      </c>
      <c r="D34" s="1">
        <v>5760</v>
      </c>
      <c r="E34" s="1">
        <v>-10952</v>
      </c>
      <c r="F34" s="1">
        <v>-3860</v>
      </c>
      <c r="G34" s="1">
        <v>-10435</v>
      </c>
      <c r="H34" s="1">
        <v>24311</v>
      </c>
      <c r="I34" s="1">
        <v>5624</v>
      </c>
      <c r="J34" s="1">
        <v>-195</v>
      </c>
      <c r="K34" s="1">
        <v>-636</v>
      </c>
      <c r="L34" s="1">
        <v>7276</v>
      </c>
      <c r="M34" s="1">
        <v>-415</v>
      </c>
      <c r="N34" s="1">
        <v>3513</v>
      </c>
      <c r="O34" s="1">
        <v>931</v>
      </c>
      <c r="P34" s="1">
        <v>-1446</v>
      </c>
      <c r="Q34" s="1">
        <v>5998</v>
      </c>
      <c r="R34" s="1">
        <v>-6612</v>
      </c>
      <c r="S34" s="1">
        <v>2523</v>
      </c>
      <c r="T34" s="1">
        <v>2960</v>
      </c>
    </row>
    <row r="35" spans="1:20" x14ac:dyDescent="0.25">
      <c r="A35" s="1" t="s">
        <v>80</v>
      </c>
      <c r="B35" s="1">
        <v>35934</v>
      </c>
      <c r="C35" s="1">
        <v>29943</v>
      </c>
      <c r="D35" s="1">
        <v>30737</v>
      </c>
      <c r="E35" s="1">
        <v>24977</v>
      </c>
      <c r="F35" s="1">
        <v>35929</v>
      </c>
      <c r="G35" s="1">
        <v>39789</v>
      </c>
      <c r="H35" s="1">
        <v>50224</v>
      </c>
      <c r="I35" s="1">
        <v>25913</v>
      </c>
      <c r="J35" s="1">
        <v>20289</v>
      </c>
      <c r="K35" s="1">
        <v>20484</v>
      </c>
      <c r="L35" s="1">
        <v>21120</v>
      </c>
      <c r="M35" s="1">
        <v>13844</v>
      </c>
      <c r="N35" s="1">
        <v>14259</v>
      </c>
      <c r="O35" s="1">
        <v>10746</v>
      </c>
      <c r="P35" s="1">
        <v>9815</v>
      </c>
      <c r="Q35" s="1">
        <v>11261</v>
      </c>
      <c r="R35" s="1">
        <v>5263</v>
      </c>
      <c r="S35" s="1">
        <v>11875</v>
      </c>
      <c r="T35" s="1">
        <v>9352</v>
      </c>
    </row>
    <row r="36" spans="1:20" x14ac:dyDescent="0.25">
      <c r="A36" s="1" t="s">
        <v>79</v>
      </c>
      <c r="B36" s="1">
        <v>29943</v>
      </c>
      <c r="C36" s="1">
        <v>30737</v>
      </c>
      <c r="D36" s="1">
        <v>24977</v>
      </c>
      <c r="E36" s="1">
        <v>35929</v>
      </c>
      <c r="F36" s="1">
        <v>39789</v>
      </c>
      <c r="G36" s="1">
        <v>50224</v>
      </c>
      <c r="H36" s="1">
        <v>25913</v>
      </c>
      <c r="I36" s="1">
        <v>20289</v>
      </c>
      <c r="J36" s="1">
        <v>20484</v>
      </c>
      <c r="K36" s="1">
        <v>21120</v>
      </c>
      <c r="L36" s="1">
        <v>13844</v>
      </c>
      <c r="M36" s="1">
        <v>14259</v>
      </c>
      <c r="N36" s="1">
        <v>10746</v>
      </c>
      <c r="O36" s="1">
        <v>9815</v>
      </c>
      <c r="P36" s="1">
        <v>11261</v>
      </c>
      <c r="Q36" s="1">
        <v>5263</v>
      </c>
      <c r="R36" s="1">
        <v>11875</v>
      </c>
      <c r="S36" s="1">
        <v>9352</v>
      </c>
      <c r="T36" s="1">
        <v>6392</v>
      </c>
    </row>
    <row r="37" spans="1:20" x14ac:dyDescent="0.25">
      <c r="A37" s="1" t="s">
        <v>78</v>
      </c>
      <c r="B37" s="1">
        <v>111482</v>
      </c>
      <c r="C37" s="1">
        <v>118254</v>
      </c>
      <c r="D37" s="1">
        <v>110543</v>
      </c>
      <c r="E37" s="1">
        <v>122151</v>
      </c>
      <c r="F37" s="1">
        <v>104038</v>
      </c>
      <c r="G37" s="1">
        <v>80674</v>
      </c>
      <c r="H37" s="1">
        <v>69391</v>
      </c>
      <c r="I37" s="1">
        <v>77434</v>
      </c>
      <c r="J37" s="1">
        <v>64225</v>
      </c>
      <c r="K37" s="1">
        <v>66231</v>
      </c>
      <c r="L37" s="1">
        <v>81266</v>
      </c>
      <c r="M37" s="1">
        <v>59713</v>
      </c>
      <c r="N37" s="1">
        <v>53666</v>
      </c>
      <c r="O37" s="1">
        <v>50856</v>
      </c>
      <c r="P37" s="1">
        <v>37529</v>
      </c>
      <c r="Q37" s="1">
        <v>18595</v>
      </c>
      <c r="R37" s="1">
        <v>10159</v>
      </c>
      <c r="S37" s="1">
        <v>9596</v>
      </c>
      <c r="T37" s="1">
        <v>5470</v>
      </c>
    </row>
    <row r="38" spans="1:20" x14ac:dyDescent="0.25">
      <c r="A38" s="1" t="s">
        <v>77</v>
      </c>
      <c r="B38" s="1">
        <v>-12715</v>
      </c>
      <c r="C38" s="1">
        <v>-9447</v>
      </c>
      <c r="D38" s="1">
        <v>-10959</v>
      </c>
      <c r="E38" s="1">
        <v>-10708</v>
      </c>
      <c r="F38" s="1">
        <v>-11085</v>
      </c>
      <c r="G38" s="1">
        <v>-7309</v>
      </c>
      <c r="H38" s="1">
        <v>-10495</v>
      </c>
      <c r="I38" s="1">
        <v>-13313</v>
      </c>
      <c r="J38" s="1">
        <v>-12795</v>
      </c>
      <c r="K38" s="1">
        <v>-13548</v>
      </c>
      <c r="L38" s="1">
        <v>-11488</v>
      </c>
      <c r="M38" s="1">
        <v>-9813</v>
      </c>
      <c r="N38" s="1">
        <v>-9076</v>
      </c>
      <c r="O38" s="1">
        <v>-9402</v>
      </c>
      <c r="P38" s="1">
        <v>-7452</v>
      </c>
      <c r="Q38" s="1">
        <v>-2121</v>
      </c>
      <c r="R38" s="1">
        <v>-1213</v>
      </c>
      <c r="S38" s="1">
        <v>-1199</v>
      </c>
      <c r="T38" s="1">
        <v>-986</v>
      </c>
    </row>
    <row r="39" spans="1:20" x14ac:dyDescent="0.25">
      <c r="A39" s="6" t="s">
        <v>76</v>
      </c>
      <c r="B39" s="5">
        <v>98767</v>
      </c>
      <c r="C39" s="5">
        <v>108807</v>
      </c>
      <c r="D39" s="5">
        <v>99584</v>
      </c>
      <c r="E39" s="5">
        <v>111443</v>
      </c>
      <c r="F39" s="5">
        <v>92953</v>
      </c>
      <c r="G39" s="5">
        <v>73365</v>
      </c>
      <c r="H39" s="5">
        <v>58896</v>
      </c>
      <c r="I39" s="5">
        <v>64121</v>
      </c>
      <c r="J39" s="5">
        <v>51430</v>
      </c>
      <c r="K39" s="5">
        <v>52683</v>
      </c>
      <c r="L39" s="5">
        <v>69778</v>
      </c>
      <c r="M39" s="5">
        <v>49900</v>
      </c>
      <c r="N39" s="5">
        <v>44590</v>
      </c>
      <c r="O39" s="5">
        <v>41454</v>
      </c>
      <c r="P39" s="5">
        <v>30077</v>
      </c>
      <c r="Q39" s="5">
        <v>16474</v>
      </c>
      <c r="R39" s="5">
        <v>8946</v>
      </c>
      <c r="S39" s="5">
        <v>8397</v>
      </c>
      <c r="T39" s="5">
        <v>4484</v>
      </c>
    </row>
  </sheetData>
  <mergeCells count="1">
    <mergeCell ref="B4:T4"/>
  </mergeCells>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0BFA38-3060-4422-AD86-37271BE4ADEE}">
  <sheetPr>
    <tabColor rgb="FFC6E0B4"/>
  </sheetPr>
  <dimension ref="A1:T61"/>
  <sheetViews>
    <sheetView workbookViewId="0"/>
  </sheetViews>
  <sheetFormatPr defaultRowHeight="15" x14ac:dyDescent="0.25"/>
  <cols>
    <col min="1" max="1" width="41.28515625" bestFit="1" customWidth="1"/>
    <col min="2" max="9" width="19.85546875" bestFit="1" customWidth="1"/>
    <col min="10" max="10" width="19" bestFit="1" customWidth="1"/>
    <col min="11" max="20" width="18.28515625" bestFit="1" customWidth="1"/>
  </cols>
  <sheetData>
    <row r="1" spans="1:20" x14ac:dyDescent="0.25">
      <c r="A1" s="10" t="s">
        <v>103</v>
      </c>
      <c r="B1" s="10"/>
      <c r="C1" s="10"/>
      <c r="D1" s="10"/>
      <c r="E1" s="10"/>
      <c r="F1" s="10"/>
      <c r="G1" s="10"/>
      <c r="H1" s="10"/>
      <c r="I1" s="10"/>
      <c r="J1" s="10"/>
      <c r="K1" s="10"/>
      <c r="L1" s="10"/>
      <c r="M1" s="10"/>
      <c r="N1" s="10"/>
      <c r="O1" s="10"/>
      <c r="P1" s="10"/>
      <c r="Q1" s="10"/>
      <c r="R1" s="10"/>
      <c r="S1" s="10"/>
      <c r="T1" s="10"/>
    </row>
    <row r="2" spans="1:20" x14ac:dyDescent="0.25">
      <c r="A2" t="s">
        <v>1</v>
      </c>
      <c r="B2" t="s">
        <v>2</v>
      </c>
    </row>
    <row r="3" spans="1:20" x14ac:dyDescent="0.25">
      <c r="A3" t="s">
        <v>3</v>
      </c>
      <c r="B3" t="str">
        <f>'AAPL - Income Statement FY'!B3</f>
        <v>USD</v>
      </c>
    </row>
    <row r="4" spans="1:20" x14ac:dyDescent="0.25">
      <c r="A4" t="s">
        <v>32</v>
      </c>
      <c r="B4" s="236" t="s">
        <v>33</v>
      </c>
      <c r="C4" s="236"/>
      <c r="D4" s="236"/>
      <c r="E4" s="236"/>
      <c r="F4" s="236"/>
      <c r="G4" s="236"/>
      <c r="H4" s="236"/>
      <c r="I4" s="236"/>
      <c r="J4" s="236"/>
      <c r="K4" s="236"/>
      <c r="L4" s="236"/>
      <c r="M4" s="236"/>
      <c r="N4" s="236"/>
      <c r="O4" s="236"/>
      <c r="P4" s="236"/>
      <c r="Q4" s="236"/>
      <c r="R4" s="236"/>
      <c r="S4" s="236"/>
      <c r="T4" s="236"/>
    </row>
    <row r="5" spans="1:20" x14ac:dyDescent="0.25">
      <c r="A5" t="s">
        <v>34</v>
      </c>
      <c r="B5" s="8">
        <v>45927</v>
      </c>
      <c r="C5" s="8">
        <v>45563</v>
      </c>
      <c r="D5" s="8">
        <v>45199</v>
      </c>
      <c r="E5" s="8">
        <v>44828</v>
      </c>
      <c r="F5" s="8">
        <v>44464</v>
      </c>
      <c r="G5" s="8">
        <v>44100</v>
      </c>
      <c r="H5" s="8">
        <v>43736</v>
      </c>
      <c r="I5" s="8">
        <v>43372</v>
      </c>
      <c r="J5" s="8">
        <v>43008</v>
      </c>
      <c r="K5" s="8">
        <v>42637</v>
      </c>
      <c r="L5" s="8">
        <v>42273</v>
      </c>
      <c r="M5" s="8">
        <v>41909</v>
      </c>
      <c r="N5" s="8">
        <v>41545</v>
      </c>
      <c r="O5" s="8">
        <v>41181</v>
      </c>
      <c r="P5" s="8">
        <v>40810</v>
      </c>
      <c r="Q5" s="8">
        <v>40446</v>
      </c>
      <c r="R5" s="8">
        <v>40082</v>
      </c>
      <c r="S5" s="8">
        <v>39718</v>
      </c>
      <c r="T5" s="8">
        <v>39354</v>
      </c>
    </row>
    <row r="6" spans="1:20" x14ac:dyDescent="0.25">
      <c r="A6" s="2" t="s">
        <v>159</v>
      </c>
      <c r="B6" s="2">
        <v>27.839649463156839</v>
      </c>
      <c r="C6" s="2">
        <v>25.484914639368924</v>
      </c>
      <c r="D6" s="2">
        <v>24.344472588086393</v>
      </c>
      <c r="E6" s="2">
        <v>24.317273047551971</v>
      </c>
      <c r="F6" s="2">
        <v>21.90354123925411</v>
      </c>
      <c r="G6" s="2">
        <v>15.820258033039078</v>
      </c>
      <c r="H6" s="2">
        <v>14.085283273500087</v>
      </c>
      <c r="I6" s="2">
        <v>13.399333693480839</v>
      </c>
      <c r="J6" s="2">
        <v>10.984443504824963</v>
      </c>
      <c r="K6" s="2">
        <v>9.8540529573263242</v>
      </c>
      <c r="L6" s="2">
        <v>10.155479670269219</v>
      </c>
      <c r="M6" s="2">
        <v>7.5093598432489177</v>
      </c>
      <c r="N6" s="2">
        <v>6.5964812282616396</v>
      </c>
      <c r="O6" s="2">
        <v>5.9793091694839378</v>
      </c>
      <c r="P6" s="2">
        <v>4.1828492134093826</v>
      </c>
      <c r="Q6" s="2">
        <v>2.5613654201064047</v>
      </c>
      <c r="R6" s="2">
        <v>1.7038151531201933</v>
      </c>
      <c r="S6" s="2">
        <v>1.3157609026786605</v>
      </c>
      <c r="T6" s="2">
        <v>0.9916276239444265</v>
      </c>
    </row>
    <row r="7" spans="1:20" x14ac:dyDescent="0.25">
      <c r="A7" s="2" t="s">
        <v>158</v>
      </c>
      <c r="B7" s="2">
        <v>7.4930595042980901</v>
      </c>
      <c r="C7" s="2">
        <v>6.1090540709549916</v>
      </c>
      <c r="D7" s="2">
        <v>6.1606692635543778</v>
      </c>
      <c r="E7" s="2">
        <v>6.1546144376377772</v>
      </c>
      <c r="F7" s="2">
        <v>5.6690292811230183</v>
      </c>
      <c r="G7" s="2">
        <v>3.3085872682177895</v>
      </c>
      <c r="H7" s="2">
        <v>2.9914457730615696</v>
      </c>
      <c r="I7" s="2">
        <v>3.0033537307050504</v>
      </c>
      <c r="J7" s="2">
        <v>2.3168850515272243</v>
      </c>
      <c r="K7" s="2">
        <v>2.0877583250774108</v>
      </c>
      <c r="L7" s="2">
        <v>2.3200979034908102</v>
      </c>
      <c r="M7" s="2">
        <v>1.6231013288479703</v>
      </c>
      <c r="N7" s="2">
        <v>1.4294884749349153</v>
      </c>
      <c r="O7" s="2">
        <v>1.5943882074403428</v>
      </c>
      <c r="P7" s="2">
        <v>1.0016519072693328</v>
      </c>
      <c r="Q7" s="2">
        <v>0.55028614230664696</v>
      </c>
      <c r="R7" s="2">
        <v>0.32934107424230197</v>
      </c>
      <c r="S7" s="2">
        <v>0.19583078923454064</v>
      </c>
      <c r="T7" s="2">
        <v>0.1443696803168279</v>
      </c>
    </row>
    <row r="8" spans="1:20" x14ac:dyDescent="0.25">
      <c r="A8" s="2" t="s">
        <v>157</v>
      </c>
      <c r="B8" s="2">
        <v>7.457738234605479</v>
      </c>
      <c r="C8" s="2">
        <v>7.7069650945923831</v>
      </c>
      <c r="D8" s="2">
        <v>7.0211749306777831</v>
      </c>
      <c r="E8" s="2">
        <v>7.5327626240883747</v>
      </c>
      <c r="F8" s="2">
        <v>6.229345884552985</v>
      </c>
      <c r="G8" s="2">
        <v>4.6492304484541629</v>
      </c>
      <c r="H8" s="2">
        <v>3.7566854936751732</v>
      </c>
      <c r="I8" s="2">
        <v>3.9065645257666572</v>
      </c>
      <c r="J8" s="2">
        <v>3.0775359854881179</v>
      </c>
      <c r="K8" s="2">
        <v>3.0265572619826644</v>
      </c>
      <c r="L8" s="2">
        <v>3.5312034353126602</v>
      </c>
      <c r="M8" s="2">
        <v>2.4530561794355568</v>
      </c>
      <c r="N8" s="2">
        <v>2.0713051406932839</v>
      </c>
      <c r="O8" s="2">
        <v>1.9429278191739408</v>
      </c>
      <c r="P8" s="2">
        <v>1.4501579518521253</v>
      </c>
      <c r="Q8" s="2">
        <v>0.73021985414915436</v>
      </c>
      <c r="R8" s="2">
        <v>0.4062873070100238</v>
      </c>
      <c r="S8" s="2">
        <v>0.38874477730547202</v>
      </c>
      <c r="T8" s="2">
        <v>0.22595197463034294</v>
      </c>
    </row>
    <row r="9" spans="1:20" x14ac:dyDescent="0.25">
      <c r="A9" s="2" t="s">
        <v>156</v>
      </c>
      <c r="B9" s="2">
        <v>6.6071512191858712</v>
      </c>
      <c r="C9" s="2">
        <v>7.091275991064264</v>
      </c>
      <c r="D9" s="2">
        <v>6.3251104483921763</v>
      </c>
      <c r="E9" s="2">
        <v>6.8724256462597992</v>
      </c>
      <c r="F9" s="2">
        <v>5.56562398361035</v>
      </c>
      <c r="G9" s="2">
        <v>4.2280138811864996</v>
      </c>
      <c r="H9" s="2">
        <v>3.1885078588792926</v>
      </c>
      <c r="I9" s="2">
        <v>3.2349203703371106</v>
      </c>
      <c r="J9" s="2">
        <v>2.4644246902865539</v>
      </c>
      <c r="K9" s="2">
        <v>2.4074544583810105</v>
      </c>
      <c r="L9" s="2">
        <v>3.0320221655950435</v>
      </c>
      <c r="M9" s="2">
        <v>2.0499305570618507</v>
      </c>
      <c r="N9" s="2">
        <v>1.721005780634173</v>
      </c>
      <c r="O9" s="2">
        <v>1.5837291532176447</v>
      </c>
      <c r="P9" s="2">
        <v>1.1622052470850908</v>
      </c>
      <c r="Q9" s="2">
        <v>0.6469288452408265</v>
      </c>
      <c r="R9" s="2">
        <v>0.35777598666322208</v>
      </c>
      <c r="S9" s="2">
        <v>0.34017193570592424</v>
      </c>
      <c r="T9" s="2">
        <v>0.18522278870977291</v>
      </c>
    </row>
    <row r="10" spans="1:20" x14ac:dyDescent="0.25">
      <c r="A10" s="2" t="s">
        <v>155</v>
      </c>
      <c r="B10" s="2">
        <v>3.6590293340468945</v>
      </c>
      <c r="C10" s="2">
        <v>4.2473880137642714</v>
      </c>
      <c r="D10" s="2">
        <v>3.9096860303942442</v>
      </c>
      <c r="E10" s="2">
        <v>2.9787931805221803</v>
      </c>
      <c r="F10" s="2">
        <v>3.7505526525165269</v>
      </c>
      <c r="G10" s="2">
        <v>5.2410313691371062</v>
      </c>
      <c r="H10" s="2">
        <v>5.4439483965859319</v>
      </c>
      <c r="I10" s="2">
        <v>3.3449019116002678</v>
      </c>
      <c r="J10" s="2">
        <v>3.5546079710314378</v>
      </c>
      <c r="K10" s="2">
        <v>3.0687812795888001</v>
      </c>
      <c r="L10" s="2">
        <v>1.8076636491576055</v>
      </c>
      <c r="M10" s="2">
        <v>1.0301825366621247</v>
      </c>
      <c r="N10" s="2">
        <v>1.5649226369498359</v>
      </c>
      <c r="O10" s="2">
        <v>1.1128587471432618</v>
      </c>
      <c r="P10" s="2">
        <v>1.0028111371596993</v>
      </c>
      <c r="Q10" s="2">
        <v>1.0060894145362373</v>
      </c>
      <c r="R10" s="2">
        <v>0.93839210273483598</v>
      </c>
      <c r="S10" s="2">
        <v>0.89574153511893417</v>
      </c>
      <c r="T10" s="2">
        <v>0.63555705332037593</v>
      </c>
    </row>
    <row r="11" spans="1:20" x14ac:dyDescent="0.25">
      <c r="A11" s="2" t="s">
        <v>154</v>
      </c>
      <c r="B11" s="2">
        <v>4.9324681406161153</v>
      </c>
      <c r="C11" s="2">
        <v>3.7116009787156141</v>
      </c>
      <c r="D11" s="2">
        <v>3.947223589389663</v>
      </c>
      <c r="E11" s="2">
        <v>3.124822127430853</v>
      </c>
      <c r="F11" s="2">
        <v>3.7775565837141025</v>
      </c>
      <c r="G11" s="2">
        <v>3.765476712094932</v>
      </c>
      <c r="H11" s="2">
        <v>4.8988335223830051</v>
      </c>
      <c r="I11" s="2">
        <v>5.405592753084175</v>
      </c>
      <c r="J11" s="2">
        <v>6.4232692292211091</v>
      </c>
      <c r="K11" s="2">
        <v>5.8605931103564002</v>
      </c>
      <c r="L11" s="2">
        <v>5.1862622255524151</v>
      </c>
      <c r="M11" s="2">
        <v>4.5824369508733112</v>
      </c>
      <c r="N11" s="2">
        <v>4.7685253014481148</v>
      </c>
      <c r="O11" s="2">
        <v>4.5161534038176727</v>
      </c>
      <c r="P11" s="2">
        <v>2.9604799350142708</v>
      </c>
      <c r="Q11" s="2">
        <v>1.8767376740867026</v>
      </c>
      <c r="R11" s="2">
        <v>1.2653735991531798</v>
      </c>
      <c r="S11" s="2">
        <v>0.90327660479159133</v>
      </c>
      <c r="T11" s="2">
        <v>0.60028045618430415</v>
      </c>
    </row>
    <row r="12" spans="1:20" x14ac:dyDescent="0.25">
      <c r="A12" s="2" t="s">
        <v>153</v>
      </c>
      <c r="B12" s="2">
        <v>4.9324681406161153</v>
      </c>
      <c r="C12" s="2">
        <v>3.7116009787156141</v>
      </c>
      <c r="D12" s="2">
        <v>3.947223589389663</v>
      </c>
      <c r="E12" s="2">
        <v>3.124822127430853</v>
      </c>
      <c r="F12" s="2">
        <v>3.7775565837141025</v>
      </c>
      <c r="G12" s="2">
        <v>3.765476712094932</v>
      </c>
      <c r="H12" s="2">
        <v>4.8988335223830051</v>
      </c>
      <c r="I12" s="2">
        <v>5.405592753084175</v>
      </c>
      <c r="J12" s="2">
        <v>6.0392061552828107</v>
      </c>
      <c r="K12" s="2">
        <v>5.4666850673208041</v>
      </c>
      <c r="L12" s="2">
        <v>4.794799476693953</v>
      </c>
      <c r="M12" s="2">
        <v>4.2226515436839787</v>
      </c>
      <c r="N12" s="2">
        <v>4.5463654164216454</v>
      </c>
      <c r="O12" s="2">
        <v>4.3114155128519425</v>
      </c>
      <c r="P12" s="2">
        <v>2.7892230392107957</v>
      </c>
      <c r="Q12" s="2">
        <v>1.8342086016455339</v>
      </c>
      <c r="R12" s="2">
        <v>1.2472568406065176</v>
      </c>
      <c r="S12" s="2">
        <v>0.88334513017359506</v>
      </c>
      <c r="T12" s="2">
        <v>0.58635983178751705</v>
      </c>
    </row>
    <row r="13" spans="1:20" x14ac:dyDescent="0.25">
      <c r="A13" s="2" t="s">
        <v>152</v>
      </c>
      <c r="B13" s="2">
        <v>4.9324681406161153</v>
      </c>
      <c r="C13" s="2">
        <v>3.7116009787156141</v>
      </c>
      <c r="D13" s="2">
        <v>3.947223589389663</v>
      </c>
      <c r="E13" s="2">
        <v>3.124822127430853</v>
      </c>
      <c r="F13" s="2">
        <v>3.7775565837141025</v>
      </c>
      <c r="G13" s="2">
        <v>3.765476712094932</v>
      </c>
      <c r="H13" s="2">
        <v>4.8988335223830051</v>
      </c>
      <c r="I13" s="2">
        <v>5.405592753084175</v>
      </c>
      <c r="J13" s="2">
        <v>6.4232692292211091</v>
      </c>
      <c r="K13" s="2">
        <v>5.8605931103564002</v>
      </c>
      <c r="L13" s="2">
        <v>5.1862622255524151</v>
      </c>
      <c r="M13" s="2">
        <v>4.5824369508733112</v>
      </c>
      <c r="N13" s="2">
        <v>4.7685253014481148</v>
      </c>
      <c r="O13" s="2">
        <v>4.5161534038176727</v>
      </c>
      <c r="P13" s="2">
        <v>2.9604799350142708</v>
      </c>
      <c r="Q13" s="2">
        <v>1.8767376740867026</v>
      </c>
      <c r="R13" s="2">
        <v>1.2653735991531798</v>
      </c>
      <c r="S13" s="2">
        <v>0.90327660479159133</v>
      </c>
      <c r="T13" s="2">
        <v>0.60028045618430415</v>
      </c>
    </row>
    <row r="14" spans="1:20" x14ac:dyDescent="0.25">
      <c r="A14" s="2" t="s">
        <v>151</v>
      </c>
      <c r="B14" s="2">
        <v>7.5176104625882196</v>
      </c>
      <c r="C14" s="2">
        <v>7.7594293402089951</v>
      </c>
      <c r="D14" s="2">
        <v>8.1212604159580746</v>
      </c>
      <c r="E14" s="2">
        <v>8.3504753926732569</v>
      </c>
      <c r="F14" s="2">
        <v>8.3327186096963146</v>
      </c>
      <c r="G14" s="2">
        <v>7.2124332480661293</v>
      </c>
      <c r="H14" s="2">
        <v>6.043038792646076</v>
      </c>
      <c r="I14" s="2">
        <v>5.9391545789553453</v>
      </c>
      <c r="J14" s="2">
        <v>5.6544722288136144</v>
      </c>
      <c r="K14" s="2">
        <v>4.0436351406187736</v>
      </c>
      <c r="L14" s="2">
        <v>2.8270571543434766</v>
      </c>
      <c r="M14" s="2">
        <v>1.4657208886855664</v>
      </c>
      <c r="N14" s="2">
        <v>0.65984110396326134</v>
      </c>
      <c r="O14" s="2">
        <v>0</v>
      </c>
      <c r="P14" s="2">
        <v>0</v>
      </c>
      <c r="Q14" s="2">
        <v>0</v>
      </c>
      <c r="R14" s="2">
        <v>0</v>
      </c>
      <c r="S14" s="2">
        <v>0</v>
      </c>
      <c r="T14" s="2">
        <v>0</v>
      </c>
    </row>
    <row r="15" spans="1:20" x14ac:dyDescent="0.25">
      <c r="A15" s="1" t="s">
        <v>150</v>
      </c>
      <c r="B15" s="1">
        <v>3818743.81</v>
      </c>
      <c r="C15" s="1">
        <v>3495160.3295700001</v>
      </c>
      <c r="D15" s="1">
        <v>2695569.78951</v>
      </c>
      <c r="E15" s="1">
        <v>2439367.31409</v>
      </c>
      <c r="F15" s="1">
        <v>2453750.8822400002</v>
      </c>
      <c r="G15" s="1">
        <v>1948295.92132</v>
      </c>
      <c r="H15" s="1">
        <v>1010566.79256</v>
      </c>
      <c r="I15" s="1">
        <v>1118725.9115200001</v>
      </c>
      <c r="J15" s="1">
        <v>804081.33704000001</v>
      </c>
      <c r="K15" s="1">
        <v>616670.83039999998</v>
      </c>
      <c r="L15" s="1">
        <v>660032.45712000004</v>
      </c>
      <c r="M15" s="1">
        <v>613182.23471999995</v>
      </c>
      <c r="N15" s="1">
        <v>446675.78032000002</v>
      </c>
      <c r="O15" s="1">
        <v>623748.58604642004</v>
      </c>
      <c r="P15" s="1">
        <v>373696.36825276003</v>
      </c>
      <c r="Q15" s="1">
        <v>265853.90536416002</v>
      </c>
      <c r="R15" s="1">
        <v>162779.11925603999</v>
      </c>
      <c r="S15" s="1">
        <v>113055.35808000001</v>
      </c>
      <c r="T15" s="1">
        <v>132663.58945984</v>
      </c>
    </row>
    <row r="16" spans="1:20" x14ac:dyDescent="0.25">
      <c r="A16" s="1" t="s">
        <v>149</v>
      </c>
      <c r="B16" s="1">
        <v>3895186.81</v>
      </c>
      <c r="C16" s="1">
        <v>3584276.3295700001</v>
      </c>
      <c r="D16" s="1">
        <v>2789534.78951</v>
      </c>
      <c r="E16" s="1">
        <v>2548201.31409</v>
      </c>
      <c r="F16" s="1">
        <v>2555332.8822400002</v>
      </c>
      <c r="G16" s="1">
        <v>2032557.92132</v>
      </c>
      <c r="H16" s="1">
        <v>1069769.79256</v>
      </c>
      <c r="I16" s="1">
        <v>1207295.9115200001</v>
      </c>
      <c r="J16" s="1">
        <v>899472.33704000001</v>
      </c>
      <c r="K16" s="1">
        <v>683218.83039999998</v>
      </c>
      <c r="L16" s="1">
        <v>703240.45712000004</v>
      </c>
      <c r="M16" s="1">
        <v>634633.23471999995</v>
      </c>
      <c r="N16" s="1">
        <v>449376.78032000002</v>
      </c>
      <c r="O16" s="1">
        <v>613002.58604642004</v>
      </c>
      <c r="P16" s="1">
        <v>363881.36825276003</v>
      </c>
      <c r="Q16" s="1">
        <v>254592.90536415999</v>
      </c>
      <c r="R16" s="1">
        <v>157516.11925603999</v>
      </c>
      <c r="S16" s="1">
        <v>101180.35808000001</v>
      </c>
      <c r="T16" s="1">
        <v>123311.58945983999</v>
      </c>
    </row>
    <row r="17" spans="1:20" x14ac:dyDescent="0.25">
      <c r="A17" s="2" t="s">
        <v>148</v>
      </c>
      <c r="B17" s="2">
        <v>34.106809078771697</v>
      </c>
      <c r="C17" s="2">
        <v>37.281505728314201</v>
      </c>
      <c r="D17" s="2">
        <v>27.793831168831201</v>
      </c>
      <c r="E17" s="2">
        <v>24.460162601625999</v>
      </c>
      <c r="F17" s="2">
        <v>25.911816578483201</v>
      </c>
      <c r="G17" s="2">
        <v>33.9214501510574</v>
      </c>
      <c r="H17" s="2">
        <v>18.2976588628763</v>
      </c>
      <c r="I17" s="2">
        <v>18.813333333333301</v>
      </c>
      <c r="J17" s="2">
        <v>16.607758620689701</v>
      </c>
      <c r="K17" s="2">
        <v>13.4832535885167</v>
      </c>
      <c r="L17" s="2">
        <v>12.362068965517199</v>
      </c>
      <c r="M17" s="2">
        <v>15.549382716049401</v>
      </c>
      <c r="N17" s="2">
        <v>12.055944055944099</v>
      </c>
      <c r="O17" s="2">
        <v>14.987421383647799</v>
      </c>
      <c r="P17" s="2">
        <v>14.44</v>
      </c>
      <c r="Q17" s="2">
        <v>18.981818181818198</v>
      </c>
      <c r="R17" s="2">
        <v>19.727272727272702</v>
      </c>
      <c r="S17" s="2">
        <v>22.9</v>
      </c>
      <c r="T17" s="2">
        <v>39.142857142857103</v>
      </c>
    </row>
    <row r="18" spans="1:20" x14ac:dyDescent="0.25">
      <c r="A18" s="2" t="s">
        <v>147</v>
      </c>
      <c r="B18" s="2">
        <v>9.1761212847912201</v>
      </c>
      <c r="C18" s="2">
        <v>8.9382288786681503</v>
      </c>
      <c r="D18" s="2">
        <v>7.0328079353744597</v>
      </c>
      <c r="E18" s="2">
        <v>6.1861377180671901</v>
      </c>
      <c r="F18" s="2">
        <v>6.7075911787587801</v>
      </c>
      <c r="G18" s="2">
        <v>7.0972293729668703</v>
      </c>
      <c r="H18" s="2">
        <v>3.8841959325682001</v>
      </c>
      <c r="I18" s="2">
        <v>4.2121497449876699</v>
      </c>
      <c r="J18" s="2">
        <v>3.5076879391364302</v>
      </c>
      <c r="K18" s="2">
        <v>2.8597370160314202</v>
      </c>
      <c r="L18" s="2">
        <v>2.82409112431808</v>
      </c>
      <c r="M18" s="2">
        <v>3.3544803453048502</v>
      </c>
      <c r="N18" s="2">
        <v>2.61351460019893</v>
      </c>
      <c r="O18" s="2">
        <v>3.9854102413066399</v>
      </c>
      <c r="P18" s="2">
        <v>3.4521923366752598</v>
      </c>
      <c r="Q18" s="2">
        <v>4.0759510212979704</v>
      </c>
      <c r="R18" s="2">
        <v>3.8208370127934699</v>
      </c>
      <c r="S18" s="2">
        <v>3.4808755836078702</v>
      </c>
      <c r="T18" s="2">
        <v>5.5262679938282098</v>
      </c>
    </row>
    <row r="19" spans="1:20" x14ac:dyDescent="0.25">
      <c r="A19" s="2" t="s">
        <v>146</v>
      </c>
      <c r="B19" s="2">
        <v>34.2543532588221</v>
      </c>
      <c r="C19" s="2">
        <v>29.556381429550001</v>
      </c>
      <c r="D19" s="2">
        <v>24.384807626986799</v>
      </c>
      <c r="E19" s="2">
        <v>19.970096962693699</v>
      </c>
      <c r="F19" s="2">
        <v>23.585140835463999</v>
      </c>
      <c r="G19" s="2">
        <v>24.1502333009396</v>
      </c>
      <c r="H19" s="2">
        <v>14.563369782248399</v>
      </c>
      <c r="I19" s="2">
        <v>14.447476709455801</v>
      </c>
      <c r="J19" s="2">
        <v>12.5197561236279</v>
      </c>
      <c r="K19" s="2">
        <v>9.3109092479352604</v>
      </c>
      <c r="L19" s="2">
        <v>8.1218770103118096</v>
      </c>
      <c r="M19" s="2">
        <v>10.2688231159044</v>
      </c>
      <c r="N19" s="2">
        <v>8.3232545805537992</v>
      </c>
      <c r="O19" s="2">
        <v>12.2649950064185</v>
      </c>
      <c r="P19" s="2">
        <v>9.9575359922396007</v>
      </c>
      <c r="Q19" s="2">
        <v>14.297064015281499</v>
      </c>
      <c r="R19" s="2">
        <v>16.023143937005599</v>
      </c>
      <c r="S19" s="2">
        <v>11.781508761984201</v>
      </c>
      <c r="T19" s="2">
        <v>24.2529414003364</v>
      </c>
    </row>
    <row r="20" spans="1:20" x14ac:dyDescent="0.25">
      <c r="A20" s="2" t="s">
        <v>145</v>
      </c>
      <c r="B20" s="2">
        <v>38.664167282594399</v>
      </c>
      <c r="C20" s="2">
        <v>32.122568672695699</v>
      </c>
      <c r="D20" s="2">
        <v>27.068302031551301</v>
      </c>
      <c r="E20" s="2">
        <v>21.888923611980999</v>
      </c>
      <c r="F20" s="2">
        <v>26.397758891482798</v>
      </c>
      <c r="G20" s="2">
        <v>26.556204202548901</v>
      </c>
      <c r="H20" s="2">
        <v>17.158496206193998</v>
      </c>
      <c r="I20" s="2">
        <v>17.447106431902199</v>
      </c>
      <c r="J20" s="2">
        <v>15.6344805957612</v>
      </c>
      <c r="K20" s="2">
        <v>11.7053096900328</v>
      </c>
      <c r="L20" s="2">
        <v>9.4590337516122602</v>
      </c>
      <c r="M20" s="2">
        <v>12.2882211366733</v>
      </c>
      <c r="N20" s="2">
        <v>10.017398078492899</v>
      </c>
      <c r="O20" s="2">
        <v>15.0467647524104</v>
      </c>
      <c r="P20" s="2">
        <v>12.4246556589008</v>
      </c>
      <c r="Q20" s="2">
        <v>16.137787141201901</v>
      </c>
      <c r="R20" s="2">
        <v>18.195743265821601</v>
      </c>
      <c r="S20" s="2">
        <v>13.4637796927474</v>
      </c>
      <c r="T20" s="2">
        <v>29.5859922970205</v>
      </c>
    </row>
    <row r="21" spans="1:20" x14ac:dyDescent="0.25">
      <c r="A21" s="2" t="s">
        <v>144</v>
      </c>
      <c r="B21" s="2">
        <v>51.791515467972303</v>
      </c>
      <c r="C21" s="2">
        <v>61.372437744863902</v>
      </c>
      <c r="D21" s="2">
        <v>43.374791450938098</v>
      </c>
      <c r="E21" s="2">
        <v>48.140340110712003</v>
      </c>
      <c r="F21" s="2">
        <v>38.892865465842398</v>
      </c>
      <c r="G21" s="2">
        <v>29.8182696600805</v>
      </c>
      <c r="H21" s="2">
        <v>11.167964730793001</v>
      </c>
      <c r="I21" s="2">
        <v>10.441038120712699</v>
      </c>
      <c r="J21" s="2">
        <v>5.9985030402769199</v>
      </c>
      <c r="K21" s="2">
        <v>4.8083870470724897</v>
      </c>
      <c r="L21" s="2">
        <v>5.5299941947970304</v>
      </c>
      <c r="M21" s="2">
        <v>5.4970750869140401</v>
      </c>
      <c r="N21" s="2">
        <v>3.61537349812625</v>
      </c>
      <c r="O21" s="2">
        <v>5.2766143815787103</v>
      </c>
      <c r="P21" s="2">
        <v>4.8775875253248104</v>
      </c>
      <c r="Q21" s="2">
        <v>5.5628445808658498</v>
      </c>
      <c r="R21" s="2">
        <v>5.1447256402035402</v>
      </c>
      <c r="S21" s="2">
        <v>5.0704291196125002</v>
      </c>
      <c r="T21" s="2">
        <v>9.1290661615634505</v>
      </c>
    </row>
    <row r="22" spans="1:20" x14ac:dyDescent="0.25">
      <c r="A22" s="2" t="s">
        <v>143</v>
      </c>
      <c r="B22" s="2">
        <v>51.791515467972303</v>
      </c>
      <c r="C22" s="2">
        <v>61.372437744863902</v>
      </c>
      <c r="D22" s="2">
        <v>43.374791450938098</v>
      </c>
      <c r="E22" s="2">
        <v>48.140340110712003</v>
      </c>
      <c r="F22" s="2">
        <v>38.892865465842398</v>
      </c>
      <c r="G22" s="2">
        <v>29.8182696600805</v>
      </c>
      <c r="H22" s="2">
        <v>11.167964730793001</v>
      </c>
      <c r="I22" s="2">
        <v>10.441038120712699</v>
      </c>
      <c r="J22" s="2">
        <v>5.9985030402769199</v>
      </c>
      <c r="K22" s="2">
        <v>4.8083870470724897</v>
      </c>
      <c r="L22" s="2">
        <v>5.5299941947970304</v>
      </c>
      <c r="M22" s="2">
        <v>5.4970750869140401</v>
      </c>
      <c r="N22" s="2">
        <v>3.61537349812625</v>
      </c>
      <c r="O22" s="2">
        <v>5.2766143815787103</v>
      </c>
      <c r="P22" s="2">
        <v>4.8775875253248104</v>
      </c>
      <c r="Q22" s="2">
        <v>5.5628445808658498</v>
      </c>
      <c r="R22" s="2">
        <v>5.1447256402035402</v>
      </c>
      <c r="S22" s="2">
        <v>5.0704291196125002</v>
      </c>
      <c r="T22" s="2">
        <v>9.1290661615634505</v>
      </c>
    </row>
    <row r="23" spans="1:20" x14ac:dyDescent="0.25">
      <c r="A23" s="2" t="s">
        <v>142</v>
      </c>
      <c r="B23" s="2">
        <v>9.3598074062682493</v>
      </c>
      <c r="C23" s="2">
        <v>9.1661266371808097</v>
      </c>
      <c r="D23" s="2">
        <v>7.2779649334307397</v>
      </c>
      <c r="E23" s="2">
        <v>6.4621363790803601</v>
      </c>
      <c r="F23" s="2">
        <v>6.9852764694915797</v>
      </c>
      <c r="G23" s="2">
        <v>7.4041779914394503</v>
      </c>
      <c r="H23" s="2">
        <v>4.1117474942154102</v>
      </c>
      <c r="I23" s="2">
        <v>4.5456274083472996</v>
      </c>
      <c r="J23" s="2">
        <v>3.92381730912517</v>
      </c>
      <c r="K23" s="2">
        <v>3.1683453846474898</v>
      </c>
      <c r="L23" s="2">
        <v>3.0089658649209499</v>
      </c>
      <c r="M23" s="2">
        <v>3.47183038223146</v>
      </c>
      <c r="N23" s="2">
        <v>2.6293182395412802</v>
      </c>
      <c r="O23" s="2">
        <v>3.9167492143942799</v>
      </c>
      <c r="P23" s="2">
        <v>3.3615217531132902</v>
      </c>
      <c r="Q23" s="2">
        <v>3.9033024969591401</v>
      </c>
      <c r="R23" s="2">
        <v>3.6973011115658498</v>
      </c>
      <c r="S23" s="2">
        <v>3.11525472089658</v>
      </c>
      <c r="T23" s="2">
        <v>5.1366987194801297</v>
      </c>
    </row>
    <row r="24" spans="1:20" x14ac:dyDescent="0.25">
      <c r="A24" s="2" t="s">
        <v>141</v>
      </c>
      <c r="B24" s="2">
        <v>26.969935053694901</v>
      </c>
      <c r="C24" s="2">
        <v>26.563968943674499</v>
      </c>
      <c r="D24" s="2">
        <v>21.592832070393499</v>
      </c>
      <c r="E24" s="2">
        <v>19.139549295392801</v>
      </c>
      <c r="F24" s="2">
        <v>20.7521186512474</v>
      </c>
      <c r="G24" s="2">
        <v>25.087113321648999</v>
      </c>
      <c r="H24" s="2">
        <v>13.0682847857317</v>
      </c>
      <c r="I24" s="2">
        <v>13.8696311320451</v>
      </c>
      <c r="J24" s="2">
        <v>11.7472128020478</v>
      </c>
      <c r="K24" s="2">
        <v>9.3166627630125607</v>
      </c>
      <c r="L24" s="2">
        <v>8.3218798546831607</v>
      </c>
      <c r="M24" s="2">
        <v>10.266986470807099</v>
      </c>
      <c r="N24" s="2">
        <v>7.8771697573972803</v>
      </c>
      <c r="O24" s="2">
        <v>10.3828351295125</v>
      </c>
      <c r="P24" s="2">
        <v>10.1024839182865</v>
      </c>
      <c r="Q24" s="2">
        <v>13.115233121994599</v>
      </c>
      <c r="R24" s="2">
        <v>13.0946977517699</v>
      </c>
      <c r="S24" s="2">
        <v>13.8527324863089</v>
      </c>
      <c r="T24" s="2">
        <v>26.103215380999199</v>
      </c>
    </row>
    <row r="25" spans="1:20" x14ac:dyDescent="0.25">
      <c r="A25" s="2" t="s">
        <v>140</v>
      </c>
      <c r="B25" s="2">
        <v>34.940051398431997</v>
      </c>
      <c r="C25" s="2">
        <v>30.309979616503501</v>
      </c>
      <c r="D25" s="2">
        <v>25.234838836561298</v>
      </c>
      <c r="E25" s="2">
        <v>20.861076160571798</v>
      </c>
      <c r="F25" s="2">
        <v>24.561534076395201</v>
      </c>
      <c r="G25" s="2">
        <v>25.1947085965739</v>
      </c>
      <c r="H25" s="2">
        <v>15.416549589428</v>
      </c>
      <c r="I25" s="2">
        <v>15.591289504868699</v>
      </c>
      <c r="J25" s="2">
        <v>14.005018871778899</v>
      </c>
      <c r="K25" s="2">
        <v>10.315695526264101</v>
      </c>
      <c r="L25" s="2">
        <v>8.6535630782861208</v>
      </c>
      <c r="M25" s="2">
        <v>10.6280581233567</v>
      </c>
      <c r="N25" s="2">
        <v>8.3735843983155096</v>
      </c>
      <c r="O25" s="2">
        <v>12.053692505238701</v>
      </c>
      <c r="P25" s="2">
        <v>9.6960049096101706</v>
      </c>
      <c r="Q25" s="2">
        <v>13.691471113964001</v>
      </c>
      <c r="R25" s="2">
        <v>15.505081135548799</v>
      </c>
      <c r="S25" s="2">
        <v>10.5440139724885</v>
      </c>
      <c r="T25" s="2">
        <v>22.543252186442398</v>
      </c>
    </row>
    <row r="26" spans="1:20" x14ac:dyDescent="0.25">
      <c r="A26" s="2" t="s">
        <v>139</v>
      </c>
      <c r="B26" s="2">
        <v>39.438140370771599</v>
      </c>
      <c r="C26" s="2">
        <v>32.9415968602204</v>
      </c>
      <c r="D26" s="2">
        <v>28.011877304687498</v>
      </c>
      <c r="E26" s="2">
        <v>22.865512540850499</v>
      </c>
      <c r="F26" s="2">
        <v>27.490590752746002</v>
      </c>
      <c r="G26" s="2">
        <v>27.7047355185715</v>
      </c>
      <c r="H26" s="2">
        <v>18.1637087842977</v>
      </c>
      <c r="I26" s="2">
        <v>18.828401171535099</v>
      </c>
      <c r="J26" s="2">
        <v>17.489254074275699</v>
      </c>
      <c r="K26" s="2">
        <v>12.9684875652488</v>
      </c>
      <c r="L26" s="2">
        <v>10.0782547095073</v>
      </c>
      <c r="M26" s="2">
        <v>12.7181008961924</v>
      </c>
      <c r="N26" s="2">
        <v>10.0779721982507</v>
      </c>
      <c r="O26" s="2">
        <v>14.787537657316999</v>
      </c>
      <c r="P26" s="2">
        <v>12.0983265702284</v>
      </c>
      <c r="Q26" s="2">
        <v>15.454225164754201</v>
      </c>
      <c r="R26" s="2">
        <v>17.607435642302701</v>
      </c>
      <c r="S26" s="2">
        <v>12.0495841467191</v>
      </c>
      <c r="T26" s="2">
        <v>27.5003544736485</v>
      </c>
    </row>
    <row r="27" spans="1:20" x14ac:dyDescent="0.25">
      <c r="A27" s="3" t="s">
        <v>138</v>
      </c>
      <c r="B27" s="3">
        <v>2.9331635106467101E-2</v>
      </c>
      <c r="C27" s="3">
        <v>2.6818798327209199E-2</v>
      </c>
      <c r="D27" s="3">
        <v>3.59831158434342E-2</v>
      </c>
      <c r="E27" s="3">
        <v>4.0913477615088602E-2</v>
      </c>
      <c r="F27" s="3">
        <v>3.85858241296149E-2</v>
      </c>
      <c r="G27" s="3">
        <v>2.9467289528124201E-2</v>
      </c>
      <c r="H27" s="3">
        <v>5.4678226522784999E-2</v>
      </c>
      <c r="I27" s="3">
        <v>5.3213212804837901E-2</v>
      </c>
      <c r="J27" s="3">
        <v>6.0131976421677197E-2</v>
      </c>
      <c r="K27" s="3">
        <v>7.4086526794798102E-2</v>
      </c>
      <c r="L27" s="3">
        <v>8.0896021739568003E-2</v>
      </c>
      <c r="M27" s="3">
        <v>6.4434352078125104E-2</v>
      </c>
      <c r="N27" s="3">
        <v>8.2916964903417406E-2</v>
      </c>
      <c r="O27" s="3">
        <v>6.6906764894685E-2</v>
      </c>
      <c r="P27" s="3">
        <v>6.9366475572668507E-2</v>
      </c>
      <c r="Q27" s="3">
        <v>5.2709400604085001E-2</v>
      </c>
      <c r="R27" s="3">
        <v>5.0590026765330601E-2</v>
      </c>
      <c r="S27" s="3">
        <v>4.2757814243349498E-2</v>
      </c>
      <c r="T27" s="3">
        <v>2.6344832174603601E-2</v>
      </c>
    </row>
    <row r="28" spans="1:20" x14ac:dyDescent="0.25">
      <c r="A28" s="3" t="s">
        <v>137</v>
      </c>
      <c r="B28" s="3">
        <v>2.5863740778148701E-2</v>
      </c>
      <c r="C28" s="3">
        <v>3.1130760749217501E-2</v>
      </c>
      <c r="D28" s="3">
        <v>3.6943580680989303E-2</v>
      </c>
      <c r="E28" s="3">
        <v>4.5685206715813297E-2</v>
      </c>
      <c r="F28" s="3">
        <v>3.7882003700043201E-2</v>
      </c>
      <c r="G28" s="3">
        <v>3.76559839792171E-2</v>
      </c>
      <c r="H28" s="3">
        <v>5.8280165579954198E-2</v>
      </c>
      <c r="I28" s="3">
        <v>5.7316094442542702E-2</v>
      </c>
      <c r="J28" s="3">
        <v>6.3961191027421593E-2</v>
      </c>
      <c r="K28" s="3">
        <v>8.5431315059652596E-2</v>
      </c>
      <c r="L28" s="3">
        <v>0.10571904343079</v>
      </c>
      <c r="M28" s="3">
        <v>8.1378743829370798E-2</v>
      </c>
      <c r="N28" s="3">
        <v>9.9826321382492603E-2</v>
      </c>
      <c r="O28" s="3">
        <v>6.6459469291550402E-2</v>
      </c>
      <c r="P28" s="3">
        <v>8.0485127914479995E-2</v>
      </c>
      <c r="Q28" s="3">
        <v>6.1966364486669201E-2</v>
      </c>
      <c r="R28" s="3">
        <v>5.4957908857637801E-2</v>
      </c>
      <c r="S28" s="3">
        <v>7.4273348407407E-2</v>
      </c>
      <c r="T28" s="3">
        <v>3.3799778961637397E-2</v>
      </c>
    </row>
    <row r="29" spans="1:20" x14ac:dyDescent="0.25">
      <c r="A29" s="2" t="s">
        <v>136</v>
      </c>
      <c r="B29" s="2">
        <v>1.5241072518411001</v>
      </c>
      <c r="C29" s="2">
        <v>2.0905882352941201</v>
      </c>
      <c r="D29" s="2">
        <v>1.99417500724101</v>
      </c>
      <c r="E29" s="2">
        <v>2.6144616356173001</v>
      </c>
      <c r="F29" s="2">
        <v>2.1639245522269799</v>
      </c>
      <c r="G29" s="2">
        <v>1.8714397220649199</v>
      </c>
      <c r="H29" s="2">
        <v>1.19404782954646</v>
      </c>
      <c r="I29" s="2">
        <v>1.06846668595481</v>
      </c>
      <c r="J29" s="2">
        <v>0.86298089476079298</v>
      </c>
      <c r="K29" s="2">
        <v>0.67861737713354497</v>
      </c>
      <c r="L29" s="2">
        <v>0.53896359599514099</v>
      </c>
      <c r="M29" s="2">
        <v>0.31641370901951599</v>
      </c>
      <c r="N29" s="2">
        <v>0.13727347044492499</v>
      </c>
      <c r="O29" s="2">
        <v>0</v>
      </c>
      <c r="P29" s="2">
        <v>0</v>
      </c>
      <c r="Q29" s="2">
        <v>0</v>
      </c>
      <c r="R29" s="2">
        <v>0</v>
      </c>
      <c r="S29" s="2">
        <v>0</v>
      </c>
      <c r="T29" s="2">
        <v>0</v>
      </c>
    </row>
    <row r="30" spans="1:20" x14ac:dyDescent="0.25">
      <c r="A30" s="3" t="s">
        <v>135</v>
      </c>
      <c r="B30" s="3">
        <v>0.31281785764987902</v>
      </c>
      <c r="C30" s="3">
        <v>0.32620691544742197</v>
      </c>
      <c r="D30" s="3">
        <v>0.351491705499131</v>
      </c>
      <c r="E30" s="3">
        <v>0.37555810690139002</v>
      </c>
      <c r="F30" s="3">
        <v>0.38894935071594999</v>
      </c>
      <c r="G30" s="3">
        <v>0.37753173936669499</v>
      </c>
      <c r="H30" s="3">
        <v>0.31917841401883501</v>
      </c>
      <c r="I30" s="3">
        <v>0.31303028231594798</v>
      </c>
      <c r="J30" s="3">
        <v>0.30821780938348398</v>
      </c>
      <c r="K30" s="3">
        <v>0.27054954210005999</v>
      </c>
      <c r="L30" s="3">
        <v>0.22155711308959999</v>
      </c>
      <c r="M30" s="3">
        <v>0.152239269493053</v>
      </c>
      <c r="N30" s="3">
        <v>8.1932367149758406E-2</v>
      </c>
      <c r="O30" s="3">
        <v>0</v>
      </c>
      <c r="P30" s="3">
        <v>0</v>
      </c>
      <c r="Q30" s="3">
        <v>0</v>
      </c>
      <c r="R30" s="3">
        <v>0</v>
      </c>
      <c r="S30" s="3">
        <v>0</v>
      </c>
      <c r="T30" s="3">
        <v>0</v>
      </c>
    </row>
    <row r="31" spans="1:20" x14ac:dyDescent="0.25">
      <c r="A31" s="3" t="s">
        <v>134</v>
      </c>
      <c r="B31" s="3">
        <v>0.52928469053570304</v>
      </c>
      <c r="C31" s="3">
        <v>0.66046097976728702</v>
      </c>
      <c r="D31" s="3">
        <v>0.72735083753909002</v>
      </c>
      <c r="E31" s="3">
        <v>0.81745256801213795</v>
      </c>
      <c r="F31" s="3">
        <v>0.82495777027026995</v>
      </c>
      <c r="G31" s="3">
        <v>1.0400148111577401</v>
      </c>
      <c r="H31" s="3">
        <v>0.72322257512826804</v>
      </c>
      <c r="I31" s="3">
        <v>1.0175079842841701</v>
      </c>
      <c r="J31" s="3">
        <v>1.2458174979430301</v>
      </c>
      <c r="K31" s="3">
        <v>0.90747685216750995</v>
      </c>
      <c r="L31" s="3">
        <v>0.51130702325306199</v>
      </c>
      <c r="M31" s="3">
        <v>0.34703055991458098</v>
      </c>
      <c r="N31" s="3">
        <v>4.7346094516898099E-2</v>
      </c>
      <c r="O31" s="3">
        <v>-0.18201219512195099</v>
      </c>
      <c r="P31" s="3">
        <v>-0.27249507204530898</v>
      </c>
      <c r="Q31" s="3">
        <v>-0.58010508963527696</v>
      </c>
      <c r="R31" s="3">
        <v>-0.43752597888436301</v>
      </c>
      <c r="S31" s="3">
        <v>-1.62582146768894</v>
      </c>
      <c r="T31" s="3">
        <v>-1.9796782387806899</v>
      </c>
    </row>
    <row r="32" spans="1:20" x14ac:dyDescent="0.25">
      <c r="A32" s="2" t="s">
        <v>133</v>
      </c>
      <c r="B32" s="2">
        <v>0.89329292221866696</v>
      </c>
      <c r="C32" s="2">
        <v>0.867312576534083</v>
      </c>
      <c r="D32" s="2">
        <v>0.98801167175929705</v>
      </c>
      <c r="E32" s="2">
        <v>0.87935602862672302</v>
      </c>
      <c r="F32" s="2">
        <v>1.0745531195958</v>
      </c>
      <c r="G32" s="2">
        <v>1.3636044481554599</v>
      </c>
      <c r="H32" s="2">
        <v>1.54012561720804</v>
      </c>
      <c r="I32" s="2">
        <v>1.13292618758033</v>
      </c>
      <c r="J32" s="2">
        <v>1.27606284841391</v>
      </c>
      <c r="K32" s="2">
        <v>1.35266941751259</v>
      </c>
      <c r="L32" s="2">
        <v>1.1087706239920601</v>
      </c>
      <c r="M32" s="2">
        <v>1.0801128483167299</v>
      </c>
      <c r="N32" s="2">
        <v>1.6786385084062501</v>
      </c>
      <c r="O32" s="2">
        <v>1.4958486845519201</v>
      </c>
      <c r="P32" s="2">
        <v>1.60843761172685</v>
      </c>
      <c r="Q32" s="2">
        <v>2.0112923462986201</v>
      </c>
      <c r="R32" s="2">
        <v>2.74248218320876</v>
      </c>
      <c r="S32" s="2">
        <v>2.6411407446527599</v>
      </c>
      <c r="T32" s="2">
        <v>2.36594827586207</v>
      </c>
    </row>
    <row r="33" spans="1:20" x14ac:dyDescent="0.25">
      <c r="A33" s="2" t="s">
        <v>132</v>
      </c>
      <c r="B33" s="2">
        <v>0</v>
      </c>
      <c r="C33" s="2">
        <v>0</v>
      </c>
      <c r="D33" s="2">
        <v>29.062039155860699</v>
      </c>
      <c r="E33" s="2">
        <v>40.7495735243944</v>
      </c>
      <c r="F33" s="2">
        <v>41.190548204158802</v>
      </c>
      <c r="G33" s="2">
        <v>23.072746258266601</v>
      </c>
      <c r="H33" s="2">
        <v>17.8775167785235</v>
      </c>
      <c r="I33" s="2">
        <v>21.882098765432101</v>
      </c>
      <c r="J33" s="2">
        <v>26.407232027550599</v>
      </c>
      <c r="K33" s="2">
        <v>41.225274725274701</v>
      </c>
      <c r="L33" s="2">
        <v>97.175989085948203</v>
      </c>
      <c r="M33" s="2">
        <v>136.7265625</v>
      </c>
      <c r="N33" s="2">
        <v>360.28676470588198</v>
      </c>
      <c r="O33" s="2">
        <v>0</v>
      </c>
      <c r="P33" s="2">
        <v>0</v>
      </c>
      <c r="Q33" s="2">
        <v>0</v>
      </c>
      <c r="R33" s="2">
        <v>0</v>
      </c>
      <c r="S33" s="2">
        <v>0</v>
      </c>
      <c r="T33" s="2">
        <v>0</v>
      </c>
    </row>
    <row r="34" spans="1:20" x14ac:dyDescent="0.25">
      <c r="A34" s="2" t="s">
        <v>131</v>
      </c>
      <c r="B34" s="2">
        <v>0.99528613516650299</v>
      </c>
      <c r="C34" s="2">
        <v>1.2615643936161101</v>
      </c>
      <c r="D34" s="2">
        <v>1.1396773029537599</v>
      </c>
      <c r="E34" s="2">
        <v>1.22392112461549</v>
      </c>
      <c r="F34" s="2">
        <v>1.09883819180397</v>
      </c>
      <c r="G34" s="2">
        <v>1.4052010938670301</v>
      </c>
      <c r="H34" s="2">
        <v>1.25580932387433</v>
      </c>
      <c r="I34" s="2">
        <v>1.30073407132418</v>
      </c>
      <c r="J34" s="2">
        <v>1.3283075841244201</v>
      </c>
      <c r="K34" s="2">
        <v>1.4496683958237599</v>
      </c>
      <c r="L34" s="2">
        <v>1.5220062179271101</v>
      </c>
      <c r="M34" s="2">
        <v>1.51133890154391</v>
      </c>
      <c r="N34" s="2">
        <v>1.4489834489834501</v>
      </c>
      <c r="O34" s="2">
        <v>1.21860398245992</v>
      </c>
      <c r="P34" s="2">
        <v>1.44776637605123</v>
      </c>
      <c r="Q34" s="2">
        <v>1.3269820880610901</v>
      </c>
      <c r="R34" s="2">
        <v>1.23363691560413</v>
      </c>
      <c r="S34" s="2">
        <v>1.5682301029579999</v>
      </c>
      <c r="T34" s="2">
        <v>1.5646453089244901</v>
      </c>
    </row>
    <row r="35" spans="1:20" x14ac:dyDescent="0.25">
      <c r="A35" s="3" t="s">
        <v>130</v>
      </c>
      <c r="B35" s="3">
        <v>4.0382389516724296E-3</v>
      </c>
      <c r="C35" s="3">
        <v>4.3585983369965201E-3</v>
      </c>
      <c r="D35" s="3">
        <v>5.5739606737213203E-3</v>
      </c>
      <c r="E35" s="3">
        <v>6.0839546034240398E-3</v>
      </c>
      <c r="F35" s="3">
        <v>5.89587154291443E-3</v>
      </c>
      <c r="G35" s="3">
        <v>7.2273415172269704E-3</v>
      </c>
      <c r="H35" s="3">
        <v>1.3971367458288701E-2</v>
      </c>
      <c r="I35" s="3">
        <v>1.22568002213962E-2</v>
      </c>
      <c r="J35" s="3">
        <v>1.5880234264614899E-2</v>
      </c>
      <c r="K35" s="3">
        <v>1.97025696709523E-2</v>
      </c>
      <c r="L35" s="3">
        <v>1.7515805283948499E-2</v>
      </c>
      <c r="M35" s="3">
        <v>1.8144687451815199E-2</v>
      </c>
      <c r="N35" s="3">
        <v>2.36502637157356E-2</v>
      </c>
      <c r="O35" s="3">
        <v>3.9887865971287998E-3</v>
      </c>
      <c r="P35" s="3">
        <v>0</v>
      </c>
      <c r="Q35" s="3">
        <v>0</v>
      </c>
      <c r="R35" s="3">
        <v>0</v>
      </c>
      <c r="S35" s="3">
        <v>0</v>
      </c>
      <c r="T35" s="3">
        <v>0</v>
      </c>
    </row>
    <row r="36" spans="1:20" x14ac:dyDescent="0.25">
      <c r="A36" s="3" t="s">
        <v>129</v>
      </c>
      <c r="B36" s="3">
        <v>0.13767520757075299</v>
      </c>
      <c r="C36" s="3">
        <v>0.162520269693608</v>
      </c>
      <c r="D36" s="3">
        <v>0.154904892004743</v>
      </c>
      <c r="E36" s="3">
        <v>0.14870294480125801</v>
      </c>
      <c r="F36" s="3">
        <v>0.15279890156316001</v>
      </c>
      <c r="G36" s="3">
        <v>0.24526658654264899</v>
      </c>
      <c r="H36" s="3">
        <v>0.25551976255972197</v>
      </c>
      <c r="I36" s="3">
        <v>0.23033377567989799</v>
      </c>
      <c r="J36" s="3">
        <v>0.264089677566131</v>
      </c>
      <c r="K36" s="3">
        <v>0.26593998292731003</v>
      </c>
      <c r="L36" s="3">
        <v>0.216522455706634</v>
      </c>
      <c r="M36" s="3">
        <v>0.28159959503923099</v>
      </c>
      <c r="N36" s="3">
        <v>0.28522828522828497</v>
      </c>
      <c r="O36" s="3">
        <v>5.9617089593367402E-2</v>
      </c>
      <c r="P36" s="3">
        <v>0</v>
      </c>
      <c r="Q36" s="3">
        <v>0</v>
      </c>
      <c r="R36" s="3">
        <v>0</v>
      </c>
      <c r="S36" s="3">
        <v>0</v>
      </c>
      <c r="T36" s="3">
        <v>0</v>
      </c>
    </row>
    <row r="37" spans="1:20" x14ac:dyDescent="0.25">
      <c r="A37" s="3" t="s">
        <v>128</v>
      </c>
      <c r="B37" s="3">
        <v>6.6322889458647005E-2</v>
      </c>
      <c r="C37" s="3">
        <v>6.6738271510222894E-2</v>
      </c>
      <c r="D37" s="3">
        <v>6.5048201729783303E-2</v>
      </c>
      <c r="E37" s="3">
        <v>6.3637378020328303E-2</v>
      </c>
      <c r="F37" s="3">
        <v>6.0065551901633901E-2</v>
      </c>
      <c r="G37" s="3">
        <v>7.2549769593647007E-2</v>
      </c>
      <c r="H37" s="3">
        <v>7.0126146348213098E-2</v>
      </c>
      <c r="I37" s="3">
        <v>6.2896515371147793E-2</v>
      </c>
      <c r="J37" s="3">
        <v>6.6573893924984903E-2</v>
      </c>
      <c r="K37" s="3">
        <v>6.5822972653369796E-2</v>
      </c>
      <c r="L37" s="3">
        <v>6.1309714823610001E-2</v>
      </c>
      <c r="M37" s="3">
        <v>6.5609015563883002E-2</v>
      </c>
      <c r="N37" s="3">
        <v>6.3366684219764796E-2</v>
      </c>
      <c r="O37" s="3">
        <v>6.4150075395506906E-2</v>
      </c>
      <c r="P37" s="3">
        <v>7.0199262810741903E-2</v>
      </c>
      <c r="Q37" s="3">
        <v>8.4584131851283995E-2</v>
      </c>
      <c r="R37" s="3">
        <v>9.7387507921977298E-2</v>
      </c>
      <c r="S37" s="3">
        <v>0.115797900181656</v>
      </c>
      <c r="T37" s="3">
        <v>0.12342747646421701</v>
      </c>
    </row>
    <row r="38" spans="1:20" x14ac:dyDescent="0.25">
      <c r="A38" s="3" t="s">
        <v>127</v>
      </c>
      <c r="B38" s="3">
        <v>8.3020753987038703E-2</v>
      </c>
      <c r="C38" s="3">
        <v>8.0222997941360702E-2</v>
      </c>
      <c r="D38" s="3">
        <v>7.8048971392045099E-2</v>
      </c>
      <c r="E38" s="3">
        <v>6.6571483637986706E-2</v>
      </c>
      <c r="F38" s="3">
        <v>5.9904269074427897E-2</v>
      </c>
      <c r="G38" s="3">
        <v>6.8309564140393103E-2</v>
      </c>
      <c r="H38" s="3">
        <v>6.2331362857164799E-2</v>
      </c>
      <c r="I38" s="3">
        <v>5.3600406634160998E-2</v>
      </c>
      <c r="J38" s="3">
        <v>5.0520428906706702E-2</v>
      </c>
      <c r="K38" s="3">
        <v>4.6582482760539598E-2</v>
      </c>
      <c r="L38" s="3">
        <v>3.4516398177267198E-2</v>
      </c>
      <c r="M38" s="3">
        <v>3.3047949889220198E-2</v>
      </c>
      <c r="N38" s="3">
        <v>2.61833713650459E-2</v>
      </c>
      <c r="O38" s="3">
        <v>2.1602729572929202E-2</v>
      </c>
      <c r="P38" s="3">
        <v>2.2439006364954901E-2</v>
      </c>
      <c r="Q38" s="3">
        <v>2.7320812571866599E-2</v>
      </c>
      <c r="R38" s="3">
        <v>3.1288876370208697E-2</v>
      </c>
      <c r="S38" s="3">
        <v>3.4145139936574399E-2</v>
      </c>
      <c r="T38" s="3">
        <v>3.2575189535949303E-2</v>
      </c>
    </row>
    <row r="39" spans="1:20" x14ac:dyDescent="0.25">
      <c r="A39" s="3" t="s">
        <v>126</v>
      </c>
      <c r="B39" s="3">
        <v>0</v>
      </c>
      <c r="C39" s="3">
        <v>0</v>
      </c>
      <c r="D39" s="3">
        <v>0</v>
      </c>
      <c r="E39" s="3">
        <v>0</v>
      </c>
      <c r="F39" s="3">
        <v>0</v>
      </c>
      <c r="G39" s="3">
        <v>0</v>
      </c>
      <c r="H39" s="3">
        <v>0</v>
      </c>
      <c r="I39" s="3">
        <v>0</v>
      </c>
      <c r="J39" s="3">
        <v>2.13551672044314E-2</v>
      </c>
      <c r="K39" s="3">
        <v>2.6796316905305199E-2</v>
      </c>
      <c r="L39" s="3">
        <v>3.10286039022542E-2</v>
      </c>
      <c r="M39" s="3">
        <v>3.7776215390853102E-2</v>
      </c>
      <c r="N39" s="3">
        <v>2.78067632850242E-2</v>
      </c>
      <c r="O39" s="3">
        <v>3.0437795347146499E-2</v>
      </c>
      <c r="P39" s="3">
        <v>3.8085089927903E-2</v>
      </c>
      <c r="Q39" s="3">
        <v>1.44048521607278E-2</v>
      </c>
      <c r="R39" s="3">
        <v>9.5366413338666602E-3</v>
      </c>
      <c r="S39" s="3">
        <v>1.36020568964087E-2</v>
      </c>
      <c r="T39" s="3">
        <v>1.32954590286819E-2</v>
      </c>
    </row>
    <row r="40" spans="1:20" x14ac:dyDescent="0.25">
      <c r="A40" s="2" t="s">
        <v>125</v>
      </c>
      <c r="B40" s="2">
        <v>0.114054286790693</v>
      </c>
      <c r="C40" s="2">
        <v>7.9887361104064095E-2</v>
      </c>
      <c r="D40" s="2">
        <v>9.9137892042010803E-2</v>
      </c>
      <c r="E40" s="2">
        <v>8.7661992124501598E-2</v>
      </c>
      <c r="F40" s="2">
        <v>0.106547607604914</v>
      </c>
      <c r="G40" s="2">
        <v>9.0599201725462999E-2</v>
      </c>
      <c r="H40" s="2">
        <v>0.15124439768846101</v>
      </c>
      <c r="I40" s="2">
        <v>0.17192706046439499</v>
      </c>
      <c r="J40" s="2">
        <v>0.19922148695990699</v>
      </c>
      <c r="K40" s="2">
        <v>0.20455677854780999</v>
      </c>
      <c r="L40" s="2">
        <v>0.141362931607314</v>
      </c>
      <c r="M40" s="2">
        <v>0.164336074221694</v>
      </c>
      <c r="N40" s="2">
        <v>0.16912011329333301</v>
      </c>
      <c r="O40" s="2">
        <v>0.18487494100991</v>
      </c>
      <c r="P40" s="2">
        <v>0.19856644195155701</v>
      </c>
      <c r="Q40" s="2">
        <v>0.114062920139823</v>
      </c>
      <c r="R40" s="2">
        <v>0.119401515897234</v>
      </c>
      <c r="S40" s="2">
        <v>0.124947894956232</v>
      </c>
      <c r="T40" s="2">
        <v>0.180255941499086</v>
      </c>
    </row>
    <row r="41" spans="1:20" x14ac:dyDescent="0.25">
      <c r="A41" s="2" t="s">
        <v>124</v>
      </c>
      <c r="B41" s="2">
        <v>3.0553079216937701E-2</v>
      </c>
      <c r="C41" s="2">
        <v>2.4158962752694801E-2</v>
      </c>
      <c r="D41" s="2">
        <v>2.8592300768357799E-2</v>
      </c>
      <c r="E41" s="2">
        <v>2.71550587328316E-2</v>
      </c>
      <c r="F41" s="2">
        <v>3.0302036264033699E-2</v>
      </c>
      <c r="G41" s="2">
        <v>2.6625138881299699E-2</v>
      </c>
      <c r="H41" s="2">
        <v>4.0338388924335299E-2</v>
      </c>
      <c r="I41" s="2">
        <v>5.0125190609762997E-2</v>
      </c>
      <c r="J41" s="2">
        <v>5.5816327420888698E-2</v>
      </c>
      <c r="K41" s="2">
        <v>6.2827225130889994E-2</v>
      </c>
      <c r="L41" s="2">
        <v>4.9153884004022E-2</v>
      </c>
      <c r="M41" s="2">
        <v>5.3683087611805597E-2</v>
      </c>
      <c r="N41" s="2">
        <v>5.31039728512082E-2</v>
      </c>
      <c r="O41" s="2">
        <v>6.0073606461011599E-2</v>
      </c>
      <c r="P41" s="2">
        <v>6.8841282598453596E-2</v>
      </c>
      <c r="Q41" s="2">
        <v>3.2518206209275598E-2</v>
      </c>
      <c r="R41" s="2">
        <v>2.84721733211276E-2</v>
      </c>
      <c r="S41" s="2">
        <v>3.6916161211859998E-2</v>
      </c>
      <c r="T41" s="2">
        <v>4.1073065067066601E-2</v>
      </c>
    </row>
    <row r="42" spans="1:20" x14ac:dyDescent="0.25">
      <c r="A42" s="2" t="s">
        <v>123</v>
      </c>
      <c r="B42" s="2">
        <v>1.08693793810908</v>
      </c>
      <c r="C42" s="2">
        <v>0.82542595019659204</v>
      </c>
      <c r="D42" s="2">
        <v>0.95138466880805606</v>
      </c>
      <c r="E42" s="2">
        <v>0.964337175792507</v>
      </c>
      <c r="F42" s="2">
        <v>0.98236440978376505</v>
      </c>
      <c r="G42" s="2">
        <v>0.66108900144717797</v>
      </c>
      <c r="H42" s="2">
        <v>0.83645492946521105</v>
      </c>
      <c r="I42" s="2">
        <v>1.2210400807117301</v>
      </c>
      <c r="J42" s="2">
        <v>1.2597223589642601</v>
      </c>
      <c r="K42" s="2">
        <v>1.2896715849595399</v>
      </c>
      <c r="L42" s="2">
        <v>1.0205205649817899</v>
      </c>
      <c r="M42" s="2">
        <v>1.23496098665995</v>
      </c>
      <c r="N42" s="2">
        <v>1.3431996448127901</v>
      </c>
      <c r="O42" s="2">
        <v>2.8690875801037499</v>
      </c>
      <c r="P42" s="2">
        <v>4.1080485115766301</v>
      </c>
      <c r="Q42" s="2">
        <v>2.06523855890944</v>
      </c>
      <c r="R42" s="2">
        <v>1.65258855585831</v>
      </c>
      <c r="S42" s="2">
        <v>2.4173387096774199</v>
      </c>
      <c r="T42" s="2">
        <v>3.1104100946372202</v>
      </c>
    </row>
    <row r="43" spans="1:20" x14ac:dyDescent="0.25">
      <c r="A43" s="3" t="s">
        <v>122</v>
      </c>
      <c r="B43" s="3">
        <v>3.0908710811440799E-2</v>
      </c>
      <c r="C43" s="3">
        <v>2.9889907553032301E-2</v>
      </c>
      <c r="D43" s="3">
        <v>2.8263563666723199E-2</v>
      </c>
      <c r="E43" s="3">
        <v>2.29200056805502E-2</v>
      </c>
      <c r="F43" s="3">
        <v>2.16118988455977E-2</v>
      </c>
      <c r="G43" s="3">
        <v>2.4876600550060999E-2</v>
      </c>
      <c r="H43" s="3">
        <v>2.3322853167495598E-2</v>
      </c>
      <c r="I43" s="3">
        <v>2.0105800184491401E-2</v>
      </c>
      <c r="J43" s="3">
        <v>2.11137963827355E-2</v>
      </c>
      <c r="K43" s="3">
        <v>1.95233700768414E-2</v>
      </c>
      <c r="L43" s="3">
        <v>1.5343473889138501E-2</v>
      </c>
      <c r="M43" s="3">
        <v>1.56623540031182E-2</v>
      </c>
      <c r="N43" s="3">
        <v>1.31823766894857E-2</v>
      </c>
      <c r="O43" s="3">
        <v>1.1117642548623701E-2</v>
      </c>
      <c r="P43" s="3">
        <v>1.0789938013284201E-2</v>
      </c>
      <c r="Q43" s="3">
        <v>1.3476427750095801E-2</v>
      </c>
      <c r="R43" s="3">
        <v>1.66654930403962E-2</v>
      </c>
      <c r="S43" s="3">
        <v>1.5887188644970601E-2</v>
      </c>
      <c r="T43" s="3">
        <v>1.0080813130050799E-2</v>
      </c>
    </row>
    <row r="44" spans="1:20" x14ac:dyDescent="0.25">
      <c r="A44" s="2" t="s">
        <v>121</v>
      </c>
      <c r="B44" s="2">
        <v>28.837193670944298</v>
      </c>
      <c r="C44" s="2">
        <v>22.587017267616801</v>
      </c>
      <c r="D44" s="2">
        <v>23.3911228563192</v>
      </c>
      <c r="E44" s="2">
        <v>20.801963754945302</v>
      </c>
      <c r="F44" s="2">
        <v>21.950837680915999</v>
      </c>
      <c r="G44" s="2">
        <v>16.742586029021201</v>
      </c>
      <c r="H44" s="2">
        <v>18.158424594467501</v>
      </c>
      <c r="I44" s="2">
        <v>19.112441265758498</v>
      </c>
      <c r="J44" s="2">
        <v>18.298755977665198</v>
      </c>
      <c r="K44" s="2">
        <v>16.592130552188099</v>
      </c>
      <c r="L44" s="2">
        <v>16.454005974847</v>
      </c>
      <c r="M44" s="2">
        <v>12.9363669106632</v>
      </c>
      <c r="N44" s="2">
        <v>12.384361877757399</v>
      </c>
      <c r="O44" s="2">
        <v>12.728365524522999</v>
      </c>
      <c r="P44" s="2">
        <v>8.1682821572312108</v>
      </c>
      <c r="Q44" s="2">
        <v>4.8204472336995101</v>
      </c>
      <c r="R44" s="2">
        <v>3.0621297752408401</v>
      </c>
      <c r="S44" s="2">
        <v>1.9949964496966499</v>
      </c>
      <c r="T44" s="2">
        <v>1.39638880513085</v>
      </c>
    </row>
    <row r="45" spans="1:20" x14ac:dyDescent="0.25">
      <c r="A45" s="3" t="s">
        <v>120</v>
      </c>
      <c r="B45" s="3">
        <v>0.51968421100317896</v>
      </c>
      <c r="C45" s="3">
        <v>0.443070811742792</v>
      </c>
      <c r="D45" s="3">
        <v>0.43389182916896202</v>
      </c>
      <c r="E45" s="3">
        <v>0.45174761493312499</v>
      </c>
      <c r="F45" s="3">
        <v>0.38925056182252599</v>
      </c>
      <c r="G45" s="3">
        <v>0.24269486859682901</v>
      </c>
      <c r="H45" s="3">
        <v>0.215778737104589</v>
      </c>
      <c r="I45" s="3">
        <v>0.213990185415876</v>
      </c>
      <c r="J45" s="3">
        <v>0.157964336128744</v>
      </c>
      <c r="K45" s="3">
        <v>0.17572216933558299</v>
      </c>
      <c r="L45" s="3">
        <v>0.237606499850369</v>
      </c>
      <c r="M45" s="3">
        <v>0.222016355993605</v>
      </c>
      <c r="N45" s="3">
        <v>0.22151896555874101</v>
      </c>
      <c r="O45" s="3">
        <v>0.30062343096626398</v>
      </c>
      <c r="P45" s="3">
        <v>0.28967427286354303</v>
      </c>
      <c r="Q45" s="3">
        <v>0.25515225734706698</v>
      </c>
      <c r="R45" s="3">
        <v>0.21558501446655101</v>
      </c>
      <c r="S45" s="3">
        <v>0.177320660953632</v>
      </c>
      <c r="T45" s="3">
        <v>0.19156334367408401</v>
      </c>
    </row>
    <row r="46" spans="1:20" x14ac:dyDescent="0.25">
      <c r="A46" s="3" t="s">
        <v>119</v>
      </c>
      <c r="B46" s="3">
        <v>0.31179625933565502</v>
      </c>
      <c r="C46" s="3">
        <v>0.256825031508576</v>
      </c>
      <c r="D46" s="3">
        <v>0.27509834563776497</v>
      </c>
      <c r="E46" s="3">
        <v>0.28292440929256901</v>
      </c>
      <c r="F46" s="3">
        <v>0.26974205275183599</v>
      </c>
      <c r="G46" s="3">
        <v>0.177255718025984</v>
      </c>
      <c r="H46" s="3">
        <v>0.163230098429616</v>
      </c>
      <c r="I46" s="3">
        <v>0.16277530931711001</v>
      </c>
      <c r="J46" s="3">
        <v>0.131637553634047</v>
      </c>
      <c r="K46" s="3">
        <v>0.14593408418672099</v>
      </c>
      <c r="L46" s="3">
        <v>0.18978730059430701</v>
      </c>
      <c r="M46" s="3">
        <v>0.17711055625535099</v>
      </c>
      <c r="N46" s="3">
        <v>0.184040269523563</v>
      </c>
      <c r="O46" s="3">
        <v>0.24447438563603899</v>
      </c>
      <c r="P46" s="3">
        <v>0.23157255290827999</v>
      </c>
      <c r="Q46" s="3">
        <v>0.18910931174089099</v>
      </c>
      <c r="R46" s="3">
        <v>0.17503400782179901</v>
      </c>
      <c r="S46" s="3">
        <v>0.135485860029709</v>
      </c>
      <c r="T46" s="3">
        <v>0.13974410235905599</v>
      </c>
    </row>
    <row r="47" spans="1:20" x14ac:dyDescent="0.25">
      <c r="A47" s="2" t="s">
        <v>118</v>
      </c>
      <c r="B47" s="2">
        <v>-11.5887380004683</v>
      </c>
      <c r="C47" s="2">
        <v>-12.3524785250156</v>
      </c>
      <c r="D47" s="2">
        <v>-11.431345868845501</v>
      </c>
      <c r="E47" s="2">
        <v>-12.679296320545401</v>
      </c>
      <c r="F47" s="2">
        <v>-10.9784152967511</v>
      </c>
      <c r="G47" s="2">
        <v>-7.9236288086774902</v>
      </c>
      <c r="H47" s="2">
        <v>-6.0128298245454497</v>
      </c>
      <c r="I47" s="2">
        <v>-7.7467743624753496</v>
      </c>
      <c r="J47" s="2">
        <v>-6.6083167121632496</v>
      </c>
      <c r="K47" s="2">
        <v>-4.7178370884072196</v>
      </c>
      <c r="L47" s="2">
        <v>-4.5823715142695098</v>
      </c>
      <c r="M47" s="2">
        <v>-3.0295118519672402</v>
      </c>
      <c r="N47" s="2">
        <v>-1.02443071722443</v>
      </c>
      <c r="O47" s="2">
        <v>-0.54672543173447896</v>
      </c>
      <c r="P47" s="2">
        <v>-0.17884019133628901</v>
      </c>
      <c r="Q47" s="2">
        <v>0.24333462362114699</v>
      </c>
      <c r="R47" s="2">
        <v>0.46484682953088502</v>
      </c>
      <c r="S47" s="2">
        <v>0.48692349425001302</v>
      </c>
      <c r="T47" s="2">
        <v>0.32078364661528103</v>
      </c>
    </row>
    <row r="48" spans="1:20" x14ac:dyDescent="0.25">
      <c r="A48" s="1" t="s">
        <v>117</v>
      </c>
      <c r="B48" s="1">
        <v>-17674</v>
      </c>
      <c r="C48" s="1">
        <v>-23405</v>
      </c>
      <c r="D48" s="1">
        <v>-1742</v>
      </c>
      <c r="E48" s="1">
        <v>-18577</v>
      </c>
      <c r="F48" s="1">
        <v>9355</v>
      </c>
      <c r="G48" s="1">
        <v>38321</v>
      </c>
      <c r="H48" s="1">
        <v>57101</v>
      </c>
      <c r="I48" s="1">
        <v>15410</v>
      </c>
      <c r="J48" s="1">
        <v>27831</v>
      </c>
      <c r="K48" s="1">
        <v>27863</v>
      </c>
      <c r="L48" s="1">
        <v>8768</v>
      </c>
      <c r="M48" s="1">
        <v>5083</v>
      </c>
      <c r="N48" s="1">
        <v>29628</v>
      </c>
      <c r="O48" s="1">
        <v>19111</v>
      </c>
      <c r="P48" s="1">
        <v>17018</v>
      </c>
      <c r="Q48" s="1">
        <v>20956</v>
      </c>
      <c r="R48" s="1">
        <v>20049</v>
      </c>
      <c r="S48" s="1">
        <v>18645</v>
      </c>
      <c r="T48" s="1">
        <v>12676</v>
      </c>
    </row>
    <row r="49" spans="1:20" x14ac:dyDescent="0.25">
      <c r="A49" s="1" t="s">
        <v>116</v>
      </c>
      <c r="B49" s="1">
        <v>73733</v>
      </c>
      <c r="C49" s="1">
        <v>56950</v>
      </c>
      <c r="D49" s="1">
        <v>62146</v>
      </c>
      <c r="E49" s="1">
        <v>50672</v>
      </c>
      <c r="F49" s="1">
        <v>63090</v>
      </c>
      <c r="G49" s="1">
        <v>65339</v>
      </c>
      <c r="H49" s="1">
        <v>90488</v>
      </c>
      <c r="I49" s="1">
        <v>107147</v>
      </c>
      <c r="J49" s="1">
        <v>126032</v>
      </c>
      <c r="K49" s="1">
        <v>119629</v>
      </c>
      <c r="L49" s="1">
        <v>110346</v>
      </c>
      <c r="M49" s="1">
        <v>102789</v>
      </c>
      <c r="N49" s="1">
        <v>117793</v>
      </c>
      <c r="O49" s="1">
        <v>112851</v>
      </c>
      <c r="P49" s="1">
        <v>72183</v>
      </c>
      <c r="Q49" s="1">
        <v>46708</v>
      </c>
      <c r="R49" s="1">
        <v>31187</v>
      </c>
      <c r="S49" s="1">
        <v>21805</v>
      </c>
      <c r="T49" s="1">
        <v>14195</v>
      </c>
    </row>
    <row r="50" spans="1:20" x14ac:dyDescent="0.25">
      <c r="A50" s="1" t="s">
        <v>115</v>
      </c>
      <c r="B50" s="1">
        <v>-137551</v>
      </c>
      <c r="C50" s="1">
        <v>-155043</v>
      </c>
      <c r="D50" s="1">
        <v>-146871</v>
      </c>
      <c r="E50" s="1">
        <v>-166678</v>
      </c>
      <c r="F50" s="1">
        <v>-153076</v>
      </c>
      <c r="G50" s="1">
        <v>-114836</v>
      </c>
      <c r="H50" s="1">
        <v>-85209</v>
      </c>
      <c r="I50" s="1">
        <v>-127239</v>
      </c>
      <c r="J50" s="1">
        <v>-112627</v>
      </c>
      <c r="K50" s="1">
        <v>-86568</v>
      </c>
      <c r="L50" s="1">
        <v>-81612</v>
      </c>
      <c r="M50" s="1">
        <v>-51761</v>
      </c>
      <c r="N50" s="1">
        <v>-10165</v>
      </c>
      <c r="O50" s="1">
        <v>-201</v>
      </c>
      <c r="P50" s="1">
        <v>5232</v>
      </c>
      <c r="Q50" s="1">
        <v>14286</v>
      </c>
      <c r="R50" s="1">
        <v>15694</v>
      </c>
      <c r="S50" s="1">
        <v>16132</v>
      </c>
      <c r="T50" s="1">
        <v>11141</v>
      </c>
    </row>
    <row r="51" spans="1:20" x14ac:dyDescent="0.25">
      <c r="A51" s="1" t="s">
        <v>114</v>
      </c>
      <c r="B51" s="1">
        <v>69600</v>
      </c>
      <c r="C51" s="1">
        <v>63614</v>
      </c>
      <c r="D51" s="1">
        <v>60958.5</v>
      </c>
      <c r="E51" s="1">
        <v>56219</v>
      </c>
      <c r="F51" s="1">
        <v>44475.5</v>
      </c>
      <c r="G51" s="1">
        <v>41624.5</v>
      </c>
      <c r="H51" s="1">
        <v>47399.5</v>
      </c>
      <c r="I51" s="1">
        <v>42334</v>
      </c>
      <c r="J51" s="1">
        <v>32486</v>
      </c>
      <c r="K51" s="1">
        <v>29821</v>
      </c>
      <c r="L51" s="1">
        <v>28781</v>
      </c>
      <c r="M51" s="1">
        <v>23930</v>
      </c>
      <c r="N51" s="1">
        <v>19666.5</v>
      </c>
      <c r="O51" s="1">
        <v>15204.5</v>
      </c>
      <c r="P51" s="1">
        <v>10820.5</v>
      </c>
      <c r="Q51" s="1">
        <v>7490.5</v>
      </c>
      <c r="R51" s="1">
        <v>4880.5</v>
      </c>
      <c r="S51" s="1">
        <v>4366.5</v>
      </c>
      <c r="T51" s="1">
        <v>3437</v>
      </c>
    </row>
    <row r="52" spans="1:20" x14ac:dyDescent="0.25">
      <c r="A52" s="1" t="s">
        <v>113</v>
      </c>
      <c r="B52" s="1">
        <v>69410</v>
      </c>
      <c r="C52" s="1">
        <v>65785.5</v>
      </c>
      <c r="D52" s="1">
        <v>63363</v>
      </c>
      <c r="E52" s="1">
        <v>59439</v>
      </c>
      <c r="F52" s="1">
        <v>48529.5</v>
      </c>
      <c r="G52" s="1">
        <v>44266</v>
      </c>
      <c r="H52" s="1">
        <v>51062</v>
      </c>
      <c r="I52" s="1">
        <v>50065</v>
      </c>
      <c r="J52" s="1">
        <v>40768</v>
      </c>
      <c r="K52" s="1">
        <v>36392</v>
      </c>
      <c r="L52" s="1">
        <v>32843</v>
      </c>
      <c r="M52" s="1">
        <v>26281.5</v>
      </c>
      <c r="N52" s="1">
        <v>21771</v>
      </c>
      <c r="O52" s="1">
        <v>17903.5</v>
      </c>
      <c r="P52" s="1">
        <v>13323.5</v>
      </c>
      <c r="Q52" s="1">
        <v>8808</v>
      </c>
      <c r="R52" s="1">
        <v>5560.5</v>
      </c>
      <c r="S52" s="1">
        <v>5245</v>
      </c>
      <c r="T52" s="1">
        <v>4180</v>
      </c>
    </row>
    <row r="53" spans="1:20" x14ac:dyDescent="0.25">
      <c r="A53" s="1" t="s">
        <v>112</v>
      </c>
      <c r="B53" s="1">
        <v>6502</v>
      </c>
      <c r="C53" s="1">
        <v>6808.5</v>
      </c>
      <c r="D53" s="1">
        <v>5638.5</v>
      </c>
      <c r="E53" s="1">
        <v>5763</v>
      </c>
      <c r="F53" s="1">
        <v>5320.5</v>
      </c>
      <c r="G53" s="1">
        <v>4083.5</v>
      </c>
      <c r="H53" s="1">
        <v>4031</v>
      </c>
      <c r="I53" s="1">
        <v>4405.5</v>
      </c>
      <c r="J53" s="1">
        <v>3493.5</v>
      </c>
      <c r="K53" s="1">
        <v>2240.5</v>
      </c>
      <c r="L53" s="1">
        <v>2230</v>
      </c>
      <c r="M53" s="1">
        <v>1937.5</v>
      </c>
      <c r="N53" s="1">
        <v>1277.5</v>
      </c>
      <c r="O53" s="1">
        <v>783.5</v>
      </c>
      <c r="P53" s="1">
        <v>913.5</v>
      </c>
      <c r="Q53" s="1">
        <v>753</v>
      </c>
      <c r="R53" s="1">
        <v>482</v>
      </c>
      <c r="S53" s="1">
        <v>427.5</v>
      </c>
      <c r="T53" s="1">
        <v>308</v>
      </c>
    </row>
    <row r="54" spans="1:20" x14ac:dyDescent="0.25">
      <c r="A54" s="2" t="s">
        <v>111</v>
      </c>
      <c r="B54" s="2">
        <v>63.987987822020798</v>
      </c>
      <c r="C54" s="2">
        <v>61.832559745291341</v>
      </c>
      <c r="D54" s="2">
        <v>58.075648668745188</v>
      </c>
      <c r="E54" s="2">
        <v>56.400204905560855</v>
      </c>
      <c r="F54" s="2">
        <v>51.390968708397914</v>
      </c>
      <c r="G54" s="2">
        <v>49.787534378813547</v>
      </c>
      <c r="H54" s="2">
        <v>64.258765287845833</v>
      </c>
      <c r="I54" s="2">
        <v>67.332498729268252</v>
      </c>
      <c r="J54" s="2">
        <v>56.800670930141258</v>
      </c>
      <c r="K54" s="2">
        <v>49.59276846952546</v>
      </c>
      <c r="L54" s="2">
        <v>47.387608839826285</v>
      </c>
      <c r="M54" s="2">
        <v>54.350146338794829</v>
      </c>
      <c r="N54" s="2">
        <v>44.081475630448772</v>
      </c>
      <c r="O54" s="2">
        <v>43.592532011143199</v>
      </c>
      <c r="P54" s="2">
        <v>39.508032406765885</v>
      </c>
      <c r="Q54" s="2">
        <v>55.534840935224217</v>
      </c>
      <c r="R54" s="2">
        <v>43.325704762575405</v>
      </c>
      <c r="S54" s="2">
        <v>52.863696542381227</v>
      </c>
      <c r="T54" s="2">
        <v>61.259060234941266</v>
      </c>
    </row>
    <row r="55" spans="1:20" x14ac:dyDescent="0.25">
      <c r="A55" s="2" t="s">
        <v>110</v>
      </c>
      <c r="B55" s="2">
        <v>115.40052498189719</v>
      </c>
      <c r="C55" s="2">
        <v>119.65847721913745</v>
      </c>
      <c r="D55" s="2">
        <v>106.72146803214763</v>
      </c>
      <c r="E55" s="2">
        <v>104.68527730310539</v>
      </c>
      <c r="F55" s="2">
        <v>93.85107122231561</v>
      </c>
      <c r="G55" s="2">
        <v>91.048189715674184</v>
      </c>
      <c r="H55" s="2">
        <v>104.31407696777144</v>
      </c>
      <c r="I55" s="2">
        <v>124.57021422115831</v>
      </c>
      <c r="J55" s="2">
        <v>114.48818841812715</v>
      </c>
      <c r="K55" s="2">
        <v>103.61336926074777</v>
      </c>
      <c r="L55" s="2">
        <v>92.468716316056216</v>
      </c>
      <c r="M55" s="2">
        <v>98.180441483012345</v>
      </c>
      <c r="N55" s="2">
        <v>76.580633360223629</v>
      </c>
      <c r="O55" s="2">
        <v>87.982093663911854</v>
      </c>
      <c r="P55" s="2">
        <v>82.889913240520869</v>
      </c>
      <c r="Q55" s="2">
        <v>110.90956222654967</v>
      </c>
      <c r="R55" s="2">
        <v>79.389732437575248</v>
      </c>
      <c r="S55" s="2">
        <v>94.440798725039841</v>
      </c>
      <c r="T55" s="2">
        <v>114.43666414332576</v>
      </c>
    </row>
    <row r="56" spans="1:20" x14ac:dyDescent="0.25">
      <c r="A56" s="2" t="s">
        <v>109</v>
      </c>
      <c r="B56" s="2">
        <v>9.4454652425778427</v>
      </c>
      <c r="C56" s="2">
        <v>12.642570548414087</v>
      </c>
      <c r="D56" s="2">
        <v>10.791292490321615</v>
      </c>
      <c r="E56" s="2">
        <v>8.0756980666171607</v>
      </c>
      <c r="F56" s="2">
        <v>11.27659274770989</v>
      </c>
      <c r="G56" s="2">
        <v>8.7418833562358813</v>
      </c>
      <c r="H56" s="2">
        <v>9.263638723714628</v>
      </c>
      <c r="I56" s="2">
        <v>8.8176311096997964</v>
      </c>
      <c r="J56" s="2">
        <v>12.563630820713515</v>
      </c>
      <c r="K56" s="2">
        <v>5.9233041042503958</v>
      </c>
      <c r="L56" s="2">
        <v>6.1202878170306017</v>
      </c>
      <c r="M56" s="2">
        <v>6.8637869906821782</v>
      </c>
      <c r="N56" s="2">
        <v>6.0396225353169619</v>
      </c>
      <c r="O56" s="2">
        <v>3.2866038294287732</v>
      </c>
      <c r="P56" s="2">
        <v>4.3960205491145565</v>
      </c>
      <c r="Q56" s="2">
        <v>9.7017020308034709</v>
      </c>
      <c r="R56" s="2">
        <v>6.449264106248302</v>
      </c>
      <c r="S56" s="2">
        <v>8.7083997375082021</v>
      </c>
      <c r="T56" s="2">
        <v>7.9668180671208679</v>
      </c>
    </row>
    <row r="57" spans="1:20" x14ac:dyDescent="0.25">
      <c r="A57" s="2" t="s">
        <v>108</v>
      </c>
      <c r="B57" s="2">
        <v>5.7041956220787586</v>
      </c>
      <c r="C57" s="2">
        <v>5.903038811648023</v>
      </c>
      <c r="D57" s="2">
        <v>6.2849061244568336</v>
      </c>
      <c r="E57" s="2">
        <v>6.4716076938226221</v>
      </c>
      <c r="F57" s="2">
        <v>7.1024152525919311</v>
      </c>
      <c r="G57" s="2">
        <v>7.3311523567899588</v>
      </c>
      <c r="H57" s="2">
        <v>5.6801589380840101</v>
      </c>
      <c r="I57" s="2">
        <v>5.4208592713542201</v>
      </c>
      <c r="J57" s="2">
        <v>6.425980433380988</v>
      </c>
      <c r="K57" s="2">
        <v>7.3599440253933581</v>
      </c>
      <c r="L57" s="2">
        <v>7.7024354875918659</v>
      </c>
      <c r="M57" s="2">
        <v>6.7157132885117017</v>
      </c>
      <c r="N57" s="2">
        <v>8.2801220871081824</v>
      </c>
      <c r="O57" s="2">
        <v>8.3729937941365282</v>
      </c>
      <c r="P57" s="2">
        <v>9.238627635060169</v>
      </c>
      <c r="Q57" s="2">
        <v>6.5724506247480852</v>
      </c>
      <c r="R57" s="2">
        <v>8.4245600158196563</v>
      </c>
      <c r="S57" s="2">
        <v>6.9045493197278915</v>
      </c>
      <c r="T57" s="2">
        <v>5.9583023082650781</v>
      </c>
    </row>
    <row r="58" spans="1:20" x14ac:dyDescent="0.25">
      <c r="A58" s="2" t="s">
        <v>107</v>
      </c>
      <c r="B58" s="2">
        <v>3.1628972230174637</v>
      </c>
      <c r="C58" s="2">
        <v>3.0503480278422272</v>
      </c>
      <c r="D58" s="2">
        <v>3.4201178706617048</v>
      </c>
      <c r="E58" s="2">
        <v>3.486641191608828</v>
      </c>
      <c r="F58" s="2">
        <v>3.8891404780600038</v>
      </c>
      <c r="G58" s="2">
        <v>4.0088660866275774</v>
      </c>
      <c r="H58" s="2">
        <v>3.4990483605848257</v>
      </c>
      <c r="I58" s="2">
        <v>2.9300744345834526</v>
      </c>
      <c r="J58" s="2">
        <v>3.1881018037159259</v>
      </c>
      <c r="K58" s="2">
        <v>3.5227114281117604</v>
      </c>
      <c r="L58" s="2">
        <v>3.947280924204001</v>
      </c>
      <c r="M58" s="2">
        <v>3.71764472115512</v>
      </c>
      <c r="N58" s="2">
        <v>4.7662180891491932</v>
      </c>
      <c r="O58" s="2">
        <v>4.1485714285714286</v>
      </c>
      <c r="P58" s="2">
        <v>4.4034308365226904</v>
      </c>
      <c r="Q58" s="2">
        <v>3.2909696213066999</v>
      </c>
      <c r="R58" s="2">
        <v>4.5975718621674702</v>
      </c>
      <c r="S58" s="2">
        <v>3.8648550724637682</v>
      </c>
      <c r="T58" s="2">
        <v>3.1895372233400403</v>
      </c>
    </row>
    <row r="59" spans="1:20" x14ac:dyDescent="0.25">
      <c r="A59" s="2" t="s">
        <v>106</v>
      </c>
      <c r="B59" s="2">
        <v>38.6428821266177</v>
      </c>
      <c r="C59" s="2">
        <v>28.870710952511665</v>
      </c>
      <c r="D59" s="2">
        <v>33.823566577160008</v>
      </c>
      <c r="E59" s="2">
        <v>45.197331176708452</v>
      </c>
      <c r="F59" s="2">
        <v>32.367933130699086</v>
      </c>
      <c r="G59" s="2">
        <v>41.753016498399411</v>
      </c>
      <c r="H59" s="2">
        <v>39.40136385776912</v>
      </c>
      <c r="I59" s="2">
        <v>41.394337714863497</v>
      </c>
      <c r="J59" s="2">
        <v>29.052111225540681</v>
      </c>
      <c r="K59" s="2">
        <v>61.621013133208258</v>
      </c>
      <c r="L59" s="2">
        <v>59.637718177948067</v>
      </c>
      <c r="M59" s="2">
        <v>53.17764092846992</v>
      </c>
      <c r="N59" s="2">
        <v>60.434240362811792</v>
      </c>
      <c r="O59" s="2">
        <v>111.05689001264223</v>
      </c>
      <c r="P59" s="2">
        <v>83.029639175257728</v>
      </c>
      <c r="Q59" s="2">
        <v>37.622264509990487</v>
      </c>
      <c r="R59" s="2">
        <v>56.595604395604397</v>
      </c>
      <c r="S59" s="2">
        <v>41.913555992141454</v>
      </c>
      <c r="T59" s="2">
        <v>45.815028901734102</v>
      </c>
    </row>
    <row r="60" spans="1:20" x14ac:dyDescent="0.25">
      <c r="A60" s="3" t="s">
        <v>105</v>
      </c>
      <c r="B60" s="3">
        <v>1.5191298333175105</v>
      </c>
      <c r="C60" s="3">
        <v>1.6459350307287095</v>
      </c>
      <c r="D60" s="3">
        <v>1.5607601454639075</v>
      </c>
      <c r="E60" s="3">
        <v>1.9695887275023682</v>
      </c>
      <c r="F60" s="3">
        <v>1.5007132667617689</v>
      </c>
      <c r="G60" s="3">
        <v>0.87866358530127486</v>
      </c>
      <c r="H60" s="3">
        <v>0.61064450534877557</v>
      </c>
      <c r="I60" s="3">
        <v>0.5556011834209077</v>
      </c>
      <c r="J60" s="3">
        <v>0.36070184338329092</v>
      </c>
      <c r="K60" s="3">
        <v>0.35623669580269629</v>
      </c>
      <c r="L60" s="3">
        <v>0.44735453060198566</v>
      </c>
      <c r="M60" s="3">
        <v>0.35420047155010892</v>
      </c>
      <c r="N60" s="3">
        <v>0.29977579745687943</v>
      </c>
      <c r="O60" s="3">
        <v>0.35304119786820065</v>
      </c>
      <c r="P60" s="3">
        <v>0.3383410559289956</v>
      </c>
      <c r="Q60" s="3">
        <v>0.29321420351112132</v>
      </c>
      <c r="R60" s="3">
        <v>0.26027180783817949</v>
      </c>
      <c r="S60" s="3">
        <v>0.2168004664304615</v>
      </c>
      <c r="T60" s="3">
        <v>0.24050371593724196</v>
      </c>
    </row>
    <row r="61" spans="1:20" x14ac:dyDescent="0.25">
      <c r="A61" s="2" t="s">
        <v>104</v>
      </c>
      <c r="B61" s="2">
        <v>0.85058701541960735</v>
      </c>
      <c r="C61" s="2">
        <v>0.61568910352811945</v>
      </c>
      <c r="D61" s="2">
        <v>0.69606448228560669</v>
      </c>
      <c r="E61" s="2">
        <v>0.66033697782857548</v>
      </c>
      <c r="F61" s="2">
        <v>0.66372190094263483</v>
      </c>
      <c r="G61" s="2">
        <v>0.42121656726766338</v>
      </c>
      <c r="H61" s="2">
        <v>0.56817763479588046</v>
      </c>
      <c r="I61" s="2">
        <v>0.67164415542954659</v>
      </c>
      <c r="J61" s="2">
        <v>0.61311129520156438</v>
      </c>
      <c r="K61" s="2">
        <v>0.61910280360165382</v>
      </c>
      <c r="L61" s="2">
        <v>0.49918126971761673</v>
      </c>
      <c r="M61" s="2">
        <v>0.40312562237370619</v>
      </c>
      <c r="N61" s="2">
        <v>0.35029936005911089</v>
      </c>
      <c r="O61" s="2">
        <v>0.35919866595629607</v>
      </c>
      <c r="P61" s="2">
        <v>0.2879527047670345</v>
      </c>
      <c r="Q61" s="2">
        <v>8.3291008908327857E-2</v>
      </c>
      <c r="R61" s="2">
        <v>4.8511320346801737E-2</v>
      </c>
      <c r="S61" s="2">
        <v>4.8572841599547834E-2</v>
      </c>
      <c r="T61" s="2">
        <v>4.0729185920570045E-2</v>
      </c>
    </row>
  </sheetData>
  <mergeCells count="1">
    <mergeCell ref="B4:T4"/>
  </mergeCells>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D5C1F0-1696-423C-90EF-8A5FF92F0F0B}">
  <sheetPr>
    <tabColor rgb="FFC6E0B4"/>
  </sheetPr>
  <dimension ref="A1:T40"/>
  <sheetViews>
    <sheetView workbookViewId="0"/>
  </sheetViews>
  <sheetFormatPr defaultRowHeight="15" x14ac:dyDescent="0.25"/>
  <cols>
    <col min="1" max="1" width="41.140625" bestFit="1" customWidth="1"/>
    <col min="2" max="2" width="14.7109375" bestFit="1" customWidth="1"/>
    <col min="3" max="12" width="9.42578125" bestFit="1" customWidth="1"/>
    <col min="13" max="16" width="10.140625" bestFit="1" customWidth="1"/>
    <col min="17" max="20" width="9.42578125" bestFit="1" customWidth="1"/>
  </cols>
  <sheetData>
    <row r="1" spans="1:20" x14ac:dyDescent="0.25">
      <c r="A1" s="10" t="s">
        <v>160</v>
      </c>
      <c r="B1" s="10"/>
      <c r="C1" s="10"/>
      <c r="D1" s="10"/>
      <c r="E1" s="10"/>
      <c r="F1" s="10"/>
      <c r="G1" s="10"/>
      <c r="H1" s="10"/>
      <c r="I1" s="10"/>
      <c r="J1" s="10"/>
      <c r="K1" s="10"/>
      <c r="L1" s="10"/>
      <c r="M1" s="10"/>
      <c r="N1" s="10"/>
      <c r="O1" s="10"/>
      <c r="P1" s="10"/>
      <c r="Q1" s="10"/>
      <c r="R1" s="10"/>
      <c r="S1" s="10"/>
      <c r="T1" s="10"/>
    </row>
    <row r="2" spans="1:20" x14ac:dyDescent="0.25">
      <c r="A2" t="s">
        <v>1</v>
      </c>
      <c r="B2" t="s">
        <v>2</v>
      </c>
    </row>
    <row r="3" spans="1:20" x14ac:dyDescent="0.25">
      <c r="A3" t="s">
        <v>3</v>
      </c>
      <c r="B3" t="str">
        <f>'AAPL - Income Statement FY'!B3</f>
        <v>USD</v>
      </c>
    </row>
    <row r="4" spans="1:20" x14ac:dyDescent="0.25">
      <c r="A4" t="s">
        <v>32</v>
      </c>
      <c r="B4" s="236" t="s">
        <v>33</v>
      </c>
      <c r="C4" s="236"/>
      <c r="D4" s="236"/>
      <c r="E4" s="236"/>
      <c r="F4" s="236"/>
      <c r="G4" s="236"/>
      <c r="H4" s="236"/>
      <c r="I4" s="236"/>
      <c r="J4" s="236"/>
      <c r="K4" s="236"/>
      <c r="L4" s="236"/>
      <c r="M4" s="236"/>
      <c r="N4" s="236"/>
      <c r="O4" s="236"/>
      <c r="P4" s="236"/>
      <c r="Q4" s="236"/>
      <c r="R4" s="236"/>
      <c r="S4" s="236"/>
      <c r="T4" s="236"/>
    </row>
    <row r="5" spans="1:20" x14ac:dyDescent="0.25">
      <c r="A5" t="s">
        <v>34</v>
      </c>
      <c r="B5" s="8">
        <v>45927</v>
      </c>
      <c r="C5" s="8">
        <v>45563</v>
      </c>
      <c r="D5" s="8">
        <v>45199</v>
      </c>
      <c r="E5" s="8">
        <v>44828</v>
      </c>
      <c r="F5" s="8">
        <v>44464</v>
      </c>
      <c r="G5" s="8">
        <v>44100</v>
      </c>
      <c r="H5" s="8">
        <v>43736</v>
      </c>
      <c r="I5" s="8">
        <v>43372</v>
      </c>
      <c r="J5" s="8">
        <v>43008</v>
      </c>
      <c r="K5" s="8">
        <v>42637</v>
      </c>
      <c r="L5" s="8">
        <v>42273</v>
      </c>
      <c r="M5" s="8">
        <v>41909</v>
      </c>
      <c r="N5" s="8">
        <v>41545</v>
      </c>
      <c r="O5" s="8">
        <v>41181</v>
      </c>
      <c r="P5" s="8">
        <v>40810</v>
      </c>
      <c r="Q5" s="8">
        <v>40446</v>
      </c>
      <c r="R5" s="8">
        <v>40082</v>
      </c>
      <c r="S5" s="8">
        <v>39718</v>
      </c>
      <c r="T5" s="8">
        <v>39354</v>
      </c>
    </row>
    <row r="7" spans="1:20" x14ac:dyDescent="0.25">
      <c r="A7" s="3" t="s">
        <v>194</v>
      </c>
      <c r="B7" s="3">
        <v>6.4255117828327393E-2</v>
      </c>
      <c r="C7" s="3">
        <v>2.0219940775141214E-2</v>
      </c>
      <c r="D7" s="3">
        <v>-2.8004605303199367E-2</v>
      </c>
      <c r="E7" s="3">
        <v>7.7937876041846058E-2</v>
      </c>
      <c r="F7" s="3">
        <v>0.33259384733074693</v>
      </c>
      <c r="G7" s="3">
        <v>5.5120803769784836E-2</v>
      </c>
      <c r="H7" s="3">
        <v>-2.0410775805267418E-2</v>
      </c>
      <c r="I7" s="3">
        <v>0.15861957650261305</v>
      </c>
      <c r="J7" s="3">
        <v>6.3045181993980681E-2</v>
      </c>
      <c r="K7" s="3">
        <v>-7.734206191301371E-2</v>
      </c>
      <c r="L7" s="3">
        <v>0.2785634180365984</v>
      </c>
      <c r="M7" s="3">
        <v>6.9539523725937621E-2</v>
      </c>
      <c r="N7" s="3">
        <v>9.202085516395328E-2</v>
      </c>
      <c r="O7" s="3">
        <v>0.44581474193756987</v>
      </c>
      <c r="P7" s="3">
        <v>0.65962437715599842</v>
      </c>
      <c r="Q7" s="3">
        <v>0.53099546980259604</v>
      </c>
      <c r="R7" s="3">
        <v>0.31170910434434557</v>
      </c>
      <c r="S7" s="3">
        <v>0.35295342830958926</v>
      </c>
      <c r="T7" s="3">
        <v>0.24286823712140823</v>
      </c>
    </row>
    <row r="8" spans="1:20" x14ac:dyDescent="0.25">
      <c r="A8" s="3" t="s">
        <v>193</v>
      </c>
      <c r="B8" s="3">
        <v>8.0350669404426533E-2</v>
      </c>
      <c r="C8" s="3">
        <v>6.8194717052522058E-2</v>
      </c>
      <c r="D8" s="3">
        <v>-9.5677530418896602E-3</v>
      </c>
      <c r="E8" s="3">
        <v>0.11741997958596143</v>
      </c>
      <c r="F8" s="3">
        <v>0.45619116582186819</v>
      </c>
      <c r="G8" s="3">
        <v>6.6712740873241722E-2</v>
      </c>
      <c r="H8" s="3">
        <v>-3.3847543671874231E-2</v>
      </c>
      <c r="I8" s="3">
        <v>0.15482049304878326</v>
      </c>
      <c r="J8" s="3">
        <v>4.6556614409645987E-2</v>
      </c>
      <c r="K8" s="3">
        <v>-0.10000427231751864</v>
      </c>
      <c r="L8" s="3">
        <v>0.32733175496547912</v>
      </c>
      <c r="M8" s="3">
        <v>9.6930206519034584E-2</v>
      </c>
      <c r="N8" s="3">
        <v>-6.3470332935248022E-2</v>
      </c>
      <c r="O8" s="3">
        <v>0.56698160573280387</v>
      </c>
      <c r="P8" s="3">
        <v>0.70604267248092201</v>
      </c>
      <c r="Q8" s="3">
        <v>0.52409209589366246</v>
      </c>
      <c r="R8" s="3">
        <v>0.51206819201435616</v>
      </c>
      <c r="S8" s="3">
        <v>0.36681383370125092</v>
      </c>
      <c r="T8" s="3">
        <v>0.45659163987138263</v>
      </c>
    </row>
    <row r="9" spans="1:20" x14ac:dyDescent="0.25">
      <c r="A9" s="3" t="s">
        <v>192</v>
      </c>
      <c r="B9" s="3">
        <v>7.4859294651172206E-2</v>
      </c>
      <c r="C9" s="3">
        <v>4.9426781905174688E-2</v>
      </c>
      <c r="D9" s="3">
        <v>-3.5768720192733174E-2</v>
      </c>
      <c r="E9" s="3">
        <v>9.1031005256946684E-2</v>
      </c>
      <c r="F9" s="3">
        <v>0.59870790692356068</v>
      </c>
      <c r="G9" s="3">
        <v>9.3921775135977371E-3</v>
      </c>
      <c r="H9" s="3">
        <v>-8.9699644090724034E-2</v>
      </c>
      <c r="I9" s="3">
        <v>0.14652472444738904</v>
      </c>
      <c r="J9" s="3">
        <v>5.7044629782899342E-2</v>
      </c>
      <c r="K9" s="3">
        <v>-0.14225644386194844</v>
      </c>
      <c r="L9" s="3">
        <v>0.35979356563387604</v>
      </c>
      <c r="M9" s="3">
        <v>7.1106162136366349E-2</v>
      </c>
      <c r="N9" s="3">
        <v>-9.8129584132847947E-2</v>
      </c>
      <c r="O9" s="3">
        <v>0.63025873410320132</v>
      </c>
      <c r="P9" s="3">
        <v>0.86048409029099815</v>
      </c>
      <c r="Q9" s="3">
        <v>0.61697449428320139</v>
      </c>
      <c r="R9" s="3">
        <v>0.64902102973168962</v>
      </c>
      <c r="S9" s="3">
        <v>0.56455638756523707</v>
      </c>
      <c r="T9" s="3">
        <v>0.79657562168772933</v>
      </c>
    </row>
    <row r="10" spans="1:20" x14ac:dyDescent="0.25">
      <c r="A10" s="3" t="s">
        <v>191</v>
      </c>
      <c r="B10" s="3">
        <v>7.9811063498246987E-2</v>
      </c>
      <c r="C10" s="3">
        <v>7.799581805933456E-2</v>
      </c>
      <c r="D10" s="3">
        <v>-4.3001749876503931E-2</v>
      </c>
      <c r="E10" s="3">
        <v>9.6265225013538444E-2</v>
      </c>
      <c r="F10" s="3">
        <v>0.64357048032826458</v>
      </c>
      <c r="G10" s="3">
        <v>3.6884091975598311E-2</v>
      </c>
      <c r="H10" s="3">
        <v>-9.8282038985584921E-2</v>
      </c>
      <c r="I10" s="3">
        <v>0.15574465310380803</v>
      </c>
      <c r="J10" s="3">
        <v>2.1991203518592562E-2</v>
      </c>
      <c r="K10" s="3">
        <v>-0.15732135336234732</v>
      </c>
      <c r="L10" s="3">
        <v>0.35668437994019392</v>
      </c>
      <c r="M10" s="3">
        <v>7.1511663503336806E-2</v>
      </c>
      <c r="N10" s="3">
        <v>-0.11299578211835412</v>
      </c>
      <c r="O10" s="3">
        <v>0.63483279076649901</v>
      </c>
      <c r="P10" s="3">
        <v>0.83791134076692952</v>
      </c>
      <c r="Q10" s="3">
        <v>0.61697449428320139</v>
      </c>
      <c r="R10" s="3">
        <v>0.81195219123505979</v>
      </c>
      <c r="S10" s="3">
        <v>0.42322522113858019</v>
      </c>
      <c r="T10" s="3">
        <v>0.79739094985731762</v>
      </c>
    </row>
    <row r="11" spans="1:20" x14ac:dyDescent="0.25">
      <c r="A11" s="3" t="s">
        <v>190</v>
      </c>
      <c r="B11" s="3">
        <v>0.19495177946573355</v>
      </c>
      <c r="C11" s="3">
        <v>-3.3599670086086914E-2</v>
      </c>
      <c r="D11" s="3">
        <v>-2.8135426790777834E-2</v>
      </c>
      <c r="E11" s="3">
        <v>5.4108576256865229E-2</v>
      </c>
      <c r="F11" s="3">
        <v>0.64916131055024295</v>
      </c>
      <c r="G11" s="3">
        <v>3.9000289561314606E-2</v>
      </c>
      <c r="H11" s="3">
        <v>-7.1811325191916811E-2</v>
      </c>
      <c r="I11" s="3">
        <v>0.23122582780087278</v>
      </c>
      <c r="J11" s="3">
        <v>5.8309803664061986E-2</v>
      </c>
      <c r="K11" s="3">
        <v>-0.14434206090571974</v>
      </c>
      <c r="L11" s="3">
        <v>0.35140470766894455</v>
      </c>
      <c r="M11" s="3">
        <v>6.677106677106677E-2</v>
      </c>
      <c r="N11" s="3">
        <v>-0.11252486042220784</v>
      </c>
      <c r="O11" s="3">
        <v>0.60994522027621323</v>
      </c>
      <c r="P11" s="3">
        <v>0.84985370727181897</v>
      </c>
      <c r="Q11" s="3">
        <v>0.70163934426229513</v>
      </c>
      <c r="R11" s="3">
        <v>0.70355812991311539</v>
      </c>
      <c r="S11" s="3">
        <v>0.38311874105865523</v>
      </c>
      <c r="T11" s="3">
        <v>0.75716440422322773</v>
      </c>
    </row>
    <row r="12" spans="1:20" x14ac:dyDescent="0.25">
      <c r="A12" s="3" t="s">
        <v>189</v>
      </c>
      <c r="B12" s="3">
        <v>0.22585924713584285</v>
      </c>
      <c r="C12" s="3">
        <v>-8.1168831168830884E-3</v>
      </c>
      <c r="D12" s="3">
        <v>1.6260162601625669E-3</v>
      </c>
      <c r="E12" s="3">
        <v>8.4656084656084735E-2</v>
      </c>
      <c r="F12" s="3">
        <v>0.71299093655589119</v>
      </c>
      <c r="G12" s="3">
        <v>0.1070234113712374</v>
      </c>
      <c r="H12" s="3">
        <v>-3.3333333333332624E-3</v>
      </c>
      <c r="I12" s="3">
        <v>0.29310344827586216</v>
      </c>
      <c r="J12" s="3">
        <v>0.11004784688995216</v>
      </c>
      <c r="K12" s="3">
        <v>-9.9137931034482762E-2</v>
      </c>
      <c r="L12" s="3">
        <v>0.43209876543209857</v>
      </c>
      <c r="M12" s="3">
        <v>0.132867132867133</v>
      </c>
      <c r="N12" s="3">
        <v>-0.10062893081761015</v>
      </c>
      <c r="O12" s="3">
        <v>0.59000000000000008</v>
      </c>
      <c r="P12" s="3">
        <v>0.81818181818181801</v>
      </c>
      <c r="Q12" s="3">
        <v>0.66666666666666674</v>
      </c>
      <c r="R12" s="3">
        <v>0.65</v>
      </c>
      <c r="S12" s="3">
        <v>0.42857142857142849</v>
      </c>
      <c r="T12" s="3">
        <v>0.66270783847981019</v>
      </c>
    </row>
    <row r="13" spans="1:20" x14ac:dyDescent="0.25">
      <c r="A13" s="3" t="s">
        <v>188</v>
      </c>
      <c r="B13" s="3">
        <v>0.2269736842105263</v>
      </c>
      <c r="C13" s="3">
        <v>-8.1566068515497268E-3</v>
      </c>
      <c r="D13" s="3">
        <v>3.2733224222585224E-3</v>
      </c>
      <c r="E13" s="3">
        <v>8.9126559714795009E-2</v>
      </c>
      <c r="F13" s="3">
        <v>0.71036585365853677</v>
      </c>
      <c r="G13" s="3">
        <v>0.10437710437710424</v>
      </c>
      <c r="H13" s="3">
        <v>-3.3557046979865056E-3</v>
      </c>
      <c r="I13" s="3">
        <v>0.29565217391304355</v>
      </c>
      <c r="J13" s="3">
        <v>0.10576923076923064</v>
      </c>
      <c r="K13" s="3">
        <v>-9.5652173913043384E-2</v>
      </c>
      <c r="L13" s="3">
        <v>0.42857142857142838</v>
      </c>
      <c r="M13" s="3">
        <v>0.13380281690140858</v>
      </c>
      <c r="N13" s="3">
        <v>-0.10126582278481021</v>
      </c>
      <c r="O13" s="3">
        <v>0.59595959595959602</v>
      </c>
      <c r="P13" s="3">
        <v>0.83333333333333315</v>
      </c>
      <c r="Q13" s="3">
        <v>0.68750000000000011</v>
      </c>
      <c r="R13" s="3">
        <v>0.68421052631578949</v>
      </c>
      <c r="S13" s="3">
        <v>0.35714285714285704</v>
      </c>
      <c r="T13" s="3">
        <v>0.73053152039555025</v>
      </c>
    </row>
    <row r="14" spans="1:20" x14ac:dyDescent="0.25">
      <c r="A14" s="3" t="s">
        <v>187</v>
      </c>
      <c r="B14" s="3">
        <v>-2.5761769441082424E-2</v>
      </c>
      <c r="C14" s="3">
        <v>-2.5434586166831519E-2</v>
      </c>
      <c r="D14" s="3">
        <v>-2.9090594249629207E-2</v>
      </c>
      <c r="E14" s="3">
        <v>-2.9058205865996313E-2</v>
      </c>
      <c r="F14" s="3">
        <v>-3.7508214414619906E-2</v>
      </c>
      <c r="G14" s="3">
        <v>-6.0592097940289753E-2</v>
      </c>
      <c r="H14" s="3">
        <v>-6.8116512628605255E-2</v>
      </c>
      <c r="I14" s="3">
        <v>-5.0192228000924627E-2</v>
      </c>
      <c r="J14" s="3">
        <v>-4.6351004054236845E-2</v>
      </c>
      <c r="K14" s="3">
        <v>-4.9118776463603131E-2</v>
      </c>
      <c r="L14" s="3">
        <v>-5.4580078914521102E-2</v>
      </c>
      <c r="M14" s="3">
        <v>-6.0479516441761305E-2</v>
      </c>
      <c r="N14" s="3">
        <v>-1.0149489310343479E-2</v>
      </c>
      <c r="O14" s="3">
        <v>1.1425381198545984E-2</v>
      </c>
      <c r="P14" s="3">
        <v>1.6270076479317049E-2</v>
      </c>
      <c r="Q14" s="3">
        <v>1.8415123563145661E-2</v>
      </c>
      <c r="R14" s="3">
        <v>1.2959388243087505E-2</v>
      </c>
      <c r="S14" s="3">
        <v>1.9657895815863337E-2</v>
      </c>
      <c r="T14" s="3">
        <v>2.4332290638117964E-2</v>
      </c>
    </row>
    <row r="15" spans="1:20" x14ac:dyDescent="0.25">
      <c r="A15" s="3" t="s">
        <v>186</v>
      </c>
      <c r="B15" s="3">
        <v>-2.618091334457634E-2</v>
      </c>
      <c r="C15" s="3">
        <v>-2.5577916068802831E-2</v>
      </c>
      <c r="D15" s="3">
        <v>-3.1439280320331865E-2</v>
      </c>
      <c r="E15" s="3">
        <v>-3.1965762776565959E-2</v>
      </c>
      <c r="F15" s="3">
        <v>-3.7841562180835994E-2</v>
      </c>
      <c r="G15" s="3">
        <v>-5.7402558404513054E-2</v>
      </c>
      <c r="H15" s="3">
        <v>-7.0237668818819751E-2</v>
      </c>
      <c r="I15" s="3">
        <v>-4.7905132288793784E-2</v>
      </c>
      <c r="J15" s="3">
        <v>-4.519569091106436E-2</v>
      </c>
      <c r="K15" s="3">
        <v>-5.0541086253245042E-2</v>
      </c>
      <c r="L15" s="3">
        <v>-5.3831804886207195E-2</v>
      </c>
      <c r="M15" s="3">
        <v>-6.1176539499150057E-2</v>
      </c>
      <c r="N15" s="3">
        <v>-1.4484207968497993E-2</v>
      </c>
      <c r="O15" s="3">
        <v>9.2988424490754607E-3</v>
      </c>
      <c r="P15" s="3">
        <v>1.2903545525305747E-2</v>
      </c>
      <c r="Q15" s="3">
        <v>1.9522494332080937E-2</v>
      </c>
      <c r="R15" s="3">
        <v>5.394852677913271E-3</v>
      </c>
      <c r="S15" s="3">
        <v>1.4446323592250914E-2</v>
      </c>
      <c r="T15" s="3">
        <v>1.3408149730036489E-2</v>
      </c>
    </row>
    <row r="16" spans="1:20" x14ac:dyDescent="0.25">
      <c r="A16" s="3" t="s">
        <v>185</v>
      </c>
      <c r="B16" s="3">
        <v>3.9042753816241157E-2</v>
      </c>
      <c r="C16" s="3">
        <v>4.0371570095532654E-2</v>
      </c>
      <c r="D16" s="3">
        <v>4.2731773310903005E-2</v>
      </c>
      <c r="E16" s="3">
        <v>5.6553487647927073E-2</v>
      </c>
      <c r="F16" s="3">
        <v>6.7451007042889255E-2</v>
      </c>
      <c r="G16" s="3">
        <v>6.1635301420547052E-2</v>
      </c>
      <c r="H16" s="3">
        <v>0.10494717879684691</v>
      </c>
      <c r="I16" s="3">
        <v>0.13059796297728576</v>
      </c>
      <c r="J16" s="3">
        <v>0.1020265386169228</v>
      </c>
      <c r="K16" s="3">
        <v>0.10523493774751208</v>
      </c>
      <c r="L16" s="3">
        <v>9.9085798838078831E-2</v>
      </c>
      <c r="M16" s="3">
        <v>0.12099689581847323</v>
      </c>
      <c r="N16" s="3">
        <v>3.2895171155058609</v>
      </c>
      <c r="O16" s="3">
        <v>0</v>
      </c>
      <c r="P16" s="3">
        <v>0</v>
      </c>
      <c r="Q16" s="3">
        <v>0</v>
      </c>
      <c r="R16" s="3">
        <v>0</v>
      </c>
      <c r="S16" s="3">
        <v>0</v>
      </c>
      <c r="T16" s="3">
        <v>0</v>
      </c>
    </row>
    <row r="17" spans="1:20" x14ac:dyDescent="0.25">
      <c r="A17" s="3" t="s">
        <v>184</v>
      </c>
      <c r="B17" s="3">
        <v>-5.7266561807634411E-2</v>
      </c>
      <c r="C17" s="3">
        <v>6.9755660693123944E-2</v>
      </c>
      <c r="D17" s="3">
        <v>-9.5029921981809401E-2</v>
      </c>
      <c r="E17" s="3">
        <v>0.17409984813241317</v>
      </c>
      <c r="F17" s="3">
        <v>0.28961003545132263</v>
      </c>
      <c r="G17" s="3">
        <v>0.16260033721952413</v>
      </c>
      <c r="H17" s="3">
        <v>-0.10386910142831314</v>
      </c>
      <c r="I17" s="3">
        <v>0.20566757493188012</v>
      </c>
      <c r="J17" s="3">
        <v>-3.0287931633223113E-2</v>
      </c>
      <c r="K17" s="3">
        <v>-0.18500972116260184</v>
      </c>
      <c r="L17" s="3">
        <v>0.36094317820240146</v>
      </c>
      <c r="M17" s="3">
        <v>0.11267841836544554</v>
      </c>
      <c r="N17" s="3">
        <v>5.5254050652823662E-2</v>
      </c>
      <c r="O17" s="3">
        <v>0.35511204668389779</v>
      </c>
      <c r="P17" s="3">
        <v>1.0182307071793493</v>
      </c>
      <c r="Q17" s="3">
        <v>0.83039669258785309</v>
      </c>
      <c r="R17" s="3">
        <v>5.8670279283034595E-2</v>
      </c>
      <c r="S17" s="3">
        <v>0.75429616087751372</v>
      </c>
      <c r="T17" s="3">
        <v>1.4639639639639639</v>
      </c>
    </row>
    <row r="18" spans="1:20" x14ac:dyDescent="0.25">
      <c r="A18" s="3" t="s">
        <v>183</v>
      </c>
      <c r="B18" s="3">
        <v>-9.2273475052156564E-2</v>
      </c>
      <c r="C18" s="3">
        <v>9.2615279562982003E-2</v>
      </c>
      <c r="D18" s="3">
        <v>-0.10641314393905404</v>
      </c>
      <c r="E18" s="3">
        <v>0.19891773261755941</v>
      </c>
      <c r="F18" s="3">
        <v>0.26699379813262453</v>
      </c>
      <c r="G18" s="3">
        <v>0.24567033414832926</v>
      </c>
      <c r="H18" s="3">
        <v>-8.1486564464060135E-2</v>
      </c>
      <c r="I18" s="3">
        <v>0.24676258992805755</v>
      </c>
      <c r="J18" s="3">
        <v>-2.3783763263291763E-2</v>
      </c>
      <c r="K18" s="3">
        <v>-0.24499125798962423</v>
      </c>
      <c r="L18" s="3">
        <v>0.39835671342685369</v>
      </c>
      <c r="M18" s="3">
        <v>0.11908499663601704</v>
      </c>
      <c r="N18" s="3">
        <v>7.5650118203309691E-2</v>
      </c>
      <c r="O18" s="3">
        <v>0.37826245968680389</v>
      </c>
      <c r="P18" s="3">
        <v>0.82572538545586982</v>
      </c>
      <c r="Q18" s="3">
        <v>0.84149340487368651</v>
      </c>
      <c r="R18" s="3">
        <v>6.5380493033226156E-2</v>
      </c>
      <c r="S18" s="3">
        <v>0.87265834076717219</v>
      </c>
      <c r="T18" s="3">
        <v>1.8688419705694177</v>
      </c>
    </row>
    <row r="19" spans="1:20" x14ac:dyDescent="0.25">
      <c r="A19" s="3" t="s">
        <v>182</v>
      </c>
      <c r="B19" s="3">
        <v>1.7413426413189617</v>
      </c>
      <c r="C19" s="3">
        <v>2.3937532854122625</v>
      </c>
      <c r="D19" s="3">
        <v>2.6905240454238135</v>
      </c>
      <c r="E19" s="3">
        <v>3.066903442902376</v>
      </c>
      <c r="F19" s="3">
        <v>4.2365122723132629</v>
      </c>
      <c r="G19" s="3">
        <v>5.1764939546899438</v>
      </c>
      <c r="H19" s="3">
        <v>7.2669080901796983</v>
      </c>
      <c r="I19" s="3">
        <v>9.1837147358628197</v>
      </c>
      <c r="J19" s="3">
        <v>10.077185870570869</v>
      </c>
      <c r="K19" s="3">
        <v>11.057312061586249</v>
      </c>
      <c r="L19" s="3">
        <v>15.501516983397861</v>
      </c>
      <c r="M19" s="3">
        <v>17.874589396645661</v>
      </c>
      <c r="N19" s="3">
        <v>20.462567234160868</v>
      </c>
      <c r="O19" s="3">
        <v>19.702896690741465</v>
      </c>
      <c r="P19" s="3">
        <v>14.095326431263693</v>
      </c>
      <c r="Q19" s="3">
        <v>4.8317532373410179</v>
      </c>
      <c r="R19" s="3">
        <v>3.4535805963523769</v>
      </c>
      <c r="S19" s="3">
        <v>2.2735865493103375</v>
      </c>
      <c r="T19" s="3">
        <v>0.97722565899229175</v>
      </c>
    </row>
    <row r="20" spans="1:20" x14ac:dyDescent="0.25">
      <c r="A20" s="3" t="s">
        <v>181</v>
      </c>
      <c r="B20" s="3">
        <v>0.75974686411665504</v>
      </c>
      <c r="C20" s="3">
        <v>0.80932922288584641</v>
      </c>
      <c r="D20" s="3">
        <v>0.81684202699800501</v>
      </c>
      <c r="E20" s="3">
        <v>1.213791990178702</v>
      </c>
      <c r="F20" s="3">
        <v>1.2227951619611697</v>
      </c>
      <c r="G20" s="3">
        <v>0.55780510095981384</v>
      </c>
      <c r="H20" s="3">
        <v>0.87569693922219904</v>
      </c>
      <c r="I20" s="3">
        <v>1.0312850487731844</v>
      </c>
      <c r="J20" s="3">
        <v>0.83707568775424412</v>
      </c>
      <c r="K20" s="3">
        <v>1.355823137428954</v>
      </c>
      <c r="L20" s="3">
        <v>2.9648695147322393</v>
      </c>
      <c r="M20" s="3">
        <v>3.4073794211168047</v>
      </c>
      <c r="N20" s="3">
        <v>4.0134345950182517</v>
      </c>
      <c r="O20" s="3">
        <v>5.0297928628690913</v>
      </c>
      <c r="P20" s="3">
        <v>4.1180888200058563</v>
      </c>
      <c r="Q20" s="3">
        <v>3.1619319178306582</v>
      </c>
      <c r="R20" s="3">
        <v>3.2824970562355054</v>
      </c>
      <c r="S20" s="3">
        <v>3.2810107177797407</v>
      </c>
      <c r="T20" s="3">
        <v>2.4334341430247122</v>
      </c>
    </row>
    <row r="21" spans="1:20" x14ac:dyDescent="0.25">
      <c r="A21" s="3" t="s">
        <v>180</v>
      </c>
      <c r="B21" s="3">
        <v>0.1448507983899727</v>
      </c>
      <c r="C21" s="3">
        <v>0.16350659288355199</v>
      </c>
      <c r="D21" s="3">
        <v>0.53881640471636549</v>
      </c>
      <c r="E21" s="3">
        <v>0.7264312385752475</v>
      </c>
      <c r="F21" s="3">
        <v>0.6346739129208202</v>
      </c>
      <c r="G21" s="3">
        <v>0.44024210476297349</v>
      </c>
      <c r="H21" s="3">
        <v>0.42938984948603443</v>
      </c>
      <c r="I21" s="3">
        <v>0.3194190849210401</v>
      </c>
      <c r="J21" s="3">
        <v>0.4627669647100775</v>
      </c>
      <c r="K21" s="3">
        <v>0.49383476073699789</v>
      </c>
      <c r="L21" s="3">
        <v>0.69843695691449226</v>
      </c>
      <c r="M21" s="3">
        <v>0.79527385763163627</v>
      </c>
      <c r="N21" s="3">
        <v>1.5753768581710637</v>
      </c>
      <c r="O21" s="3">
        <v>2.5093649440398749</v>
      </c>
      <c r="P21" s="3">
        <v>2.1790344316310271</v>
      </c>
      <c r="Q21" s="3">
        <v>1.5829911937285346</v>
      </c>
      <c r="R21" s="3">
        <v>1.0847696968338119</v>
      </c>
      <c r="S21" s="3">
        <v>1.137964092942469</v>
      </c>
      <c r="T21" s="3">
        <v>1.4924313958864301</v>
      </c>
    </row>
    <row r="22" spans="1:20" x14ac:dyDescent="0.25">
      <c r="A22" s="3" t="s">
        <v>179</v>
      </c>
      <c r="B22" s="3">
        <v>1.1119537209402253</v>
      </c>
      <c r="C22" s="3">
        <v>2.1417809176982403</v>
      </c>
      <c r="D22" s="3">
        <v>2.3897347101295439</v>
      </c>
      <c r="E22" s="3">
        <v>2.8770161967679373</v>
      </c>
      <c r="F22" s="3">
        <v>3.2956326768383648</v>
      </c>
      <c r="G22" s="3">
        <v>5.3668913164123762</v>
      </c>
      <c r="H22" s="3">
        <v>8.2463767114006572</v>
      </c>
      <c r="I22" s="3">
        <v>9.0491755872437487</v>
      </c>
      <c r="J22" s="3">
        <v>12.62031020318792</v>
      </c>
      <c r="K22" s="3">
        <v>31.22005240728279</v>
      </c>
      <c r="L22" s="3">
        <v>30.531925840418715</v>
      </c>
      <c r="M22" s="3">
        <v>53.652885659280209</v>
      </c>
      <c r="N22" s="3">
        <v>143.74291790597971</v>
      </c>
      <c r="O22" s="3">
        <v>433.02021047473221</v>
      </c>
      <c r="P22" s="3">
        <v>150.71260892948237</v>
      </c>
      <c r="Q22" s="3">
        <v>14.290709523966628</v>
      </c>
      <c r="R22" s="3">
        <v>6.9248682056922206</v>
      </c>
      <c r="S22" s="3">
        <v>6.4142848553452714</v>
      </c>
      <c r="T22" s="3">
        <v>19.715605691527482</v>
      </c>
    </row>
    <row r="23" spans="1:20" x14ac:dyDescent="0.25">
      <c r="A23" s="3" t="s">
        <v>178</v>
      </c>
      <c r="B23" s="3">
        <v>0.60408014128125775</v>
      </c>
      <c r="C23" s="3">
        <v>1.051533221923415</v>
      </c>
      <c r="D23" s="3">
        <v>0.79727606810740914</v>
      </c>
      <c r="E23" s="3">
        <v>1.4476602904429168</v>
      </c>
      <c r="F23" s="3">
        <v>1.0582283252332088</v>
      </c>
      <c r="G23" s="3">
        <v>0.31661359466323419</v>
      </c>
      <c r="H23" s="3">
        <v>0.53143068029513252</v>
      </c>
      <c r="I23" s="3">
        <v>0.88604008603922846</v>
      </c>
      <c r="J23" s="3">
        <v>0.5839682540530865</v>
      </c>
      <c r="K23" s="3">
        <v>1.0870535227677647</v>
      </c>
      <c r="L23" s="3">
        <v>3.8358085790849756</v>
      </c>
      <c r="M23" s="3">
        <v>5.0377376726047602</v>
      </c>
      <c r="N23" s="3">
        <v>4.3281876995241833</v>
      </c>
      <c r="O23" s="3">
        <v>7.5988530188884935</v>
      </c>
      <c r="P23" s="3">
        <v>14.438057556163617</v>
      </c>
      <c r="Q23" s="3">
        <v>5.5205074445657942</v>
      </c>
      <c r="R23" s="3">
        <v>8.0518814534223093</v>
      </c>
      <c r="S23" s="3">
        <v>26.165506560308586</v>
      </c>
      <c r="T23" s="3">
        <v>49.474198072853511</v>
      </c>
    </row>
    <row r="24" spans="1:20" x14ac:dyDescent="0.25">
      <c r="A24" s="3" t="s">
        <v>177</v>
      </c>
      <c r="B24" s="3">
        <v>-9.9597442833233105E-3</v>
      </c>
      <c r="C24" s="3">
        <v>0.23720294833900227</v>
      </c>
      <c r="D24" s="3">
        <v>0.51018001979494809</v>
      </c>
      <c r="E24" s="3">
        <v>1.0051619005026309</v>
      </c>
      <c r="F24" s="3">
        <v>0.59458415276795806</v>
      </c>
      <c r="G24" s="3">
        <v>0.51069897163745548</v>
      </c>
      <c r="H24" s="3">
        <v>0.24124051471413757</v>
      </c>
      <c r="I24" s="3">
        <v>0.10629834766819707</v>
      </c>
      <c r="J24" s="3">
        <v>0.25457215830917196</v>
      </c>
      <c r="K24" s="3">
        <v>0.46118367715229508</v>
      </c>
      <c r="L24" s="3">
        <v>0.81746506507585759</v>
      </c>
      <c r="M24" s="3">
        <v>0.69157861480023008</v>
      </c>
      <c r="N24" s="3">
        <v>1.8365500183595391</v>
      </c>
      <c r="O24" s="3">
        <v>3.7821523972099018</v>
      </c>
      <c r="P24" s="3">
        <v>2.7303599598268162</v>
      </c>
      <c r="Q24" s="3">
        <v>2.2317480532922662</v>
      </c>
      <c r="R24" s="3">
        <v>3.325243896327688</v>
      </c>
      <c r="S24" s="3">
        <v>2.4713014170368508</v>
      </c>
      <c r="T24" s="3">
        <v>4.0340989079190921</v>
      </c>
    </row>
    <row r="25" spans="1:20" x14ac:dyDescent="0.25">
      <c r="A25" s="3" t="s">
        <v>176</v>
      </c>
      <c r="B25" s="3">
        <v>2.2296307380063842</v>
      </c>
      <c r="C25" s="3">
        <v>2.7638155809354301</v>
      </c>
      <c r="D25" s="3">
        <v>3.3097019469393576</v>
      </c>
      <c r="E25" s="3">
        <v>2.8601730801298997</v>
      </c>
      <c r="F25" s="3">
        <v>4.6596800145648611</v>
      </c>
      <c r="G25" s="3">
        <v>5.0124851669880481</v>
      </c>
      <c r="H25" s="3">
        <v>8.0831238707283468</v>
      </c>
      <c r="I25" s="3">
        <v>14.33647360787595</v>
      </c>
      <c r="J25" s="3">
        <v>15.048279988171211</v>
      </c>
      <c r="K25" s="3">
        <v>23.807086605203267</v>
      </c>
      <c r="L25" s="3">
        <v>38.547037748299658</v>
      </c>
      <c r="M25" s="3">
        <v>125.97448966603805</v>
      </c>
      <c r="N25" s="3">
        <v>417.3913052092492</v>
      </c>
      <c r="O25" s="3">
        <v>486.66772077208589</v>
      </c>
      <c r="P25" s="3">
        <v>776.45198220465022</v>
      </c>
      <c r="Q25" s="3">
        <v>11.725057592399864</v>
      </c>
      <c r="R25" s="3">
        <v>7.7862192654146174</v>
      </c>
      <c r="S25" s="3">
        <v>8.3676120672660126</v>
      </c>
      <c r="T25" s="3">
        <v>2.950571704967651</v>
      </c>
    </row>
    <row r="26" spans="1:20" x14ac:dyDescent="0.25">
      <c r="A26" s="3" t="s">
        <v>175</v>
      </c>
      <c r="B26" s="3">
        <v>1.2647308040734611</v>
      </c>
      <c r="C26" s="3">
        <v>1.0421744314966246</v>
      </c>
      <c r="D26" s="3">
        <v>1.051263292954884</v>
      </c>
      <c r="E26" s="3">
        <v>1.6564176904593655</v>
      </c>
      <c r="F26" s="3">
        <v>1.7153666269839061</v>
      </c>
      <c r="G26" s="3">
        <v>0.42605502260904682</v>
      </c>
      <c r="H26" s="3">
        <v>0.84304314209687081</v>
      </c>
      <c r="I26" s="3">
        <v>1.1009989121051105</v>
      </c>
      <c r="J26" s="3">
        <v>0.45314989204968464</v>
      </c>
      <c r="K26" s="3">
        <v>1.0843152295980565</v>
      </c>
      <c r="L26" s="3">
        <v>3.2161663271504586</v>
      </c>
      <c r="M26" s="3">
        <v>3.9283294911882942</v>
      </c>
      <c r="N26" s="3">
        <v>6.2996104469704202</v>
      </c>
      <c r="O26" s="3">
        <v>10.043788446032176</v>
      </c>
      <c r="P26" s="3">
        <v>10.901792134382243</v>
      </c>
      <c r="Q26" s="3">
        <v>8.3798571212981425</v>
      </c>
      <c r="R26" s="3">
        <v>24.764204664697164</v>
      </c>
      <c r="S26" s="3">
        <v>56.316936054155519</v>
      </c>
      <c r="T26" s="3">
        <v>43.157647817610595</v>
      </c>
    </row>
    <row r="27" spans="1:20" x14ac:dyDescent="0.25">
      <c r="A27" s="3" t="s">
        <v>174</v>
      </c>
      <c r="B27" s="3">
        <v>0.21747017302582256</v>
      </c>
      <c r="C27" s="3">
        <v>7.7619071627868838E-2</v>
      </c>
      <c r="D27" s="3">
        <v>0.86202411002835566</v>
      </c>
      <c r="E27" s="3">
        <v>1.0574046479668893</v>
      </c>
      <c r="F27" s="3">
        <v>0.88756629735791692</v>
      </c>
      <c r="G27" s="3">
        <v>0.4280325500122949</v>
      </c>
      <c r="H27" s="3">
        <v>0.43285060206892073</v>
      </c>
      <c r="I27" s="3">
        <v>0.29449439447629178</v>
      </c>
      <c r="J27" s="3">
        <v>0.42744325960947943</v>
      </c>
      <c r="K27" s="3">
        <v>0.46049328951215684</v>
      </c>
      <c r="L27" s="3">
        <v>0.45516499222954854</v>
      </c>
      <c r="M27" s="3">
        <v>0.62042453777461515</v>
      </c>
      <c r="N27" s="3">
        <v>1.5977184686913899</v>
      </c>
      <c r="O27" s="3">
        <v>3.84114594909994</v>
      </c>
      <c r="P27" s="3">
        <v>4.1148846980833254</v>
      </c>
      <c r="Q27" s="3">
        <v>2.8116461926009055</v>
      </c>
      <c r="R27" s="3">
        <v>2.913284623629286</v>
      </c>
      <c r="S27" s="3">
        <v>2.3380175907599878</v>
      </c>
      <c r="T27" s="3">
        <v>10.293975401085573</v>
      </c>
    </row>
    <row r="28" spans="1:20" x14ac:dyDescent="0.25">
      <c r="A28" s="3" t="s">
        <v>173</v>
      </c>
      <c r="B28" s="3">
        <v>-4.893583739091923E-2</v>
      </c>
      <c r="C28" s="3">
        <v>-0.19003774225234785</v>
      </c>
      <c r="D28" s="3">
        <v>-0.17223390044906281</v>
      </c>
      <c r="E28" s="3">
        <v>-0.30807883434842481</v>
      </c>
      <c r="F28" s="3">
        <v>0.27599465851333094</v>
      </c>
      <c r="G28" s="3">
        <v>1.006394800982171</v>
      </c>
      <c r="H28" s="3">
        <v>2.871452293347537</v>
      </c>
      <c r="I28" s="3">
        <v>4.9844268349354426</v>
      </c>
      <c r="J28" s="3">
        <v>9.7004470377909033</v>
      </c>
      <c r="K28" s="3">
        <v>12.87290204198254</v>
      </c>
      <c r="L28" s="3">
        <v>14.804774302962583</v>
      </c>
      <c r="M28" s="3">
        <v>17.785699204911602</v>
      </c>
      <c r="N28" s="3">
        <v>21.804160712111287</v>
      </c>
      <c r="O28" s="3">
        <v>20.925932495455147</v>
      </c>
      <c r="P28" s="3">
        <v>13.616862168286959</v>
      </c>
      <c r="Q28" s="3">
        <v>7.3056302971917404</v>
      </c>
      <c r="R28" s="3">
        <v>5.5362351460711459</v>
      </c>
      <c r="S28" s="3">
        <v>7.1311881752531869</v>
      </c>
      <c r="T28" s="3">
        <v>6.0627717876338707</v>
      </c>
    </row>
    <row r="29" spans="1:20" x14ac:dyDescent="0.25">
      <c r="A29" s="3" t="s">
        <v>172</v>
      </c>
      <c r="B29" s="3">
        <v>0.30991864184758822</v>
      </c>
      <c r="C29" s="3">
        <v>-0.24235004889283715</v>
      </c>
      <c r="D29" s="3">
        <v>-0.26978894458196756</v>
      </c>
      <c r="E29" s="3">
        <v>-0.51351531192009969</v>
      </c>
      <c r="F29" s="3">
        <v>-0.35543100969786007</v>
      </c>
      <c r="G29" s="3">
        <v>-0.27395173087418428</v>
      </c>
      <c r="H29" s="3">
        <v>6.9045482764230004E-2</v>
      </c>
      <c r="I29" s="3">
        <v>0.13359842118119711</v>
      </c>
      <c r="J29" s="3">
        <v>0.42228765386739969</v>
      </c>
      <c r="K29" s="3">
        <v>0.97960913061488109</v>
      </c>
      <c r="L29" s="3">
        <v>1.7634454709160474</v>
      </c>
      <c r="M29" s="3">
        <v>2.6214102727763517</v>
      </c>
      <c r="N29" s="3">
        <v>4.2791418222863564</v>
      </c>
      <c r="O29" s="3">
        <v>6.5234056969382284</v>
      </c>
      <c r="P29" s="3">
        <v>6.0078996037331436</v>
      </c>
      <c r="Q29" s="3">
        <v>4.7192278513545274</v>
      </c>
      <c r="R29" s="3">
        <v>4.1873987728293356</v>
      </c>
      <c r="S29" s="3">
        <v>3.3196719239179249</v>
      </c>
      <c r="T29" s="3">
        <v>1.9143626408952343</v>
      </c>
    </row>
    <row r="30" spans="1:20" x14ac:dyDescent="0.25">
      <c r="A30" s="3" t="s">
        <v>171</v>
      </c>
      <c r="B30" s="3">
        <v>0.57847965083102559</v>
      </c>
      <c r="C30" s="3">
        <v>-1.7459858915902907E-2</v>
      </c>
      <c r="D30" s="3">
        <v>4.8266631608940624E-2</v>
      </c>
      <c r="E30" s="3">
        <v>-0.3621293491290547</v>
      </c>
      <c r="F30" s="3">
        <v>-0.30117625276916987</v>
      </c>
      <c r="G30" s="3">
        <v>-0.41377566816523792</v>
      </c>
      <c r="H30" s="3">
        <v>-0.16410618684205286</v>
      </c>
      <c r="I30" s="3">
        <v>4.2290674476722558E-2</v>
      </c>
      <c r="J30" s="3">
        <v>0.40171469855072989</v>
      </c>
      <c r="K30" s="3">
        <v>0.22901583610694989</v>
      </c>
      <c r="L30" s="3">
        <v>0.14838043835452411</v>
      </c>
      <c r="M30" s="3">
        <v>0.54786961960991032</v>
      </c>
      <c r="N30" s="3">
        <v>1.5408587291075055</v>
      </c>
      <c r="O30" s="3">
        <v>2.5690276822908249</v>
      </c>
      <c r="P30" s="3">
        <v>2.2774898843940812</v>
      </c>
      <c r="Q30" s="3">
        <v>2.1264347435467528</v>
      </c>
      <c r="R30" s="3">
        <v>1.9953289124512188</v>
      </c>
      <c r="S30" s="3">
        <v>1.7526727826333182</v>
      </c>
      <c r="T30" s="3">
        <v>1.4608495892816085</v>
      </c>
    </row>
    <row r="31" spans="1:20" x14ac:dyDescent="0.25">
      <c r="A31" s="3" t="s">
        <v>170</v>
      </c>
      <c r="B31" s="3">
        <v>1.0535518165116085</v>
      </c>
      <c r="C31" s="3">
        <v>1.1722201809466772</v>
      </c>
      <c r="D31" s="3">
        <v>1.3405599978590987</v>
      </c>
      <c r="E31" s="3">
        <v>8.6284321890433624</v>
      </c>
      <c r="F31" s="3">
        <v>0</v>
      </c>
      <c r="G31" s="3">
        <v>0</v>
      </c>
      <c r="H31" s="3">
        <v>0</v>
      </c>
      <c r="I31" s="3">
        <v>0</v>
      </c>
      <c r="J31" s="3">
        <v>0</v>
      </c>
      <c r="K31" s="3">
        <v>0</v>
      </c>
      <c r="L31" s="3">
        <v>0</v>
      </c>
      <c r="M31" s="3">
        <v>0</v>
      </c>
      <c r="N31" s="3">
        <v>0</v>
      </c>
      <c r="O31" s="3">
        <v>0</v>
      </c>
      <c r="P31" s="3">
        <v>0</v>
      </c>
      <c r="Q31" s="3">
        <v>0</v>
      </c>
      <c r="R31" s="3">
        <v>0</v>
      </c>
      <c r="S31" s="3">
        <v>0</v>
      </c>
      <c r="T31" s="3">
        <v>0</v>
      </c>
    </row>
    <row r="32" spans="1:20" x14ac:dyDescent="0.25">
      <c r="A32" s="3" t="s">
        <v>169</v>
      </c>
      <c r="B32" s="3">
        <v>0.27125870644623568</v>
      </c>
      <c r="C32" s="3">
        <v>0.29890046876764864</v>
      </c>
      <c r="D32" s="3">
        <v>0.3795229029287352</v>
      </c>
      <c r="E32" s="3">
        <v>0.49576892529072369</v>
      </c>
      <c r="F32" s="3">
        <v>0.56014538835934047</v>
      </c>
      <c r="G32" s="3">
        <v>0.6153689300994043</v>
      </c>
      <c r="H32" s="3">
        <v>0.67235306567223252</v>
      </c>
      <c r="I32" s="3">
        <v>0.69664453768043744</v>
      </c>
      <c r="J32" s="3">
        <v>5.4371120607228427</v>
      </c>
      <c r="K32" s="3">
        <v>0</v>
      </c>
      <c r="L32" s="3">
        <v>0</v>
      </c>
      <c r="M32" s="3">
        <v>0</v>
      </c>
      <c r="N32" s="3">
        <v>0</v>
      </c>
      <c r="O32" s="3">
        <v>0</v>
      </c>
      <c r="P32" s="3">
        <v>0</v>
      </c>
      <c r="Q32" s="3">
        <v>0</v>
      </c>
      <c r="R32" s="3">
        <v>0</v>
      </c>
      <c r="S32" s="3">
        <v>0</v>
      </c>
      <c r="T32" s="3">
        <v>0</v>
      </c>
    </row>
    <row r="33" spans="1:20" x14ac:dyDescent="0.25">
      <c r="A33" s="3" t="s">
        <v>168</v>
      </c>
      <c r="B33" s="3">
        <v>0.12718318394130193</v>
      </c>
      <c r="C33" s="3">
        <v>0.14617932692103452</v>
      </c>
      <c r="D33" s="3">
        <v>0.17601279383408341</v>
      </c>
      <c r="E33" s="3">
        <v>0.19733255359833798</v>
      </c>
      <c r="F33" s="3">
        <v>0.25217439783887663</v>
      </c>
      <c r="G33" s="3">
        <v>0.32624899330116186</v>
      </c>
      <c r="H33" s="3">
        <v>0.3767077879533392</v>
      </c>
      <c r="I33" s="3">
        <v>0.3770663209185669</v>
      </c>
      <c r="J33" s="3">
        <v>0.33868456068517128</v>
      </c>
      <c r="K33" s="3">
        <v>0.36172876461901687</v>
      </c>
      <c r="L33" s="3">
        <v>4.2849929395231632</v>
      </c>
      <c r="M33" s="3">
        <v>0</v>
      </c>
      <c r="N33" s="3">
        <v>0</v>
      </c>
      <c r="O33" s="3">
        <v>0</v>
      </c>
      <c r="P33" s="3">
        <v>0</v>
      </c>
      <c r="Q33" s="3">
        <v>0</v>
      </c>
      <c r="R33" s="3">
        <v>0</v>
      </c>
      <c r="S33" s="3">
        <v>0</v>
      </c>
      <c r="T33" s="3">
        <v>0</v>
      </c>
    </row>
    <row r="34" spans="1:20" x14ac:dyDescent="0.25">
      <c r="A34" s="3" t="s">
        <v>167</v>
      </c>
      <c r="B34" s="3">
        <v>0.10135410533943209</v>
      </c>
      <c r="C34" s="3">
        <v>8.621792243994425E-2</v>
      </c>
      <c r="D34" s="3">
        <v>8.6982209676360529E-4</v>
      </c>
      <c r="E34" s="3">
        <v>0.18300780491593213</v>
      </c>
      <c r="F34" s="3">
        <v>0.37551074909867804</v>
      </c>
      <c r="G34" s="3">
        <v>-0.18249497860448868</v>
      </c>
      <c r="H34" s="3">
        <v>-6.5129094805592411E-2</v>
      </c>
      <c r="I34" s="3">
        <v>0.37344770554761303</v>
      </c>
      <c r="J34" s="3">
        <v>0.21755008703368717</v>
      </c>
      <c r="K34" s="3">
        <v>-3.4406617671291564E-2</v>
      </c>
      <c r="L34" s="3">
        <v>0.1147727690216393</v>
      </c>
      <c r="M34" s="3">
        <v>0.31868611016908094</v>
      </c>
      <c r="N34" s="3">
        <v>0.1042692060774663</v>
      </c>
      <c r="O34" s="3">
        <v>0.595288896475207</v>
      </c>
      <c r="P34" s="3">
        <v>0.18067311567916164</v>
      </c>
      <c r="Q34" s="3">
        <v>0.96242831718410127</v>
      </c>
      <c r="R34" s="3">
        <v>7.5042517006802714E-2</v>
      </c>
      <c r="S34" s="3">
        <v>0.16753536857781087</v>
      </c>
      <c r="T34" s="3">
        <v>0.41616871704745168</v>
      </c>
    </row>
    <row r="35" spans="1:20" x14ac:dyDescent="0.25">
      <c r="A35" s="3" t="s">
        <v>165</v>
      </c>
      <c r="B35" s="3">
        <v>-1.5724149268453065E-2</v>
      </c>
      <c r="C35" s="3">
        <v>3.5160515396374756E-2</v>
      </c>
      <c r="D35" s="3">
        <v>-4.8759053734178114E-4</v>
      </c>
      <c r="E35" s="3">
        <v>4.9942735369029236E-3</v>
      </c>
      <c r="F35" s="3">
        <v>8.3714123400681711E-2</v>
      </c>
      <c r="G35" s="3">
        <v>-4.3212137683300053E-2</v>
      </c>
      <c r="H35" s="3">
        <v>-7.4397429762799921E-2</v>
      </c>
      <c r="I35" s="3">
        <v>-2.5562255041711186E-2</v>
      </c>
      <c r="J35" s="3">
        <v>0.16672469426708031</v>
      </c>
      <c r="K35" s="3">
        <v>0.10794399765795863</v>
      </c>
      <c r="L35" s="3">
        <v>0.25235616095652585</v>
      </c>
      <c r="M35" s="3">
        <v>0.11999516908212561</v>
      </c>
      <c r="N35" s="3">
        <v>0.17570883315158126</v>
      </c>
      <c r="O35" s="3">
        <v>0.51295425836333797</v>
      </c>
      <c r="P35" s="3">
        <v>0.54783661200005318</v>
      </c>
      <c r="Q35" s="3">
        <v>0.5827666785962401</v>
      </c>
      <c r="R35" s="3">
        <v>0.31323435901689201</v>
      </c>
      <c r="S35" s="3">
        <v>0.42703278494496388</v>
      </c>
      <c r="T35" s="3">
        <v>0.47323452484742806</v>
      </c>
    </row>
    <row r="36" spans="1:20" x14ac:dyDescent="0.25">
      <c r="A36" s="3" t="s">
        <v>166</v>
      </c>
      <c r="B36" s="3">
        <v>-0.21520724677463629</v>
      </c>
      <c r="C36" s="3">
        <v>0.15084504817564365</v>
      </c>
      <c r="D36" s="3">
        <v>0.28002426202992314</v>
      </c>
      <c r="E36" s="3">
        <v>-0.24832826747720366</v>
      </c>
      <c r="F36" s="3">
        <v>0.62029056882541245</v>
      </c>
      <c r="G36" s="3">
        <v>-1.0959571358986848E-2</v>
      </c>
      <c r="H36" s="3">
        <v>3.7917087967644085E-2</v>
      </c>
      <c r="I36" s="3">
        <v>-0.18516992790937178</v>
      </c>
      <c r="J36" s="3">
        <v>1.2772045028142589</v>
      </c>
      <c r="K36" s="3">
        <v>-9.2379736057896983E-2</v>
      </c>
      <c r="L36" s="3">
        <v>0.11274277593557555</v>
      </c>
      <c r="M36" s="3">
        <v>0.19671201814058956</v>
      </c>
      <c r="N36" s="3">
        <v>1.2300884955752212</v>
      </c>
      <c r="O36" s="3">
        <v>1.9329896907216496E-2</v>
      </c>
      <c r="P36" s="3">
        <v>-0.26165556612749763</v>
      </c>
      <c r="Q36" s="3">
        <v>1.3098901098901099</v>
      </c>
      <c r="R36" s="3">
        <v>-0.10609037328094302</v>
      </c>
      <c r="S36" s="3">
        <v>0.47109826589595377</v>
      </c>
      <c r="T36" s="3">
        <v>0.2814814814814815</v>
      </c>
    </row>
    <row r="37" spans="1:20" x14ac:dyDescent="0.25">
      <c r="A37" s="3" t="s">
        <v>164</v>
      </c>
      <c r="B37" s="3">
        <v>0.32893276214270689</v>
      </c>
      <c r="C37" s="3">
        <v>-5.9693251557224776E-2</v>
      </c>
      <c r="D37" s="3">
        <v>0.26318344802395743</v>
      </c>
      <c r="E37" s="3">
        <v>-0.17279276744584973</v>
      </c>
      <c r="F37" s="3">
        <v>3.2080590434590424E-3</v>
      </c>
      <c r="G37" s="3">
        <v>-0.23135238319687973</v>
      </c>
      <c r="H37" s="3">
        <v>-9.3747208465165474E-2</v>
      </c>
      <c r="I37" s="3">
        <v>-0.15843590542760705</v>
      </c>
      <c r="J37" s="3">
        <v>9.6010098000216038E-2</v>
      </c>
      <c r="K37" s="3">
        <v>0.13002252016521565</v>
      </c>
      <c r="L37" s="3">
        <v>0.13176946702213288</v>
      </c>
      <c r="M37" s="3">
        <v>-3.9024297620543609E-2</v>
      </c>
      <c r="N37" s="3">
        <v>5.5882047190226693E-2</v>
      </c>
      <c r="O37" s="3">
        <v>0.52548015962009986</v>
      </c>
      <c r="P37" s="3">
        <v>0.5774607052927424</v>
      </c>
      <c r="Q37" s="3">
        <v>0.48314906786633066</v>
      </c>
      <c r="R37" s="3">
        <v>0.40087055553169493</v>
      </c>
      <c r="S37" s="3">
        <v>0.50475764367423992</v>
      </c>
      <c r="T37" s="3">
        <v>0.42095378565788449</v>
      </c>
    </row>
    <row r="38" spans="1:20" x14ac:dyDescent="0.25">
      <c r="A38" s="3" t="s">
        <v>163</v>
      </c>
      <c r="B38" s="3">
        <v>-5.6123434599652272E-2</v>
      </c>
      <c r="C38" s="3">
        <v>-3.9304446058258696E-2</v>
      </c>
      <c r="D38" s="3">
        <v>-6.4538043478260865E-2</v>
      </c>
      <c r="E38" s="3">
        <v>-2.9606949795637334E-2</v>
      </c>
      <c r="F38" s="3">
        <v>0.11648865699471696</v>
      </c>
      <c r="G38" s="3">
        <v>0.1317111997556619</v>
      </c>
      <c r="H38" s="3">
        <v>-5.6217953757326418E-2</v>
      </c>
      <c r="I38" s="3">
        <v>-1.0347510373443983E-2</v>
      </c>
      <c r="J38" s="3">
        <v>0.3291662836657781</v>
      </c>
      <c r="K38" s="3">
        <v>0.35294117647058826</v>
      </c>
      <c r="L38" s="3">
        <v>0.82258110213911317</v>
      </c>
      <c r="M38" s="3">
        <v>1.0810731132075471</v>
      </c>
      <c r="N38" s="3">
        <v>0</v>
      </c>
      <c r="O38" s="3">
        <v>0</v>
      </c>
      <c r="P38" s="3">
        <v>0</v>
      </c>
      <c r="Q38" s="3">
        <v>0</v>
      </c>
      <c r="R38" s="3">
        <v>0</v>
      </c>
      <c r="S38" s="3">
        <v>0</v>
      </c>
      <c r="T38" s="3">
        <v>0</v>
      </c>
    </row>
    <row r="39" spans="1:20" x14ac:dyDescent="0.25">
      <c r="A39" s="3" t="s">
        <v>162</v>
      </c>
      <c r="B39" s="3">
        <v>0.10137073637233025</v>
      </c>
      <c r="C39" s="3">
        <v>4.8637807120173827E-2</v>
      </c>
      <c r="D39" s="3">
        <v>0.13957563521389663</v>
      </c>
      <c r="E39" s="3">
        <v>0.19791001186456147</v>
      </c>
      <c r="F39" s="3">
        <v>0.16862201365187712</v>
      </c>
      <c r="G39" s="3">
        <v>0.15631744465684158</v>
      </c>
      <c r="H39" s="3">
        <v>0.13915425681371171</v>
      </c>
      <c r="I39" s="3">
        <v>0.22925481391935065</v>
      </c>
      <c r="J39" s="3">
        <v>0.15291189646590345</v>
      </c>
      <c r="K39" s="3">
        <v>0.24519647948431883</v>
      </c>
      <c r="L39" s="3">
        <v>0.33537493792418471</v>
      </c>
      <c r="M39" s="3">
        <v>0.34994413407821229</v>
      </c>
      <c r="N39" s="3">
        <v>0.3235729074238391</v>
      </c>
      <c r="O39" s="3">
        <v>0.39193083573487031</v>
      </c>
      <c r="P39" s="3">
        <v>0.36307519640852975</v>
      </c>
      <c r="Q39" s="3">
        <v>0.33683420855213803</v>
      </c>
      <c r="R39" s="3">
        <v>0.20198376916140667</v>
      </c>
      <c r="S39" s="3">
        <v>0.41815856777493604</v>
      </c>
      <c r="T39" s="3">
        <v>9.8314606741573038E-2</v>
      </c>
    </row>
    <row r="40" spans="1:20" x14ac:dyDescent="0.25">
      <c r="A40" s="3" t="s">
        <v>161</v>
      </c>
      <c r="B40" s="3">
        <v>5.7631145342376518E-2</v>
      </c>
      <c r="C40" s="3">
        <v>4.6727097705759668E-2</v>
      </c>
      <c r="D40" s="3">
        <v>-6.4557264684785209E-3</v>
      </c>
      <c r="E40" s="3">
        <v>0.14203795567287125</v>
      </c>
      <c r="F40" s="3">
        <v>0.10328379192608958</v>
      </c>
      <c r="G40" s="3">
        <v>9.1586736092080026E-2</v>
      </c>
      <c r="H40" s="3">
        <v>9.2187967674349003E-2</v>
      </c>
      <c r="I40" s="3">
        <v>9.4620273900792876E-2</v>
      </c>
      <c r="J40" s="3">
        <v>7.5172608144286321E-2</v>
      </c>
      <c r="K40" s="3">
        <v>-9.421452997417824E-3</v>
      </c>
      <c r="L40" s="3">
        <v>0.19478028850162596</v>
      </c>
      <c r="M40" s="3">
        <v>0.10738688827331487</v>
      </c>
      <c r="N40" s="3">
        <v>7.8685258964143426E-2</v>
      </c>
      <c r="O40" s="3">
        <v>0.32122647716804842</v>
      </c>
      <c r="P40" s="3">
        <v>0.37737901033170201</v>
      </c>
      <c r="Q40" s="3">
        <v>0.32971800433839482</v>
      </c>
      <c r="R40" s="3">
        <v>0.10316405211379952</v>
      </c>
      <c r="S40" s="3">
        <v>0.26932163347958149</v>
      </c>
      <c r="T40" s="3">
        <v>0.21783806000822031</v>
      </c>
    </row>
  </sheetData>
  <mergeCells count="1">
    <mergeCell ref="B4:T4"/>
  </mergeCells>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019DCF-C188-42B4-A62C-A7275C9F1E94}">
  <sheetPr>
    <tabColor rgb="FFC6E0B4"/>
  </sheetPr>
  <dimension ref="A1:T38"/>
  <sheetViews>
    <sheetView topLeftCell="A4" workbookViewId="0"/>
  </sheetViews>
  <sheetFormatPr defaultRowHeight="15" x14ac:dyDescent="0.25"/>
  <cols>
    <col min="1" max="1" width="40.7109375" bestFit="1" customWidth="1"/>
    <col min="2" max="12" width="18.28515625" bestFit="1" customWidth="1"/>
    <col min="13" max="20" width="17.28515625" bestFit="1" customWidth="1"/>
  </cols>
  <sheetData>
    <row r="1" spans="1:20" x14ac:dyDescent="0.25">
      <c r="A1" s="10" t="s">
        <v>198</v>
      </c>
      <c r="B1" s="10"/>
      <c r="C1" s="10"/>
      <c r="D1" s="10"/>
      <c r="E1" s="10"/>
      <c r="F1" s="10"/>
      <c r="G1" s="10"/>
      <c r="H1" s="10"/>
      <c r="I1" s="10"/>
      <c r="J1" s="10"/>
      <c r="K1" s="10"/>
      <c r="L1" s="10"/>
      <c r="M1" s="10"/>
      <c r="N1" s="10"/>
      <c r="O1" s="10"/>
      <c r="P1" s="10"/>
      <c r="Q1" s="10"/>
      <c r="R1" s="10"/>
      <c r="S1" s="10"/>
      <c r="T1" s="10"/>
    </row>
    <row r="2" spans="1:20" x14ac:dyDescent="0.25">
      <c r="A2" t="s">
        <v>1</v>
      </c>
      <c r="B2" t="s">
        <v>197</v>
      </c>
    </row>
    <row r="3" spans="1:20" x14ac:dyDescent="0.25">
      <c r="A3" t="s">
        <v>3</v>
      </c>
      <c r="B3" t="s">
        <v>4</v>
      </c>
    </row>
    <row r="4" spans="1:20" x14ac:dyDescent="0.25">
      <c r="A4" t="s">
        <v>32</v>
      </c>
      <c r="B4" s="236" t="s">
        <v>33</v>
      </c>
      <c r="C4" s="236"/>
      <c r="D4" s="236"/>
      <c r="E4" s="236"/>
      <c r="F4" s="236"/>
      <c r="G4" s="236"/>
      <c r="H4" s="236"/>
      <c r="I4" s="236"/>
      <c r="J4" s="236"/>
      <c r="K4" s="236"/>
      <c r="L4" s="236"/>
      <c r="M4" s="236"/>
      <c r="N4" s="236"/>
      <c r="O4" s="236"/>
      <c r="P4" s="236"/>
      <c r="Q4" s="236"/>
      <c r="R4" s="236"/>
      <c r="S4" s="236"/>
      <c r="T4" s="236"/>
    </row>
    <row r="5" spans="1:20" x14ac:dyDescent="0.25">
      <c r="A5" t="s">
        <v>34</v>
      </c>
      <c r="B5" s="8">
        <v>45838</v>
      </c>
      <c r="C5" s="8">
        <v>45473</v>
      </c>
      <c r="D5" s="8">
        <v>45107</v>
      </c>
      <c r="E5" s="8">
        <v>44742</v>
      </c>
      <c r="F5" s="8">
        <v>44377</v>
      </c>
      <c r="G5" s="8">
        <v>44012</v>
      </c>
      <c r="H5" s="8">
        <v>43646</v>
      </c>
      <c r="I5" s="8"/>
      <c r="J5" s="8"/>
      <c r="K5" s="8"/>
      <c r="L5" s="8"/>
      <c r="M5" s="8"/>
      <c r="N5" s="8"/>
      <c r="O5" s="8"/>
      <c r="P5" s="8"/>
      <c r="Q5" s="8"/>
      <c r="R5" s="8"/>
      <c r="S5" s="8"/>
      <c r="T5" s="8"/>
    </row>
    <row r="7" spans="1:20" x14ac:dyDescent="0.25">
      <c r="A7" s="1" t="s">
        <v>31</v>
      </c>
      <c r="B7" s="11">
        <v>281724</v>
      </c>
      <c r="C7" s="11">
        <v>245122</v>
      </c>
      <c r="D7" s="11">
        <v>211915</v>
      </c>
      <c r="E7" s="11">
        <v>198270</v>
      </c>
      <c r="F7" s="11">
        <v>168088</v>
      </c>
      <c r="G7" s="11">
        <v>143015</v>
      </c>
      <c r="H7" s="11">
        <v>125843</v>
      </c>
      <c r="I7" s="1"/>
      <c r="J7" s="1"/>
      <c r="K7" s="1"/>
      <c r="L7" s="1"/>
      <c r="M7" s="1"/>
      <c r="N7" s="1"/>
      <c r="O7" s="1"/>
      <c r="P7" s="1"/>
      <c r="Q7" s="1"/>
      <c r="R7" s="1"/>
      <c r="S7" s="1"/>
      <c r="T7" s="1"/>
    </row>
    <row r="9" spans="1:20" x14ac:dyDescent="0.25">
      <c r="A9" s="1" t="s">
        <v>30</v>
      </c>
      <c r="B9" s="1">
        <v>87831</v>
      </c>
      <c r="C9" s="1">
        <v>74114</v>
      </c>
      <c r="D9" s="1">
        <v>65863</v>
      </c>
      <c r="E9" s="1">
        <v>62650</v>
      </c>
      <c r="F9" s="1">
        <v>52232</v>
      </c>
      <c r="G9" s="1">
        <v>46078</v>
      </c>
      <c r="H9" s="1">
        <v>42910</v>
      </c>
      <c r="I9" s="1"/>
      <c r="J9" s="1"/>
      <c r="K9" s="1"/>
      <c r="L9" s="1"/>
      <c r="M9" s="1"/>
      <c r="N9" s="1"/>
      <c r="O9" s="1"/>
      <c r="P9" s="1"/>
      <c r="Q9" s="1"/>
      <c r="R9" s="1"/>
      <c r="S9" s="1"/>
      <c r="T9" s="1"/>
    </row>
    <row r="10" spans="1:20" x14ac:dyDescent="0.25">
      <c r="A10" s="6" t="s">
        <v>29</v>
      </c>
      <c r="B10" s="4">
        <f t="shared" ref="B10:H10" si="0">B7-B9</f>
        <v>193893</v>
      </c>
      <c r="C10" s="4">
        <f t="shared" si="0"/>
        <v>171008</v>
      </c>
      <c r="D10" s="4">
        <f t="shared" si="0"/>
        <v>146052</v>
      </c>
      <c r="E10" s="4">
        <f t="shared" si="0"/>
        <v>135620</v>
      </c>
      <c r="F10" s="4">
        <f t="shared" si="0"/>
        <v>115856</v>
      </c>
      <c r="G10" s="4">
        <f t="shared" si="0"/>
        <v>96937</v>
      </c>
      <c r="H10" s="4">
        <f t="shared" si="0"/>
        <v>82933</v>
      </c>
      <c r="I10" s="4"/>
      <c r="J10" s="4"/>
      <c r="K10" s="4"/>
      <c r="L10" s="4"/>
      <c r="M10" s="4"/>
      <c r="N10" s="4"/>
      <c r="O10" s="4"/>
      <c r="P10" s="4"/>
      <c r="Q10" s="4"/>
      <c r="R10" s="4"/>
      <c r="S10" s="4"/>
      <c r="T10" s="4"/>
    </row>
    <row r="11" spans="1:20" x14ac:dyDescent="0.25">
      <c r="A11" s="3" t="s">
        <v>28</v>
      </c>
      <c r="B11" s="3">
        <f t="shared" ref="B11:H11" si="1">B10/B7</f>
        <v>0.68823742386165188</v>
      </c>
      <c r="C11" s="3">
        <f t="shared" si="1"/>
        <v>0.69764443827971379</v>
      </c>
      <c r="D11" s="3">
        <f t="shared" si="1"/>
        <v>0.68920085883491022</v>
      </c>
      <c r="E11" s="3">
        <f t="shared" si="1"/>
        <v>0.68401674484289099</v>
      </c>
      <c r="F11" s="3">
        <f t="shared" si="1"/>
        <v>0.68925800771024703</v>
      </c>
      <c r="G11" s="3">
        <f t="shared" si="1"/>
        <v>0.67781001992797962</v>
      </c>
      <c r="H11" s="3">
        <f t="shared" si="1"/>
        <v>0.65901957200638894</v>
      </c>
      <c r="I11" s="3"/>
      <c r="J11" s="3"/>
      <c r="K11" s="3"/>
      <c r="L11" s="3"/>
      <c r="M11" s="3"/>
      <c r="N11" s="3"/>
      <c r="O11" s="3"/>
      <c r="P11" s="3"/>
      <c r="Q11" s="3"/>
      <c r="R11" s="3"/>
      <c r="S11" s="3"/>
      <c r="T11" s="3"/>
    </row>
    <row r="13" spans="1:20" x14ac:dyDescent="0.25">
      <c r="A13" s="1" t="s">
        <v>27</v>
      </c>
      <c r="B13" s="1">
        <v>32488</v>
      </c>
      <c r="C13" s="1">
        <v>29510</v>
      </c>
      <c r="D13" s="1">
        <v>27195</v>
      </c>
      <c r="E13" s="1">
        <v>24512</v>
      </c>
      <c r="F13" s="1">
        <v>20716</v>
      </c>
      <c r="G13" s="1">
        <v>19269</v>
      </c>
      <c r="H13" s="1">
        <v>16876</v>
      </c>
      <c r="I13" s="1"/>
      <c r="J13" s="1"/>
      <c r="K13" s="1"/>
      <c r="L13" s="1"/>
      <c r="M13" s="1"/>
      <c r="N13" s="1"/>
      <c r="O13" s="1"/>
      <c r="P13" s="1"/>
      <c r="Q13" s="1"/>
      <c r="R13" s="1"/>
      <c r="S13" s="1"/>
      <c r="T13" s="1"/>
    </row>
    <row r="14" spans="1:20" x14ac:dyDescent="0.25">
      <c r="A14" s="1" t="s">
        <v>24</v>
      </c>
      <c r="B14" s="1">
        <f t="shared" ref="B14:H14" si="2">B16+B15</f>
        <v>32877</v>
      </c>
      <c r="C14" s="1">
        <f t="shared" si="2"/>
        <v>32065</v>
      </c>
      <c r="D14" s="1">
        <f t="shared" si="2"/>
        <v>30334</v>
      </c>
      <c r="E14" s="1">
        <f t="shared" si="2"/>
        <v>27725</v>
      </c>
      <c r="F14" s="1">
        <f t="shared" si="2"/>
        <v>25224</v>
      </c>
      <c r="G14" s="1">
        <f t="shared" si="2"/>
        <v>24709</v>
      </c>
      <c r="H14" s="1">
        <f t="shared" si="2"/>
        <v>23098</v>
      </c>
      <c r="I14" s="1"/>
      <c r="J14" s="1"/>
      <c r="K14" s="1"/>
      <c r="L14" s="1"/>
      <c r="M14" s="1"/>
      <c r="N14" s="1"/>
      <c r="O14" s="1"/>
      <c r="P14" s="1"/>
      <c r="Q14" s="1"/>
      <c r="R14" s="1"/>
      <c r="S14" s="1"/>
      <c r="T14" s="1"/>
    </row>
    <row r="15" spans="1:20" x14ac:dyDescent="0.25">
      <c r="A15" s="1" t="s">
        <v>26</v>
      </c>
      <c r="B15" s="1">
        <v>7223</v>
      </c>
      <c r="C15" s="1">
        <v>7609</v>
      </c>
      <c r="D15" s="1">
        <v>7575</v>
      </c>
      <c r="E15" s="1">
        <v>5900</v>
      </c>
      <c r="F15" s="1">
        <v>5107</v>
      </c>
      <c r="G15" s="1">
        <v>5111</v>
      </c>
      <c r="H15" s="1">
        <v>4885</v>
      </c>
      <c r="I15" s="1"/>
      <c r="J15" s="1"/>
      <c r="K15" s="1"/>
      <c r="L15" s="1"/>
      <c r="M15" s="1"/>
      <c r="N15" s="1"/>
      <c r="O15" s="1"/>
      <c r="P15" s="1"/>
      <c r="Q15" s="1"/>
      <c r="R15" s="1"/>
      <c r="S15" s="1"/>
      <c r="T15" s="1"/>
    </row>
    <row r="16" spans="1:20" x14ac:dyDescent="0.25">
      <c r="A16" s="1" t="s">
        <v>25</v>
      </c>
      <c r="B16" s="1">
        <v>25654</v>
      </c>
      <c r="C16" s="1">
        <v>24456</v>
      </c>
      <c r="D16" s="1">
        <v>22759</v>
      </c>
      <c r="E16" s="1">
        <v>21825</v>
      </c>
      <c r="F16" s="1">
        <v>20117</v>
      </c>
      <c r="G16" s="1">
        <v>19598</v>
      </c>
      <c r="H16" s="1">
        <v>18213</v>
      </c>
      <c r="I16" s="1"/>
      <c r="J16" s="1"/>
      <c r="K16" s="1"/>
      <c r="L16" s="1"/>
      <c r="M16" s="1"/>
      <c r="N16" s="1"/>
      <c r="O16" s="1"/>
      <c r="P16" s="1"/>
      <c r="Q16" s="1"/>
      <c r="R16" s="1"/>
      <c r="S16" s="1"/>
      <c r="T16" s="1"/>
    </row>
    <row r="17" spans="1:20" x14ac:dyDescent="0.25">
      <c r="A17" s="1" t="s">
        <v>23</v>
      </c>
      <c r="B17" s="1">
        <v>0</v>
      </c>
      <c r="C17" s="1">
        <v>0</v>
      </c>
      <c r="D17" s="1">
        <v>0</v>
      </c>
      <c r="E17" s="1">
        <v>0</v>
      </c>
      <c r="F17" s="1">
        <v>0</v>
      </c>
      <c r="G17" s="1">
        <v>0</v>
      </c>
      <c r="H17" s="1">
        <v>0</v>
      </c>
      <c r="I17" s="1"/>
      <c r="J17" s="1"/>
      <c r="K17" s="1"/>
      <c r="L17" s="1"/>
      <c r="M17" s="1"/>
      <c r="N17" s="1"/>
      <c r="O17" s="1"/>
      <c r="P17" s="1"/>
      <c r="Q17" s="1"/>
      <c r="R17" s="1"/>
      <c r="S17" s="1"/>
      <c r="T17" s="1"/>
    </row>
    <row r="18" spans="1:20" x14ac:dyDescent="0.25">
      <c r="A18" s="6" t="s">
        <v>22</v>
      </c>
      <c r="B18" s="4">
        <f t="shared" ref="B18:H18" si="3">B13+B14+B17</f>
        <v>65365</v>
      </c>
      <c r="C18" s="4">
        <f t="shared" si="3"/>
        <v>61575</v>
      </c>
      <c r="D18" s="4">
        <f t="shared" si="3"/>
        <v>57529</v>
      </c>
      <c r="E18" s="4">
        <f t="shared" si="3"/>
        <v>52237</v>
      </c>
      <c r="F18" s="4">
        <f t="shared" si="3"/>
        <v>45940</v>
      </c>
      <c r="G18" s="4">
        <f t="shared" si="3"/>
        <v>43978</v>
      </c>
      <c r="H18" s="4">
        <f t="shared" si="3"/>
        <v>39974</v>
      </c>
      <c r="I18" s="4"/>
      <c r="J18" s="4"/>
      <c r="K18" s="4"/>
      <c r="L18" s="4"/>
      <c r="M18" s="4"/>
      <c r="N18" s="4"/>
      <c r="O18" s="4"/>
      <c r="P18" s="4"/>
      <c r="Q18" s="4"/>
      <c r="R18" s="4"/>
      <c r="S18" s="4"/>
      <c r="T18" s="4"/>
    </row>
    <row r="20" spans="1:20" x14ac:dyDescent="0.25">
      <c r="A20" s="1" t="s">
        <v>21</v>
      </c>
      <c r="B20" s="1">
        <f t="shared" ref="B20:H20" si="4">B9+B18</f>
        <v>153196</v>
      </c>
      <c r="C20" s="1">
        <f t="shared" si="4"/>
        <v>135689</v>
      </c>
      <c r="D20" s="1">
        <f t="shared" si="4"/>
        <v>123392</v>
      </c>
      <c r="E20" s="1">
        <f t="shared" si="4"/>
        <v>114887</v>
      </c>
      <c r="F20" s="1">
        <f t="shared" si="4"/>
        <v>98172</v>
      </c>
      <c r="G20" s="1">
        <f t="shared" si="4"/>
        <v>90056</v>
      </c>
      <c r="H20" s="1">
        <f t="shared" si="4"/>
        <v>82884</v>
      </c>
      <c r="I20" s="1"/>
      <c r="J20" s="1"/>
      <c r="K20" s="1"/>
      <c r="L20" s="1"/>
      <c r="M20" s="1"/>
      <c r="N20" s="1"/>
      <c r="O20" s="1"/>
      <c r="P20" s="1"/>
      <c r="Q20" s="1"/>
      <c r="R20" s="1"/>
      <c r="S20" s="1"/>
      <c r="T20" s="1"/>
    </row>
    <row r="21" spans="1:20" x14ac:dyDescent="0.25">
      <c r="A21" s="1" t="s">
        <v>18</v>
      </c>
      <c r="B21" s="1">
        <f t="shared" ref="B21:H21" si="5">B25+B24</f>
        <v>162681</v>
      </c>
      <c r="C21" s="1">
        <f t="shared" si="5"/>
        <v>131720</v>
      </c>
      <c r="D21" s="1">
        <f t="shared" si="5"/>
        <v>102384</v>
      </c>
      <c r="E21" s="1">
        <f t="shared" si="5"/>
        <v>97843</v>
      </c>
      <c r="F21" s="1">
        <f t="shared" si="5"/>
        <v>81602</v>
      </c>
      <c r="G21" s="1">
        <f t="shared" si="5"/>
        <v>65755</v>
      </c>
      <c r="H21" s="1">
        <f t="shared" si="5"/>
        <v>54641</v>
      </c>
      <c r="I21" s="1"/>
      <c r="J21" s="1"/>
      <c r="K21" s="1"/>
      <c r="L21" s="1"/>
      <c r="M21" s="1"/>
      <c r="N21" s="1"/>
      <c r="O21" s="1"/>
      <c r="P21" s="1"/>
      <c r="Q21" s="1"/>
      <c r="R21" s="1"/>
      <c r="S21" s="1"/>
      <c r="T21" s="1"/>
    </row>
    <row r="22" spans="1:20" x14ac:dyDescent="0.25">
      <c r="A22" s="3" t="s">
        <v>17</v>
      </c>
      <c r="B22" s="3">
        <f t="shared" ref="B22:H22" si="6">B21/B7</f>
        <v>0.57744814073348383</v>
      </c>
      <c r="C22" s="3">
        <f t="shared" si="6"/>
        <v>0.53736506719103139</v>
      </c>
      <c r="D22" s="3">
        <f t="shared" si="6"/>
        <v>0.48313710685888211</v>
      </c>
      <c r="E22" s="3">
        <f t="shared" si="6"/>
        <v>0.49348363342916224</v>
      </c>
      <c r="F22" s="3">
        <f t="shared" si="6"/>
        <v>0.48547189567369475</v>
      </c>
      <c r="G22" s="3">
        <f t="shared" si="6"/>
        <v>0.45977694647414608</v>
      </c>
      <c r="H22" s="3">
        <f t="shared" si="6"/>
        <v>0.43419975683987189</v>
      </c>
      <c r="I22" s="3"/>
      <c r="J22" s="3"/>
      <c r="K22" s="3"/>
      <c r="L22" s="3"/>
      <c r="M22" s="3"/>
      <c r="N22" s="3"/>
      <c r="O22" s="3"/>
      <c r="P22" s="3"/>
      <c r="Q22" s="3"/>
      <c r="R22" s="3"/>
      <c r="S22" s="3"/>
      <c r="T22" s="3"/>
    </row>
    <row r="23" spans="1:20" x14ac:dyDescent="0.25">
      <c r="A23" s="1" t="s">
        <v>20</v>
      </c>
      <c r="B23" s="1">
        <v>0</v>
      </c>
      <c r="C23" s="1">
        <v>0</v>
      </c>
      <c r="D23" s="1">
        <v>0</v>
      </c>
      <c r="E23" s="1">
        <v>0</v>
      </c>
      <c r="F23" s="1">
        <v>0</v>
      </c>
      <c r="G23" s="1">
        <v>0</v>
      </c>
      <c r="H23" s="1">
        <v>0</v>
      </c>
      <c r="I23" s="1"/>
      <c r="J23" s="1"/>
      <c r="K23" s="1"/>
      <c r="L23" s="1"/>
      <c r="M23" s="1"/>
      <c r="N23" s="1"/>
      <c r="O23" s="1"/>
      <c r="P23" s="1"/>
      <c r="Q23" s="1"/>
      <c r="R23" s="1"/>
      <c r="S23" s="1"/>
      <c r="T23" s="1"/>
    </row>
    <row r="24" spans="1:20" x14ac:dyDescent="0.25">
      <c r="A24" s="1" t="s">
        <v>19</v>
      </c>
      <c r="B24" s="1">
        <v>34153</v>
      </c>
      <c r="C24" s="1">
        <v>22287</v>
      </c>
      <c r="D24" s="1">
        <v>13861</v>
      </c>
      <c r="E24" s="1">
        <v>14460</v>
      </c>
      <c r="F24" s="1">
        <v>11686</v>
      </c>
      <c r="G24" s="1">
        <v>12796</v>
      </c>
      <c r="H24" s="1">
        <v>11682</v>
      </c>
      <c r="I24" s="1"/>
      <c r="J24" s="1"/>
      <c r="K24" s="1"/>
      <c r="L24" s="1"/>
      <c r="M24" s="1"/>
      <c r="N24" s="1"/>
      <c r="O24" s="1"/>
      <c r="P24" s="1"/>
      <c r="Q24" s="1"/>
      <c r="R24" s="1"/>
      <c r="S24" s="1"/>
      <c r="T24" s="1"/>
    </row>
    <row r="25" spans="1:20" x14ac:dyDescent="0.25">
      <c r="A25" s="6" t="s">
        <v>16</v>
      </c>
      <c r="B25" s="5">
        <v>128528</v>
      </c>
      <c r="C25" s="5">
        <v>109433</v>
      </c>
      <c r="D25" s="5">
        <v>88523</v>
      </c>
      <c r="E25" s="5">
        <v>83383</v>
      </c>
      <c r="F25" s="5">
        <v>69916</v>
      </c>
      <c r="G25" s="5">
        <v>52959</v>
      </c>
      <c r="H25" s="5">
        <v>42959</v>
      </c>
      <c r="I25" s="5"/>
      <c r="J25" s="5"/>
      <c r="K25" s="5"/>
      <c r="L25" s="5"/>
      <c r="M25" s="5"/>
      <c r="N25" s="5"/>
      <c r="O25" s="5"/>
      <c r="P25" s="5"/>
      <c r="Q25" s="5"/>
      <c r="R25" s="5"/>
      <c r="S25" s="5"/>
      <c r="T25" s="5"/>
    </row>
    <row r="26" spans="1:20" x14ac:dyDescent="0.25">
      <c r="A26" s="3" t="s">
        <v>15</v>
      </c>
      <c r="B26" s="7">
        <f t="shared" ref="B26:H26" si="7">B25/B7</f>
        <v>0.45621956240859851</v>
      </c>
      <c r="C26" s="7">
        <f t="shared" si="7"/>
        <v>0.44644299573273716</v>
      </c>
      <c r="D26" s="7">
        <f t="shared" si="7"/>
        <v>0.41772880636104098</v>
      </c>
      <c r="E26" s="7">
        <f t="shared" si="7"/>
        <v>0.4205527815604983</v>
      </c>
      <c r="F26" s="7">
        <f t="shared" si="7"/>
        <v>0.41594878872971303</v>
      </c>
      <c r="G26" s="7">
        <f t="shared" si="7"/>
        <v>0.37030381428521486</v>
      </c>
      <c r="H26" s="7">
        <f t="shared" si="7"/>
        <v>0.3413698020549415</v>
      </c>
      <c r="I26" s="7"/>
      <c r="J26" s="7"/>
      <c r="K26" s="7"/>
      <c r="L26" s="7"/>
      <c r="M26" s="7"/>
      <c r="N26" s="7"/>
      <c r="O26" s="7"/>
      <c r="P26" s="7"/>
      <c r="Q26" s="7"/>
      <c r="R26" s="7"/>
      <c r="S26" s="7"/>
      <c r="T26" s="7"/>
    </row>
    <row r="28" spans="1:20" x14ac:dyDescent="0.25">
      <c r="A28" s="1" t="s">
        <v>14</v>
      </c>
      <c r="B28" s="1">
        <f t="shared" ref="B28:H28" si="8">B29-B25</f>
        <v>-4901</v>
      </c>
      <c r="C28" s="1">
        <f t="shared" si="8"/>
        <v>-1646</v>
      </c>
      <c r="D28" s="1">
        <f t="shared" si="8"/>
        <v>788</v>
      </c>
      <c r="E28" s="1">
        <f t="shared" si="8"/>
        <v>333</v>
      </c>
      <c r="F28" s="1">
        <f t="shared" si="8"/>
        <v>1186</v>
      </c>
      <c r="G28" s="1">
        <f t="shared" si="8"/>
        <v>77</v>
      </c>
      <c r="H28" s="1">
        <f t="shared" si="8"/>
        <v>729</v>
      </c>
      <c r="I28" s="1"/>
      <c r="J28" s="1"/>
      <c r="K28" s="1"/>
      <c r="L28" s="1"/>
      <c r="M28" s="1"/>
      <c r="N28" s="1"/>
      <c r="O28" s="1"/>
      <c r="P28" s="1"/>
      <c r="Q28" s="1"/>
      <c r="R28" s="1"/>
      <c r="S28" s="1"/>
      <c r="T28" s="1"/>
    </row>
    <row r="29" spans="1:20" x14ac:dyDescent="0.25">
      <c r="A29" s="1" t="s">
        <v>13</v>
      </c>
      <c r="B29" s="1">
        <v>123627</v>
      </c>
      <c r="C29" s="1">
        <v>107787</v>
      </c>
      <c r="D29" s="1">
        <v>89311</v>
      </c>
      <c r="E29" s="1">
        <v>83716</v>
      </c>
      <c r="F29" s="1">
        <v>71102</v>
      </c>
      <c r="G29" s="1">
        <v>53036</v>
      </c>
      <c r="H29" s="1">
        <v>43688</v>
      </c>
      <c r="I29" s="1"/>
      <c r="J29" s="1"/>
      <c r="K29" s="1"/>
      <c r="L29" s="1"/>
      <c r="M29" s="1"/>
      <c r="N29" s="1"/>
      <c r="O29" s="1"/>
      <c r="P29" s="1"/>
      <c r="Q29" s="1"/>
      <c r="R29" s="1"/>
      <c r="S29" s="1"/>
      <c r="T29" s="1"/>
    </row>
    <row r="30" spans="1:20" x14ac:dyDescent="0.25">
      <c r="A30" s="2" t="s">
        <v>12</v>
      </c>
      <c r="B30" s="2">
        <f t="shared" ref="B30:H30" si="9">B29/B7</f>
        <v>0.43882310346296377</v>
      </c>
      <c r="C30" s="2">
        <f t="shared" si="9"/>
        <v>0.43972797219343834</v>
      </c>
      <c r="D30" s="2">
        <f t="shared" si="9"/>
        <v>0.42144727838992047</v>
      </c>
      <c r="E30" s="2">
        <f t="shared" si="9"/>
        <v>0.42223230947697582</v>
      </c>
      <c r="F30" s="2">
        <f t="shared" si="9"/>
        <v>0.4230046166293846</v>
      </c>
      <c r="G30" s="2">
        <f t="shared" si="9"/>
        <v>0.37084221934762091</v>
      </c>
      <c r="H30" s="2">
        <f t="shared" si="9"/>
        <v>0.34716273451840785</v>
      </c>
      <c r="I30" s="2"/>
      <c r="J30" s="2"/>
      <c r="K30" s="2"/>
      <c r="L30" s="2"/>
      <c r="M30" s="2"/>
      <c r="N30" s="2"/>
      <c r="O30" s="2"/>
      <c r="P30" s="2"/>
      <c r="Q30" s="2"/>
      <c r="R30" s="2"/>
      <c r="S30" s="2"/>
      <c r="T30" s="2"/>
    </row>
    <row r="31" spans="1:20" x14ac:dyDescent="0.25">
      <c r="A31" s="1" t="s">
        <v>11</v>
      </c>
      <c r="B31" s="1">
        <v>21795</v>
      </c>
      <c r="C31" s="1">
        <v>19651</v>
      </c>
      <c r="D31" s="1">
        <v>16950</v>
      </c>
      <c r="E31" s="1">
        <v>10978</v>
      </c>
      <c r="F31" s="1">
        <v>9831</v>
      </c>
      <c r="G31" s="1">
        <v>8755</v>
      </c>
      <c r="H31" s="1">
        <v>4448</v>
      </c>
      <c r="I31" s="1"/>
      <c r="J31" s="1"/>
      <c r="K31" s="1"/>
      <c r="L31" s="1"/>
      <c r="M31" s="1"/>
      <c r="N31" s="1"/>
      <c r="O31" s="1"/>
      <c r="P31" s="1"/>
      <c r="Q31" s="1"/>
      <c r="R31" s="1"/>
      <c r="S31" s="1"/>
      <c r="T31" s="1"/>
    </row>
    <row r="32" spans="1:20" x14ac:dyDescent="0.25">
      <c r="A32" s="6" t="s">
        <v>10</v>
      </c>
      <c r="B32" s="5">
        <f t="shared" ref="B32:H32" si="10">B29-B31</f>
        <v>101832</v>
      </c>
      <c r="C32" s="5">
        <f t="shared" si="10"/>
        <v>88136</v>
      </c>
      <c r="D32" s="5">
        <f t="shared" si="10"/>
        <v>72361</v>
      </c>
      <c r="E32" s="5">
        <f t="shared" si="10"/>
        <v>72738</v>
      </c>
      <c r="F32" s="5">
        <f t="shared" si="10"/>
        <v>61271</v>
      </c>
      <c r="G32" s="5">
        <f t="shared" si="10"/>
        <v>44281</v>
      </c>
      <c r="H32" s="5">
        <f t="shared" si="10"/>
        <v>39240</v>
      </c>
      <c r="I32" s="5"/>
      <c r="J32" s="5"/>
      <c r="K32" s="5"/>
      <c r="L32" s="5"/>
      <c r="M32" s="5"/>
      <c r="N32" s="5"/>
      <c r="O32" s="5"/>
      <c r="P32" s="5"/>
      <c r="Q32" s="5"/>
      <c r="R32" s="5"/>
      <c r="S32" s="5"/>
      <c r="T32" s="5"/>
    </row>
    <row r="34" spans="1:20" x14ac:dyDescent="0.25">
      <c r="A34" s="3" t="s">
        <v>9</v>
      </c>
      <c r="B34" s="3">
        <f t="shared" ref="B34:H34" si="11">B32/B7</f>
        <v>0.36146015248967073</v>
      </c>
      <c r="C34" s="3">
        <f t="shared" si="11"/>
        <v>0.35955972944084985</v>
      </c>
      <c r="D34" s="3">
        <f t="shared" si="11"/>
        <v>0.34146237878394642</v>
      </c>
      <c r="E34" s="3">
        <f t="shared" si="11"/>
        <v>0.36686336813436221</v>
      </c>
      <c r="F34" s="3">
        <f t="shared" si="11"/>
        <v>0.36451739564989766</v>
      </c>
      <c r="G34" s="3">
        <f t="shared" si="11"/>
        <v>0.30962486452470023</v>
      </c>
      <c r="H34" s="3">
        <f t="shared" si="11"/>
        <v>0.31181710544090652</v>
      </c>
      <c r="I34" s="3"/>
      <c r="J34" s="3"/>
      <c r="K34" s="3"/>
      <c r="L34" s="3"/>
      <c r="M34" s="3"/>
      <c r="N34" s="3"/>
      <c r="O34" s="3"/>
      <c r="P34" s="3"/>
      <c r="Q34" s="3"/>
      <c r="R34" s="3"/>
      <c r="S34" s="3"/>
      <c r="T34" s="3"/>
    </row>
    <row r="35" spans="1:20" x14ac:dyDescent="0.25">
      <c r="A35" s="2" t="s">
        <v>8</v>
      </c>
      <c r="B35" s="2">
        <v>13.7</v>
      </c>
      <c r="C35" s="2">
        <v>11.86</v>
      </c>
      <c r="D35" s="2">
        <v>9.7200000000000006</v>
      </c>
      <c r="E35" s="2">
        <v>9.6999999999999993</v>
      </c>
      <c r="F35" s="2">
        <v>8.1199999999999992</v>
      </c>
      <c r="G35" s="2">
        <v>5.82</v>
      </c>
      <c r="H35" s="2">
        <v>5.1100000000000003</v>
      </c>
      <c r="I35" s="2"/>
      <c r="J35" s="2"/>
      <c r="K35" s="2"/>
      <c r="L35" s="2"/>
      <c r="M35" s="2"/>
      <c r="N35" s="2"/>
      <c r="O35" s="2"/>
      <c r="P35" s="2"/>
      <c r="Q35" s="2"/>
      <c r="R35" s="2"/>
      <c r="S35" s="2"/>
      <c r="T35" s="2"/>
    </row>
    <row r="36" spans="1:20" x14ac:dyDescent="0.25">
      <c r="A36" s="2" t="s">
        <v>7</v>
      </c>
      <c r="B36" s="2">
        <v>13.64</v>
      </c>
      <c r="C36" s="2">
        <v>11.8</v>
      </c>
      <c r="D36" s="2">
        <v>9.68</v>
      </c>
      <c r="E36" s="2">
        <v>9.65</v>
      </c>
      <c r="F36" s="2">
        <v>8.0500000000000007</v>
      </c>
      <c r="G36" s="2">
        <v>5.76</v>
      </c>
      <c r="H36" s="2">
        <v>5.0599999999999996</v>
      </c>
      <c r="I36" s="2"/>
      <c r="J36" s="2"/>
      <c r="K36" s="2"/>
      <c r="L36" s="2"/>
      <c r="M36" s="2"/>
      <c r="N36" s="2"/>
      <c r="O36" s="2"/>
      <c r="P36" s="2"/>
      <c r="Q36" s="2"/>
      <c r="R36" s="2"/>
      <c r="S36" s="2"/>
      <c r="T36" s="2"/>
    </row>
    <row r="37" spans="1:20" x14ac:dyDescent="0.25">
      <c r="A37" s="1" t="s">
        <v>6</v>
      </c>
      <c r="B37" s="1">
        <v>7433</v>
      </c>
      <c r="C37" s="1">
        <v>7431</v>
      </c>
      <c r="D37" s="1">
        <v>7446</v>
      </c>
      <c r="E37" s="1">
        <v>7496</v>
      </c>
      <c r="F37" s="1">
        <v>7547</v>
      </c>
      <c r="G37" s="1">
        <v>7610</v>
      </c>
      <c r="H37" s="1">
        <v>7673</v>
      </c>
      <c r="I37" s="1"/>
      <c r="J37" s="1"/>
      <c r="K37" s="1"/>
      <c r="L37" s="1"/>
      <c r="M37" s="1"/>
      <c r="N37" s="1"/>
      <c r="O37" s="1"/>
      <c r="P37" s="1"/>
      <c r="Q37" s="1"/>
      <c r="R37" s="1"/>
      <c r="S37" s="1"/>
      <c r="T37" s="1"/>
    </row>
    <row r="38" spans="1:20" x14ac:dyDescent="0.25">
      <c r="A38" s="1" t="s">
        <v>5</v>
      </c>
      <c r="B38" s="1">
        <v>7465</v>
      </c>
      <c r="C38" s="1">
        <v>7469</v>
      </c>
      <c r="D38" s="1">
        <v>7472</v>
      </c>
      <c r="E38" s="1">
        <v>7540</v>
      </c>
      <c r="F38" s="1">
        <v>7608</v>
      </c>
      <c r="G38" s="1">
        <v>7683</v>
      </c>
      <c r="H38" s="1">
        <v>7753</v>
      </c>
      <c r="I38" s="1"/>
      <c r="J38" s="1"/>
      <c r="K38" s="1"/>
      <c r="L38" s="1"/>
      <c r="M38" s="1"/>
      <c r="N38" s="1"/>
      <c r="O38" s="1"/>
      <c r="P38" s="1"/>
      <c r="Q38" s="1"/>
      <c r="R38" s="1"/>
      <c r="S38" s="1"/>
      <c r="T38" s="1"/>
    </row>
  </sheetData>
  <mergeCells count="1">
    <mergeCell ref="B4:T4"/>
  </mergeCells>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52EF77-0913-466D-9327-01FCC07493A4}">
  <sheetPr>
    <tabColor rgb="FFC6E0B4"/>
  </sheetPr>
  <dimension ref="A1:T52"/>
  <sheetViews>
    <sheetView workbookViewId="0"/>
  </sheetViews>
  <sheetFormatPr defaultRowHeight="15" x14ac:dyDescent="0.25"/>
  <cols>
    <col min="1" max="1" width="44.42578125" bestFit="1" customWidth="1"/>
    <col min="2" max="10" width="18.28515625" bestFit="1" customWidth="1"/>
    <col min="11" max="18" width="17.28515625" bestFit="1" customWidth="1"/>
    <col min="19" max="20" width="16.85546875" bestFit="1" customWidth="1"/>
  </cols>
  <sheetData>
    <row r="1" spans="1:20" x14ac:dyDescent="0.25">
      <c r="A1" s="10" t="s">
        <v>199</v>
      </c>
      <c r="B1" s="10"/>
      <c r="C1" s="10"/>
      <c r="D1" s="10"/>
      <c r="E1" s="10"/>
      <c r="F1" s="10"/>
      <c r="G1" s="10"/>
      <c r="H1" s="10"/>
      <c r="I1" s="10"/>
      <c r="J1" s="10"/>
      <c r="K1" s="10"/>
      <c r="L1" s="10"/>
      <c r="M1" s="10"/>
      <c r="N1" s="10"/>
      <c r="O1" s="10"/>
      <c r="P1" s="10"/>
      <c r="Q1" s="10"/>
      <c r="R1" s="10"/>
      <c r="S1" s="10"/>
      <c r="T1" s="10"/>
    </row>
    <row r="2" spans="1:20" x14ac:dyDescent="0.25">
      <c r="A2" t="s">
        <v>1</v>
      </c>
      <c r="B2" t="s">
        <v>197</v>
      </c>
    </row>
    <row r="3" spans="1:20" x14ac:dyDescent="0.25">
      <c r="A3" t="s">
        <v>3</v>
      </c>
      <c r="B3" t="str">
        <f>'MSFT - Income Statement FY'!B3</f>
        <v>USD</v>
      </c>
    </row>
    <row r="4" spans="1:20" x14ac:dyDescent="0.25">
      <c r="A4" t="s">
        <v>32</v>
      </c>
      <c r="B4" s="236" t="s">
        <v>33</v>
      </c>
      <c r="C4" s="236"/>
      <c r="D4" s="236"/>
      <c r="E4" s="236"/>
      <c r="F4" s="236"/>
      <c r="G4" s="236"/>
      <c r="H4" s="236"/>
      <c r="I4" s="236"/>
      <c r="J4" s="236"/>
      <c r="K4" s="236"/>
      <c r="L4" s="236"/>
      <c r="M4" s="236"/>
      <c r="N4" s="236"/>
      <c r="O4" s="236"/>
      <c r="P4" s="236"/>
      <c r="Q4" s="236"/>
      <c r="R4" s="236"/>
      <c r="S4" s="236"/>
      <c r="T4" s="236"/>
    </row>
    <row r="5" spans="1:20" x14ac:dyDescent="0.25">
      <c r="A5" t="s">
        <v>34</v>
      </c>
      <c r="B5" s="8">
        <v>45838</v>
      </c>
      <c r="C5" s="8">
        <v>45473</v>
      </c>
      <c r="D5" s="8">
        <v>45107</v>
      </c>
      <c r="E5" s="8">
        <v>44742</v>
      </c>
      <c r="F5" s="8">
        <v>44377</v>
      </c>
      <c r="G5" s="8">
        <v>44012</v>
      </c>
      <c r="H5" s="8">
        <v>43646</v>
      </c>
      <c r="I5" s="8"/>
      <c r="J5" s="8"/>
      <c r="K5" s="8"/>
      <c r="L5" s="8"/>
      <c r="M5" s="8"/>
      <c r="N5" s="8"/>
      <c r="O5" s="8"/>
      <c r="P5" s="8"/>
      <c r="Q5" s="8"/>
      <c r="R5" s="8"/>
      <c r="S5" s="8"/>
      <c r="T5" s="8"/>
    </row>
    <row r="7" spans="1:20" x14ac:dyDescent="0.25">
      <c r="A7" s="1" t="s">
        <v>74</v>
      </c>
      <c r="B7" s="1">
        <v>30242</v>
      </c>
      <c r="C7" s="1">
        <v>18315</v>
      </c>
      <c r="D7" s="1">
        <v>34704</v>
      </c>
      <c r="E7" s="1">
        <v>13931</v>
      </c>
      <c r="F7" s="1">
        <v>14224</v>
      </c>
      <c r="G7" s="1">
        <v>13576</v>
      </c>
      <c r="H7" s="1">
        <v>11356</v>
      </c>
      <c r="I7" s="1"/>
      <c r="J7" s="1"/>
      <c r="K7" s="1"/>
      <c r="L7" s="1"/>
      <c r="M7" s="1"/>
      <c r="N7" s="1"/>
      <c r="O7" s="1"/>
      <c r="P7" s="1"/>
      <c r="Q7" s="1"/>
      <c r="R7" s="1"/>
      <c r="S7" s="1"/>
      <c r="T7" s="1"/>
    </row>
    <row r="8" spans="1:20" x14ac:dyDescent="0.25">
      <c r="A8" s="1" t="s">
        <v>73</v>
      </c>
      <c r="B8" s="1">
        <v>64323</v>
      </c>
      <c r="C8" s="1">
        <v>57228</v>
      </c>
      <c r="D8" s="1">
        <v>76558</v>
      </c>
      <c r="E8" s="1">
        <v>90826</v>
      </c>
      <c r="F8" s="1">
        <v>116110</v>
      </c>
      <c r="G8" s="1">
        <v>122951</v>
      </c>
      <c r="H8" s="1">
        <v>122463</v>
      </c>
      <c r="I8" s="1"/>
      <c r="J8" s="1"/>
      <c r="K8" s="1"/>
      <c r="L8" s="1"/>
      <c r="M8" s="1"/>
      <c r="N8" s="1"/>
      <c r="O8" s="1"/>
      <c r="P8" s="1"/>
      <c r="Q8" s="1"/>
      <c r="R8" s="1"/>
      <c r="S8" s="1"/>
      <c r="T8" s="1"/>
    </row>
    <row r="9" spans="1:20" x14ac:dyDescent="0.25">
      <c r="A9" s="1" t="s">
        <v>72</v>
      </c>
      <c r="B9" s="1">
        <f t="shared" ref="B9:H9" si="0">B7+B8</f>
        <v>94565</v>
      </c>
      <c r="C9" s="1">
        <f t="shared" si="0"/>
        <v>75543</v>
      </c>
      <c r="D9" s="1">
        <f t="shared" si="0"/>
        <v>111262</v>
      </c>
      <c r="E9" s="1">
        <f t="shared" si="0"/>
        <v>104757</v>
      </c>
      <c r="F9" s="1">
        <f t="shared" si="0"/>
        <v>130334</v>
      </c>
      <c r="G9" s="1">
        <f t="shared" si="0"/>
        <v>136527</v>
      </c>
      <c r="H9" s="1">
        <f t="shared" si="0"/>
        <v>133819</v>
      </c>
      <c r="I9" s="1"/>
      <c r="J9" s="1"/>
      <c r="K9" s="1"/>
      <c r="L9" s="1"/>
      <c r="M9" s="1"/>
      <c r="N9" s="1"/>
      <c r="O9" s="1"/>
      <c r="P9" s="1"/>
      <c r="Q9" s="1"/>
      <c r="R9" s="1"/>
      <c r="S9" s="1"/>
      <c r="T9" s="1"/>
    </row>
    <row r="10" spans="1:20" x14ac:dyDescent="0.25">
      <c r="A10" s="1" t="s">
        <v>71</v>
      </c>
      <c r="B10" s="1">
        <v>69905</v>
      </c>
      <c r="C10" s="1">
        <v>56924</v>
      </c>
      <c r="D10" s="1">
        <v>48688</v>
      </c>
      <c r="E10" s="1">
        <v>44261</v>
      </c>
      <c r="F10" s="1">
        <v>38043</v>
      </c>
      <c r="G10" s="1">
        <v>32011</v>
      </c>
      <c r="H10" s="1">
        <v>29524</v>
      </c>
      <c r="I10" s="1"/>
      <c r="J10" s="1"/>
      <c r="K10" s="1"/>
      <c r="L10" s="1"/>
      <c r="M10" s="1"/>
      <c r="N10" s="1"/>
      <c r="O10" s="1"/>
      <c r="P10" s="1"/>
      <c r="Q10" s="1"/>
      <c r="R10" s="1"/>
      <c r="S10" s="1"/>
      <c r="T10" s="1"/>
    </row>
    <row r="11" spans="1:20" x14ac:dyDescent="0.25">
      <c r="A11" s="1" t="s">
        <v>70</v>
      </c>
      <c r="B11" s="1">
        <v>938</v>
      </c>
      <c r="C11" s="1">
        <v>1246</v>
      </c>
      <c r="D11" s="1">
        <v>2500</v>
      </c>
      <c r="E11" s="1">
        <v>3742</v>
      </c>
      <c r="F11" s="1">
        <v>2636</v>
      </c>
      <c r="G11" s="1">
        <v>1895</v>
      </c>
      <c r="H11" s="1">
        <v>2063</v>
      </c>
      <c r="I11" s="1"/>
      <c r="J11" s="1"/>
      <c r="K11" s="1"/>
      <c r="L11" s="1"/>
      <c r="M11" s="1"/>
      <c r="N11" s="1"/>
      <c r="O11" s="1"/>
      <c r="P11" s="1"/>
      <c r="Q11" s="1"/>
      <c r="R11" s="1"/>
      <c r="S11" s="1"/>
      <c r="T11" s="1"/>
    </row>
    <row r="12" spans="1:20" x14ac:dyDescent="0.25">
      <c r="A12" s="1" t="s">
        <v>69</v>
      </c>
      <c r="B12" s="1">
        <v>25723</v>
      </c>
      <c r="C12" s="1">
        <v>26021</v>
      </c>
      <c r="D12" s="1">
        <v>21807</v>
      </c>
      <c r="E12" s="1">
        <v>16924</v>
      </c>
      <c r="F12" s="1">
        <v>13393</v>
      </c>
      <c r="G12" s="1">
        <v>11482</v>
      </c>
      <c r="H12" s="1">
        <v>10146</v>
      </c>
      <c r="I12" s="1"/>
      <c r="J12" s="1"/>
      <c r="K12" s="1"/>
      <c r="L12" s="1"/>
      <c r="M12" s="1"/>
      <c r="N12" s="1"/>
      <c r="O12" s="1"/>
      <c r="P12" s="1"/>
      <c r="Q12" s="1"/>
      <c r="R12" s="1"/>
      <c r="S12" s="1"/>
      <c r="T12" s="1"/>
    </row>
    <row r="13" spans="1:20" x14ac:dyDescent="0.25">
      <c r="A13" s="6" t="s">
        <v>68</v>
      </c>
      <c r="B13" s="4">
        <v>191131</v>
      </c>
      <c r="C13" s="4">
        <v>159734</v>
      </c>
      <c r="D13" s="4">
        <v>184257</v>
      </c>
      <c r="E13" s="4">
        <v>169684</v>
      </c>
      <c r="F13" s="4">
        <v>184406</v>
      </c>
      <c r="G13" s="4">
        <v>181915</v>
      </c>
      <c r="H13" s="4">
        <v>175552</v>
      </c>
      <c r="I13" s="4"/>
      <c r="J13" s="4"/>
      <c r="K13" s="4"/>
      <c r="L13" s="4"/>
      <c r="M13" s="4"/>
      <c r="N13" s="4"/>
      <c r="O13" s="4"/>
      <c r="P13" s="4"/>
      <c r="Q13" s="4"/>
      <c r="R13" s="4"/>
      <c r="S13" s="4"/>
      <c r="T13" s="4"/>
    </row>
    <row r="15" spans="1:20" x14ac:dyDescent="0.25">
      <c r="A15" s="1" t="s">
        <v>67</v>
      </c>
      <c r="B15" s="1">
        <v>204966</v>
      </c>
      <c r="C15" s="1">
        <v>135591</v>
      </c>
      <c r="D15" s="1">
        <v>95641</v>
      </c>
      <c r="E15" s="1">
        <v>74398</v>
      </c>
      <c r="F15" s="1">
        <v>59715</v>
      </c>
      <c r="G15" s="1">
        <v>44151</v>
      </c>
      <c r="H15" s="1">
        <v>36477</v>
      </c>
      <c r="I15" s="1"/>
      <c r="J15" s="1"/>
      <c r="K15" s="1"/>
      <c r="L15" s="1"/>
      <c r="M15" s="1"/>
      <c r="N15" s="1"/>
      <c r="O15" s="1"/>
      <c r="P15" s="1"/>
      <c r="Q15" s="1"/>
      <c r="R15" s="1"/>
      <c r="S15" s="1"/>
      <c r="T15" s="1"/>
    </row>
    <row r="16" spans="1:20" x14ac:dyDescent="0.25">
      <c r="A16" s="1" t="s">
        <v>66</v>
      </c>
      <c r="B16" s="1">
        <v>119509</v>
      </c>
      <c r="C16" s="1">
        <v>119220</v>
      </c>
      <c r="D16" s="1">
        <v>67886</v>
      </c>
      <c r="E16" s="1">
        <v>67524</v>
      </c>
      <c r="F16" s="1">
        <v>49711</v>
      </c>
      <c r="G16" s="1">
        <v>43351</v>
      </c>
      <c r="H16" s="1">
        <v>42026</v>
      </c>
      <c r="I16" s="1"/>
      <c r="J16" s="1"/>
      <c r="K16" s="1"/>
      <c r="L16" s="1"/>
      <c r="M16" s="1"/>
      <c r="N16" s="1"/>
      <c r="O16" s="1"/>
      <c r="P16" s="1"/>
      <c r="Q16" s="1"/>
      <c r="R16" s="1"/>
      <c r="S16" s="1"/>
      <c r="T16" s="1"/>
    </row>
    <row r="17" spans="1:20" x14ac:dyDescent="0.25">
      <c r="A17" s="1" t="s">
        <v>65</v>
      </c>
      <c r="B17" s="1">
        <v>22604</v>
      </c>
      <c r="C17" s="1">
        <v>27597</v>
      </c>
      <c r="D17" s="1">
        <v>9366</v>
      </c>
      <c r="E17" s="1">
        <v>11298</v>
      </c>
      <c r="F17" s="1">
        <v>7800</v>
      </c>
      <c r="G17" s="1">
        <v>7038</v>
      </c>
      <c r="H17" s="1">
        <v>7750</v>
      </c>
      <c r="I17" s="1"/>
      <c r="J17" s="1"/>
      <c r="K17" s="1"/>
      <c r="L17" s="1"/>
      <c r="M17" s="1"/>
      <c r="N17" s="1"/>
      <c r="O17" s="1"/>
      <c r="P17" s="1"/>
      <c r="Q17" s="1"/>
      <c r="R17" s="1"/>
      <c r="S17" s="1"/>
      <c r="T17" s="1"/>
    </row>
    <row r="18" spans="1:20" x14ac:dyDescent="0.25">
      <c r="A18" s="1" t="s">
        <v>64</v>
      </c>
      <c r="B18" s="1">
        <f t="shared" ref="B18:H18" si="1">B16+B17</f>
        <v>142113</v>
      </c>
      <c r="C18" s="1">
        <f t="shared" si="1"/>
        <v>146817</v>
      </c>
      <c r="D18" s="1">
        <f t="shared" si="1"/>
        <v>77252</v>
      </c>
      <c r="E18" s="1">
        <f t="shared" si="1"/>
        <v>78822</v>
      </c>
      <c r="F18" s="1">
        <f t="shared" si="1"/>
        <v>57511</v>
      </c>
      <c r="G18" s="1">
        <f t="shared" si="1"/>
        <v>50389</v>
      </c>
      <c r="H18" s="1">
        <f t="shared" si="1"/>
        <v>49776</v>
      </c>
      <c r="I18" s="1"/>
      <c r="J18" s="1"/>
      <c r="K18" s="1"/>
      <c r="L18" s="1"/>
      <c r="M18" s="1"/>
      <c r="N18" s="1"/>
      <c r="O18" s="1"/>
      <c r="P18" s="1"/>
      <c r="Q18" s="1"/>
      <c r="R18" s="1"/>
      <c r="S18" s="1"/>
      <c r="T18" s="1"/>
    </row>
    <row r="19" spans="1:20" x14ac:dyDescent="0.25">
      <c r="A19" s="1" t="s">
        <v>63</v>
      </c>
      <c r="B19" s="1">
        <v>15405</v>
      </c>
      <c r="C19" s="1">
        <v>14600</v>
      </c>
      <c r="D19" s="1">
        <v>9879</v>
      </c>
      <c r="E19" s="1">
        <v>6891</v>
      </c>
      <c r="F19" s="1">
        <v>5984</v>
      </c>
      <c r="G19" s="1">
        <v>2965</v>
      </c>
      <c r="H19" s="1">
        <v>2649</v>
      </c>
      <c r="I19" s="1"/>
      <c r="J19" s="1"/>
      <c r="K19" s="1"/>
      <c r="L19" s="1"/>
      <c r="M19" s="1"/>
      <c r="N19" s="1"/>
      <c r="O19" s="1"/>
      <c r="P19" s="1"/>
      <c r="Q19" s="1"/>
      <c r="R19" s="1"/>
      <c r="S19" s="1"/>
      <c r="T19" s="1"/>
    </row>
    <row r="20" spans="1:20" x14ac:dyDescent="0.25">
      <c r="A20" s="1" t="s">
        <v>62</v>
      </c>
      <c r="B20" s="1">
        <v>0</v>
      </c>
      <c r="C20" s="1">
        <v>0</v>
      </c>
      <c r="D20" s="1">
        <v>0</v>
      </c>
      <c r="E20" s="1">
        <v>0</v>
      </c>
      <c r="F20" s="1">
        <v>0</v>
      </c>
      <c r="G20" s="1">
        <v>0</v>
      </c>
      <c r="H20" s="1">
        <v>0</v>
      </c>
      <c r="I20" s="1"/>
      <c r="J20" s="1"/>
      <c r="K20" s="1"/>
      <c r="L20" s="1"/>
      <c r="M20" s="1"/>
      <c r="N20" s="1"/>
      <c r="O20" s="1"/>
      <c r="P20" s="1"/>
      <c r="Q20" s="1"/>
      <c r="R20" s="1"/>
      <c r="S20" s="1"/>
      <c r="T20" s="1"/>
    </row>
    <row r="21" spans="1:20" x14ac:dyDescent="0.25">
      <c r="A21" s="1" t="s">
        <v>61</v>
      </c>
      <c r="B21" s="1">
        <v>65388</v>
      </c>
      <c r="C21" s="1">
        <v>55421</v>
      </c>
      <c r="D21" s="1">
        <v>44947</v>
      </c>
      <c r="E21" s="1">
        <v>35045</v>
      </c>
      <c r="F21" s="1">
        <v>26163</v>
      </c>
      <c r="G21" s="1">
        <v>21891</v>
      </c>
      <c r="H21" s="1">
        <v>22102</v>
      </c>
      <c r="I21" s="1"/>
      <c r="J21" s="1"/>
      <c r="K21" s="1"/>
      <c r="L21" s="1"/>
      <c r="M21" s="1"/>
      <c r="N21" s="1"/>
      <c r="O21" s="1"/>
      <c r="P21" s="1"/>
      <c r="Q21" s="1"/>
      <c r="R21" s="1"/>
      <c r="S21" s="1"/>
      <c r="T21" s="1"/>
    </row>
    <row r="22" spans="1:20" x14ac:dyDescent="0.25">
      <c r="A22" s="6" t="s">
        <v>60</v>
      </c>
      <c r="B22" s="4">
        <f t="shared" ref="B22:H22" si="2">B25-B13</f>
        <v>427872</v>
      </c>
      <c r="C22" s="4">
        <f t="shared" si="2"/>
        <v>352429</v>
      </c>
      <c r="D22" s="4">
        <f t="shared" si="2"/>
        <v>227719</v>
      </c>
      <c r="E22" s="4">
        <f t="shared" si="2"/>
        <v>195156</v>
      </c>
      <c r="F22" s="4">
        <f t="shared" si="2"/>
        <v>149373</v>
      </c>
      <c r="G22" s="4">
        <f t="shared" si="2"/>
        <v>119396</v>
      </c>
      <c r="H22" s="4">
        <f t="shared" si="2"/>
        <v>111004</v>
      </c>
      <c r="I22" s="4"/>
      <c r="J22" s="4"/>
      <c r="K22" s="4"/>
      <c r="L22" s="4"/>
      <c r="M22" s="4"/>
      <c r="N22" s="4"/>
      <c r="O22" s="4"/>
      <c r="P22" s="4"/>
      <c r="Q22" s="4"/>
      <c r="R22" s="4"/>
      <c r="S22" s="4"/>
      <c r="T22" s="4"/>
    </row>
    <row r="24" spans="1:20" x14ac:dyDescent="0.25">
      <c r="A24" s="1" t="s">
        <v>59</v>
      </c>
      <c r="B24" s="1">
        <v>0</v>
      </c>
      <c r="C24" s="1">
        <v>0</v>
      </c>
      <c r="D24" s="1">
        <v>0</v>
      </c>
      <c r="E24" s="1">
        <v>0</v>
      </c>
      <c r="F24" s="1">
        <v>0</v>
      </c>
      <c r="G24" s="1">
        <v>0</v>
      </c>
      <c r="H24" s="1">
        <v>0</v>
      </c>
      <c r="I24" s="1"/>
      <c r="J24" s="1"/>
      <c r="K24" s="1"/>
      <c r="L24" s="1"/>
      <c r="M24" s="1"/>
      <c r="N24" s="1"/>
      <c r="O24" s="1"/>
      <c r="P24" s="1"/>
      <c r="Q24" s="1"/>
      <c r="R24" s="1"/>
      <c r="S24" s="1"/>
      <c r="T24" s="1"/>
    </row>
    <row r="25" spans="1:20" x14ac:dyDescent="0.25">
      <c r="A25" s="6" t="s">
        <v>58</v>
      </c>
      <c r="B25" s="5">
        <v>619003</v>
      </c>
      <c r="C25" s="5">
        <v>512163</v>
      </c>
      <c r="D25" s="5">
        <v>411976</v>
      </c>
      <c r="E25" s="5">
        <v>364840</v>
      </c>
      <c r="F25" s="5">
        <v>333779</v>
      </c>
      <c r="G25" s="5">
        <v>301311</v>
      </c>
      <c r="H25" s="5">
        <v>286556</v>
      </c>
      <c r="I25" s="5"/>
      <c r="J25" s="5"/>
      <c r="K25" s="5"/>
      <c r="L25" s="5"/>
      <c r="M25" s="5"/>
      <c r="N25" s="5"/>
      <c r="O25" s="5"/>
      <c r="P25" s="5"/>
      <c r="Q25" s="5"/>
      <c r="R25" s="5"/>
      <c r="S25" s="5"/>
      <c r="T25" s="5"/>
    </row>
    <row r="27" spans="1:20" x14ac:dyDescent="0.25">
      <c r="A27" s="1" t="s">
        <v>57</v>
      </c>
      <c r="B27" s="1">
        <v>27724</v>
      </c>
      <c r="C27" s="1">
        <v>21996</v>
      </c>
      <c r="D27" s="1">
        <v>18095</v>
      </c>
      <c r="E27" s="1">
        <v>19000</v>
      </c>
      <c r="F27" s="1">
        <v>15163</v>
      </c>
      <c r="G27" s="1">
        <v>12530</v>
      </c>
      <c r="H27" s="1">
        <v>9382</v>
      </c>
      <c r="I27" s="1"/>
      <c r="J27" s="1"/>
      <c r="K27" s="1"/>
      <c r="L27" s="1"/>
      <c r="M27" s="1"/>
      <c r="N27" s="1"/>
      <c r="O27" s="1"/>
      <c r="P27" s="1"/>
      <c r="Q27" s="1"/>
      <c r="R27" s="1"/>
      <c r="S27" s="1"/>
      <c r="T27" s="1"/>
    </row>
    <row r="28" spans="1:20" x14ac:dyDescent="0.25">
      <c r="A28" s="1" t="s">
        <v>56</v>
      </c>
      <c r="B28" s="1">
        <v>2999</v>
      </c>
      <c r="C28" s="1">
        <v>8942</v>
      </c>
      <c r="D28" s="1">
        <v>5247</v>
      </c>
      <c r="E28" s="1">
        <v>2749</v>
      </c>
      <c r="F28" s="1">
        <v>8072</v>
      </c>
      <c r="G28" s="1">
        <v>3749</v>
      </c>
      <c r="H28" s="1">
        <v>5516</v>
      </c>
      <c r="I28" s="1"/>
      <c r="J28" s="1"/>
      <c r="K28" s="1"/>
      <c r="L28" s="1"/>
      <c r="M28" s="1"/>
      <c r="N28" s="1"/>
      <c r="O28" s="1"/>
      <c r="P28" s="1"/>
      <c r="Q28" s="1"/>
      <c r="R28" s="1"/>
      <c r="S28" s="1"/>
      <c r="T28" s="1"/>
    </row>
    <row r="29" spans="1:20" x14ac:dyDescent="0.25">
      <c r="A29" s="1" t="s">
        <v>55</v>
      </c>
      <c r="B29" s="1">
        <v>7211</v>
      </c>
      <c r="C29" s="1">
        <v>5017</v>
      </c>
      <c r="D29" s="1">
        <v>4152</v>
      </c>
      <c r="E29" s="1">
        <v>4067</v>
      </c>
      <c r="F29" s="1">
        <v>2174</v>
      </c>
      <c r="G29" s="1">
        <v>2130</v>
      </c>
      <c r="H29" s="1">
        <v>5665</v>
      </c>
      <c r="I29" s="1"/>
      <c r="J29" s="1"/>
      <c r="K29" s="1"/>
      <c r="L29" s="1"/>
      <c r="M29" s="1"/>
      <c r="N29" s="1"/>
      <c r="O29" s="1"/>
      <c r="P29" s="1"/>
      <c r="Q29" s="1"/>
      <c r="R29" s="1"/>
      <c r="S29" s="1"/>
      <c r="T29" s="1"/>
    </row>
    <row r="30" spans="1:20" x14ac:dyDescent="0.25">
      <c r="A30" s="1" t="s">
        <v>54</v>
      </c>
      <c r="B30" s="1">
        <v>64555</v>
      </c>
      <c r="C30" s="1">
        <v>57582</v>
      </c>
      <c r="D30" s="1">
        <v>50901</v>
      </c>
      <c r="E30" s="1">
        <v>45538</v>
      </c>
      <c r="F30" s="1">
        <v>41525</v>
      </c>
      <c r="G30" s="1">
        <v>36000</v>
      </c>
      <c r="H30" s="1">
        <v>32676</v>
      </c>
      <c r="I30" s="1"/>
      <c r="J30" s="1"/>
      <c r="K30" s="1"/>
      <c r="L30" s="1"/>
      <c r="M30" s="1"/>
      <c r="N30" s="1"/>
      <c r="O30" s="1"/>
      <c r="P30" s="1"/>
      <c r="Q30" s="1"/>
      <c r="R30" s="1"/>
      <c r="S30" s="1"/>
      <c r="T30" s="1"/>
    </row>
    <row r="31" spans="1:20" x14ac:dyDescent="0.25">
      <c r="A31" s="1" t="s">
        <v>53</v>
      </c>
      <c r="B31" s="1">
        <v>38729</v>
      </c>
      <c r="C31" s="1">
        <v>31749</v>
      </c>
      <c r="D31" s="1">
        <v>25754</v>
      </c>
      <c r="E31" s="1">
        <v>23728</v>
      </c>
      <c r="F31" s="1">
        <v>21723</v>
      </c>
      <c r="G31" s="1">
        <v>17901</v>
      </c>
      <c r="H31" s="1">
        <v>16181</v>
      </c>
      <c r="I31" s="1"/>
      <c r="J31" s="1"/>
      <c r="K31" s="1"/>
      <c r="L31" s="1"/>
      <c r="M31" s="1"/>
      <c r="N31" s="1"/>
      <c r="O31" s="1"/>
      <c r="P31" s="1"/>
      <c r="Q31" s="1"/>
      <c r="R31" s="1"/>
      <c r="S31" s="1"/>
      <c r="T31" s="1"/>
    </row>
    <row r="32" spans="1:20" x14ac:dyDescent="0.25">
      <c r="A32" s="6" t="s">
        <v>52</v>
      </c>
      <c r="B32" s="4">
        <v>141218</v>
      </c>
      <c r="C32" s="4">
        <v>125286</v>
      </c>
      <c r="D32" s="4">
        <v>104149</v>
      </c>
      <c r="E32" s="4">
        <v>95082</v>
      </c>
      <c r="F32" s="4">
        <v>88657</v>
      </c>
      <c r="G32" s="4">
        <v>72310</v>
      </c>
      <c r="H32" s="4">
        <v>69420</v>
      </c>
      <c r="I32" s="4"/>
      <c r="J32" s="4"/>
      <c r="K32" s="4"/>
      <c r="L32" s="4"/>
      <c r="M32" s="4"/>
      <c r="N32" s="4"/>
      <c r="O32" s="4"/>
      <c r="P32" s="4"/>
      <c r="Q32" s="4"/>
      <c r="R32" s="4"/>
      <c r="S32" s="4"/>
      <c r="T32" s="4"/>
    </row>
    <row r="34" spans="1:20" x14ac:dyDescent="0.25">
      <c r="A34" s="1" t="s">
        <v>51</v>
      </c>
      <c r="B34" s="1">
        <v>40152</v>
      </c>
      <c r="C34" s="1">
        <v>42688</v>
      </c>
      <c r="D34" s="1">
        <v>41990</v>
      </c>
      <c r="E34" s="1">
        <v>47032</v>
      </c>
      <c r="F34" s="1">
        <v>50074</v>
      </c>
      <c r="G34" s="1">
        <v>59578</v>
      </c>
      <c r="H34" s="1">
        <v>66662</v>
      </c>
      <c r="I34" s="1"/>
      <c r="J34" s="1"/>
      <c r="K34" s="1"/>
      <c r="L34" s="1"/>
      <c r="M34" s="1"/>
      <c r="N34" s="1"/>
      <c r="O34" s="1"/>
      <c r="P34" s="1"/>
      <c r="Q34" s="1"/>
      <c r="R34" s="1"/>
      <c r="S34" s="1"/>
      <c r="T34" s="1"/>
    </row>
    <row r="35" spans="1:20" x14ac:dyDescent="0.25">
      <c r="A35" s="1" t="s">
        <v>50</v>
      </c>
      <c r="B35" s="1">
        <v>2710</v>
      </c>
      <c r="C35" s="1">
        <v>2602</v>
      </c>
      <c r="D35" s="1">
        <v>2912</v>
      </c>
      <c r="E35" s="1">
        <v>2870</v>
      </c>
      <c r="F35" s="1">
        <v>2616</v>
      </c>
      <c r="G35" s="1">
        <v>3180</v>
      </c>
      <c r="H35" s="1">
        <v>4530</v>
      </c>
      <c r="I35" s="1"/>
      <c r="J35" s="1"/>
      <c r="K35" s="1"/>
      <c r="L35" s="1"/>
      <c r="M35" s="1"/>
      <c r="N35" s="1"/>
      <c r="O35" s="1"/>
      <c r="P35" s="1"/>
      <c r="Q35" s="1"/>
      <c r="R35" s="1"/>
      <c r="S35" s="1"/>
      <c r="T35" s="1"/>
    </row>
    <row r="36" spans="1:20" x14ac:dyDescent="0.25">
      <c r="A36" s="1" t="s">
        <v>49</v>
      </c>
      <c r="B36" s="1">
        <v>2835</v>
      </c>
      <c r="C36" s="1">
        <v>2618</v>
      </c>
      <c r="D36" s="1">
        <v>433</v>
      </c>
      <c r="E36" s="1">
        <v>230</v>
      </c>
      <c r="F36" s="1">
        <v>198</v>
      </c>
      <c r="G36" s="1">
        <v>204</v>
      </c>
      <c r="H36" s="1">
        <v>233</v>
      </c>
      <c r="I36" s="1"/>
      <c r="J36" s="1"/>
      <c r="K36" s="1"/>
      <c r="L36" s="1"/>
      <c r="M36" s="1"/>
      <c r="N36" s="1"/>
      <c r="O36" s="1"/>
      <c r="P36" s="1"/>
      <c r="Q36" s="1"/>
      <c r="R36" s="1"/>
      <c r="S36" s="1"/>
      <c r="T36" s="1"/>
    </row>
    <row r="37" spans="1:20" x14ac:dyDescent="0.25">
      <c r="A37" s="1" t="s">
        <v>48</v>
      </c>
      <c r="B37" s="1">
        <v>88609</v>
      </c>
      <c r="C37" s="1">
        <v>70492</v>
      </c>
      <c r="D37" s="1">
        <v>56269</v>
      </c>
      <c r="E37" s="1">
        <v>53084</v>
      </c>
      <c r="F37" s="1">
        <v>50246</v>
      </c>
      <c r="G37" s="1">
        <v>47735</v>
      </c>
      <c r="H37" s="1">
        <v>43381</v>
      </c>
      <c r="I37" s="1"/>
      <c r="J37" s="1"/>
      <c r="K37" s="1"/>
      <c r="L37" s="1"/>
      <c r="M37" s="1"/>
      <c r="N37" s="1"/>
      <c r="O37" s="1"/>
      <c r="P37" s="1"/>
      <c r="Q37" s="1"/>
      <c r="R37" s="1"/>
      <c r="S37" s="1"/>
      <c r="T37" s="1"/>
    </row>
    <row r="38" spans="1:20" x14ac:dyDescent="0.25">
      <c r="A38" s="6" t="s">
        <v>47</v>
      </c>
      <c r="B38" s="4">
        <f t="shared" ref="B38:H38" si="3">B41-B32</f>
        <v>134306</v>
      </c>
      <c r="C38" s="4">
        <f t="shared" si="3"/>
        <v>118400</v>
      </c>
      <c r="D38" s="4">
        <f t="shared" si="3"/>
        <v>101604</v>
      </c>
      <c r="E38" s="4">
        <f t="shared" si="3"/>
        <v>103216</v>
      </c>
      <c r="F38" s="4">
        <f t="shared" si="3"/>
        <v>103134</v>
      </c>
      <c r="G38" s="4">
        <f t="shared" si="3"/>
        <v>110697</v>
      </c>
      <c r="H38" s="4">
        <f t="shared" si="3"/>
        <v>114806</v>
      </c>
      <c r="I38" s="4"/>
      <c r="J38" s="4"/>
      <c r="K38" s="4"/>
      <c r="L38" s="4"/>
      <c r="M38" s="4"/>
      <c r="N38" s="4"/>
      <c r="O38" s="4"/>
      <c r="P38" s="4"/>
      <c r="Q38" s="4"/>
      <c r="R38" s="4"/>
      <c r="S38" s="4"/>
      <c r="T38" s="4"/>
    </row>
    <row r="40" spans="1:20" x14ac:dyDescent="0.25">
      <c r="A40" s="1" t="s">
        <v>46</v>
      </c>
      <c r="B40" s="1">
        <v>0</v>
      </c>
      <c r="C40" s="1">
        <v>0</v>
      </c>
      <c r="D40" s="1">
        <v>0</v>
      </c>
      <c r="E40" s="1">
        <v>0</v>
      </c>
      <c r="F40" s="1">
        <v>0</v>
      </c>
      <c r="G40" s="1">
        <v>0</v>
      </c>
      <c r="H40" s="1">
        <v>0</v>
      </c>
      <c r="I40" s="1"/>
      <c r="J40" s="1"/>
      <c r="K40" s="1"/>
      <c r="L40" s="1"/>
      <c r="M40" s="1"/>
      <c r="N40" s="1"/>
      <c r="O40" s="1"/>
      <c r="P40" s="1"/>
      <c r="Q40" s="1"/>
      <c r="R40" s="1"/>
      <c r="S40" s="1"/>
      <c r="T40" s="1"/>
    </row>
    <row r="41" spans="1:20" x14ac:dyDescent="0.25">
      <c r="A41" s="6" t="s">
        <v>45</v>
      </c>
      <c r="B41" s="5">
        <v>275524</v>
      </c>
      <c r="C41" s="5">
        <v>243686</v>
      </c>
      <c r="D41" s="5">
        <v>205753</v>
      </c>
      <c r="E41" s="5">
        <v>198298</v>
      </c>
      <c r="F41" s="5">
        <v>191791</v>
      </c>
      <c r="G41" s="5">
        <v>183007</v>
      </c>
      <c r="H41" s="5">
        <v>184226</v>
      </c>
      <c r="I41" s="5"/>
      <c r="J41" s="5"/>
      <c r="K41" s="5"/>
      <c r="L41" s="5"/>
      <c r="M41" s="5"/>
      <c r="N41" s="5"/>
      <c r="O41" s="5"/>
      <c r="P41" s="5"/>
      <c r="Q41" s="5"/>
      <c r="R41" s="5"/>
      <c r="S41" s="5"/>
      <c r="T41" s="5"/>
    </row>
    <row r="43" spans="1:20" x14ac:dyDescent="0.25">
      <c r="A43" s="1" t="s">
        <v>44</v>
      </c>
      <c r="B43" s="1">
        <v>109095</v>
      </c>
      <c r="C43" s="1">
        <v>100923</v>
      </c>
      <c r="D43" s="1">
        <v>93718</v>
      </c>
      <c r="E43" s="1">
        <v>86939</v>
      </c>
      <c r="F43" s="1">
        <v>83111</v>
      </c>
      <c r="G43" s="1">
        <v>80552</v>
      </c>
      <c r="H43" s="1">
        <v>78520</v>
      </c>
      <c r="I43" s="1"/>
      <c r="J43" s="1"/>
      <c r="K43" s="1"/>
      <c r="L43" s="1"/>
      <c r="M43" s="1"/>
      <c r="N43" s="1"/>
      <c r="O43" s="1"/>
      <c r="P43" s="1"/>
      <c r="Q43" s="1"/>
      <c r="R43" s="1"/>
      <c r="S43" s="1"/>
      <c r="T43" s="1"/>
    </row>
    <row r="44" spans="1:20" x14ac:dyDescent="0.25">
      <c r="A44" s="1" t="s">
        <v>43</v>
      </c>
      <c r="B44" s="1">
        <v>237731</v>
      </c>
      <c r="C44" s="1">
        <v>173144</v>
      </c>
      <c r="D44" s="1">
        <v>118848</v>
      </c>
      <c r="E44" s="1">
        <v>84281</v>
      </c>
      <c r="F44" s="1">
        <v>57055</v>
      </c>
      <c r="G44" s="1">
        <v>34566</v>
      </c>
      <c r="H44" s="1">
        <v>24150</v>
      </c>
      <c r="I44" s="1"/>
      <c r="J44" s="1"/>
      <c r="K44" s="1"/>
      <c r="L44" s="1"/>
      <c r="M44" s="1"/>
      <c r="N44" s="1"/>
      <c r="O44" s="1"/>
      <c r="P44" s="1"/>
      <c r="Q44" s="1"/>
      <c r="R44" s="1"/>
      <c r="S44" s="1"/>
      <c r="T44" s="1"/>
    </row>
    <row r="45" spans="1:20" x14ac:dyDescent="0.25">
      <c r="A45" s="1" t="s">
        <v>42</v>
      </c>
      <c r="B45" s="1">
        <v>3347</v>
      </c>
      <c r="C45" s="1">
        <v>5590</v>
      </c>
      <c r="D45" s="1">
        <v>-6343</v>
      </c>
      <c r="E45" s="1">
        <v>-4678</v>
      </c>
      <c r="F45" s="1">
        <v>1822</v>
      </c>
      <c r="G45" s="1">
        <v>3186</v>
      </c>
      <c r="H45" s="1">
        <v>-340</v>
      </c>
      <c r="I45" s="1"/>
      <c r="J45" s="1"/>
      <c r="K45" s="1"/>
      <c r="L45" s="1"/>
      <c r="M45" s="1"/>
      <c r="N45" s="1"/>
      <c r="O45" s="1"/>
      <c r="P45" s="1"/>
      <c r="Q45" s="1"/>
      <c r="R45" s="1"/>
      <c r="S45" s="1"/>
      <c r="T45" s="1"/>
    </row>
    <row r="46" spans="1:20" x14ac:dyDescent="0.25">
      <c r="A46" s="1" t="s">
        <v>41</v>
      </c>
      <c r="B46" s="1">
        <f t="shared" ref="B46:H46" si="4">B47-B43-B44-B45</f>
        <v>-6694</v>
      </c>
      <c r="C46" s="1">
        <f t="shared" si="4"/>
        <v>-11180</v>
      </c>
      <c r="D46" s="1">
        <f t="shared" si="4"/>
        <v>0</v>
      </c>
      <c r="E46" s="1">
        <f t="shared" si="4"/>
        <v>0</v>
      </c>
      <c r="F46" s="1">
        <f t="shared" si="4"/>
        <v>0</v>
      </c>
      <c r="G46" s="1">
        <f t="shared" si="4"/>
        <v>0</v>
      </c>
      <c r="H46" s="1">
        <f t="shared" si="4"/>
        <v>0</v>
      </c>
      <c r="I46" s="1"/>
      <c r="J46" s="1"/>
      <c r="K46" s="1"/>
      <c r="L46" s="1"/>
      <c r="M46" s="1"/>
      <c r="N46" s="1"/>
      <c r="O46" s="1"/>
      <c r="P46" s="1"/>
      <c r="Q46" s="1"/>
      <c r="R46" s="1"/>
      <c r="S46" s="1"/>
      <c r="T46" s="1"/>
    </row>
    <row r="47" spans="1:20" x14ac:dyDescent="0.25">
      <c r="A47" s="6" t="s">
        <v>40</v>
      </c>
      <c r="B47" s="5">
        <v>343479</v>
      </c>
      <c r="C47" s="5">
        <v>268477</v>
      </c>
      <c r="D47" s="5">
        <v>206223</v>
      </c>
      <c r="E47" s="5">
        <v>166542</v>
      </c>
      <c r="F47" s="5">
        <v>141988</v>
      </c>
      <c r="G47" s="5">
        <v>118304</v>
      </c>
      <c r="H47" s="5">
        <v>102330</v>
      </c>
      <c r="I47" s="5"/>
      <c r="J47" s="5"/>
      <c r="K47" s="5"/>
      <c r="L47" s="5"/>
      <c r="M47" s="5"/>
      <c r="N47" s="5"/>
      <c r="O47" s="5"/>
      <c r="P47" s="5"/>
      <c r="Q47" s="5"/>
      <c r="R47" s="5"/>
      <c r="S47" s="5"/>
      <c r="T47" s="5"/>
    </row>
    <row r="49" spans="1:20" x14ac:dyDescent="0.25">
      <c r="A49" s="1" t="s">
        <v>39</v>
      </c>
      <c r="B49" s="1">
        <v>619003</v>
      </c>
      <c r="C49" s="1">
        <v>512163</v>
      </c>
      <c r="D49" s="1">
        <v>411976</v>
      </c>
      <c r="E49" s="1">
        <v>364840</v>
      </c>
      <c r="F49" s="1">
        <v>333779</v>
      </c>
      <c r="G49" s="1">
        <v>301311</v>
      </c>
      <c r="H49" s="1">
        <v>286556</v>
      </c>
      <c r="I49" s="1"/>
      <c r="J49" s="1"/>
      <c r="K49" s="1"/>
      <c r="L49" s="1"/>
      <c r="M49" s="1"/>
      <c r="N49" s="1"/>
      <c r="O49" s="1"/>
      <c r="P49" s="1"/>
      <c r="Q49" s="1"/>
      <c r="R49" s="1"/>
      <c r="S49" s="1"/>
      <c r="T49" s="1"/>
    </row>
    <row r="50" spans="1:20" x14ac:dyDescent="0.25">
      <c r="A50" s="1" t="s">
        <v>38</v>
      </c>
      <c r="B50" s="1">
        <f t="shared" ref="B50:H50" si="5">B8+B19</f>
        <v>79728</v>
      </c>
      <c r="C50" s="1">
        <f t="shared" si="5"/>
        <v>71828</v>
      </c>
      <c r="D50" s="1">
        <f t="shared" si="5"/>
        <v>86437</v>
      </c>
      <c r="E50" s="1">
        <f t="shared" si="5"/>
        <v>97717</v>
      </c>
      <c r="F50" s="1">
        <f t="shared" si="5"/>
        <v>122094</v>
      </c>
      <c r="G50" s="1">
        <f t="shared" si="5"/>
        <v>125916</v>
      </c>
      <c r="H50" s="1">
        <f t="shared" si="5"/>
        <v>125112</v>
      </c>
      <c r="I50" s="1"/>
      <c r="J50" s="1"/>
      <c r="K50" s="1"/>
      <c r="L50" s="1"/>
      <c r="M50" s="1"/>
      <c r="N50" s="1"/>
      <c r="O50" s="1"/>
      <c r="P50" s="1"/>
      <c r="Q50" s="1"/>
      <c r="R50" s="1"/>
      <c r="S50" s="1"/>
      <c r="T50" s="1"/>
    </row>
    <row r="51" spans="1:20" x14ac:dyDescent="0.25">
      <c r="A51" s="1" t="s">
        <v>37</v>
      </c>
      <c r="B51" s="1">
        <f t="shared" ref="B51:H51" si="6">B28+B34</f>
        <v>43151</v>
      </c>
      <c r="C51" s="1">
        <f t="shared" si="6"/>
        <v>51630</v>
      </c>
      <c r="D51" s="1">
        <f t="shared" si="6"/>
        <v>47237</v>
      </c>
      <c r="E51" s="1">
        <f t="shared" si="6"/>
        <v>49781</v>
      </c>
      <c r="F51" s="1">
        <f t="shared" si="6"/>
        <v>58146</v>
      </c>
      <c r="G51" s="1">
        <f t="shared" si="6"/>
        <v>63327</v>
      </c>
      <c r="H51" s="1">
        <f t="shared" si="6"/>
        <v>72178</v>
      </c>
      <c r="I51" s="1"/>
      <c r="J51" s="1"/>
      <c r="K51" s="1"/>
      <c r="L51" s="1"/>
      <c r="M51" s="1"/>
      <c r="N51" s="1"/>
      <c r="O51" s="1"/>
      <c r="P51" s="1"/>
      <c r="Q51" s="1"/>
      <c r="R51" s="1"/>
      <c r="S51" s="1"/>
      <c r="T51" s="1"/>
    </row>
    <row r="52" spans="1:20" x14ac:dyDescent="0.25">
      <c r="A52" s="1" t="s">
        <v>36</v>
      </c>
      <c r="B52" s="1">
        <f t="shared" ref="B52:H52" si="7">B51-B7</f>
        <v>12909</v>
      </c>
      <c r="C52" s="1">
        <f t="shared" si="7"/>
        <v>33315</v>
      </c>
      <c r="D52" s="1">
        <f t="shared" si="7"/>
        <v>12533</v>
      </c>
      <c r="E52" s="1">
        <f t="shared" si="7"/>
        <v>35850</v>
      </c>
      <c r="F52" s="1">
        <f t="shared" si="7"/>
        <v>43922</v>
      </c>
      <c r="G52" s="1">
        <f t="shared" si="7"/>
        <v>49751</v>
      </c>
      <c r="H52" s="1">
        <f t="shared" si="7"/>
        <v>60822</v>
      </c>
      <c r="I52" s="1"/>
      <c r="J52" s="1"/>
      <c r="K52" s="1"/>
      <c r="L52" s="1"/>
      <c r="M52" s="1"/>
      <c r="N52" s="1"/>
      <c r="O52" s="1"/>
      <c r="P52" s="1"/>
      <c r="Q52" s="1"/>
      <c r="R52" s="1"/>
      <c r="S52" s="1"/>
      <c r="T52" s="1"/>
    </row>
  </sheetData>
  <mergeCells count="1">
    <mergeCell ref="B4:T4"/>
  </mergeCells>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693D0E-56AB-45D8-9AF5-E613C385B661}">
  <sheetPr>
    <tabColor rgb="FFC6E0B4"/>
  </sheetPr>
  <dimension ref="A1:T39"/>
  <sheetViews>
    <sheetView workbookViewId="0"/>
  </sheetViews>
  <sheetFormatPr defaultRowHeight="15" x14ac:dyDescent="0.25"/>
  <cols>
    <col min="1" max="1" width="44.28515625" bestFit="1" customWidth="1"/>
    <col min="2" max="2" width="19" bestFit="1" customWidth="1"/>
    <col min="3" max="3" width="18.28515625" bestFit="1" customWidth="1"/>
    <col min="4" max="11" width="18" bestFit="1" customWidth="1"/>
    <col min="12" max="13" width="17.28515625" bestFit="1" customWidth="1"/>
    <col min="14" max="19" width="16.85546875" bestFit="1" customWidth="1"/>
    <col min="20" max="20" width="16.140625" bestFit="1" customWidth="1"/>
  </cols>
  <sheetData>
    <row r="1" spans="1:20" x14ac:dyDescent="0.25">
      <c r="A1" s="10" t="s">
        <v>200</v>
      </c>
      <c r="B1" s="10"/>
      <c r="C1" s="10"/>
      <c r="D1" s="10"/>
      <c r="E1" s="10"/>
      <c r="F1" s="10"/>
      <c r="G1" s="10"/>
      <c r="H1" s="10"/>
      <c r="I1" s="10"/>
      <c r="J1" s="10"/>
      <c r="K1" s="10"/>
      <c r="L1" s="10"/>
      <c r="M1" s="10"/>
      <c r="N1" s="10"/>
      <c r="O1" s="10"/>
      <c r="P1" s="10"/>
      <c r="Q1" s="10"/>
      <c r="R1" s="10"/>
      <c r="S1" s="10"/>
      <c r="T1" s="10"/>
    </row>
    <row r="2" spans="1:20" x14ac:dyDescent="0.25">
      <c r="A2" t="s">
        <v>1</v>
      </c>
      <c r="B2" t="s">
        <v>197</v>
      </c>
    </row>
    <row r="3" spans="1:20" x14ac:dyDescent="0.25">
      <c r="A3" t="s">
        <v>3</v>
      </c>
      <c r="B3" t="str">
        <f>'MSFT - Income Statement FY'!B3</f>
        <v>USD</v>
      </c>
    </row>
    <row r="4" spans="1:20" x14ac:dyDescent="0.25">
      <c r="A4" t="s">
        <v>32</v>
      </c>
      <c r="B4" s="236" t="s">
        <v>33</v>
      </c>
      <c r="C4" s="236"/>
      <c r="D4" s="236"/>
      <c r="E4" s="236"/>
      <c r="F4" s="236"/>
      <c r="G4" s="236"/>
      <c r="H4" s="236"/>
      <c r="I4" s="236"/>
      <c r="J4" s="236"/>
      <c r="K4" s="236"/>
      <c r="L4" s="236"/>
      <c r="M4" s="236"/>
      <c r="N4" s="236"/>
      <c r="O4" s="236"/>
      <c r="P4" s="236"/>
      <c r="Q4" s="236"/>
      <c r="R4" s="236"/>
      <c r="S4" s="236"/>
      <c r="T4" s="236"/>
    </row>
    <row r="5" spans="1:20" x14ac:dyDescent="0.25">
      <c r="A5" t="s">
        <v>34</v>
      </c>
      <c r="B5" s="8">
        <v>45838</v>
      </c>
      <c r="C5" s="8">
        <v>45473</v>
      </c>
      <c r="D5" s="8">
        <v>45107</v>
      </c>
      <c r="E5" s="8">
        <v>44742</v>
      </c>
      <c r="F5" s="8">
        <v>44377</v>
      </c>
      <c r="G5" s="8">
        <v>44012</v>
      </c>
      <c r="H5" s="8">
        <v>43646</v>
      </c>
      <c r="I5" s="8"/>
      <c r="J5" s="8"/>
      <c r="K5" s="8"/>
      <c r="L5" s="8"/>
      <c r="M5" s="8"/>
      <c r="N5" s="8"/>
      <c r="O5" s="8"/>
      <c r="P5" s="8"/>
      <c r="Q5" s="8"/>
      <c r="R5" s="8"/>
      <c r="S5" s="8"/>
      <c r="T5" s="8"/>
    </row>
    <row r="7" spans="1:20" x14ac:dyDescent="0.25">
      <c r="A7" s="6" t="s">
        <v>10</v>
      </c>
      <c r="B7" s="5">
        <v>101832</v>
      </c>
      <c r="C7" s="5">
        <v>88136</v>
      </c>
      <c r="D7" s="5">
        <v>72361</v>
      </c>
      <c r="E7" s="5">
        <v>72738</v>
      </c>
      <c r="F7" s="5">
        <v>61271</v>
      </c>
      <c r="G7" s="5">
        <v>44281</v>
      </c>
      <c r="H7" s="5">
        <v>39240</v>
      </c>
      <c r="I7" s="5"/>
      <c r="J7" s="5"/>
      <c r="K7" s="5"/>
      <c r="L7" s="5"/>
      <c r="M7" s="5"/>
      <c r="N7" s="5"/>
      <c r="O7" s="5"/>
      <c r="P7" s="5"/>
      <c r="Q7" s="5"/>
      <c r="R7" s="5"/>
      <c r="S7" s="5"/>
      <c r="T7" s="5"/>
    </row>
    <row r="8" spans="1:20" x14ac:dyDescent="0.25">
      <c r="A8" s="1" t="s">
        <v>19</v>
      </c>
      <c r="B8" s="1">
        <v>34153</v>
      </c>
      <c r="C8" s="1">
        <v>22287</v>
      </c>
      <c r="D8" s="1">
        <v>13861</v>
      </c>
      <c r="E8" s="1">
        <v>14460</v>
      </c>
      <c r="F8" s="1">
        <v>11686</v>
      </c>
      <c r="G8" s="1">
        <v>12796</v>
      </c>
      <c r="H8" s="1">
        <v>11682</v>
      </c>
      <c r="I8" s="1"/>
      <c r="J8" s="1"/>
      <c r="K8" s="1"/>
      <c r="L8" s="1"/>
      <c r="M8" s="1"/>
      <c r="N8" s="1"/>
      <c r="O8" s="1"/>
      <c r="P8" s="1"/>
      <c r="Q8" s="1"/>
      <c r="R8" s="1"/>
      <c r="S8" s="1"/>
      <c r="T8" s="1"/>
    </row>
    <row r="9" spans="1:20" x14ac:dyDescent="0.25">
      <c r="A9" s="1" t="s">
        <v>102</v>
      </c>
      <c r="B9" s="1">
        <v>7056</v>
      </c>
      <c r="C9" s="1">
        <v>4738</v>
      </c>
      <c r="D9" s="1">
        <v>6059</v>
      </c>
      <c r="E9" s="1">
        <v>-5702</v>
      </c>
      <c r="F9" s="1">
        <v>-150</v>
      </c>
      <c r="G9" s="1">
        <v>11</v>
      </c>
      <c r="H9" s="1">
        <v>-6463</v>
      </c>
      <c r="I9" s="1"/>
      <c r="J9" s="1"/>
      <c r="K9" s="1"/>
      <c r="L9" s="1"/>
      <c r="M9" s="1"/>
      <c r="N9" s="1"/>
      <c r="O9" s="1"/>
      <c r="P9" s="1"/>
      <c r="Q9" s="1"/>
      <c r="R9" s="1"/>
      <c r="S9" s="1"/>
      <c r="T9" s="1"/>
    </row>
    <row r="10" spans="1:20" x14ac:dyDescent="0.25">
      <c r="A10" s="1" t="s">
        <v>101</v>
      </c>
      <c r="B10" s="1">
        <v>11974</v>
      </c>
      <c r="C10" s="1">
        <v>10734</v>
      </c>
      <c r="D10" s="1">
        <v>9611</v>
      </c>
      <c r="E10" s="1">
        <v>7502</v>
      </c>
      <c r="F10" s="1">
        <v>6118</v>
      </c>
      <c r="G10" s="1">
        <v>5289</v>
      </c>
      <c r="H10" s="1">
        <v>4652</v>
      </c>
      <c r="I10" s="1"/>
      <c r="J10" s="1"/>
      <c r="K10" s="1"/>
      <c r="L10" s="1"/>
      <c r="M10" s="1"/>
      <c r="N10" s="1"/>
      <c r="O10" s="1"/>
      <c r="P10" s="1"/>
      <c r="Q10" s="1"/>
      <c r="R10" s="1"/>
      <c r="S10" s="1"/>
      <c r="T10" s="1"/>
    </row>
    <row r="11" spans="1:20" x14ac:dyDescent="0.25">
      <c r="A11" s="1" t="s">
        <v>100</v>
      </c>
      <c r="B11" s="1">
        <f t="shared" ref="B11:H11" si="0">SUM(B12:B15)</f>
        <v>-19462</v>
      </c>
      <c r="C11" s="1">
        <f t="shared" si="0"/>
        <v>-7652</v>
      </c>
      <c r="D11" s="1">
        <f t="shared" si="0"/>
        <v>-14506</v>
      </c>
      <c r="E11" s="1">
        <f t="shared" si="0"/>
        <v>446</v>
      </c>
      <c r="F11" s="1">
        <f t="shared" si="0"/>
        <v>-936</v>
      </c>
      <c r="G11" s="1">
        <f t="shared" si="0"/>
        <v>-1483</v>
      </c>
      <c r="H11" s="1">
        <f t="shared" si="0"/>
        <v>3866</v>
      </c>
      <c r="I11" s="1"/>
      <c r="J11" s="1"/>
      <c r="K11" s="1"/>
      <c r="L11" s="1"/>
      <c r="M11" s="1"/>
      <c r="N11" s="1"/>
      <c r="O11" s="1"/>
      <c r="P11" s="1"/>
      <c r="Q11" s="1"/>
      <c r="R11" s="1"/>
      <c r="S11" s="1"/>
      <c r="T11" s="1"/>
    </row>
    <row r="12" spans="1:20" x14ac:dyDescent="0.25">
      <c r="A12" s="1" t="s">
        <v>99</v>
      </c>
      <c r="B12" s="1">
        <v>-10581</v>
      </c>
      <c r="C12" s="1">
        <v>-7191</v>
      </c>
      <c r="D12" s="1">
        <v>-4087</v>
      </c>
      <c r="E12" s="1">
        <v>-6834</v>
      </c>
      <c r="F12" s="1">
        <v>-6481</v>
      </c>
      <c r="G12" s="1">
        <v>-2577</v>
      </c>
      <c r="H12" s="1">
        <v>-2812</v>
      </c>
      <c r="I12" s="1"/>
      <c r="J12" s="1"/>
      <c r="K12" s="1"/>
      <c r="L12" s="1"/>
      <c r="M12" s="1"/>
      <c r="N12" s="1"/>
      <c r="O12" s="1"/>
      <c r="P12" s="1"/>
      <c r="Q12" s="1"/>
      <c r="R12" s="1"/>
      <c r="S12" s="1"/>
      <c r="T12" s="1"/>
    </row>
    <row r="13" spans="1:20" x14ac:dyDescent="0.25">
      <c r="A13" s="1" t="s">
        <v>70</v>
      </c>
      <c r="B13" s="1">
        <v>-309</v>
      </c>
      <c r="C13" s="1">
        <v>-1284</v>
      </c>
      <c r="D13" s="1">
        <v>-1242</v>
      </c>
      <c r="E13" s="1">
        <v>-1123</v>
      </c>
      <c r="F13" s="1">
        <v>-737</v>
      </c>
      <c r="G13" s="1">
        <v>168</v>
      </c>
      <c r="H13" s="1">
        <v>597</v>
      </c>
      <c r="I13" s="1"/>
      <c r="J13" s="1"/>
      <c r="K13" s="1"/>
      <c r="L13" s="1"/>
      <c r="M13" s="1"/>
      <c r="N13" s="1"/>
      <c r="O13" s="1"/>
      <c r="P13" s="1"/>
      <c r="Q13" s="1"/>
      <c r="R13" s="1"/>
      <c r="S13" s="1"/>
      <c r="T13" s="1"/>
    </row>
    <row r="14" spans="1:20" x14ac:dyDescent="0.25">
      <c r="A14" s="1" t="s">
        <v>98</v>
      </c>
      <c r="B14" s="1">
        <v>569</v>
      </c>
      <c r="C14" s="1">
        <v>3545</v>
      </c>
      <c r="D14" s="1">
        <v>2721</v>
      </c>
      <c r="E14" s="1">
        <v>2943</v>
      </c>
      <c r="F14" s="1">
        <v>2798</v>
      </c>
      <c r="G14" s="1">
        <v>3018</v>
      </c>
      <c r="H14" s="1">
        <v>232</v>
      </c>
      <c r="I14" s="1"/>
      <c r="J14" s="1"/>
      <c r="K14" s="1"/>
      <c r="L14" s="1"/>
      <c r="M14" s="1"/>
      <c r="N14" s="1"/>
      <c r="O14" s="1"/>
      <c r="P14" s="1"/>
      <c r="Q14" s="1"/>
      <c r="R14" s="1"/>
      <c r="S14" s="1"/>
      <c r="T14" s="1"/>
    </row>
    <row r="15" spans="1:20" x14ac:dyDescent="0.25">
      <c r="A15" s="1" t="s">
        <v>97</v>
      </c>
      <c r="B15" s="1">
        <f t="shared" ref="B15:H15" si="1">B17-B7-B8-B9-B10-B16-B12-B13-B14</f>
        <v>-9141</v>
      </c>
      <c r="C15" s="1">
        <f t="shared" si="1"/>
        <v>-2722</v>
      </c>
      <c r="D15" s="1">
        <f t="shared" si="1"/>
        <v>-11898</v>
      </c>
      <c r="E15" s="1">
        <f t="shared" si="1"/>
        <v>5460</v>
      </c>
      <c r="F15" s="1">
        <f t="shared" si="1"/>
        <v>3484</v>
      </c>
      <c r="G15" s="1">
        <f t="shared" si="1"/>
        <v>-2092</v>
      </c>
      <c r="H15" s="1">
        <f t="shared" si="1"/>
        <v>5849</v>
      </c>
      <c r="I15" s="1"/>
      <c r="J15" s="1"/>
      <c r="K15" s="1"/>
      <c r="L15" s="1"/>
      <c r="M15" s="1"/>
      <c r="N15" s="1"/>
      <c r="O15" s="1"/>
      <c r="P15" s="1"/>
      <c r="Q15" s="1"/>
      <c r="R15" s="1"/>
      <c r="S15" s="1"/>
      <c r="T15" s="1"/>
    </row>
    <row r="16" spans="1:20" x14ac:dyDescent="0.25">
      <c r="A16" s="1" t="s">
        <v>96</v>
      </c>
      <c r="B16" s="1">
        <v>609</v>
      </c>
      <c r="C16" s="1">
        <v>305</v>
      </c>
      <c r="D16" s="1">
        <v>196</v>
      </c>
      <c r="E16" s="1">
        <v>-409</v>
      </c>
      <c r="F16" s="1">
        <v>-1249</v>
      </c>
      <c r="G16" s="1">
        <v>-219</v>
      </c>
      <c r="H16" s="1">
        <v>-792</v>
      </c>
      <c r="I16" s="1"/>
      <c r="J16" s="1"/>
      <c r="K16" s="1"/>
      <c r="L16" s="1"/>
      <c r="M16" s="1"/>
      <c r="N16" s="1"/>
      <c r="O16" s="1"/>
      <c r="P16" s="1"/>
      <c r="Q16" s="1"/>
      <c r="R16" s="1"/>
      <c r="S16" s="1"/>
      <c r="T16" s="1"/>
    </row>
    <row r="17" spans="1:20" x14ac:dyDescent="0.25">
      <c r="A17" s="6" t="s">
        <v>95</v>
      </c>
      <c r="B17" s="4">
        <v>136162</v>
      </c>
      <c r="C17" s="4">
        <v>118548</v>
      </c>
      <c r="D17" s="4">
        <v>87582</v>
      </c>
      <c r="E17" s="4">
        <v>89035</v>
      </c>
      <c r="F17" s="4">
        <v>76740</v>
      </c>
      <c r="G17" s="4">
        <v>60675</v>
      </c>
      <c r="H17" s="4">
        <v>52185</v>
      </c>
      <c r="I17" s="4"/>
      <c r="J17" s="4"/>
      <c r="K17" s="4"/>
      <c r="L17" s="4"/>
      <c r="M17" s="4"/>
      <c r="N17" s="4"/>
      <c r="O17" s="4"/>
      <c r="P17" s="4"/>
      <c r="Q17" s="4"/>
      <c r="R17" s="4"/>
      <c r="S17" s="4"/>
      <c r="T17" s="4"/>
    </row>
    <row r="19" spans="1:20" x14ac:dyDescent="0.25">
      <c r="A19" s="1" t="s">
        <v>94</v>
      </c>
      <c r="B19" s="1">
        <v>-64551</v>
      </c>
      <c r="C19" s="1">
        <v>-44477</v>
      </c>
      <c r="D19" s="1">
        <v>-28107</v>
      </c>
      <c r="E19" s="1">
        <v>-23886</v>
      </c>
      <c r="F19" s="1">
        <v>-20622</v>
      </c>
      <c r="G19" s="1">
        <v>-15441</v>
      </c>
      <c r="H19" s="1">
        <v>-13925</v>
      </c>
      <c r="I19" s="1"/>
      <c r="J19" s="1"/>
      <c r="K19" s="1"/>
      <c r="L19" s="1"/>
      <c r="M19" s="1"/>
      <c r="N19" s="1"/>
      <c r="O19" s="1"/>
      <c r="P19" s="1"/>
      <c r="Q19" s="1"/>
      <c r="R19" s="1"/>
      <c r="S19" s="1"/>
      <c r="T19" s="1"/>
    </row>
    <row r="20" spans="1:20" x14ac:dyDescent="0.25">
      <c r="A20" s="1" t="s">
        <v>93</v>
      </c>
      <c r="B20" s="1">
        <v>-5978</v>
      </c>
      <c r="C20" s="1">
        <v>-69132</v>
      </c>
      <c r="D20" s="1">
        <v>-1670</v>
      </c>
      <c r="E20" s="1">
        <v>-22038</v>
      </c>
      <c r="F20" s="1">
        <v>-8909</v>
      </c>
      <c r="G20" s="1">
        <v>-2521</v>
      </c>
      <c r="H20" s="1">
        <v>-2388</v>
      </c>
      <c r="I20" s="1"/>
      <c r="J20" s="1"/>
      <c r="K20" s="1"/>
      <c r="L20" s="1"/>
      <c r="M20" s="1"/>
      <c r="N20" s="1"/>
      <c r="O20" s="1"/>
      <c r="P20" s="1"/>
      <c r="Q20" s="1"/>
      <c r="R20" s="1"/>
      <c r="S20" s="1"/>
      <c r="T20" s="1"/>
    </row>
    <row r="21" spans="1:20" x14ac:dyDescent="0.25">
      <c r="A21" s="1" t="s">
        <v>92</v>
      </c>
      <c r="B21" s="1">
        <v>-29775</v>
      </c>
      <c r="C21" s="1">
        <v>-17732</v>
      </c>
      <c r="D21" s="1">
        <v>-37651</v>
      </c>
      <c r="E21" s="1">
        <v>-26456</v>
      </c>
      <c r="F21" s="1">
        <v>-62924</v>
      </c>
      <c r="G21" s="1">
        <v>-77190</v>
      </c>
      <c r="H21" s="1">
        <v>-57697</v>
      </c>
      <c r="I21" s="1"/>
      <c r="J21" s="1"/>
      <c r="K21" s="1"/>
      <c r="L21" s="1"/>
      <c r="M21" s="1"/>
      <c r="N21" s="1"/>
      <c r="O21" s="1"/>
      <c r="P21" s="1"/>
      <c r="Q21" s="1"/>
      <c r="R21" s="1"/>
      <c r="S21" s="1"/>
      <c r="T21" s="1"/>
    </row>
    <row r="22" spans="1:20" x14ac:dyDescent="0.25">
      <c r="A22" s="1" t="s">
        <v>91</v>
      </c>
      <c r="B22" s="1">
        <v>25388</v>
      </c>
      <c r="C22" s="1">
        <v>35669</v>
      </c>
      <c r="D22" s="1">
        <v>47864</v>
      </c>
      <c r="E22" s="1">
        <v>44894</v>
      </c>
      <c r="F22" s="1">
        <v>65800</v>
      </c>
      <c r="G22" s="1">
        <v>84170</v>
      </c>
      <c r="H22" s="1">
        <v>58237</v>
      </c>
      <c r="I22" s="1"/>
      <c r="J22" s="1"/>
      <c r="K22" s="1"/>
      <c r="L22" s="1"/>
      <c r="M22" s="1"/>
      <c r="N22" s="1"/>
      <c r="O22" s="1"/>
      <c r="P22" s="1"/>
      <c r="Q22" s="1"/>
      <c r="R22" s="1"/>
      <c r="S22" s="1"/>
      <c r="T22" s="1"/>
    </row>
    <row r="23" spans="1:20" x14ac:dyDescent="0.25">
      <c r="A23" s="1" t="s">
        <v>90</v>
      </c>
      <c r="B23" s="1">
        <f t="shared" ref="B23:H23" si="2">B24-SUM(B19:B22)</f>
        <v>2317</v>
      </c>
      <c r="C23" s="1">
        <f t="shared" si="2"/>
        <v>-1298</v>
      </c>
      <c r="D23" s="1">
        <f t="shared" si="2"/>
        <v>-3116</v>
      </c>
      <c r="E23" s="1">
        <f t="shared" si="2"/>
        <v>-2825</v>
      </c>
      <c r="F23" s="1">
        <f t="shared" si="2"/>
        <v>-922</v>
      </c>
      <c r="G23" s="1">
        <f t="shared" si="2"/>
        <v>-1241</v>
      </c>
      <c r="H23" s="1">
        <f t="shared" si="2"/>
        <v>0</v>
      </c>
      <c r="I23" s="1"/>
      <c r="J23" s="1"/>
      <c r="K23" s="1"/>
      <c r="L23" s="1"/>
      <c r="M23" s="1"/>
      <c r="N23" s="1"/>
      <c r="O23" s="1"/>
      <c r="P23" s="1"/>
      <c r="Q23" s="1"/>
      <c r="R23" s="1"/>
      <c r="S23" s="1"/>
      <c r="T23" s="1"/>
    </row>
    <row r="24" spans="1:20" x14ac:dyDescent="0.25">
      <c r="A24" s="6" t="s">
        <v>89</v>
      </c>
      <c r="B24" s="4">
        <v>-72599</v>
      </c>
      <c r="C24" s="4">
        <v>-96970</v>
      </c>
      <c r="D24" s="4">
        <v>-22680</v>
      </c>
      <c r="E24" s="4">
        <v>-30311</v>
      </c>
      <c r="F24" s="4">
        <v>-27577</v>
      </c>
      <c r="G24" s="4">
        <v>-12223</v>
      </c>
      <c r="H24" s="4">
        <v>-15773</v>
      </c>
      <c r="I24" s="4"/>
      <c r="J24" s="4"/>
      <c r="K24" s="4"/>
      <c r="L24" s="4"/>
      <c r="M24" s="4"/>
      <c r="N24" s="4"/>
      <c r="O24" s="4"/>
      <c r="P24" s="4"/>
      <c r="Q24" s="4"/>
      <c r="R24" s="4"/>
      <c r="S24" s="4"/>
      <c r="T24" s="4"/>
    </row>
    <row r="26" spans="1:20" x14ac:dyDescent="0.25">
      <c r="A26" s="1" t="s">
        <v>88</v>
      </c>
      <c r="B26" s="1">
        <v>-3216</v>
      </c>
      <c r="C26" s="1">
        <v>-29070</v>
      </c>
      <c r="D26" s="1">
        <v>-2750</v>
      </c>
      <c r="E26" s="1">
        <v>-9023</v>
      </c>
      <c r="F26" s="1">
        <v>-7500</v>
      </c>
      <c r="G26" s="1">
        <v>-11036</v>
      </c>
      <c r="H26" s="1">
        <v>-8000</v>
      </c>
      <c r="I26" s="1"/>
      <c r="J26" s="1"/>
      <c r="K26" s="1"/>
      <c r="L26" s="1"/>
      <c r="M26" s="1"/>
      <c r="N26" s="1"/>
      <c r="O26" s="1"/>
      <c r="P26" s="1"/>
      <c r="Q26" s="1"/>
      <c r="R26" s="1"/>
      <c r="S26" s="1"/>
      <c r="T26" s="1"/>
    </row>
    <row r="27" spans="1:20" x14ac:dyDescent="0.25">
      <c r="A27" s="1" t="s">
        <v>87</v>
      </c>
      <c r="B27" s="1">
        <v>2056</v>
      </c>
      <c r="C27" s="1">
        <v>2002</v>
      </c>
      <c r="D27" s="1">
        <v>1866</v>
      </c>
      <c r="E27" s="1">
        <v>1841</v>
      </c>
      <c r="F27" s="1">
        <v>1693</v>
      </c>
      <c r="G27" s="1">
        <v>1343</v>
      </c>
      <c r="H27" s="1">
        <v>1142</v>
      </c>
      <c r="I27" s="1"/>
      <c r="J27" s="1"/>
      <c r="K27" s="1"/>
      <c r="L27" s="1"/>
      <c r="M27" s="1"/>
      <c r="N27" s="1"/>
      <c r="O27" s="1"/>
      <c r="P27" s="1"/>
      <c r="Q27" s="1"/>
      <c r="R27" s="1"/>
      <c r="S27" s="1"/>
      <c r="T27" s="1"/>
    </row>
    <row r="28" spans="1:20" x14ac:dyDescent="0.25">
      <c r="A28" s="1" t="s">
        <v>86</v>
      </c>
      <c r="B28" s="1">
        <v>-18420</v>
      </c>
      <c r="C28" s="1">
        <v>-17254</v>
      </c>
      <c r="D28" s="1">
        <v>-22245</v>
      </c>
      <c r="E28" s="1">
        <v>-32696</v>
      </c>
      <c r="F28" s="1">
        <v>-27385</v>
      </c>
      <c r="G28" s="1">
        <v>-22968</v>
      </c>
      <c r="H28" s="1">
        <v>-19543</v>
      </c>
      <c r="I28" s="1"/>
      <c r="J28" s="1"/>
      <c r="K28" s="1"/>
      <c r="L28" s="1"/>
      <c r="M28" s="1"/>
      <c r="N28" s="1"/>
      <c r="O28" s="1"/>
      <c r="P28" s="1"/>
      <c r="Q28" s="1"/>
      <c r="R28" s="1"/>
      <c r="S28" s="1"/>
      <c r="T28" s="1"/>
    </row>
    <row r="29" spans="1:20" x14ac:dyDescent="0.25">
      <c r="A29" s="1" t="s">
        <v>85</v>
      </c>
      <c r="B29" s="1">
        <v>-24082</v>
      </c>
      <c r="C29" s="1">
        <v>-21771</v>
      </c>
      <c r="D29" s="1">
        <v>-19800</v>
      </c>
      <c r="E29" s="1">
        <v>-18135</v>
      </c>
      <c r="F29" s="1">
        <v>-16521</v>
      </c>
      <c r="G29" s="1">
        <v>-15137</v>
      </c>
      <c r="H29" s="1">
        <v>-13811</v>
      </c>
      <c r="I29" s="1"/>
      <c r="J29" s="1"/>
      <c r="K29" s="1"/>
      <c r="L29" s="1"/>
      <c r="M29" s="1"/>
      <c r="N29" s="1"/>
      <c r="O29" s="1"/>
      <c r="P29" s="1"/>
      <c r="Q29" s="1"/>
      <c r="R29" s="1"/>
      <c r="S29" s="1"/>
      <c r="T29" s="1"/>
    </row>
    <row r="30" spans="1:20" x14ac:dyDescent="0.25">
      <c r="A30" s="1" t="s">
        <v>84</v>
      </c>
      <c r="B30" s="1">
        <f t="shared" ref="B30:H30" si="3">B31-SUM(B26:B29)</f>
        <v>-8037</v>
      </c>
      <c r="C30" s="1">
        <f t="shared" si="3"/>
        <v>28336</v>
      </c>
      <c r="D30" s="1">
        <f t="shared" si="3"/>
        <v>-1006</v>
      </c>
      <c r="E30" s="1">
        <f t="shared" si="3"/>
        <v>-863</v>
      </c>
      <c r="F30" s="1">
        <f t="shared" si="3"/>
        <v>1227</v>
      </c>
      <c r="G30" s="1">
        <f t="shared" si="3"/>
        <v>1767</v>
      </c>
      <c r="H30" s="1">
        <f t="shared" si="3"/>
        <v>3325</v>
      </c>
      <c r="I30" s="1"/>
      <c r="J30" s="1"/>
      <c r="K30" s="1"/>
      <c r="L30" s="1"/>
      <c r="M30" s="1"/>
      <c r="N30" s="1"/>
      <c r="O30" s="1"/>
      <c r="P30" s="1"/>
      <c r="Q30" s="1"/>
      <c r="R30" s="1"/>
      <c r="S30" s="1"/>
      <c r="T30" s="1"/>
    </row>
    <row r="31" spans="1:20" x14ac:dyDescent="0.25">
      <c r="A31" s="6" t="s">
        <v>83</v>
      </c>
      <c r="B31" s="4">
        <v>-51699</v>
      </c>
      <c r="C31" s="4">
        <v>-37757</v>
      </c>
      <c r="D31" s="4">
        <v>-43935</v>
      </c>
      <c r="E31" s="4">
        <v>-58876</v>
      </c>
      <c r="F31" s="4">
        <v>-48486</v>
      </c>
      <c r="G31" s="4">
        <v>-46031</v>
      </c>
      <c r="H31" s="4">
        <v>-36887</v>
      </c>
      <c r="I31" s="4"/>
      <c r="J31" s="4"/>
      <c r="K31" s="4"/>
      <c r="L31" s="4"/>
      <c r="M31" s="4"/>
      <c r="N31" s="4"/>
      <c r="O31" s="4"/>
      <c r="P31" s="4"/>
      <c r="Q31" s="4"/>
      <c r="R31" s="4"/>
      <c r="S31" s="4"/>
      <c r="T31" s="4"/>
    </row>
    <row r="33" spans="1:20" x14ac:dyDescent="0.25">
      <c r="A33" s="1" t="s">
        <v>82</v>
      </c>
      <c r="B33" s="1">
        <f t="shared" ref="B33:H33" si="4">B34-B17-B24-B31</f>
        <v>63</v>
      </c>
      <c r="C33" s="1">
        <f t="shared" si="4"/>
        <v>-210</v>
      </c>
      <c r="D33" s="1">
        <f t="shared" si="4"/>
        <v>-194</v>
      </c>
      <c r="E33" s="1">
        <f t="shared" si="4"/>
        <v>-141</v>
      </c>
      <c r="F33" s="1">
        <f t="shared" si="4"/>
        <v>-29</v>
      </c>
      <c r="G33" s="1">
        <f t="shared" si="4"/>
        <v>-201</v>
      </c>
      <c r="H33" s="1">
        <f t="shared" si="4"/>
        <v>-115</v>
      </c>
      <c r="I33" s="1"/>
      <c r="J33" s="1"/>
      <c r="K33" s="1"/>
      <c r="L33" s="1"/>
      <c r="M33" s="1"/>
      <c r="N33" s="1"/>
      <c r="O33" s="1"/>
      <c r="P33" s="1"/>
      <c r="Q33" s="1"/>
      <c r="R33" s="1"/>
      <c r="S33" s="1"/>
      <c r="T33" s="1"/>
    </row>
    <row r="34" spans="1:20" x14ac:dyDescent="0.25">
      <c r="A34" s="1" t="s">
        <v>81</v>
      </c>
      <c r="B34" s="1">
        <f t="shared" ref="B34:H34" si="5">B35-B36</f>
        <v>11927</v>
      </c>
      <c r="C34" s="1">
        <f t="shared" si="5"/>
        <v>-16389</v>
      </c>
      <c r="D34" s="1">
        <f t="shared" si="5"/>
        <v>20773</v>
      </c>
      <c r="E34" s="1">
        <f t="shared" si="5"/>
        <v>-293</v>
      </c>
      <c r="F34" s="1">
        <f t="shared" si="5"/>
        <v>648</v>
      </c>
      <c r="G34" s="1">
        <f t="shared" si="5"/>
        <v>2220</v>
      </c>
      <c r="H34" s="1">
        <f t="shared" si="5"/>
        <v>-590</v>
      </c>
      <c r="I34" s="1"/>
      <c r="J34" s="1"/>
      <c r="K34" s="1"/>
      <c r="L34" s="1"/>
      <c r="M34" s="1"/>
      <c r="N34" s="1"/>
      <c r="O34" s="1"/>
      <c r="P34" s="1"/>
      <c r="Q34" s="1"/>
      <c r="R34" s="1"/>
      <c r="S34" s="1"/>
      <c r="T34" s="1"/>
    </row>
    <row r="35" spans="1:20" x14ac:dyDescent="0.25">
      <c r="A35" s="1" t="s">
        <v>80</v>
      </c>
      <c r="B35" s="1">
        <v>30242</v>
      </c>
      <c r="C35" s="1">
        <v>18315</v>
      </c>
      <c r="D35" s="1">
        <v>34704</v>
      </c>
      <c r="E35" s="1">
        <v>13931</v>
      </c>
      <c r="F35" s="1">
        <v>14224</v>
      </c>
      <c r="G35" s="1">
        <v>13576</v>
      </c>
      <c r="H35" s="1">
        <v>11356</v>
      </c>
      <c r="I35" s="1"/>
      <c r="J35" s="1"/>
      <c r="K35" s="1"/>
      <c r="L35" s="1"/>
      <c r="M35" s="1"/>
      <c r="N35" s="1"/>
      <c r="O35" s="1"/>
      <c r="P35" s="1"/>
      <c r="Q35" s="1"/>
      <c r="R35" s="1"/>
      <c r="S35" s="1"/>
      <c r="T35" s="1"/>
    </row>
    <row r="36" spans="1:20" x14ac:dyDescent="0.25">
      <c r="A36" s="1" t="s">
        <v>79</v>
      </c>
      <c r="B36" s="1">
        <v>18315</v>
      </c>
      <c r="C36" s="1">
        <v>34704</v>
      </c>
      <c r="D36" s="1">
        <v>13931</v>
      </c>
      <c r="E36" s="1">
        <v>14224</v>
      </c>
      <c r="F36" s="1">
        <v>13576</v>
      </c>
      <c r="G36" s="1">
        <v>11356</v>
      </c>
      <c r="H36" s="1">
        <v>11946</v>
      </c>
      <c r="I36" s="1"/>
      <c r="J36" s="1"/>
      <c r="K36" s="1"/>
      <c r="L36" s="1"/>
      <c r="M36" s="1"/>
      <c r="N36" s="1"/>
      <c r="O36" s="1"/>
      <c r="P36" s="1"/>
      <c r="Q36" s="1"/>
      <c r="R36" s="1"/>
      <c r="S36" s="1"/>
      <c r="T36" s="1"/>
    </row>
    <row r="37" spans="1:20" x14ac:dyDescent="0.25">
      <c r="A37" s="1" t="s">
        <v>78</v>
      </c>
      <c r="B37" s="1">
        <f t="shared" ref="B37:H37" si="6">B17</f>
        <v>136162</v>
      </c>
      <c r="C37" s="1">
        <f t="shared" si="6"/>
        <v>118548</v>
      </c>
      <c r="D37" s="1">
        <f t="shared" si="6"/>
        <v>87582</v>
      </c>
      <c r="E37" s="1">
        <f t="shared" si="6"/>
        <v>89035</v>
      </c>
      <c r="F37" s="1">
        <f t="shared" si="6"/>
        <v>76740</v>
      </c>
      <c r="G37" s="1">
        <f t="shared" si="6"/>
        <v>60675</v>
      </c>
      <c r="H37" s="1">
        <f t="shared" si="6"/>
        <v>52185</v>
      </c>
      <c r="I37" s="1"/>
      <c r="J37" s="1"/>
      <c r="K37" s="1"/>
      <c r="L37" s="1"/>
      <c r="M37" s="1"/>
      <c r="N37" s="1"/>
      <c r="O37" s="1"/>
      <c r="P37" s="1"/>
      <c r="Q37" s="1"/>
      <c r="R37" s="1"/>
      <c r="S37" s="1"/>
      <c r="T37" s="1"/>
    </row>
    <row r="38" spans="1:20" x14ac:dyDescent="0.25">
      <c r="A38" s="1" t="s">
        <v>77</v>
      </c>
      <c r="B38" s="1">
        <f t="shared" ref="B38:H38" si="7">B19</f>
        <v>-64551</v>
      </c>
      <c r="C38" s="1">
        <f t="shared" si="7"/>
        <v>-44477</v>
      </c>
      <c r="D38" s="1">
        <f t="shared" si="7"/>
        <v>-28107</v>
      </c>
      <c r="E38" s="1">
        <f t="shared" si="7"/>
        <v>-23886</v>
      </c>
      <c r="F38" s="1">
        <f t="shared" si="7"/>
        <v>-20622</v>
      </c>
      <c r="G38" s="1">
        <f t="shared" si="7"/>
        <v>-15441</v>
      </c>
      <c r="H38" s="1">
        <f t="shared" si="7"/>
        <v>-13925</v>
      </c>
      <c r="I38" s="1"/>
      <c r="J38" s="1"/>
      <c r="K38" s="1"/>
      <c r="L38" s="1"/>
      <c r="M38" s="1"/>
      <c r="N38" s="1"/>
      <c r="O38" s="1"/>
      <c r="P38" s="1"/>
      <c r="Q38" s="1"/>
      <c r="R38" s="1"/>
      <c r="S38" s="1"/>
      <c r="T38" s="1"/>
    </row>
    <row r="39" spans="1:20" x14ac:dyDescent="0.25">
      <c r="A39" s="6" t="s">
        <v>76</v>
      </c>
      <c r="B39" s="5">
        <f t="shared" ref="B39:H39" si="8">B37+B38</f>
        <v>71611</v>
      </c>
      <c r="C39" s="5">
        <f t="shared" si="8"/>
        <v>74071</v>
      </c>
      <c r="D39" s="5">
        <f t="shared" si="8"/>
        <v>59475</v>
      </c>
      <c r="E39" s="5">
        <f t="shared" si="8"/>
        <v>65149</v>
      </c>
      <c r="F39" s="5">
        <f t="shared" si="8"/>
        <v>56118</v>
      </c>
      <c r="G39" s="5">
        <f t="shared" si="8"/>
        <v>45234</v>
      </c>
      <c r="H39" s="5">
        <f t="shared" si="8"/>
        <v>38260</v>
      </c>
      <c r="I39" s="5"/>
      <c r="J39" s="5"/>
      <c r="K39" s="5"/>
      <c r="L39" s="5"/>
      <c r="M39" s="5"/>
      <c r="N39" s="5"/>
      <c r="O39" s="5"/>
      <c r="P39" s="5"/>
      <c r="Q39" s="5"/>
      <c r="R39" s="5"/>
      <c r="S39" s="5"/>
      <c r="T39" s="5"/>
    </row>
  </sheetData>
  <mergeCells count="1">
    <mergeCell ref="B4:T4"/>
  </mergeCells>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55E4AF-60D8-4993-A806-6CF78ACBB073}">
  <sheetPr>
    <tabColor rgb="FFC6E0B4"/>
  </sheetPr>
  <dimension ref="A1:T61"/>
  <sheetViews>
    <sheetView workbookViewId="0"/>
  </sheetViews>
  <sheetFormatPr defaultRowHeight="15" x14ac:dyDescent="0.25"/>
  <cols>
    <col min="1" max="1" width="41.28515625" bestFit="1" customWidth="1"/>
    <col min="2" max="4" width="19.85546875" bestFit="1" customWidth="1"/>
    <col min="5" max="5" width="19" bestFit="1" customWidth="1"/>
    <col min="6" max="7" width="19.85546875" bestFit="1" customWidth="1"/>
    <col min="8" max="15" width="18.28515625" bestFit="1" customWidth="1"/>
    <col min="16" max="20" width="17.28515625" bestFit="1" customWidth="1"/>
  </cols>
  <sheetData>
    <row r="1" spans="1:20" x14ac:dyDescent="0.25">
      <c r="A1" s="10" t="s">
        <v>201</v>
      </c>
      <c r="B1" s="10"/>
      <c r="C1" s="10"/>
      <c r="D1" s="10"/>
      <c r="E1" s="10"/>
      <c r="F1" s="10"/>
      <c r="G1" s="10"/>
      <c r="H1" s="10"/>
      <c r="I1" s="10"/>
      <c r="J1" s="10"/>
      <c r="K1" s="10"/>
      <c r="L1" s="10"/>
      <c r="M1" s="10"/>
      <c r="N1" s="10"/>
      <c r="O1" s="10"/>
      <c r="P1" s="10"/>
      <c r="Q1" s="10"/>
      <c r="R1" s="10"/>
      <c r="S1" s="10"/>
      <c r="T1" s="10"/>
    </row>
    <row r="2" spans="1:20" x14ac:dyDescent="0.25">
      <c r="A2" t="s">
        <v>1</v>
      </c>
      <c r="B2" t="s">
        <v>197</v>
      </c>
    </row>
    <row r="3" spans="1:20" x14ac:dyDescent="0.25">
      <c r="A3" t="s">
        <v>3</v>
      </c>
      <c r="B3" t="str">
        <f>'MSFT - Income Statement FY'!B3</f>
        <v>USD</v>
      </c>
    </row>
    <row r="4" spans="1:20" x14ac:dyDescent="0.25">
      <c r="A4" t="s">
        <v>32</v>
      </c>
      <c r="B4" s="236" t="s">
        <v>33</v>
      </c>
      <c r="C4" s="236"/>
      <c r="D4" s="236"/>
      <c r="E4" s="236"/>
      <c r="F4" s="236"/>
      <c r="G4" s="236"/>
      <c r="H4" s="236"/>
      <c r="I4" s="236"/>
      <c r="J4" s="236"/>
      <c r="K4" s="236"/>
      <c r="L4" s="236"/>
      <c r="M4" s="236"/>
      <c r="N4" s="236"/>
      <c r="O4" s="236"/>
      <c r="P4" s="236"/>
      <c r="Q4" s="236"/>
      <c r="R4" s="236"/>
      <c r="S4" s="236"/>
      <c r="T4" s="236"/>
    </row>
    <row r="5" spans="1:20" x14ac:dyDescent="0.25">
      <c r="A5" t="s">
        <v>34</v>
      </c>
      <c r="B5" s="8">
        <v>45838</v>
      </c>
      <c r="C5" s="8">
        <v>45473</v>
      </c>
      <c r="D5" s="8">
        <v>45107</v>
      </c>
      <c r="E5" s="8">
        <v>44742</v>
      </c>
      <c r="F5" s="8">
        <v>44377</v>
      </c>
      <c r="G5" s="8">
        <v>44012</v>
      </c>
      <c r="H5" s="8">
        <v>43646</v>
      </c>
      <c r="I5" s="8"/>
      <c r="J5" s="8"/>
      <c r="K5" s="8"/>
      <c r="L5" s="8"/>
      <c r="M5" s="8"/>
      <c r="N5" s="8"/>
      <c r="O5" s="8"/>
      <c r="P5" s="8"/>
      <c r="Q5" s="8"/>
      <c r="R5" s="8"/>
      <c r="S5" s="8"/>
      <c r="T5" s="8"/>
    </row>
    <row r="6" spans="1:20" x14ac:dyDescent="0.25">
      <c r="A6" s="2" t="s">
        <v>159</v>
      </c>
      <c r="B6" s="2">
        <f>'MSFT - Income Statement FY'!B7/'MSFT - Income Statement FY'!B38</f>
        <v>37.739316811788349</v>
      </c>
      <c r="C6" s="2">
        <f>'MSFT - Income Statement FY'!C7/'MSFT - Income Statement FY'!C38</f>
        <v>32.818583478377292</v>
      </c>
      <c r="D6" s="2">
        <f>'MSFT - Income Statement FY'!D7/'MSFT - Income Statement FY'!D38</f>
        <v>28.361215203426124</v>
      </c>
      <c r="E6" s="2">
        <f>'MSFT - Income Statement FY'!E7/'MSFT - Income Statement FY'!E38</f>
        <v>26.295755968169761</v>
      </c>
      <c r="F6" s="2">
        <f>'MSFT - Income Statement FY'!F7/'MSFT - Income Statement FY'!F38</f>
        <v>22.093585699263933</v>
      </c>
      <c r="G6" s="2">
        <f>'MSFT - Income Statement FY'!G7/'MSFT - Income Statement FY'!G38</f>
        <v>18.614473512950671</v>
      </c>
      <c r="H6" s="2">
        <f>'MSFT - Income Statement FY'!H7/'MSFT - Income Statement FY'!H38</f>
        <v>16.231523281310462</v>
      </c>
      <c r="I6" s="2"/>
      <c r="J6" s="2"/>
      <c r="K6" s="2"/>
      <c r="L6" s="2"/>
      <c r="M6" s="2"/>
      <c r="N6" s="2"/>
      <c r="O6" s="2"/>
      <c r="P6" s="2"/>
      <c r="Q6" s="2"/>
      <c r="R6" s="2"/>
      <c r="S6" s="2"/>
      <c r="T6" s="2"/>
    </row>
    <row r="7" spans="1:20" x14ac:dyDescent="0.25">
      <c r="A7" s="2" t="s">
        <v>158</v>
      </c>
      <c r="B7" s="2">
        <f>'MSFT - Income Statement FY'!B32/'MSFT - Income Statement FY'!B38</f>
        <v>13.64125920964501</v>
      </c>
      <c r="C7" s="2">
        <f>'MSFT - Income Statement FY'!C32/'MSFT - Income Statement FY'!C38</f>
        <v>11.800240996117285</v>
      </c>
      <c r="D7" s="2">
        <f>'MSFT - Income Statement FY'!D32/'MSFT - Income Statement FY'!D38</f>
        <v>9.6842880085653107</v>
      </c>
      <c r="E7" s="2">
        <f>'MSFT - Income Statement FY'!E32/'MSFT - Income Statement FY'!E38</f>
        <v>9.6469496021220156</v>
      </c>
      <c r="F7" s="2">
        <f>'MSFT - Income Statement FY'!F32/'MSFT - Income Statement FY'!F38</f>
        <v>8.0534963196635125</v>
      </c>
      <c r="G7" s="2">
        <f>'MSFT - Income Statement FY'!G32/'MSFT - Income Statement FY'!G38</f>
        <v>5.7635038396459715</v>
      </c>
      <c r="H7" s="2">
        <f>'MSFT - Income Statement FY'!H32/'MSFT - Income Statement FY'!H38</f>
        <v>5.0612666064749128</v>
      </c>
      <c r="I7" s="2"/>
      <c r="J7" s="2"/>
      <c r="K7" s="2"/>
      <c r="L7" s="2"/>
      <c r="M7" s="2"/>
      <c r="N7" s="2"/>
      <c r="O7" s="2"/>
      <c r="P7" s="2"/>
      <c r="Q7" s="2"/>
      <c r="R7" s="2"/>
      <c r="S7" s="2"/>
      <c r="T7" s="2"/>
    </row>
    <row r="8" spans="1:20" x14ac:dyDescent="0.25">
      <c r="A8" s="2" t="s">
        <v>157</v>
      </c>
      <c r="B8" s="2">
        <f>'MSFT - Cash Flow FY'!B17/'MSFT - Income Statement FY'!B38</f>
        <v>18.240053583389148</v>
      </c>
      <c r="C8" s="2">
        <f>'MSFT - Cash Flow FY'!C17/'MSFT - Income Statement FY'!C38</f>
        <v>15.872004284375418</v>
      </c>
      <c r="D8" s="2">
        <f>'MSFT - Cash Flow FY'!D17/'MSFT - Income Statement FY'!D38</f>
        <v>11.721359743040685</v>
      </c>
      <c r="E8" s="2">
        <f>'MSFT - Cash Flow FY'!E17/'MSFT - Income Statement FY'!E38</f>
        <v>11.808355437665783</v>
      </c>
      <c r="F8" s="2">
        <f>'MSFT - Cash Flow FY'!F17/'MSFT - Income Statement FY'!F38</f>
        <v>10.086750788643533</v>
      </c>
      <c r="G8" s="2">
        <f>'MSFT - Cash Flow FY'!G17/'MSFT - Income Statement FY'!G38</f>
        <v>7.8973057399453337</v>
      </c>
      <c r="H8" s="2">
        <f>'MSFT - Cash Flow FY'!H17/'MSFT - Income Statement FY'!H38</f>
        <v>6.7309428608280664</v>
      </c>
      <c r="I8" s="2"/>
      <c r="J8" s="2"/>
      <c r="K8" s="2"/>
      <c r="L8" s="2"/>
      <c r="M8" s="2"/>
      <c r="N8" s="2"/>
      <c r="O8" s="2"/>
      <c r="P8" s="2"/>
      <c r="Q8" s="2"/>
      <c r="R8" s="2"/>
      <c r="S8" s="2"/>
      <c r="T8" s="2"/>
    </row>
    <row r="9" spans="1:20" x14ac:dyDescent="0.25">
      <c r="A9" s="2" t="s">
        <v>156</v>
      </c>
      <c r="B9" s="2">
        <f>'MSFT - Cash Flow FY'!B39/'MSFT - Income Statement FY'!B38</f>
        <v>9.5929002009377093</v>
      </c>
      <c r="C9" s="2">
        <f>'MSFT - Cash Flow FY'!C39/'MSFT - Income Statement FY'!C38</f>
        <v>9.9171241130004013</v>
      </c>
      <c r="D9" s="2">
        <f>'MSFT - Cash Flow FY'!D39/'MSFT - Income Statement FY'!D38</f>
        <v>7.9597162740899359</v>
      </c>
      <c r="E9" s="2">
        <f>'MSFT - Cash Flow FY'!E39/'MSFT - Income Statement FY'!E38</f>
        <v>8.6404509283819628</v>
      </c>
      <c r="F9" s="2">
        <f>'MSFT - Cash Flow FY'!F39/'MSFT - Income Statement FY'!F38</f>
        <v>7.3761829652996846</v>
      </c>
      <c r="G9" s="2">
        <f>'MSFT - Cash Flow FY'!G39/'MSFT - Income Statement FY'!G38</f>
        <v>5.8875439281530655</v>
      </c>
      <c r="H9" s="2">
        <f>'MSFT - Cash Flow FY'!H39/'MSFT - Income Statement FY'!H38</f>
        <v>4.9348639236424612</v>
      </c>
      <c r="I9" s="2"/>
      <c r="J9" s="2"/>
      <c r="K9" s="2"/>
      <c r="L9" s="2"/>
      <c r="M9" s="2"/>
      <c r="N9" s="2"/>
      <c r="O9" s="2"/>
      <c r="P9" s="2"/>
      <c r="Q9" s="2"/>
      <c r="R9" s="2"/>
      <c r="S9" s="2"/>
      <c r="T9" s="2"/>
    </row>
    <row r="10" spans="1:20" x14ac:dyDescent="0.25">
      <c r="A10" s="2" t="s">
        <v>155</v>
      </c>
      <c r="B10" s="2">
        <f>'MSFT - Balance Sheet FY'!B7/'MSFT - Income Statement FY'!B38</f>
        <v>4.0511721366376428</v>
      </c>
      <c r="C10" s="2">
        <f>'MSFT - Balance Sheet FY'!C7/'MSFT - Income Statement FY'!C38</f>
        <v>2.4521354933726069</v>
      </c>
      <c r="D10" s="2">
        <f>'MSFT - Balance Sheet FY'!D7/'MSFT - Income Statement FY'!D38</f>
        <v>4.6445396145610278</v>
      </c>
      <c r="E10" s="2">
        <f>'MSFT - Balance Sheet FY'!E7/'MSFT - Income Statement FY'!E38</f>
        <v>1.8476127320954907</v>
      </c>
      <c r="F10" s="2">
        <f>'MSFT - Balance Sheet FY'!F7/'MSFT - Income Statement FY'!F38</f>
        <v>1.8696109358569926</v>
      </c>
      <c r="G10" s="2">
        <f>'MSFT - Balance Sheet FY'!G7/'MSFT - Income Statement FY'!G38</f>
        <v>1.7670180918911884</v>
      </c>
      <c r="H10" s="2">
        <f>'MSFT - Balance Sheet FY'!H7/'MSFT - Income Statement FY'!H38</f>
        <v>1.4647233329033922</v>
      </c>
      <c r="I10" s="2"/>
      <c r="J10" s="2"/>
      <c r="K10" s="2"/>
      <c r="L10" s="2"/>
      <c r="M10" s="2"/>
      <c r="N10" s="2"/>
      <c r="O10" s="2"/>
      <c r="P10" s="2"/>
      <c r="Q10" s="2"/>
      <c r="R10" s="2"/>
      <c r="S10" s="2"/>
      <c r="T10" s="2"/>
    </row>
    <row r="11" spans="1:20" x14ac:dyDescent="0.25">
      <c r="A11" s="2" t="s">
        <v>154</v>
      </c>
      <c r="B11" s="2">
        <f>'MSFT - Balance Sheet FY'!B47/'MSFT - Income Statement FY'!B38</f>
        <v>46.011922304085736</v>
      </c>
      <c r="C11" s="2">
        <f>'MSFT - Balance Sheet FY'!C47/'MSFT - Income Statement FY'!C38</f>
        <v>35.945508100147272</v>
      </c>
      <c r="D11" s="2">
        <f>'MSFT - Balance Sheet FY'!D47/'MSFT - Income Statement FY'!D38</f>
        <v>27.599437901498931</v>
      </c>
      <c r="E11" s="2">
        <f>'MSFT - Balance Sheet FY'!E47/'MSFT - Income Statement FY'!E38</f>
        <v>22.087798408488062</v>
      </c>
      <c r="F11" s="2">
        <f>'MSFT - Balance Sheet FY'!F47/'MSFT - Income Statement FY'!F38</f>
        <v>18.662986330178761</v>
      </c>
      <c r="G11" s="2">
        <f>'MSFT - Balance Sheet FY'!G47/'MSFT - Income Statement FY'!G38</f>
        <v>15.398151763633997</v>
      </c>
      <c r="H11" s="2">
        <f>'MSFT - Balance Sheet FY'!H47/'MSFT - Income Statement FY'!H38</f>
        <v>13.19876176963756</v>
      </c>
      <c r="I11" s="2"/>
      <c r="J11" s="2"/>
      <c r="K11" s="2"/>
      <c r="L11" s="2"/>
      <c r="M11" s="2"/>
      <c r="N11" s="2"/>
      <c r="O11" s="2"/>
      <c r="P11" s="2"/>
      <c r="Q11" s="2"/>
      <c r="R11" s="2"/>
      <c r="S11" s="2"/>
      <c r="T11" s="2"/>
    </row>
    <row r="12" spans="1:20" x14ac:dyDescent="0.25">
      <c r="A12" s="2" t="s">
        <v>153</v>
      </c>
      <c r="B12" s="2">
        <f>('MSFT - Balance Sheet FY'!B47-'MSFT - Balance Sheet FY'!B18)/'MSFT - Income Statement FY'!B38</f>
        <v>26.974681848626926</v>
      </c>
      <c r="C12" s="2">
        <f>('MSFT - Balance Sheet FY'!C47-'MSFT - Balance Sheet FY'!C18)/'MSFT - Income Statement FY'!C38</f>
        <v>16.288659793814432</v>
      </c>
      <c r="D12" s="2">
        <f>('MSFT - Balance Sheet FY'!D47-'MSFT - Balance Sheet FY'!D18)/'MSFT - Income Statement FY'!D38</f>
        <v>17.260572805139187</v>
      </c>
      <c r="E12" s="2">
        <f>('MSFT - Balance Sheet FY'!E47-'MSFT - Balance Sheet FY'!E18)/'MSFT - Income Statement FY'!E38</f>
        <v>11.63395225464191</v>
      </c>
      <c r="F12" s="2">
        <f>('MSFT - Balance Sheet FY'!F47-'MSFT - Balance Sheet FY'!F18)/'MSFT - Income Statement FY'!F38</f>
        <v>11.103706624605678</v>
      </c>
      <c r="G12" s="2">
        <f>('MSFT - Balance Sheet FY'!G47-'MSFT - Balance Sheet FY'!G18)/'MSFT - Income Statement FY'!G38</f>
        <v>8.8396459716256679</v>
      </c>
      <c r="H12" s="2">
        <f>('MSFT - Balance Sheet FY'!H47-'MSFT - Balance Sheet FY'!H18)/'MSFT - Income Statement FY'!H38</f>
        <v>6.7785373403843669</v>
      </c>
      <c r="I12" s="2"/>
      <c r="J12" s="2"/>
      <c r="K12" s="2"/>
      <c r="L12" s="2"/>
      <c r="M12" s="2"/>
      <c r="N12" s="2"/>
      <c r="O12" s="2"/>
      <c r="P12" s="2"/>
      <c r="Q12" s="2"/>
      <c r="R12" s="2"/>
      <c r="S12" s="2"/>
      <c r="T12" s="2"/>
    </row>
    <row r="13" spans="1:20" x14ac:dyDescent="0.25">
      <c r="A13" s="2" t="s">
        <v>152</v>
      </c>
      <c r="B13" s="2">
        <f>'MSFT - Balance Sheet FY'!B47/'MSFT - Income Statement FY'!B38</f>
        <v>46.011922304085736</v>
      </c>
      <c r="C13" s="2">
        <f>'MSFT - Balance Sheet FY'!C47/'MSFT - Income Statement FY'!C38</f>
        <v>35.945508100147272</v>
      </c>
      <c r="D13" s="2">
        <f>'MSFT - Balance Sheet FY'!D47/'MSFT - Income Statement FY'!D38</f>
        <v>27.599437901498931</v>
      </c>
      <c r="E13" s="2">
        <f>'MSFT - Balance Sheet FY'!E47/'MSFT - Income Statement FY'!E38</f>
        <v>22.087798408488062</v>
      </c>
      <c r="F13" s="2">
        <f>'MSFT - Balance Sheet FY'!F47/'MSFT - Income Statement FY'!F38</f>
        <v>18.662986330178761</v>
      </c>
      <c r="G13" s="2">
        <f>'MSFT - Balance Sheet FY'!G47/'MSFT - Income Statement FY'!G38</f>
        <v>15.398151763633997</v>
      </c>
      <c r="H13" s="2">
        <f>'MSFT - Balance Sheet FY'!H47/'MSFT - Income Statement FY'!H38</f>
        <v>13.19876176963756</v>
      </c>
      <c r="I13" s="2"/>
      <c r="J13" s="2"/>
      <c r="K13" s="2"/>
      <c r="L13" s="2"/>
      <c r="M13" s="2"/>
      <c r="N13" s="2"/>
      <c r="O13" s="2"/>
      <c r="P13" s="2"/>
      <c r="Q13" s="2"/>
      <c r="R13" s="2"/>
      <c r="S13" s="2"/>
      <c r="T13" s="2"/>
    </row>
    <row r="14" spans="1:20" x14ac:dyDescent="0.25">
      <c r="A14" s="2" t="s">
        <v>151</v>
      </c>
      <c r="B14" s="2">
        <f>'MSFT - Balance Sheet FY'!B51/'MSFT - Income Statement FY'!B38</f>
        <v>5.780442062960482</v>
      </c>
      <c r="C14" s="2">
        <f>'MSFT - Balance Sheet FY'!C51/'MSFT - Income Statement FY'!C38</f>
        <v>6.9125719641183556</v>
      </c>
      <c r="D14" s="2">
        <f>'MSFT - Balance Sheet FY'!D51/'MSFT - Income Statement FY'!D38</f>
        <v>6.3218683083511777</v>
      </c>
      <c r="E14" s="2">
        <f>'MSFT - Balance Sheet FY'!E51/'MSFT - Income Statement FY'!E38</f>
        <v>6.6022546419098145</v>
      </c>
      <c r="F14" s="2">
        <f>'MSFT - Balance Sheet FY'!F51/'MSFT - Income Statement FY'!F38</f>
        <v>7.6427444794952679</v>
      </c>
      <c r="G14" s="2">
        <f>'MSFT - Balance Sheet FY'!G51/'MSFT - Income Statement FY'!G38</f>
        <v>8.2424834049199536</v>
      </c>
      <c r="H14" s="2">
        <f>'MSFT - Balance Sheet FY'!H51/'MSFT - Income Statement FY'!H38</f>
        <v>9.3096865729395066</v>
      </c>
      <c r="I14" s="2"/>
      <c r="J14" s="2"/>
      <c r="K14" s="2"/>
      <c r="L14" s="2"/>
      <c r="M14" s="2"/>
      <c r="N14" s="2"/>
      <c r="O14" s="2"/>
      <c r="P14" s="2"/>
      <c r="Q14" s="2"/>
      <c r="R14" s="2"/>
      <c r="S14" s="2"/>
      <c r="T14" s="2"/>
    </row>
    <row r="15" spans="1:20" x14ac:dyDescent="0.25">
      <c r="A15" s="12" t="s">
        <v>150</v>
      </c>
      <c r="B15" s="1"/>
      <c r="C15" s="1"/>
      <c r="D15" s="1"/>
      <c r="E15" s="1"/>
      <c r="F15" s="1"/>
      <c r="G15" s="1"/>
      <c r="H15" s="1"/>
      <c r="I15" s="1"/>
      <c r="J15" s="1"/>
      <c r="K15" s="1"/>
      <c r="L15" s="1"/>
      <c r="M15" s="1"/>
      <c r="N15" s="1"/>
      <c r="O15" s="1"/>
      <c r="P15" s="1"/>
      <c r="Q15" s="1"/>
      <c r="R15" s="1"/>
      <c r="S15" s="1"/>
      <c r="T15" s="1"/>
    </row>
    <row r="16" spans="1:20" x14ac:dyDescent="0.25">
      <c r="A16" s="12" t="s">
        <v>149</v>
      </c>
      <c r="B16" s="1"/>
      <c r="C16" s="1"/>
      <c r="D16" s="1"/>
      <c r="E16" s="1"/>
      <c r="F16" s="1"/>
      <c r="G16" s="1"/>
      <c r="H16" s="1"/>
      <c r="I16" s="1"/>
      <c r="J16" s="1"/>
      <c r="K16" s="1"/>
      <c r="L16" s="1"/>
      <c r="M16" s="1"/>
      <c r="N16" s="1"/>
      <c r="O16" s="1"/>
      <c r="P16" s="1"/>
      <c r="Q16" s="1"/>
      <c r="R16" s="1"/>
      <c r="S16" s="1"/>
      <c r="T16" s="1"/>
    </row>
    <row r="17" spans="1:20" x14ac:dyDescent="0.25">
      <c r="A17" s="13" t="s">
        <v>148</v>
      </c>
      <c r="B17" s="2"/>
      <c r="C17" s="2"/>
      <c r="D17" s="2"/>
      <c r="E17" s="2"/>
      <c r="F17" s="2"/>
      <c r="G17" s="2"/>
      <c r="H17" s="2"/>
      <c r="I17" s="2"/>
      <c r="J17" s="2"/>
      <c r="K17" s="2"/>
      <c r="L17" s="2"/>
      <c r="M17" s="2"/>
      <c r="N17" s="2"/>
      <c r="O17" s="2"/>
      <c r="P17" s="2"/>
      <c r="Q17" s="2"/>
      <c r="R17" s="2"/>
      <c r="S17" s="2"/>
      <c r="T17" s="2"/>
    </row>
    <row r="18" spans="1:20" x14ac:dyDescent="0.25">
      <c r="A18" s="13" t="s">
        <v>147</v>
      </c>
      <c r="B18" s="2"/>
      <c r="C18" s="2"/>
      <c r="D18" s="2"/>
      <c r="E18" s="2"/>
      <c r="F18" s="2"/>
      <c r="G18" s="2"/>
      <c r="H18" s="2"/>
      <c r="I18" s="2"/>
      <c r="J18" s="2"/>
      <c r="K18" s="2"/>
      <c r="L18" s="2"/>
      <c r="M18" s="2"/>
      <c r="N18" s="2"/>
      <c r="O18" s="2"/>
      <c r="P18" s="2"/>
      <c r="Q18" s="2"/>
      <c r="R18" s="2"/>
      <c r="S18" s="2"/>
      <c r="T18" s="2"/>
    </row>
    <row r="19" spans="1:20" x14ac:dyDescent="0.25">
      <c r="A19" s="13" t="s">
        <v>146</v>
      </c>
      <c r="B19" s="2"/>
      <c r="C19" s="2"/>
      <c r="D19" s="2"/>
      <c r="E19" s="2"/>
      <c r="F19" s="2"/>
      <c r="G19" s="2"/>
      <c r="H19" s="2"/>
      <c r="I19" s="2"/>
      <c r="J19" s="2"/>
      <c r="K19" s="2"/>
      <c r="L19" s="2"/>
      <c r="M19" s="2"/>
      <c r="N19" s="2"/>
      <c r="O19" s="2"/>
      <c r="P19" s="2"/>
      <c r="Q19" s="2"/>
      <c r="R19" s="2"/>
      <c r="S19" s="2"/>
      <c r="T19" s="2"/>
    </row>
    <row r="20" spans="1:20" x14ac:dyDescent="0.25">
      <c r="A20" s="13" t="s">
        <v>145</v>
      </c>
      <c r="B20" s="2"/>
      <c r="C20" s="2"/>
      <c r="D20" s="2"/>
      <c r="E20" s="2"/>
      <c r="F20" s="2"/>
      <c r="G20" s="2"/>
      <c r="H20" s="2"/>
      <c r="I20" s="2"/>
      <c r="J20" s="2"/>
      <c r="K20" s="2"/>
      <c r="L20" s="2"/>
      <c r="M20" s="2"/>
      <c r="N20" s="2"/>
      <c r="O20" s="2"/>
      <c r="P20" s="2"/>
      <c r="Q20" s="2"/>
      <c r="R20" s="2"/>
      <c r="S20" s="2"/>
      <c r="T20" s="2"/>
    </row>
    <row r="21" spans="1:20" x14ac:dyDescent="0.25">
      <c r="A21" s="13" t="s">
        <v>144</v>
      </c>
      <c r="B21" s="2"/>
      <c r="C21" s="2"/>
      <c r="D21" s="2"/>
      <c r="E21" s="2"/>
      <c r="F21" s="2"/>
      <c r="G21" s="2"/>
      <c r="H21" s="2"/>
      <c r="I21" s="2"/>
      <c r="J21" s="2"/>
      <c r="K21" s="2"/>
      <c r="L21" s="2"/>
      <c r="M21" s="2"/>
      <c r="N21" s="2"/>
      <c r="O21" s="2"/>
      <c r="P21" s="2"/>
      <c r="Q21" s="2"/>
      <c r="R21" s="2"/>
      <c r="S21" s="2"/>
      <c r="T21" s="2"/>
    </row>
    <row r="22" spans="1:20" x14ac:dyDescent="0.25">
      <c r="A22" s="13" t="s">
        <v>143</v>
      </c>
      <c r="B22" s="2"/>
      <c r="C22" s="2"/>
      <c r="D22" s="2"/>
      <c r="E22" s="2"/>
      <c r="F22" s="2"/>
      <c r="G22" s="2"/>
      <c r="H22" s="2"/>
      <c r="I22" s="2"/>
      <c r="J22" s="2"/>
      <c r="K22" s="2"/>
      <c r="L22" s="2"/>
      <c r="M22" s="2"/>
      <c r="N22" s="2"/>
      <c r="O22" s="2"/>
      <c r="P22" s="2"/>
      <c r="Q22" s="2"/>
      <c r="R22" s="2"/>
      <c r="S22" s="2"/>
      <c r="T22" s="2"/>
    </row>
    <row r="23" spans="1:20" x14ac:dyDescent="0.25">
      <c r="A23" s="13" t="s">
        <v>142</v>
      </c>
      <c r="B23" s="2"/>
      <c r="C23" s="2"/>
      <c r="D23" s="2"/>
      <c r="E23" s="2"/>
      <c r="F23" s="2"/>
      <c r="G23" s="2"/>
      <c r="H23" s="2"/>
      <c r="I23" s="2"/>
      <c r="J23" s="2"/>
      <c r="K23" s="2"/>
      <c r="L23" s="2"/>
      <c r="M23" s="2"/>
      <c r="N23" s="2"/>
      <c r="O23" s="2"/>
      <c r="P23" s="2"/>
      <c r="Q23" s="2"/>
      <c r="R23" s="2"/>
      <c r="S23" s="2"/>
      <c r="T23" s="2"/>
    </row>
    <row r="24" spans="1:20" x14ac:dyDescent="0.25">
      <c r="A24" s="13" t="s">
        <v>141</v>
      </c>
      <c r="B24" s="2"/>
      <c r="C24" s="2"/>
      <c r="D24" s="2"/>
      <c r="E24" s="2"/>
      <c r="F24" s="2"/>
      <c r="G24" s="2"/>
      <c r="H24" s="2"/>
      <c r="I24" s="2"/>
      <c r="J24" s="2"/>
      <c r="K24" s="2"/>
      <c r="L24" s="2"/>
      <c r="M24" s="2"/>
      <c r="N24" s="2"/>
      <c r="O24" s="2"/>
      <c r="P24" s="2"/>
      <c r="Q24" s="2"/>
      <c r="R24" s="2"/>
      <c r="S24" s="2"/>
      <c r="T24" s="2"/>
    </row>
    <row r="25" spans="1:20" x14ac:dyDescent="0.25">
      <c r="A25" s="13" t="s">
        <v>140</v>
      </c>
      <c r="B25" s="2"/>
      <c r="C25" s="2"/>
      <c r="D25" s="2"/>
      <c r="E25" s="2"/>
      <c r="F25" s="2"/>
      <c r="G25" s="2"/>
      <c r="H25" s="2"/>
      <c r="I25" s="2"/>
      <c r="J25" s="2"/>
      <c r="K25" s="2"/>
      <c r="L25" s="2"/>
      <c r="M25" s="2"/>
      <c r="N25" s="2"/>
      <c r="O25" s="2"/>
      <c r="P25" s="2"/>
      <c r="Q25" s="2"/>
      <c r="R25" s="2"/>
      <c r="S25" s="2"/>
      <c r="T25" s="2"/>
    </row>
    <row r="26" spans="1:20" x14ac:dyDescent="0.25">
      <c r="A26" s="13" t="s">
        <v>139</v>
      </c>
      <c r="B26" s="2"/>
      <c r="C26" s="2"/>
      <c r="D26" s="2"/>
      <c r="E26" s="2"/>
      <c r="F26" s="2"/>
      <c r="G26" s="2"/>
      <c r="H26" s="2"/>
      <c r="I26" s="2"/>
      <c r="J26" s="2"/>
      <c r="K26" s="2"/>
      <c r="L26" s="2"/>
      <c r="M26" s="2"/>
      <c r="N26" s="2"/>
      <c r="O26" s="2"/>
      <c r="P26" s="2"/>
      <c r="Q26" s="2"/>
      <c r="R26" s="2"/>
      <c r="S26" s="2"/>
      <c r="T26" s="2"/>
    </row>
    <row r="27" spans="1:20" x14ac:dyDescent="0.25">
      <c r="A27" s="14" t="s">
        <v>138</v>
      </c>
      <c r="B27" s="3"/>
      <c r="C27" s="3"/>
      <c r="D27" s="3"/>
      <c r="E27" s="3"/>
      <c r="F27" s="3"/>
      <c r="G27" s="3"/>
      <c r="H27" s="3"/>
      <c r="I27" s="3"/>
      <c r="J27" s="3"/>
      <c r="K27" s="3"/>
      <c r="L27" s="3"/>
      <c r="M27" s="3"/>
      <c r="N27" s="3"/>
      <c r="O27" s="3"/>
      <c r="P27" s="3"/>
      <c r="Q27" s="3"/>
      <c r="R27" s="3"/>
      <c r="S27" s="3"/>
      <c r="T27" s="3"/>
    </row>
    <row r="28" spans="1:20" x14ac:dyDescent="0.25">
      <c r="A28" s="14" t="s">
        <v>137</v>
      </c>
      <c r="B28" s="3"/>
      <c r="C28" s="3"/>
      <c r="D28" s="3"/>
      <c r="E28" s="3"/>
      <c r="F28" s="3"/>
      <c r="G28" s="3"/>
      <c r="H28" s="3"/>
      <c r="I28" s="3"/>
      <c r="J28" s="3"/>
      <c r="K28" s="3"/>
      <c r="L28" s="3"/>
      <c r="M28" s="3"/>
      <c r="N28" s="3"/>
      <c r="O28" s="3"/>
      <c r="P28" s="3"/>
      <c r="Q28" s="3"/>
      <c r="R28" s="3"/>
      <c r="S28" s="3"/>
      <c r="T28" s="3"/>
    </row>
    <row r="29" spans="1:20" x14ac:dyDescent="0.25">
      <c r="A29" s="2" t="s">
        <v>136</v>
      </c>
      <c r="B29" s="2">
        <f>'MSFT - Balance Sheet FY'!B51/'MSFT - Balance Sheet FY'!B47</f>
        <v>0.12562922332951942</v>
      </c>
      <c r="C29" s="2">
        <f>'MSFT - Balance Sheet FY'!C51/'MSFT - Balance Sheet FY'!C47</f>
        <v>0.19230697601656752</v>
      </c>
      <c r="D29" s="2">
        <f>'MSFT - Balance Sheet FY'!D51/'MSFT - Balance Sheet FY'!D47</f>
        <v>0.2290578645446919</v>
      </c>
      <c r="E29" s="2">
        <f>'MSFT - Balance Sheet FY'!E51/'MSFT - Balance Sheet FY'!E47</f>
        <v>0.29890958436910808</v>
      </c>
      <c r="F29" s="2">
        <f>'MSFT - Balance Sheet FY'!F51/'MSFT - Balance Sheet FY'!F47</f>
        <v>0.4095134800123954</v>
      </c>
      <c r="G29" s="2">
        <f>'MSFT - Balance Sheet FY'!G51/'MSFT - Balance Sheet FY'!G47</f>
        <v>0.5352904381931296</v>
      </c>
      <c r="H29" s="2">
        <f>'MSFT - Balance Sheet FY'!H51/'MSFT - Balance Sheet FY'!H47</f>
        <v>0.70534545099188894</v>
      </c>
      <c r="I29" s="2"/>
      <c r="J29" s="2"/>
      <c r="K29" s="2"/>
      <c r="L29" s="2"/>
      <c r="M29" s="2"/>
      <c r="N29" s="2"/>
      <c r="O29" s="2"/>
      <c r="P29" s="2"/>
      <c r="Q29" s="2"/>
      <c r="R29" s="2"/>
      <c r="S29" s="2"/>
      <c r="T29" s="2"/>
    </row>
    <row r="30" spans="1:20" x14ac:dyDescent="0.25">
      <c r="A30" s="3" t="s">
        <v>135</v>
      </c>
      <c r="B30" s="3">
        <f>'MSFT - Balance Sheet FY'!B51/'MSFT - Balance Sheet FY'!B25</f>
        <v>6.9710486055802642E-2</v>
      </c>
      <c r="C30" s="3">
        <f>'MSFT - Balance Sheet FY'!C51/'MSFT - Balance Sheet FY'!C25</f>
        <v>0.10080775065750552</v>
      </c>
      <c r="D30" s="3">
        <f>'MSFT - Balance Sheet FY'!D51/'MSFT - Balance Sheet FY'!D25</f>
        <v>0.11465959182088277</v>
      </c>
      <c r="E30" s="3">
        <f>'MSFT - Balance Sheet FY'!E51/'MSFT - Balance Sheet FY'!E25</f>
        <v>0.13644611336476264</v>
      </c>
      <c r="F30" s="3">
        <f>'MSFT - Balance Sheet FY'!F51/'MSFT - Balance Sheet FY'!F25</f>
        <v>0.17420508779761459</v>
      </c>
      <c r="G30" s="3">
        <f>'MSFT - Balance Sheet FY'!G51/'MSFT - Balance Sheet FY'!G25</f>
        <v>0.21017155032507939</v>
      </c>
      <c r="H30" s="3">
        <f>'MSFT - Balance Sheet FY'!H51/'MSFT - Balance Sheet FY'!H25</f>
        <v>0.2518809586956825</v>
      </c>
      <c r="I30" s="3"/>
      <c r="J30" s="3"/>
      <c r="K30" s="3"/>
      <c r="L30" s="3"/>
      <c r="M30" s="3"/>
      <c r="N30" s="3"/>
      <c r="O30" s="3"/>
      <c r="P30" s="3"/>
      <c r="Q30" s="3"/>
      <c r="R30" s="3"/>
      <c r="S30" s="3"/>
      <c r="T30" s="3"/>
    </row>
    <row r="31" spans="1:20" x14ac:dyDescent="0.25">
      <c r="A31" s="3" t="s">
        <v>134</v>
      </c>
      <c r="B31" s="3">
        <f>'MSFT - Balance Sheet FY'!B52/'MSFT - Income Statement FY'!B21</f>
        <v>7.935161450937725E-2</v>
      </c>
      <c r="C31" s="3">
        <f>'MSFT - Balance Sheet FY'!C52/'MSFT - Income Statement FY'!C21</f>
        <v>0.25292286668691161</v>
      </c>
      <c r="D31" s="3">
        <f>'MSFT - Balance Sheet FY'!D52/'MSFT - Income Statement FY'!D21</f>
        <v>0.12241170495389905</v>
      </c>
      <c r="E31" s="3">
        <f>'MSFT - Balance Sheet FY'!E52/'MSFT - Income Statement FY'!E21</f>
        <v>0.36640331960385514</v>
      </c>
      <c r="F31" s="3">
        <f>'MSFT - Balance Sheet FY'!F52/'MSFT - Income Statement FY'!F21</f>
        <v>0.53824661160265674</v>
      </c>
      <c r="G31" s="3">
        <f>'MSFT - Balance Sheet FY'!G52/'MSFT - Income Statement FY'!G21</f>
        <v>0.75661166451220441</v>
      </c>
      <c r="H31" s="3">
        <f>'MSFT - Balance Sheet FY'!H52/'MSFT - Income Statement FY'!H21</f>
        <v>1.1131201844768581</v>
      </c>
      <c r="I31" s="3"/>
      <c r="J31" s="3"/>
      <c r="K31" s="3"/>
      <c r="L31" s="3"/>
      <c r="M31" s="3"/>
      <c r="N31" s="3"/>
      <c r="O31" s="3"/>
      <c r="P31" s="3"/>
      <c r="Q31" s="3"/>
      <c r="R31" s="3"/>
      <c r="S31" s="3"/>
      <c r="T31" s="3"/>
    </row>
    <row r="32" spans="1:20" x14ac:dyDescent="0.25">
      <c r="A32" s="2" t="s">
        <v>133</v>
      </c>
      <c r="B32" s="2">
        <f>'MSFT - Balance Sheet FY'!B13/'MSFT - Balance Sheet FY'!B32</f>
        <v>1.3534464445042416</v>
      </c>
      <c r="C32" s="2">
        <f>'MSFT - Balance Sheet FY'!C13/'MSFT - Balance Sheet FY'!C32</f>
        <v>1.2749549031815206</v>
      </c>
      <c r="D32" s="2">
        <f>'MSFT - Balance Sheet FY'!D13/'MSFT - Balance Sheet FY'!D32</f>
        <v>1.7691672507657299</v>
      </c>
      <c r="E32" s="2">
        <f>'MSFT - Balance Sheet FY'!E13/'MSFT - Balance Sheet FY'!E32</f>
        <v>1.7846069708251824</v>
      </c>
      <c r="F32" s="2">
        <f>'MSFT - Balance Sheet FY'!F13/'MSFT - Balance Sheet FY'!F32</f>
        <v>2.0799936835218875</v>
      </c>
      <c r="G32" s="2">
        <f>'MSFT - Balance Sheet FY'!G13/'MSFT - Balance Sheet FY'!G32</f>
        <v>2.5157654542940118</v>
      </c>
      <c r="H32" s="2">
        <f>'MSFT - Balance Sheet FY'!H13/'MSFT - Balance Sheet FY'!H32</f>
        <v>2.5288389513108616</v>
      </c>
      <c r="I32" s="2"/>
      <c r="J32" s="2"/>
      <c r="K32" s="2"/>
      <c r="L32" s="2"/>
      <c r="M32" s="2"/>
      <c r="N32" s="2"/>
      <c r="O32" s="2"/>
      <c r="P32" s="2"/>
      <c r="Q32" s="2"/>
      <c r="R32" s="2"/>
      <c r="S32" s="2"/>
      <c r="T32" s="2"/>
    </row>
    <row r="33" spans="1:20" x14ac:dyDescent="0.25">
      <c r="A33" s="2" t="s">
        <v>132</v>
      </c>
      <c r="B33" s="2" t="str">
        <f>IFERROR('MSFT - Income Statement FY'!B25/'MSFT - Income Statement FY'!B23,"")</f>
        <v/>
      </c>
      <c r="C33" s="2" t="str">
        <f>IFERROR('MSFT - Income Statement FY'!C25/'MSFT - Income Statement FY'!C23,"")</f>
        <v/>
      </c>
      <c r="D33" s="2" t="str">
        <f>IFERROR('MSFT - Income Statement FY'!D25/'MSFT - Income Statement FY'!D23,"")</f>
        <v/>
      </c>
      <c r="E33" s="2" t="str">
        <f>IFERROR('MSFT - Income Statement FY'!E25/'MSFT - Income Statement FY'!E23,"")</f>
        <v/>
      </c>
      <c r="F33" s="2" t="str">
        <f>IFERROR('MSFT - Income Statement FY'!F25/'MSFT - Income Statement FY'!F23,"")</f>
        <v/>
      </c>
      <c r="G33" s="2" t="str">
        <f>IFERROR('MSFT - Income Statement FY'!G25/'MSFT - Income Statement FY'!G23,"")</f>
        <v/>
      </c>
      <c r="H33" s="2" t="str">
        <f>IFERROR('MSFT - Income Statement FY'!H25/'MSFT - Income Statement FY'!H23,"")</f>
        <v/>
      </c>
      <c r="I33" s="2"/>
      <c r="J33" s="2"/>
      <c r="K33" s="2"/>
      <c r="L33" s="2"/>
      <c r="M33" s="2"/>
      <c r="N33" s="2"/>
      <c r="O33" s="2"/>
      <c r="P33" s="2"/>
      <c r="Q33" s="2"/>
      <c r="R33" s="2"/>
      <c r="S33" s="2"/>
      <c r="T33" s="2"/>
    </row>
    <row r="34" spans="1:20" x14ac:dyDescent="0.25">
      <c r="A34" s="2" t="s">
        <v>131</v>
      </c>
      <c r="B34" s="2">
        <f>'MSFT - Cash Flow FY'!B17/'MSFT - Income Statement FY'!B32</f>
        <v>1.3371238903291696</v>
      </c>
      <c r="C34" s="2">
        <f>'MSFT - Cash Flow FY'!C17/'MSFT - Income Statement FY'!C32</f>
        <v>1.3450576381955159</v>
      </c>
      <c r="D34" s="2">
        <f>'MSFT - Cash Flow FY'!D17/'MSFT - Income Statement FY'!D32</f>
        <v>1.2103481156976825</v>
      </c>
      <c r="E34" s="2">
        <f>'MSFT - Cash Flow FY'!E17/'MSFT - Income Statement FY'!E32</f>
        <v>1.224050702521378</v>
      </c>
      <c r="F34" s="2">
        <f>'MSFT - Cash Flow FY'!F17/'MSFT - Income Statement FY'!F32</f>
        <v>1.2524685413980512</v>
      </c>
      <c r="G34" s="2">
        <f>'MSFT - Cash Flow FY'!G17/'MSFT - Income Statement FY'!G32</f>
        <v>1.370226507983108</v>
      </c>
      <c r="H34" s="2">
        <f>'MSFT - Cash Flow FY'!H17/'MSFT - Income Statement FY'!H32</f>
        <v>1.3298929663608563</v>
      </c>
      <c r="I34" s="2"/>
      <c r="J34" s="2"/>
      <c r="K34" s="2"/>
      <c r="L34" s="2"/>
      <c r="M34" s="2"/>
      <c r="N34" s="2"/>
      <c r="O34" s="2"/>
      <c r="P34" s="2"/>
      <c r="Q34" s="2"/>
      <c r="R34" s="2"/>
      <c r="S34" s="2"/>
      <c r="T34" s="2"/>
    </row>
    <row r="35" spans="1:20" x14ac:dyDescent="0.25">
      <c r="A35" s="14" t="s">
        <v>130</v>
      </c>
      <c r="B35" s="3"/>
      <c r="C35" s="3"/>
      <c r="D35" s="3"/>
      <c r="E35" s="3"/>
      <c r="F35" s="3"/>
      <c r="G35" s="3"/>
      <c r="H35" s="3"/>
      <c r="I35" s="3"/>
      <c r="J35" s="3"/>
      <c r="K35" s="3"/>
      <c r="L35" s="3"/>
      <c r="M35" s="3"/>
      <c r="N35" s="3"/>
      <c r="O35" s="3"/>
      <c r="P35" s="3"/>
      <c r="Q35" s="3"/>
      <c r="R35" s="3"/>
      <c r="S35" s="3"/>
      <c r="T35" s="3"/>
    </row>
    <row r="36" spans="1:20" x14ac:dyDescent="0.25">
      <c r="A36" s="3" t="s">
        <v>129</v>
      </c>
      <c r="B36" s="3">
        <f>-'MSFT - Cash Flow FY'!B29/'MSFT - Income Statement FY'!B32</f>
        <v>0.23648754811846964</v>
      </c>
      <c r="C36" s="3">
        <f>-'MSFT - Cash Flow FY'!C29/'MSFT - Income Statement FY'!C32</f>
        <v>0.24701597531088318</v>
      </c>
      <c r="D36" s="3">
        <f>-'MSFT - Cash Flow FY'!D29/'MSFT - Income Statement FY'!D32</f>
        <v>0.2736280593137187</v>
      </c>
      <c r="E36" s="3">
        <f>-'MSFT - Cash Flow FY'!E29/'MSFT - Income Statement FY'!E32</f>
        <v>0.24931947537738183</v>
      </c>
      <c r="F36" s="3">
        <f>-'MSFT - Cash Flow FY'!F29/'MSFT - Income Statement FY'!F32</f>
        <v>0.26963816487408399</v>
      </c>
      <c r="G36" s="3">
        <f>-'MSFT - Cash Flow FY'!G29/'MSFT - Income Statement FY'!G32</f>
        <v>0.34183961518484224</v>
      </c>
      <c r="H36" s="3">
        <f>-'MSFT - Cash Flow FY'!H29/'MSFT - Income Statement FY'!H32</f>
        <v>0.35196228338430174</v>
      </c>
      <c r="I36" s="3"/>
      <c r="J36" s="3"/>
      <c r="K36" s="3"/>
      <c r="L36" s="3"/>
      <c r="M36" s="3"/>
      <c r="N36" s="3"/>
      <c r="O36" s="3"/>
      <c r="P36" s="3"/>
      <c r="Q36" s="3"/>
      <c r="R36" s="3"/>
      <c r="S36" s="3"/>
      <c r="T36" s="3"/>
    </row>
    <row r="37" spans="1:20" x14ac:dyDescent="0.25">
      <c r="A37" s="3" t="s">
        <v>128</v>
      </c>
      <c r="B37" s="3">
        <f>'MSFT - Income Statement FY'!B14/'MSFT - Income Statement FY'!B7</f>
        <v>0.11669932274140649</v>
      </c>
      <c r="C37" s="3">
        <f>'MSFT - Income Statement FY'!C14/'MSFT - Income Statement FY'!C7</f>
        <v>0.13081241177862452</v>
      </c>
      <c r="D37" s="3">
        <f>'MSFT - Income Statement FY'!D14/'MSFT - Income Statement FY'!D7</f>
        <v>0.14314229761932851</v>
      </c>
      <c r="E37" s="3">
        <f>'MSFT - Income Statement FY'!E14/'MSFT - Income Statement FY'!E7</f>
        <v>0.13983456902204064</v>
      </c>
      <c r="F37" s="3">
        <f>'MSFT - Income Statement FY'!F14/'MSFT - Income Statement FY'!F7</f>
        <v>0.15006425205844556</v>
      </c>
      <c r="G37" s="3">
        <f>'MSFT - Income Statement FY'!G14/'MSFT - Income Statement FY'!G7</f>
        <v>0.17277208684403733</v>
      </c>
      <c r="H37" s="3">
        <f>'MSFT - Income Statement FY'!H14/'MSFT - Income Statement FY'!H7</f>
        <v>0.18354616466549589</v>
      </c>
      <c r="I37" s="3"/>
      <c r="J37" s="3"/>
      <c r="K37" s="3"/>
      <c r="L37" s="3"/>
      <c r="M37" s="3"/>
      <c r="N37" s="3"/>
      <c r="O37" s="3"/>
      <c r="P37" s="3"/>
      <c r="Q37" s="3"/>
      <c r="R37" s="3"/>
      <c r="S37" s="3"/>
      <c r="T37" s="3"/>
    </row>
    <row r="38" spans="1:20" x14ac:dyDescent="0.25">
      <c r="A38" s="3" t="s">
        <v>127</v>
      </c>
      <c r="B38" s="3">
        <f>'MSFT - Income Statement FY'!B13/'MSFT - Income Statement FY'!B7</f>
        <v>0.11531853871164686</v>
      </c>
      <c r="C38" s="3">
        <f>'MSFT - Income Statement FY'!C13/'MSFT - Income Statement FY'!C7</f>
        <v>0.12038903076835208</v>
      </c>
      <c r="D38" s="3">
        <f>'MSFT - Income Statement FY'!D13/'MSFT - Income Statement FY'!D7</f>
        <v>0.12832975485454073</v>
      </c>
      <c r="E38" s="3">
        <f>'MSFT - Income Statement FY'!E13/'MSFT - Income Statement FY'!E7</f>
        <v>0.12362939426035205</v>
      </c>
      <c r="F38" s="3">
        <f>'MSFT - Income Statement FY'!F13/'MSFT - Income Statement FY'!F7</f>
        <v>0.12324496692208843</v>
      </c>
      <c r="G38" s="3">
        <f>'MSFT - Income Statement FY'!G13/'MSFT - Income Statement FY'!G7</f>
        <v>0.1347341187987274</v>
      </c>
      <c r="H38" s="3">
        <f>'MSFT - Income Statement FY'!H13/'MSFT - Income Statement FY'!H7</f>
        <v>0.13410360528595155</v>
      </c>
      <c r="I38" s="3"/>
      <c r="J38" s="3"/>
      <c r="K38" s="3"/>
      <c r="L38" s="3"/>
      <c r="M38" s="3"/>
      <c r="N38" s="3"/>
      <c r="O38" s="3"/>
      <c r="P38" s="3"/>
      <c r="Q38" s="3"/>
      <c r="R38" s="3"/>
      <c r="S38" s="3"/>
      <c r="T38" s="3"/>
    </row>
    <row r="39" spans="1:20" x14ac:dyDescent="0.25">
      <c r="A39" s="3" t="s">
        <v>126</v>
      </c>
      <c r="B39" s="3">
        <f>'MSFT - Balance Sheet FY'!B18/'MSFT - Balance Sheet FY'!B25</f>
        <v>0.22958370153294896</v>
      </c>
      <c r="C39" s="3">
        <f>'MSFT - Balance Sheet FY'!C18/'MSFT - Balance Sheet FY'!C25</f>
        <v>0.28666069200625582</v>
      </c>
      <c r="D39" s="3">
        <f>'MSFT - Balance Sheet FY'!D18/'MSFT - Balance Sheet FY'!D25</f>
        <v>0.18751577761811367</v>
      </c>
      <c r="E39" s="3">
        <f>'MSFT - Balance Sheet FY'!E18/'MSFT - Balance Sheet FY'!E25</f>
        <v>0.21604538975989473</v>
      </c>
      <c r="F39" s="3">
        <f>'MSFT - Balance Sheet FY'!F18/'MSFT - Balance Sheet FY'!F25</f>
        <v>0.17230263138184249</v>
      </c>
      <c r="G39" s="3">
        <f>'MSFT - Balance Sheet FY'!G18/'MSFT - Balance Sheet FY'!G25</f>
        <v>0.16723252718951515</v>
      </c>
      <c r="H39" s="3">
        <f>'MSFT - Balance Sheet FY'!H18/'MSFT - Balance Sheet FY'!H25</f>
        <v>0.17370426722874413</v>
      </c>
      <c r="I39" s="3"/>
      <c r="J39" s="3"/>
      <c r="K39" s="3"/>
      <c r="L39" s="3"/>
      <c r="M39" s="3"/>
      <c r="N39" s="3"/>
      <c r="O39" s="3"/>
      <c r="P39" s="3"/>
      <c r="Q39" s="3"/>
      <c r="R39" s="3"/>
      <c r="S39" s="3"/>
      <c r="T39" s="3"/>
    </row>
    <row r="40" spans="1:20" x14ac:dyDescent="0.25">
      <c r="A40" s="2" t="s">
        <v>125</v>
      </c>
      <c r="B40" s="2">
        <f>'MSFT - Cash Flow FY'!B38/'MSFT - Cash Flow FY'!B17</f>
        <v>-0.47407499889837107</v>
      </c>
      <c r="C40" s="2">
        <f>'MSFT - Cash Flow FY'!C38/'MSFT - Cash Flow FY'!C17</f>
        <v>-0.37518136113641731</v>
      </c>
      <c r="D40" s="2">
        <f>'MSFT - Cash Flow FY'!D38/'MSFT - Cash Flow FY'!D17</f>
        <v>-0.32092210728231829</v>
      </c>
      <c r="E40" s="2">
        <f>'MSFT - Cash Flow FY'!E38/'MSFT - Cash Flow FY'!E17</f>
        <v>-0.26827652046947831</v>
      </c>
      <c r="F40" s="2">
        <f>'MSFT - Cash Flow FY'!F38/'MSFT - Cash Flow FY'!F17</f>
        <v>-0.26872556684910087</v>
      </c>
      <c r="G40" s="2">
        <f>'MSFT - Cash Flow FY'!G38/'MSFT - Cash Flow FY'!G17</f>
        <v>-0.25448702101359705</v>
      </c>
      <c r="H40" s="2">
        <f>'MSFT - Cash Flow FY'!H38/'MSFT - Cash Flow FY'!H17</f>
        <v>-0.26683913001820447</v>
      </c>
      <c r="I40" s="2"/>
      <c r="J40" s="2"/>
      <c r="K40" s="2"/>
      <c r="L40" s="2"/>
      <c r="M40" s="2"/>
      <c r="N40" s="2"/>
      <c r="O40" s="2"/>
      <c r="P40" s="2"/>
      <c r="Q40" s="2"/>
      <c r="R40" s="2"/>
      <c r="S40" s="2"/>
      <c r="T40" s="2"/>
    </row>
    <row r="41" spans="1:20" x14ac:dyDescent="0.25">
      <c r="A41" s="2" t="s">
        <v>124</v>
      </c>
      <c r="B41" s="2">
        <f>'MSFT - Cash Flow FY'!B38/'MSFT - Income Statement FY'!B7</f>
        <v>-0.22912850875324786</v>
      </c>
      <c r="C41" s="2">
        <f>'MSFT - Cash Flow FY'!C38/'MSFT - Income Statement FY'!C7</f>
        <v>-0.18144842160230415</v>
      </c>
      <c r="D41" s="2">
        <f>'MSFT - Cash Flow FY'!D38/'MSFT - Income Statement FY'!D7</f>
        <v>-0.13263336715192411</v>
      </c>
      <c r="E41" s="2">
        <f>'MSFT - Cash Flow FY'!E38/'MSFT - Income Statement FY'!E7</f>
        <v>-0.12047208352246935</v>
      </c>
      <c r="F41" s="2">
        <f>'MSFT - Cash Flow FY'!F38/'MSFT - Income Statement FY'!F7</f>
        <v>-0.12268573604302509</v>
      </c>
      <c r="G41" s="2">
        <f>'MSFT - Cash Flow FY'!G38/'MSFT - Income Statement FY'!G7</f>
        <v>-0.10796769569625564</v>
      </c>
      <c r="H41" s="2">
        <f>'MSFT - Cash Flow FY'!H38/'MSFT - Income Statement FY'!H7</f>
        <v>-0.11065375110256431</v>
      </c>
      <c r="I41" s="2"/>
      <c r="J41" s="2"/>
      <c r="K41" s="2"/>
      <c r="L41" s="2"/>
      <c r="M41" s="2"/>
      <c r="N41" s="2"/>
      <c r="O41" s="2"/>
      <c r="P41" s="2"/>
      <c r="Q41" s="2"/>
      <c r="R41" s="2"/>
      <c r="S41" s="2"/>
      <c r="T41" s="2"/>
    </row>
    <row r="42" spans="1:20" x14ac:dyDescent="0.25">
      <c r="A42" s="2" t="s">
        <v>123</v>
      </c>
      <c r="B42" s="2">
        <f>'MSFT - Cash Flow FY'!B38/'MSFT - Cash Flow FY'!B8</f>
        <v>-1.8900535824085731</v>
      </c>
      <c r="C42" s="2">
        <f>'MSFT - Cash Flow FY'!C38/'MSFT - Cash Flow FY'!C8</f>
        <v>-1.9956476869924171</v>
      </c>
      <c r="D42" s="2">
        <f>'MSFT - Cash Flow FY'!D38/'MSFT - Cash Flow FY'!D8</f>
        <v>-2.0277757737536972</v>
      </c>
      <c r="E42" s="2">
        <f>'MSFT - Cash Flow FY'!E38/'MSFT - Cash Flow FY'!E8</f>
        <v>-1.6518672199170124</v>
      </c>
      <c r="F42" s="2">
        <f>'MSFT - Cash Flow FY'!F38/'MSFT - Cash Flow FY'!F8</f>
        <v>-1.7646756803012151</v>
      </c>
      <c r="G42" s="2">
        <f>'MSFT - Cash Flow FY'!G38/'MSFT - Cash Flow FY'!G8</f>
        <v>-1.2067052203813691</v>
      </c>
      <c r="H42" s="2">
        <f>'MSFT - Cash Flow FY'!H38/'MSFT - Cash Flow FY'!H8</f>
        <v>-1.1920047936997089</v>
      </c>
      <c r="I42" s="2"/>
      <c r="J42" s="2"/>
      <c r="K42" s="2"/>
      <c r="L42" s="2"/>
      <c r="M42" s="2"/>
      <c r="N42" s="2"/>
      <c r="O42" s="2"/>
      <c r="P42" s="2"/>
      <c r="Q42" s="2"/>
      <c r="R42" s="2"/>
      <c r="S42" s="2"/>
      <c r="T42" s="2"/>
    </row>
    <row r="43" spans="1:20" x14ac:dyDescent="0.25">
      <c r="A43" s="3" t="s">
        <v>122</v>
      </c>
      <c r="B43" s="3">
        <f>'MSFT - Cash Flow FY'!B10/'MSFT - Income Statement FY'!B7</f>
        <v>4.2502591188539135E-2</v>
      </c>
      <c r="C43" s="3">
        <f>'MSFT - Cash Flow FY'!C10/'MSFT - Income Statement FY'!C7</f>
        <v>4.3790439046678793E-2</v>
      </c>
      <c r="D43" s="3">
        <f>'MSFT - Cash Flow FY'!D10/'MSFT - Income Statement FY'!D7</f>
        <v>4.5353089682183892E-2</v>
      </c>
      <c r="E43" s="3">
        <f>'MSFT - Cash Flow FY'!E10/'MSFT - Income Statement FY'!E7</f>
        <v>3.7837292580824126E-2</v>
      </c>
      <c r="F43" s="3">
        <f>'MSFT - Cash Flow FY'!F10/'MSFT - Income Statement FY'!F7</f>
        <v>3.6397601256484696E-2</v>
      </c>
      <c r="G43" s="3">
        <f>'MSFT - Cash Flow FY'!G10/'MSFT - Income Statement FY'!G7</f>
        <v>3.6982134741111075E-2</v>
      </c>
      <c r="H43" s="3">
        <f>'MSFT - Cash Flow FY'!H10/'MSFT - Income Statement FY'!H7</f>
        <v>3.6966696598142126E-2</v>
      </c>
      <c r="I43" s="3"/>
      <c r="J43" s="3"/>
      <c r="K43" s="3"/>
      <c r="L43" s="3"/>
      <c r="M43" s="3"/>
      <c r="N43" s="3"/>
      <c r="O43" s="3"/>
      <c r="P43" s="3"/>
      <c r="Q43" s="3"/>
      <c r="R43" s="3"/>
      <c r="S43" s="3"/>
      <c r="T43" s="3"/>
    </row>
    <row r="44" spans="1:20" x14ac:dyDescent="0.25">
      <c r="A44" s="2" t="s">
        <v>121</v>
      </c>
      <c r="B44" s="2">
        <f>SQRT(22.5*'MSFT - Income Statement FY'!B35*'MSFT - Balance Sheet FY'!B47/'MSFT - Income Statement FY'!B38)</f>
        <v>119.093136033251</v>
      </c>
      <c r="C44" s="2">
        <f>SQRT(22.5*'MSFT - Income Statement FY'!C35*'MSFT - Balance Sheet FY'!C47/'MSFT - Income Statement FY'!C38)</f>
        <v>97.939056747164443</v>
      </c>
      <c r="D44" s="2">
        <f>SQRT(22.5*'MSFT - Income Statement FY'!D35*'MSFT - Balance Sheet FY'!D47/'MSFT - Income Statement FY'!D38)</f>
        <v>77.691679535570699</v>
      </c>
      <c r="E44" s="2">
        <f>SQRT(22.5*'MSFT - Income Statement FY'!E35*'MSFT - Balance Sheet FY'!E47/'MSFT - Income Statement FY'!E38)</f>
        <v>69.430987337445515</v>
      </c>
      <c r="F44" s="2">
        <f>SQRT(22.5*'MSFT - Income Statement FY'!F35*'MSFT - Balance Sheet FY'!F47/'MSFT - Income Statement FY'!F38)</f>
        <v>58.392872874381332</v>
      </c>
      <c r="G44" s="2">
        <f>SQRT(22.5*'MSFT - Income Statement FY'!G35*'MSFT - Balance Sheet FY'!G47/'MSFT - Income Statement FY'!G38)</f>
        <v>44.904208861173274</v>
      </c>
      <c r="H44" s="2">
        <f>SQRT(22.5*'MSFT - Income Statement FY'!H35*'MSFT - Balance Sheet FY'!H47/'MSFT - Income Statement FY'!H38)</f>
        <v>38.955457056285177</v>
      </c>
      <c r="I44" s="2"/>
      <c r="J44" s="2"/>
      <c r="K44" s="2"/>
      <c r="L44" s="2"/>
      <c r="M44" s="2"/>
      <c r="N44" s="2"/>
      <c r="O44" s="2"/>
      <c r="P44" s="2"/>
      <c r="Q44" s="2"/>
      <c r="R44" s="2"/>
      <c r="S44" s="2"/>
      <c r="T44" s="2"/>
    </row>
    <row r="45" spans="1:20" x14ac:dyDescent="0.25">
      <c r="A45" s="3" t="s">
        <v>120</v>
      </c>
      <c r="B45" s="3">
        <f>'MSFT - Income Statement FY'!B25*(1-'MSFT - Income Statement FY'!B31/'MSFT - Income Statement FY'!B29)/('MSFT - Balance Sheet FY'!B47+'MSFT - Balance Sheet FY'!B51)</f>
        <v>0.27382502947800103</v>
      </c>
      <c r="C45" s="3">
        <f>'MSFT - Income Statement FY'!C25*(1-'MSFT - Income Statement FY'!C31/'MSFT - Income Statement FY'!C29)/('MSFT - Balance Sheet FY'!C47+'MSFT - Balance Sheet FY'!C51)</f>
        <v>0.27953750578462749</v>
      </c>
      <c r="D45" s="3">
        <f>'MSFT - Income Statement FY'!D25*(1-'MSFT - Income Statement FY'!D31/'MSFT - Income Statement FY'!D29)/('MSFT - Balance Sheet FY'!D47+'MSFT - Balance Sheet FY'!D51)</f>
        <v>0.28297384820877547</v>
      </c>
      <c r="E45" s="3">
        <f>'MSFT - Income Statement FY'!E25*(1-'MSFT - Income Statement FY'!E31/'MSFT - Income Statement FY'!E29)/('MSFT - Balance Sheet FY'!E47+'MSFT - Balance Sheet FY'!E51)</f>
        <v>0.33490968397504878</v>
      </c>
      <c r="F45" s="3">
        <f>'MSFT - Income Statement FY'!F25*(1-'MSFT - Income Statement FY'!F31/'MSFT - Income Statement FY'!F29)/('MSFT - Balance Sheet FY'!F47+'MSFT - Balance Sheet FY'!F51)</f>
        <v>0.30104321932945471</v>
      </c>
      <c r="G45" s="3">
        <f>'MSFT - Income Statement FY'!G25*(1-'MSFT - Income Statement FY'!G31/'MSFT - Income Statement FY'!G29)/('MSFT - Balance Sheet FY'!G47+'MSFT - Balance Sheet FY'!G51)</f>
        <v>0.24344253400843885</v>
      </c>
      <c r="H45" s="3">
        <f>'MSFT - Income Statement FY'!H25*(1-'MSFT - Income Statement FY'!H31/'MSFT - Income Statement FY'!H29)/('MSFT - Balance Sheet FY'!H47+'MSFT - Balance Sheet FY'!H51)</f>
        <v>0.22110861147420646</v>
      </c>
      <c r="I45" s="3"/>
      <c r="J45" s="3"/>
      <c r="K45" s="3"/>
      <c r="L45" s="3"/>
      <c r="M45" s="3"/>
      <c r="N45" s="3"/>
      <c r="O45" s="3"/>
      <c r="P45" s="3"/>
      <c r="Q45" s="3"/>
      <c r="R45" s="3"/>
      <c r="S45" s="3"/>
      <c r="T45" s="3"/>
    </row>
    <row r="46" spans="1:20" x14ac:dyDescent="0.25">
      <c r="A46" s="3" t="s">
        <v>119</v>
      </c>
      <c r="B46" s="3">
        <f>'MSFT - Income Statement FY'!B32/('MSFT - Balance Sheet FY'!B25-'MSFT - Balance Sheet FY'!B18)</f>
        <v>0.21353351926020675</v>
      </c>
      <c r="C46" s="3">
        <f>'MSFT - Income Statement FY'!C32/('MSFT - Balance Sheet FY'!C25-'MSFT - Balance Sheet FY'!C18)</f>
        <v>0.24123981102844974</v>
      </c>
      <c r="D46" s="3">
        <f>'MSFT - Income Statement FY'!D32/('MSFT - Balance Sheet FY'!D25-'MSFT - Balance Sheet FY'!D18)</f>
        <v>0.21618109248216441</v>
      </c>
      <c r="E46" s="3">
        <f>'MSFT - Income Statement FY'!E32/('MSFT - Balance Sheet FY'!E25-'MSFT - Balance Sheet FY'!E18)</f>
        <v>0.25431266563642846</v>
      </c>
      <c r="F46" s="3">
        <f>'MSFT - Income Statement FY'!F32/('MSFT - Balance Sheet FY'!F25-'MSFT - Balance Sheet FY'!F18)</f>
        <v>0.22178102422285606</v>
      </c>
      <c r="G46" s="3">
        <f>'MSFT - Income Statement FY'!G32/('MSFT - Balance Sheet FY'!G25-'MSFT - Balance Sheet FY'!G18)</f>
        <v>0.17647316696025059</v>
      </c>
      <c r="H46" s="3">
        <f>'MSFT - Income Statement FY'!H32/('MSFT - Balance Sheet FY'!H25-'MSFT - Balance Sheet FY'!H18)</f>
        <v>0.16572345637300448</v>
      </c>
      <c r="I46" s="3"/>
      <c r="J46" s="3"/>
      <c r="K46" s="3"/>
      <c r="L46" s="3"/>
      <c r="M46" s="3"/>
      <c r="N46" s="3"/>
      <c r="O46" s="3"/>
      <c r="P46" s="3"/>
      <c r="Q46" s="3"/>
      <c r="R46" s="3"/>
      <c r="S46" s="3"/>
      <c r="T46" s="3"/>
    </row>
    <row r="47" spans="1:20" x14ac:dyDescent="0.25">
      <c r="A47" s="2" t="s">
        <v>118</v>
      </c>
      <c r="B47" s="2">
        <f>('MSFT - Balance Sheet FY'!B13-'MSFT - Balance Sheet FY'!B41)/'MSFT - Income Statement FY'!B38</f>
        <v>-11.305157401205626</v>
      </c>
      <c r="C47" s="2">
        <f>('MSFT - Balance Sheet FY'!C13-'MSFT - Balance Sheet FY'!C41)/'MSFT - Income Statement FY'!C38</f>
        <v>-11.240058910162002</v>
      </c>
      <c r="D47" s="2">
        <f>('MSFT - Balance Sheet FY'!D13-'MSFT - Balance Sheet FY'!D41)/'MSFT - Income Statement FY'!D38</f>
        <v>-2.8768736616702357</v>
      </c>
      <c r="E47" s="2">
        <f>('MSFT - Balance Sheet FY'!E13-'MSFT - Balance Sheet FY'!E41)/'MSFT - Income Statement FY'!E38</f>
        <v>-3.7949602122015915</v>
      </c>
      <c r="F47" s="2">
        <f>('MSFT - Balance Sheet FY'!F13-'MSFT - Balance Sheet FY'!F41)/'MSFT - Income Statement FY'!F38</f>
        <v>-0.97068874868559407</v>
      </c>
      <c r="G47" s="2">
        <f>('MSFT - Balance Sheet FY'!G13-'MSFT - Balance Sheet FY'!G41)/'MSFT - Income Statement FY'!G38</f>
        <v>-0.14213197969543148</v>
      </c>
      <c r="H47" s="2">
        <f>('MSFT - Balance Sheet FY'!H13-'MSFT - Balance Sheet FY'!H41)/'MSFT - Income Statement FY'!H38</f>
        <v>-1.1187927253966206</v>
      </c>
      <c r="I47" s="2"/>
      <c r="J47" s="2"/>
      <c r="K47" s="2"/>
      <c r="L47" s="2"/>
      <c r="M47" s="2"/>
      <c r="N47" s="2"/>
      <c r="O47" s="2"/>
      <c r="P47" s="2"/>
      <c r="Q47" s="2"/>
      <c r="R47" s="2"/>
      <c r="S47" s="2"/>
      <c r="T47" s="2"/>
    </row>
    <row r="48" spans="1:20" x14ac:dyDescent="0.25">
      <c r="A48" s="1" t="s">
        <v>117</v>
      </c>
      <c r="B48" s="1">
        <f>'MSFT - Balance Sheet FY'!B13-'MSFT - Balance Sheet FY'!B32</f>
        <v>49913</v>
      </c>
      <c r="C48" s="1">
        <f>'MSFT - Balance Sheet FY'!C13-'MSFT - Balance Sheet FY'!C32</f>
        <v>34448</v>
      </c>
      <c r="D48" s="1">
        <f>'MSFT - Balance Sheet FY'!D13-'MSFT - Balance Sheet FY'!D32</f>
        <v>80108</v>
      </c>
      <c r="E48" s="1">
        <f>'MSFT - Balance Sheet FY'!E13-'MSFT - Balance Sheet FY'!E32</f>
        <v>74602</v>
      </c>
      <c r="F48" s="1">
        <f>'MSFT - Balance Sheet FY'!F13-'MSFT - Balance Sheet FY'!F32</f>
        <v>95749</v>
      </c>
      <c r="G48" s="1">
        <f>'MSFT - Balance Sheet FY'!G13-'MSFT - Balance Sheet FY'!G32</f>
        <v>109605</v>
      </c>
      <c r="H48" s="1">
        <f>'MSFT - Balance Sheet FY'!H13-'MSFT - Balance Sheet FY'!H32</f>
        <v>106132</v>
      </c>
      <c r="I48" s="1"/>
      <c r="J48" s="1"/>
      <c r="K48" s="1"/>
      <c r="L48" s="1"/>
      <c r="M48" s="1"/>
      <c r="N48" s="1"/>
      <c r="O48" s="1"/>
      <c r="P48" s="1"/>
      <c r="Q48" s="1"/>
      <c r="R48" s="1"/>
      <c r="S48" s="1"/>
      <c r="T48" s="1"/>
    </row>
    <row r="49" spans="1:20" x14ac:dyDescent="0.25">
      <c r="A49" s="1" t="s">
        <v>116</v>
      </c>
      <c r="B49" s="1">
        <f>'MSFT - Balance Sheet FY'!B25-'MSFT - Balance Sheet FY'!B18-'MSFT - Balance Sheet FY'!B41</f>
        <v>201366</v>
      </c>
      <c r="C49" s="1">
        <f>'MSFT - Balance Sheet FY'!C25-'MSFT - Balance Sheet FY'!C18-'MSFT - Balance Sheet FY'!C41</f>
        <v>121660</v>
      </c>
      <c r="D49" s="1">
        <f>'MSFT - Balance Sheet FY'!D25-'MSFT - Balance Sheet FY'!D18-'MSFT - Balance Sheet FY'!D41</f>
        <v>128971</v>
      </c>
      <c r="E49" s="1">
        <f>'MSFT - Balance Sheet FY'!E25-'MSFT - Balance Sheet FY'!E18-'MSFT - Balance Sheet FY'!E41</f>
        <v>87720</v>
      </c>
      <c r="F49" s="1">
        <f>'MSFT - Balance Sheet FY'!F25-'MSFT - Balance Sheet FY'!F18-'MSFT - Balance Sheet FY'!F41</f>
        <v>84477</v>
      </c>
      <c r="G49" s="1">
        <f>'MSFT - Balance Sheet FY'!G25-'MSFT - Balance Sheet FY'!G18-'MSFT - Balance Sheet FY'!G41</f>
        <v>67915</v>
      </c>
      <c r="H49" s="1">
        <f>'MSFT - Balance Sheet FY'!H25-'MSFT - Balance Sheet FY'!H18-'MSFT - Balance Sheet FY'!H41</f>
        <v>52554</v>
      </c>
      <c r="I49" s="1"/>
      <c r="J49" s="1"/>
      <c r="K49" s="1"/>
      <c r="L49" s="1"/>
      <c r="M49" s="1"/>
      <c r="N49" s="1"/>
      <c r="O49" s="1"/>
      <c r="P49" s="1"/>
      <c r="Q49" s="1"/>
      <c r="R49" s="1"/>
      <c r="S49" s="1"/>
      <c r="T49" s="1"/>
    </row>
    <row r="50" spans="1:20" x14ac:dyDescent="0.25">
      <c r="A50" s="1" t="s">
        <v>115</v>
      </c>
      <c r="B50" s="1">
        <f>'MSFT - Balance Sheet FY'!B13-'MSFT - Balance Sheet FY'!B41</f>
        <v>-84393</v>
      </c>
      <c r="C50" s="1">
        <f>'MSFT - Balance Sheet FY'!C13-'MSFT - Balance Sheet FY'!C41</f>
        <v>-83952</v>
      </c>
      <c r="D50" s="1">
        <f>'MSFT - Balance Sheet FY'!D13-'MSFT - Balance Sheet FY'!D41</f>
        <v>-21496</v>
      </c>
      <c r="E50" s="1">
        <f>'MSFT - Balance Sheet FY'!E13-'MSFT - Balance Sheet FY'!E41</f>
        <v>-28614</v>
      </c>
      <c r="F50" s="1">
        <f>'MSFT - Balance Sheet FY'!F13-'MSFT - Balance Sheet FY'!F41</f>
        <v>-7385</v>
      </c>
      <c r="G50" s="1">
        <f>'MSFT - Balance Sheet FY'!G13-'MSFT - Balance Sheet FY'!G41</f>
        <v>-1092</v>
      </c>
      <c r="H50" s="1">
        <f>'MSFT - Balance Sheet FY'!H13-'MSFT - Balance Sheet FY'!H41</f>
        <v>-8674</v>
      </c>
      <c r="I50" s="1"/>
      <c r="J50" s="1"/>
      <c r="K50" s="1"/>
      <c r="L50" s="1"/>
      <c r="M50" s="1"/>
      <c r="N50" s="1"/>
      <c r="O50" s="1"/>
      <c r="P50" s="1"/>
      <c r="Q50" s="1"/>
      <c r="R50" s="1"/>
      <c r="S50" s="1"/>
      <c r="T50" s="1"/>
    </row>
    <row r="51" spans="1:20" x14ac:dyDescent="0.25">
      <c r="A51" s="1" t="s">
        <v>114</v>
      </c>
      <c r="B51" s="1">
        <f>AVERAGE('MSFT - Balance Sheet FY'!B10,'MSFT - Balance Sheet FY'!C10)</f>
        <v>63414.5</v>
      </c>
      <c r="C51" s="1">
        <f>AVERAGE('MSFT - Balance Sheet FY'!C10,'MSFT - Balance Sheet FY'!D10)</f>
        <v>52806</v>
      </c>
      <c r="D51" s="1">
        <f>AVERAGE('MSFT - Balance Sheet FY'!D10,'MSFT - Balance Sheet FY'!E10)</f>
        <v>46474.5</v>
      </c>
      <c r="E51" s="1">
        <f>AVERAGE('MSFT - Balance Sheet FY'!E10,'MSFT - Balance Sheet FY'!F10)</f>
        <v>41152</v>
      </c>
      <c r="F51" s="1">
        <f>AVERAGE('MSFT - Balance Sheet FY'!F10,'MSFT - Balance Sheet FY'!G10)</f>
        <v>35027</v>
      </c>
      <c r="G51" s="1">
        <f>AVERAGE('MSFT - Balance Sheet FY'!G10,'MSFT - Balance Sheet FY'!H10)</f>
        <v>30767.5</v>
      </c>
      <c r="H51" s="1">
        <f>'MSFT - Balance Sheet FY'!H10</f>
        <v>29524</v>
      </c>
      <c r="I51" s="1"/>
      <c r="J51" s="1"/>
      <c r="K51" s="1"/>
      <c r="L51" s="1"/>
      <c r="M51" s="1"/>
      <c r="N51" s="1"/>
      <c r="O51" s="1"/>
      <c r="P51" s="1"/>
      <c r="Q51" s="1"/>
      <c r="R51" s="1"/>
      <c r="S51" s="1"/>
      <c r="T51" s="1"/>
    </row>
    <row r="52" spans="1:20" x14ac:dyDescent="0.25">
      <c r="A52" s="1" t="s">
        <v>113</v>
      </c>
      <c r="B52" s="1">
        <f>AVERAGE('MSFT - Balance Sheet FY'!B27,'MSFT - Balance Sheet FY'!C27)</f>
        <v>24860</v>
      </c>
      <c r="C52" s="1">
        <f>AVERAGE('MSFT - Balance Sheet FY'!C27,'MSFT - Balance Sheet FY'!D27)</f>
        <v>20045.5</v>
      </c>
      <c r="D52" s="1">
        <f>AVERAGE('MSFT - Balance Sheet FY'!D27,'MSFT - Balance Sheet FY'!E27)</f>
        <v>18547.5</v>
      </c>
      <c r="E52" s="1">
        <f>AVERAGE('MSFT - Balance Sheet FY'!E27,'MSFT - Balance Sheet FY'!F27)</f>
        <v>17081.5</v>
      </c>
      <c r="F52" s="1">
        <f>AVERAGE('MSFT - Balance Sheet FY'!F27,'MSFT - Balance Sheet FY'!G27)</f>
        <v>13846.5</v>
      </c>
      <c r="G52" s="1">
        <f>AVERAGE('MSFT - Balance Sheet FY'!G27,'MSFT - Balance Sheet FY'!H27)</f>
        <v>10956</v>
      </c>
      <c r="H52" s="1">
        <f>'MSFT - Balance Sheet FY'!H27</f>
        <v>9382</v>
      </c>
      <c r="I52" s="1"/>
      <c r="J52" s="1"/>
      <c r="K52" s="1"/>
      <c r="L52" s="1"/>
      <c r="M52" s="1"/>
      <c r="N52" s="1"/>
      <c r="O52" s="1"/>
      <c r="P52" s="1"/>
      <c r="Q52" s="1"/>
      <c r="R52" s="1"/>
      <c r="S52" s="1"/>
      <c r="T52" s="1"/>
    </row>
    <row r="53" spans="1:20" x14ac:dyDescent="0.25">
      <c r="A53" s="1" t="s">
        <v>112</v>
      </c>
      <c r="B53" s="1">
        <f>AVERAGE('MSFT - Balance Sheet FY'!B11,'MSFT - Balance Sheet FY'!C11)</f>
        <v>1092</v>
      </c>
      <c r="C53" s="1">
        <f>AVERAGE('MSFT - Balance Sheet FY'!C11,'MSFT - Balance Sheet FY'!D11)</f>
        <v>1873</v>
      </c>
      <c r="D53" s="1">
        <f>AVERAGE('MSFT - Balance Sheet FY'!D11,'MSFT - Balance Sheet FY'!E11)</f>
        <v>3121</v>
      </c>
      <c r="E53" s="1">
        <f>AVERAGE('MSFT - Balance Sheet FY'!E11,'MSFT - Balance Sheet FY'!F11)</f>
        <v>3189</v>
      </c>
      <c r="F53" s="1">
        <f>AVERAGE('MSFT - Balance Sheet FY'!F11,'MSFT - Balance Sheet FY'!G11)</f>
        <v>2265.5</v>
      </c>
      <c r="G53" s="1">
        <f>AVERAGE('MSFT - Balance Sheet FY'!G11,'MSFT - Balance Sheet FY'!H11)</f>
        <v>1979</v>
      </c>
      <c r="H53" s="1">
        <f>'MSFT - Balance Sheet FY'!H11</f>
        <v>2063</v>
      </c>
      <c r="I53" s="1"/>
      <c r="J53" s="1"/>
      <c r="K53" s="1"/>
      <c r="L53" s="1"/>
      <c r="M53" s="1"/>
      <c r="N53" s="1"/>
      <c r="O53" s="1"/>
      <c r="P53" s="1"/>
      <c r="Q53" s="1"/>
      <c r="R53" s="1"/>
      <c r="S53" s="1"/>
      <c r="T53" s="1"/>
    </row>
    <row r="54" spans="1:20" x14ac:dyDescent="0.25">
      <c r="A54" s="2" t="s">
        <v>111</v>
      </c>
      <c r="B54" s="2">
        <f>B51/'MSFT - Income Statement FY'!B7*365</f>
        <v>82.159462807570534</v>
      </c>
      <c r="C54" s="2">
        <f>C51/'MSFT - Income Statement FY'!C7*365</f>
        <v>78.631008232635182</v>
      </c>
      <c r="D54" s="2">
        <f>D51/'MSFT - Income Statement FY'!D7*365</f>
        <v>80.047153339782454</v>
      </c>
      <c r="E54" s="2">
        <f>E51/'MSFT - Income Statement FY'!E7*365</f>
        <v>75.757704140818078</v>
      </c>
      <c r="F54" s="2">
        <f>F51/'MSFT - Income Statement FY'!F7*365</f>
        <v>76.060486173908899</v>
      </c>
      <c r="G54" s="2">
        <f>G51/'MSFT - Income Statement FY'!G7*365</f>
        <v>78.524193266440577</v>
      </c>
      <c r="H54" s="2">
        <f>H51/'MSFT - Income Statement FY'!H7*365</f>
        <v>85.632573921473579</v>
      </c>
      <c r="I54" s="2"/>
      <c r="J54" s="2"/>
      <c r="K54" s="2"/>
      <c r="L54" s="2"/>
      <c r="M54" s="2"/>
      <c r="N54" s="2"/>
      <c r="O54" s="2"/>
      <c r="P54" s="2"/>
      <c r="Q54" s="2"/>
      <c r="R54" s="2"/>
      <c r="S54" s="2"/>
      <c r="T54" s="2"/>
    </row>
    <row r="55" spans="1:20" x14ac:dyDescent="0.25">
      <c r="A55" s="2" t="s">
        <v>110</v>
      </c>
      <c r="B55" s="2">
        <f>B52/'MSFT - Income Statement FY'!B9*365</f>
        <v>103.31090389498013</v>
      </c>
      <c r="C55" s="2">
        <f>C52/'MSFT - Income Statement FY'!C9*365</f>
        <v>98.720990636047176</v>
      </c>
      <c r="D55" s="2">
        <f>D52/'MSFT - Income Statement FY'!D9*365</f>
        <v>102.78665563366383</v>
      </c>
      <c r="E55" s="2">
        <f>E52/'MSFT - Income Statement FY'!E9*365</f>
        <v>99.51711891460495</v>
      </c>
      <c r="F55" s="2">
        <f>F52/'MSFT - Income Statement FY'!F9*365</f>
        <v>96.760080027569302</v>
      </c>
      <c r="G55" s="2">
        <f>G52/'MSFT - Income Statement FY'!G9*365</f>
        <v>86.786318850644562</v>
      </c>
      <c r="H55" s="2">
        <f>H52/'MSFT - Income Statement FY'!H9*365</f>
        <v>79.804940573292939</v>
      </c>
      <c r="I55" s="2"/>
      <c r="J55" s="2"/>
      <c r="K55" s="2"/>
      <c r="L55" s="2"/>
      <c r="M55" s="2"/>
      <c r="N55" s="2"/>
      <c r="O55" s="2"/>
      <c r="P55" s="2"/>
      <c r="Q55" s="2"/>
      <c r="R55" s="2"/>
      <c r="S55" s="2"/>
      <c r="T55" s="2"/>
    </row>
    <row r="56" spans="1:20" x14ac:dyDescent="0.25">
      <c r="A56" s="2" t="s">
        <v>109</v>
      </c>
      <c r="B56" s="2">
        <f>B53/'MSFT - Income Statement FY'!B9*365</f>
        <v>4.5380332684359734</v>
      </c>
      <c r="C56" s="2">
        <f>C53/'MSFT - Income Statement FY'!C9*365</f>
        <v>9.2242356369916614</v>
      </c>
      <c r="D56" s="2">
        <f>D53/'MSFT - Income Statement FY'!D9*365</f>
        <v>17.295978014970469</v>
      </c>
      <c r="E56" s="2">
        <f>E53/'MSFT - Income Statement FY'!E9*365</f>
        <v>18.579169992019153</v>
      </c>
      <c r="F56" s="2">
        <f>F53/'MSFT - Income Statement FY'!F9*365</f>
        <v>15.831434752642059</v>
      </c>
      <c r="G56" s="2">
        <f>G53/'MSFT - Income Statement FY'!G9*365</f>
        <v>15.676353140327272</v>
      </c>
      <c r="H56" s="2">
        <f>H53/'MSFT - Income Statement FY'!H9*365</f>
        <v>17.548240503379166</v>
      </c>
      <c r="I56" s="2"/>
      <c r="J56" s="2"/>
      <c r="K56" s="2"/>
      <c r="L56" s="2"/>
      <c r="M56" s="2"/>
      <c r="N56" s="2"/>
      <c r="O56" s="2"/>
      <c r="P56" s="2"/>
      <c r="Q56" s="2"/>
      <c r="R56" s="2"/>
      <c r="S56" s="2"/>
      <c r="T56" s="2"/>
    </row>
    <row r="57" spans="1:20" x14ac:dyDescent="0.25">
      <c r="A57" s="2" t="s">
        <v>108</v>
      </c>
      <c r="B57" s="2">
        <f>'MSFT - Income Statement FY'!B7/B51</f>
        <v>4.4425801669965068</v>
      </c>
      <c r="C57" s="2">
        <f>'MSFT - Income Statement FY'!C7/C51</f>
        <v>4.6419346286406844</v>
      </c>
      <c r="D57" s="2">
        <f>'MSFT - Income Statement FY'!D7/D51</f>
        <v>4.5598123702245319</v>
      </c>
      <c r="E57" s="2">
        <f>'MSFT - Income Statement FY'!E7/E51</f>
        <v>4.8179918351477449</v>
      </c>
      <c r="F57" s="2">
        <f>'MSFT - Income Statement FY'!F7/F51</f>
        <v>4.7988123447626121</v>
      </c>
      <c r="G57" s="2">
        <f>'MSFT - Income Statement FY'!G7/G51</f>
        <v>4.6482489640042255</v>
      </c>
      <c r="H57" s="2">
        <f>'MSFT - Income Statement FY'!H7/H51</f>
        <v>4.2623966942148757</v>
      </c>
      <c r="I57" s="2"/>
      <c r="J57" s="2"/>
      <c r="K57" s="2"/>
      <c r="L57" s="2"/>
      <c r="M57" s="2"/>
      <c r="N57" s="2"/>
      <c r="O57" s="2"/>
      <c r="P57" s="2"/>
      <c r="Q57" s="2"/>
      <c r="R57" s="2"/>
      <c r="S57" s="2"/>
      <c r="T57" s="2"/>
    </row>
    <row r="58" spans="1:20" x14ac:dyDescent="0.25">
      <c r="A58" s="2" t="s">
        <v>107</v>
      </c>
      <c r="B58" s="2">
        <f>'MSFT - Income Statement FY'!B9/B52</f>
        <v>3.5330249396621078</v>
      </c>
      <c r="C58" s="2">
        <f>'MSFT - Income Statement FY'!C9/C52</f>
        <v>3.697288668279664</v>
      </c>
      <c r="D58" s="2">
        <f>'MSFT - Income Statement FY'!D9/D52</f>
        <v>3.5510446151772475</v>
      </c>
      <c r="E58" s="2">
        <f>'MSFT - Income Statement FY'!E9/E52</f>
        <v>3.6677106811462692</v>
      </c>
      <c r="F58" s="2">
        <f>'MSFT - Income Statement FY'!F9/F52</f>
        <v>3.7722168056909688</v>
      </c>
      <c r="G58" s="2">
        <f>'MSFT - Income Statement FY'!G9/G52</f>
        <v>4.2057320189850307</v>
      </c>
      <c r="H58" s="2">
        <f>'MSFT - Income Statement FY'!H9/H52</f>
        <v>4.5736516734171815</v>
      </c>
      <c r="I58" s="2"/>
      <c r="J58" s="2"/>
      <c r="K58" s="2"/>
      <c r="L58" s="2"/>
      <c r="M58" s="2"/>
      <c r="N58" s="2"/>
      <c r="O58" s="2"/>
      <c r="P58" s="2"/>
      <c r="Q58" s="2"/>
      <c r="R58" s="2"/>
      <c r="S58" s="2"/>
      <c r="T58" s="2"/>
    </row>
    <row r="59" spans="1:20" x14ac:dyDescent="0.25">
      <c r="A59" s="2" t="s">
        <v>106</v>
      </c>
      <c r="B59" s="2">
        <f>'MSFT - Income Statement FY'!B9/B53</f>
        <v>80.431318681318686</v>
      </c>
      <c r="C59" s="2">
        <f>'MSFT - Income Statement FY'!C9/C53</f>
        <v>39.569674319273894</v>
      </c>
      <c r="D59" s="2">
        <f>'MSFT - Income Statement FY'!D9/D53</f>
        <v>21.103172060237103</v>
      </c>
      <c r="E59" s="2">
        <f>'MSFT - Income Statement FY'!E9/E53</f>
        <v>19.645656945751018</v>
      </c>
      <c r="F59" s="2">
        <f>'MSFT - Income Statement FY'!F9/F53</f>
        <v>23.055396159788128</v>
      </c>
      <c r="G59" s="2">
        <f>'MSFT - Income Statement FY'!G9/G53</f>
        <v>23.283476503284486</v>
      </c>
      <c r="H59" s="2">
        <f>'MSFT - Income Statement FY'!H9/H53</f>
        <v>20.799806107610276</v>
      </c>
      <c r="I59" s="2"/>
      <c r="J59" s="2"/>
      <c r="K59" s="2"/>
      <c r="L59" s="2"/>
      <c r="M59" s="2"/>
      <c r="N59" s="2"/>
      <c r="O59" s="2"/>
      <c r="P59" s="2"/>
      <c r="Q59" s="2"/>
      <c r="R59" s="2"/>
      <c r="S59" s="2"/>
      <c r="T59" s="2"/>
    </row>
    <row r="60" spans="1:20" x14ac:dyDescent="0.25">
      <c r="A60" s="3" t="s">
        <v>105</v>
      </c>
      <c r="B60" s="3">
        <f>'MSFT - Income Statement FY'!B32/'MSFT - Balance Sheet FY'!B47</f>
        <v>0.29647227341409521</v>
      </c>
      <c r="C60" s="3">
        <f>'MSFT - Income Statement FY'!C32/'MSFT - Balance Sheet FY'!C47</f>
        <v>0.32828137978299815</v>
      </c>
      <c r="D60" s="3">
        <f>'MSFT - Income Statement FY'!D32/'MSFT - Balance Sheet FY'!D47</f>
        <v>0.35088714643856406</v>
      </c>
      <c r="E60" s="3">
        <f>'MSFT - Income Statement FY'!E32/'MSFT - Balance Sheet FY'!E47</f>
        <v>0.43675469250999749</v>
      </c>
      <c r="F60" s="3">
        <f>'MSFT - Income Statement FY'!F32/'MSFT - Balance Sheet FY'!F47</f>
        <v>0.43152238217314137</v>
      </c>
      <c r="G60" s="3">
        <f>'MSFT - Income Statement FY'!G32/'MSFT - Balance Sheet FY'!G47</f>
        <v>0.37429841763592103</v>
      </c>
      <c r="H60" s="3">
        <f>'MSFT - Income Statement FY'!H32/'MSFT - Balance Sheet FY'!H47</f>
        <v>0.38346525945470539</v>
      </c>
      <c r="I60" s="3"/>
      <c r="J60" s="3"/>
      <c r="K60" s="3"/>
      <c r="L60" s="3"/>
      <c r="M60" s="3"/>
      <c r="N60" s="3"/>
      <c r="O60" s="3"/>
      <c r="P60" s="3"/>
      <c r="Q60" s="3"/>
      <c r="R60" s="3"/>
      <c r="S60" s="3"/>
      <c r="T60" s="3"/>
    </row>
    <row r="61" spans="1:20" x14ac:dyDescent="0.25">
      <c r="A61" s="2" t="s">
        <v>104</v>
      </c>
      <c r="B61" s="2">
        <f>'MSFT - Cash Flow FY'!B38/'MSFT - Income Statement FY'!B38</f>
        <v>-8.6471533824514406</v>
      </c>
      <c r="C61" s="2">
        <f>'MSFT - Cash Flow FY'!C38/'MSFT - Income Statement FY'!C38</f>
        <v>-5.9548801713750166</v>
      </c>
      <c r="D61" s="2">
        <f>'MSFT - Cash Flow FY'!D38/'MSFT - Income Statement FY'!D38</f>
        <v>-3.7616434689507496</v>
      </c>
      <c r="E61" s="2">
        <f>'MSFT - Cash Flow FY'!E38/'MSFT - Income Statement FY'!E38</f>
        <v>-3.1679045092838196</v>
      </c>
      <c r="F61" s="2">
        <f>'MSFT - Cash Flow FY'!F38/'MSFT - Income Statement FY'!F38</f>
        <v>-2.7105678233438484</v>
      </c>
      <c r="G61" s="2">
        <f>'MSFT - Cash Flow FY'!G38/'MSFT - Income Statement FY'!G38</f>
        <v>-2.0097618117922686</v>
      </c>
      <c r="H61" s="2">
        <f>'MSFT - Cash Flow FY'!H38/'MSFT - Income Statement FY'!H38</f>
        <v>-1.7960789371856056</v>
      </c>
      <c r="I61" s="2"/>
      <c r="J61" s="2"/>
      <c r="K61" s="2"/>
      <c r="L61" s="2"/>
      <c r="M61" s="2"/>
      <c r="N61" s="2"/>
      <c r="O61" s="2"/>
      <c r="P61" s="2"/>
      <c r="Q61" s="2"/>
      <c r="R61" s="2"/>
      <c r="S61" s="2"/>
      <c r="T61" s="2"/>
    </row>
  </sheetData>
  <mergeCells count="1">
    <mergeCell ref="B4:T4"/>
  </mergeCells>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5022EC-97A5-4E15-B49D-5CD0E8DAC51B}">
  <sheetPr>
    <tabColor rgb="FFC6E0B4"/>
  </sheetPr>
  <dimension ref="A1:T40"/>
  <sheetViews>
    <sheetView workbookViewId="0"/>
  </sheetViews>
  <sheetFormatPr defaultRowHeight="15" x14ac:dyDescent="0.25"/>
  <cols>
    <col min="1" max="1" width="41.140625" bestFit="1" customWidth="1"/>
    <col min="2" max="2" width="15.5703125" bestFit="1" customWidth="1"/>
    <col min="3" max="19" width="10.42578125" bestFit="1" customWidth="1"/>
    <col min="20" max="20" width="11.140625" bestFit="1" customWidth="1"/>
  </cols>
  <sheetData>
    <row r="1" spans="1:20" x14ac:dyDescent="0.25">
      <c r="A1" s="10" t="s">
        <v>202</v>
      </c>
      <c r="B1" s="10"/>
      <c r="C1" s="10"/>
      <c r="D1" s="10"/>
      <c r="E1" s="10"/>
      <c r="F1" s="10"/>
      <c r="G1" s="10"/>
      <c r="H1" s="10"/>
      <c r="I1" s="10"/>
      <c r="J1" s="10"/>
      <c r="K1" s="10"/>
      <c r="L1" s="10"/>
      <c r="M1" s="10"/>
      <c r="N1" s="10"/>
      <c r="O1" s="10"/>
      <c r="P1" s="10"/>
      <c r="Q1" s="10"/>
      <c r="R1" s="10"/>
      <c r="S1" s="10"/>
      <c r="T1" s="10"/>
    </row>
    <row r="2" spans="1:20" x14ac:dyDescent="0.25">
      <c r="A2" t="s">
        <v>1</v>
      </c>
      <c r="B2" t="s">
        <v>197</v>
      </c>
    </row>
    <row r="3" spans="1:20" x14ac:dyDescent="0.25">
      <c r="A3" t="s">
        <v>3</v>
      </c>
      <c r="B3" t="str">
        <f>'MSFT - Income Statement FY'!B3</f>
        <v>USD</v>
      </c>
    </row>
    <row r="4" spans="1:20" x14ac:dyDescent="0.25">
      <c r="A4" t="s">
        <v>32</v>
      </c>
      <c r="B4" s="236" t="s">
        <v>33</v>
      </c>
      <c r="C4" s="236"/>
      <c r="D4" s="236"/>
      <c r="E4" s="236"/>
      <c r="F4" s="236"/>
      <c r="G4" s="236"/>
      <c r="H4" s="236"/>
      <c r="I4" s="236"/>
      <c r="J4" s="236"/>
      <c r="K4" s="236"/>
      <c r="L4" s="236"/>
      <c r="M4" s="236"/>
      <c r="N4" s="236"/>
      <c r="O4" s="236"/>
      <c r="P4" s="236"/>
      <c r="Q4" s="236"/>
      <c r="R4" s="236"/>
      <c r="S4" s="236"/>
      <c r="T4" s="236"/>
    </row>
    <row r="5" spans="1:20" x14ac:dyDescent="0.25">
      <c r="A5" t="s">
        <v>34</v>
      </c>
      <c r="B5" s="8">
        <v>45838</v>
      </c>
      <c r="C5" s="8">
        <v>45473</v>
      </c>
      <c r="D5" s="8">
        <v>45107</v>
      </c>
      <c r="E5" s="8">
        <v>44742</v>
      </c>
      <c r="F5" s="8">
        <v>44377</v>
      </c>
      <c r="G5" s="8">
        <v>44012</v>
      </c>
      <c r="H5" s="8">
        <v>43646</v>
      </c>
      <c r="I5" s="8"/>
      <c r="J5" s="8"/>
      <c r="K5" s="8"/>
      <c r="L5" s="8"/>
      <c r="M5" s="8"/>
      <c r="N5" s="8"/>
      <c r="O5" s="8"/>
      <c r="P5" s="8"/>
      <c r="Q5" s="8"/>
      <c r="R5" s="8"/>
      <c r="S5" s="8"/>
      <c r="T5" s="8"/>
    </row>
    <row r="7" spans="1:20" x14ac:dyDescent="0.25">
      <c r="A7" s="3" t="s">
        <v>194</v>
      </c>
      <c r="B7" s="3">
        <f>'MSFT - Income Statement FY'!B7/'MSFT - Income Statement FY'!C7-1</f>
        <v>0.14932156232406713</v>
      </c>
      <c r="C7" s="3">
        <f>'MSFT - Income Statement FY'!C7/'MSFT - Income Statement FY'!D7-1</f>
        <v>0.1566996201307127</v>
      </c>
      <c r="D7" s="3">
        <f>'MSFT - Income Statement FY'!D7/'MSFT - Income Statement FY'!E7-1</f>
        <v>6.8820295556564215E-2</v>
      </c>
      <c r="E7" s="3">
        <f>'MSFT - Income Statement FY'!E7/'MSFT - Income Statement FY'!F7-1</f>
        <v>0.17956070629670173</v>
      </c>
      <c r="F7" s="3">
        <f>'MSFT - Income Statement FY'!F7/'MSFT - Income Statement FY'!G7-1</f>
        <v>0.17531727441177503</v>
      </c>
      <c r="G7" s="3">
        <f>'MSFT - Income Statement FY'!G7/'MSFT - Income Statement FY'!H7-1</f>
        <v>0.13645574247276371</v>
      </c>
      <c r="H7" s="3"/>
      <c r="I7" s="3"/>
      <c r="J7" s="3"/>
      <c r="K7" s="3"/>
      <c r="L7" s="3"/>
      <c r="M7" s="3"/>
      <c r="N7" s="3"/>
      <c r="O7" s="3"/>
      <c r="P7" s="3"/>
      <c r="Q7" s="3"/>
      <c r="R7" s="3"/>
      <c r="S7" s="3"/>
      <c r="T7" s="3"/>
    </row>
    <row r="8" spans="1:20" x14ac:dyDescent="0.25">
      <c r="A8" s="3" t="s">
        <v>193</v>
      </c>
      <c r="B8" s="3">
        <f>'MSFT - Income Statement FY'!B10/'MSFT - Income Statement FY'!C10-1</f>
        <v>0.13382414857784442</v>
      </c>
      <c r="C8" s="3">
        <f>'MSFT - Income Statement FY'!C10/'MSFT - Income Statement FY'!D10-1</f>
        <v>0.1708706488100129</v>
      </c>
      <c r="D8" s="3">
        <f>'MSFT - Income Statement FY'!D10/'MSFT - Income Statement FY'!E10-1</f>
        <v>7.6920808140392261E-2</v>
      </c>
      <c r="E8" s="3">
        <f>'MSFT - Income Statement FY'!E10/'MSFT - Income Statement FY'!F10-1</f>
        <v>0.17059107858030664</v>
      </c>
      <c r="F8" s="3">
        <f>'MSFT - Income Statement FY'!F10/'MSFT - Income Statement FY'!G10-1</f>
        <v>0.19516799570855303</v>
      </c>
      <c r="G8" s="3">
        <f>'MSFT - Income Statement FY'!G10/'MSFT - Income Statement FY'!H10-1</f>
        <v>0.16885919959485363</v>
      </c>
      <c r="H8" s="3"/>
      <c r="I8" s="3"/>
      <c r="J8" s="3"/>
      <c r="K8" s="3"/>
      <c r="L8" s="3"/>
      <c r="M8" s="3"/>
      <c r="N8" s="3"/>
      <c r="O8" s="3"/>
      <c r="P8" s="3"/>
      <c r="Q8" s="3"/>
      <c r="R8" s="3"/>
      <c r="S8" s="3"/>
      <c r="T8" s="3"/>
    </row>
    <row r="9" spans="1:20" x14ac:dyDescent="0.25">
      <c r="A9" s="3" t="s">
        <v>192</v>
      </c>
      <c r="B9" s="3">
        <f>'MSFT - Income Statement FY'!B25/'MSFT - Income Statement FY'!C25-1</f>
        <v>0.17449032741494785</v>
      </c>
      <c r="C9" s="3">
        <f>'MSFT - Income Statement FY'!C25/'MSFT - Income Statement FY'!D25-1</f>
        <v>0.23620979858341906</v>
      </c>
      <c r="D9" s="3">
        <f>'MSFT - Income Statement FY'!D25/'MSFT - Income Statement FY'!E25-1</f>
        <v>6.1643260616672357E-2</v>
      </c>
      <c r="E9" s="3">
        <f>'MSFT - Income Statement FY'!E25/'MSFT - Income Statement FY'!F25-1</f>
        <v>0.19261685451112753</v>
      </c>
      <c r="F9" s="3">
        <f>'MSFT - Income Statement FY'!F25/'MSFT - Income Statement FY'!G25-1</f>
        <v>0.3201910912215109</v>
      </c>
      <c r="G9" s="3">
        <f>'MSFT - Income Statement FY'!G25/'MSFT - Income Statement FY'!H25-1</f>
        <v>0.23278009264647692</v>
      </c>
      <c r="H9" s="3"/>
      <c r="I9" s="3"/>
      <c r="J9" s="3"/>
      <c r="K9" s="3"/>
      <c r="L9" s="3"/>
      <c r="M9" s="3"/>
      <c r="N9" s="3"/>
      <c r="O9" s="3"/>
      <c r="P9" s="3"/>
      <c r="Q9" s="3"/>
      <c r="R9" s="3"/>
      <c r="S9" s="3"/>
      <c r="T9" s="3"/>
    </row>
    <row r="10" spans="1:20" x14ac:dyDescent="0.25">
      <c r="A10" s="3" t="s">
        <v>191</v>
      </c>
      <c r="B10" s="3">
        <f>'MSFT - Income Statement FY'!B25/'MSFT - Income Statement FY'!C25-1</f>
        <v>0.17449032741494785</v>
      </c>
      <c r="C10" s="3">
        <f>'MSFT - Income Statement FY'!C25/'MSFT - Income Statement FY'!D25-1</f>
        <v>0.23620979858341906</v>
      </c>
      <c r="D10" s="3">
        <f>'MSFT - Income Statement FY'!D25/'MSFT - Income Statement FY'!E25-1</f>
        <v>6.1643260616672357E-2</v>
      </c>
      <c r="E10" s="3">
        <f>'MSFT - Income Statement FY'!E25/'MSFT - Income Statement FY'!F25-1</f>
        <v>0.19261685451112753</v>
      </c>
      <c r="F10" s="3">
        <f>'MSFT - Income Statement FY'!F25/'MSFT - Income Statement FY'!G25-1</f>
        <v>0.3201910912215109</v>
      </c>
      <c r="G10" s="3">
        <f>'MSFT - Income Statement FY'!G25/'MSFT - Income Statement FY'!H25-1</f>
        <v>0.23278009264647692</v>
      </c>
      <c r="H10" s="3"/>
      <c r="I10" s="3"/>
      <c r="J10" s="3"/>
      <c r="K10" s="3"/>
      <c r="L10" s="3"/>
      <c r="M10" s="3"/>
      <c r="N10" s="3"/>
      <c r="O10" s="3"/>
      <c r="P10" s="3"/>
      <c r="Q10" s="3"/>
      <c r="R10" s="3"/>
      <c r="S10" s="3"/>
      <c r="T10" s="3"/>
    </row>
    <row r="11" spans="1:20" x14ac:dyDescent="0.25">
      <c r="A11" s="3" t="s">
        <v>190</v>
      </c>
      <c r="B11" s="3">
        <f>'MSFT - Income Statement FY'!B32/'MSFT - Income Statement FY'!C32-1</f>
        <v>0.15539620586366532</v>
      </c>
      <c r="C11" s="3">
        <f>'MSFT - Income Statement FY'!C32/'MSFT - Income Statement FY'!D32-1</f>
        <v>0.21800417351888446</v>
      </c>
      <c r="D11" s="3">
        <f>'MSFT - Income Statement FY'!D32/'MSFT - Income Statement FY'!E32-1</f>
        <v>-5.1829855096373612E-3</v>
      </c>
      <c r="E11" s="3">
        <f>'MSFT - Income Statement FY'!E32/'MSFT - Income Statement FY'!F32-1</f>
        <v>0.1871521600757291</v>
      </c>
      <c r="F11" s="3">
        <f>'MSFT - Income Statement FY'!F32/'MSFT - Income Statement FY'!G32-1</f>
        <v>0.38368600528443353</v>
      </c>
      <c r="G11" s="3">
        <f>'MSFT - Income Statement FY'!G32/'MSFT - Income Statement FY'!H32-1</f>
        <v>0.12846585117227316</v>
      </c>
      <c r="H11" s="3"/>
      <c r="I11" s="3"/>
      <c r="J11" s="3"/>
      <c r="K11" s="3"/>
      <c r="L11" s="3"/>
      <c r="M11" s="3"/>
      <c r="N11" s="3"/>
      <c r="O11" s="3"/>
      <c r="P11" s="3"/>
      <c r="Q11" s="3"/>
      <c r="R11" s="3"/>
      <c r="S11" s="3"/>
      <c r="T11" s="3"/>
    </row>
    <row r="12" spans="1:20" x14ac:dyDescent="0.25">
      <c r="A12" s="3" t="s">
        <v>189</v>
      </c>
      <c r="B12" s="3">
        <f>'MSFT - Income Statement FY'!B35/'MSFT - Income Statement FY'!C35-1</f>
        <v>0.15514333895446875</v>
      </c>
      <c r="C12" s="3">
        <f>'MSFT - Income Statement FY'!C35/'MSFT - Income Statement FY'!D35-1</f>
        <v>0.22016460905349788</v>
      </c>
      <c r="D12" s="3">
        <f>'MSFT - Income Statement FY'!D35/'MSFT - Income Statement FY'!E35-1</f>
        <v>2.0618556701033075E-3</v>
      </c>
      <c r="E12" s="3">
        <f>'MSFT - Income Statement FY'!E35/'MSFT - Income Statement FY'!F35-1</f>
        <v>0.19458128078817727</v>
      </c>
      <c r="F12" s="3">
        <f>'MSFT - Income Statement FY'!F35/'MSFT - Income Statement FY'!G35-1</f>
        <v>0.39518900343642582</v>
      </c>
      <c r="G12" s="3">
        <f>'MSFT - Income Statement FY'!G35/'MSFT - Income Statement FY'!H35-1</f>
        <v>0.13894324853228968</v>
      </c>
      <c r="H12" s="3"/>
      <c r="I12" s="3"/>
      <c r="J12" s="3"/>
      <c r="K12" s="3"/>
      <c r="L12" s="3"/>
      <c r="M12" s="3"/>
      <c r="N12" s="3"/>
      <c r="O12" s="3"/>
      <c r="P12" s="3"/>
      <c r="Q12" s="3"/>
      <c r="R12" s="3"/>
      <c r="S12" s="3"/>
      <c r="T12" s="3"/>
    </row>
    <row r="13" spans="1:20" x14ac:dyDescent="0.25">
      <c r="A13" s="3" t="s">
        <v>188</v>
      </c>
      <c r="B13" s="3">
        <f>'MSFT - Income Statement FY'!B36/'MSFT - Income Statement FY'!C36-1</f>
        <v>0.15593220338983049</v>
      </c>
      <c r="C13" s="3">
        <f>'MSFT - Income Statement FY'!C36/'MSFT - Income Statement FY'!D36-1</f>
        <v>0.21900826446280997</v>
      </c>
      <c r="D13" s="3">
        <f>'MSFT - Income Statement FY'!D36/'MSFT - Income Statement FY'!E36-1</f>
        <v>3.1088082901553626E-3</v>
      </c>
      <c r="E13" s="3">
        <f>'MSFT - Income Statement FY'!E36/'MSFT - Income Statement FY'!F36-1</f>
        <v>0.19875776397515521</v>
      </c>
      <c r="F13" s="3">
        <f>'MSFT - Income Statement FY'!F36/'MSFT - Income Statement FY'!G36-1</f>
        <v>0.39756944444444464</v>
      </c>
      <c r="G13" s="3">
        <f>'MSFT - Income Statement FY'!G36/'MSFT - Income Statement FY'!H36-1</f>
        <v>0.13833992094861669</v>
      </c>
      <c r="H13" s="3"/>
      <c r="I13" s="3"/>
      <c r="J13" s="3"/>
      <c r="K13" s="3"/>
      <c r="L13" s="3"/>
      <c r="M13" s="3"/>
      <c r="N13" s="3"/>
      <c r="O13" s="3"/>
      <c r="P13" s="3"/>
      <c r="Q13" s="3"/>
      <c r="R13" s="3"/>
      <c r="S13" s="3"/>
      <c r="T13" s="3"/>
    </row>
    <row r="14" spans="1:20" x14ac:dyDescent="0.25">
      <c r="A14" s="3" t="s">
        <v>187</v>
      </c>
      <c r="B14" s="3">
        <f>'MSFT - Income Statement FY'!B37/'MSFT - Income Statement FY'!C37-1</f>
        <v>2.691427802448132E-4</v>
      </c>
      <c r="C14" s="3">
        <f>'MSFT - Income Statement FY'!C37/'MSFT - Income Statement FY'!D37-1</f>
        <v>-2.0145044319097583E-3</v>
      </c>
      <c r="D14" s="3">
        <f>'MSFT - Income Statement FY'!D37/'MSFT - Income Statement FY'!E37-1</f>
        <v>-6.6702241195304435E-3</v>
      </c>
      <c r="E14" s="3">
        <f>'MSFT - Income Statement FY'!E37/'MSFT - Income Statement FY'!F37-1</f>
        <v>-6.7576520471710477E-3</v>
      </c>
      <c r="F14" s="3">
        <f>'MSFT - Income Statement FY'!F37/'MSFT - Income Statement FY'!G37-1</f>
        <v>-8.27858081471744E-3</v>
      </c>
      <c r="G14" s="3">
        <f>'MSFT - Income Statement FY'!G37/'MSFT - Income Statement FY'!H37-1</f>
        <v>-8.2106086276554358E-3</v>
      </c>
      <c r="H14" s="3"/>
      <c r="I14" s="3"/>
      <c r="J14" s="3"/>
      <c r="K14" s="3"/>
      <c r="L14" s="3"/>
      <c r="M14" s="3"/>
      <c r="N14" s="3"/>
      <c r="O14" s="3"/>
      <c r="P14" s="3"/>
      <c r="Q14" s="3"/>
      <c r="R14" s="3"/>
      <c r="S14" s="3"/>
      <c r="T14" s="3"/>
    </row>
    <row r="15" spans="1:20" x14ac:dyDescent="0.25">
      <c r="A15" s="3" t="s">
        <v>186</v>
      </c>
      <c r="B15" s="3">
        <f>'MSFT - Income Statement FY'!B38/'MSFT - Income Statement FY'!C38-1</f>
        <v>-5.3554692729951281E-4</v>
      </c>
      <c r="C15" s="3">
        <f>'MSFT - Income Statement FY'!C38/'MSFT - Income Statement FY'!D38-1</f>
        <v>-4.0149892933616371E-4</v>
      </c>
      <c r="D15" s="3">
        <f>'MSFT - Income Statement FY'!D38/'MSFT - Income Statement FY'!E38-1</f>
        <v>-9.0185676392573466E-3</v>
      </c>
      <c r="E15" s="3">
        <f>'MSFT - Income Statement FY'!E38/'MSFT - Income Statement FY'!F38-1</f>
        <v>-8.9379600420610439E-3</v>
      </c>
      <c r="F15" s="3">
        <f>'MSFT - Income Statement FY'!F38/'MSFT - Income Statement FY'!G38-1</f>
        <v>-9.7618117922686487E-3</v>
      </c>
      <c r="G15" s="3">
        <f>'MSFT - Income Statement FY'!G38/'MSFT - Income Statement FY'!H38-1</f>
        <v>-9.0287630594608759E-3</v>
      </c>
      <c r="H15" s="3"/>
      <c r="I15" s="3"/>
      <c r="J15" s="3"/>
      <c r="K15" s="3"/>
      <c r="L15" s="3"/>
      <c r="M15" s="3"/>
      <c r="N15" s="3"/>
      <c r="O15" s="3"/>
      <c r="P15" s="3"/>
      <c r="Q15" s="3"/>
      <c r="R15" s="3"/>
      <c r="S15" s="3"/>
      <c r="T15" s="3"/>
    </row>
    <row r="16" spans="1:20" x14ac:dyDescent="0.25">
      <c r="A16" s="3" t="s">
        <v>185</v>
      </c>
      <c r="B16" s="3">
        <f>(-'MSFT - Cash Flow FY'!B29/'MSFT - Income Statement FY'!B38)/(-'MSFT - Cash Flow FY'!C29/'MSFT - Income Statement FY'!C38)-1</f>
        <v>0.10674309640232194</v>
      </c>
      <c r="C16" s="3">
        <f>(-'MSFT - Cash Flow FY'!C29/'MSFT - Income Statement FY'!C38)/(-'MSFT - Cash Flow FY'!D29/'MSFT - Income Statement FY'!D38)-1</f>
        <v>9.9987098187660717E-2</v>
      </c>
      <c r="D16" s="3">
        <f>(-'MSFT - Cash Flow FY'!D29/'MSFT - Income Statement FY'!D38)/(-'MSFT - Cash Flow FY'!E29/'MSFT - Income Statement FY'!E38)-1</f>
        <v>0.10174759964080948</v>
      </c>
      <c r="E16" s="3">
        <f>(-'MSFT - Cash Flow FY'!E29/'MSFT - Income Statement FY'!E38)/(-'MSFT - Cash Flow FY'!F29/'MSFT - Income Statement FY'!F38)-1</f>
        <v>0.10759347037939193</v>
      </c>
      <c r="F16" s="3">
        <f>(-'MSFT - Cash Flow FY'!F29/'MSFT - Income Statement FY'!F38)/(-'MSFT - Cash Flow FY'!G29/'MSFT - Income Statement FY'!G38)-1</f>
        <v>0.10219097229530738</v>
      </c>
      <c r="G16" s="3">
        <f>(-'MSFT - Cash Flow FY'!G29/'MSFT - Income Statement FY'!G38)/(-'MSFT - Cash Flow FY'!H29/'MSFT - Income Statement FY'!H38)-1</f>
        <v>0.10599620414352806</v>
      </c>
      <c r="H16" s="3"/>
      <c r="I16" s="3"/>
      <c r="J16" s="3"/>
      <c r="K16" s="3"/>
      <c r="L16" s="3"/>
      <c r="M16" s="3"/>
      <c r="N16" s="3"/>
      <c r="O16" s="3"/>
      <c r="P16" s="3"/>
      <c r="Q16" s="3"/>
      <c r="R16" s="3"/>
      <c r="S16" s="3"/>
      <c r="T16" s="3"/>
    </row>
    <row r="17" spans="1:20" x14ac:dyDescent="0.25">
      <c r="A17" s="3" t="s">
        <v>184</v>
      </c>
      <c r="B17" s="3">
        <f>'MSFT - Cash Flow FY'!B17/'MSFT - Cash Flow FY'!C17-1</f>
        <v>0.14858116543509792</v>
      </c>
      <c r="C17" s="3">
        <f>'MSFT - Cash Flow FY'!C17/'MSFT - Cash Flow FY'!D17-1</f>
        <v>0.35356580119202574</v>
      </c>
      <c r="D17" s="3">
        <f>'MSFT - Cash Flow FY'!D17/'MSFT - Cash Flow FY'!E17-1</f>
        <v>-1.6319424945246297E-2</v>
      </c>
      <c r="E17" s="3">
        <f>'MSFT - Cash Flow FY'!E17/'MSFT - Cash Flow FY'!F17-1</f>
        <v>0.16021631482929366</v>
      </c>
      <c r="F17" s="3">
        <f>'MSFT - Cash Flow FY'!F17/'MSFT - Cash Flow FY'!G17-1</f>
        <v>0.26477132262051906</v>
      </c>
      <c r="G17" s="3">
        <f>'MSFT - Cash Flow FY'!G17/'MSFT - Cash Flow FY'!H17-1</f>
        <v>0.16269042828398961</v>
      </c>
      <c r="H17" s="3"/>
      <c r="I17" s="3"/>
      <c r="J17" s="3"/>
      <c r="K17" s="3"/>
      <c r="L17" s="3"/>
      <c r="M17" s="3"/>
      <c r="N17" s="3"/>
      <c r="O17" s="3"/>
      <c r="P17" s="3"/>
      <c r="Q17" s="3"/>
      <c r="R17" s="3"/>
      <c r="S17" s="3"/>
      <c r="T17" s="3"/>
    </row>
    <row r="18" spans="1:20" x14ac:dyDescent="0.25">
      <c r="A18" s="3" t="s">
        <v>183</v>
      </c>
      <c r="B18" s="3">
        <f>'MSFT - Cash Flow FY'!B39/'MSFT - Cash Flow FY'!C39-1</f>
        <v>-3.3211378272198333E-2</v>
      </c>
      <c r="C18" s="3">
        <f>'MSFT - Cash Flow FY'!C39/'MSFT - Cash Flow FY'!D39-1</f>
        <v>0.24541403951240026</v>
      </c>
      <c r="D18" s="3">
        <f>'MSFT - Cash Flow FY'!D39/'MSFT - Cash Flow FY'!E39-1</f>
        <v>-8.7092664507513518E-2</v>
      </c>
      <c r="E18" s="3">
        <f>'MSFT - Cash Flow FY'!E39/'MSFT - Cash Flow FY'!F39-1</f>
        <v>0.16092875726148481</v>
      </c>
      <c r="F18" s="3">
        <f>'MSFT - Cash Flow FY'!F39/'MSFT - Cash Flow FY'!G39-1</f>
        <v>0.24061546624220709</v>
      </c>
      <c r="G18" s="3">
        <f>'MSFT - Cash Flow FY'!G39/'MSFT - Cash Flow FY'!H39-1</f>
        <v>0.18227914270778878</v>
      </c>
      <c r="H18" s="3"/>
      <c r="I18" s="3"/>
      <c r="J18" s="3"/>
      <c r="K18" s="3"/>
      <c r="L18" s="3"/>
      <c r="M18" s="3"/>
      <c r="N18" s="3"/>
      <c r="O18" s="3"/>
      <c r="P18" s="3"/>
      <c r="Q18" s="3"/>
      <c r="R18" s="3"/>
      <c r="S18" s="3"/>
      <c r="T18" s="3"/>
    </row>
    <row r="19" spans="1:20" x14ac:dyDescent="0.25">
      <c r="A19" s="14" t="s">
        <v>182</v>
      </c>
      <c r="B19" s="3"/>
      <c r="C19" s="3"/>
      <c r="D19" s="3"/>
      <c r="E19" s="3"/>
      <c r="F19" s="3"/>
      <c r="G19" s="3"/>
      <c r="H19" s="3"/>
      <c r="I19" s="3"/>
      <c r="J19" s="3"/>
      <c r="K19" s="3"/>
      <c r="L19" s="3"/>
      <c r="M19" s="3"/>
      <c r="N19" s="3"/>
      <c r="O19" s="3"/>
      <c r="P19" s="3"/>
      <c r="Q19" s="3"/>
      <c r="R19" s="3"/>
      <c r="S19" s="3"/>
      <c r="T19" s="3"/>
    </row>
    <row r="20" spans="1:20" x14ac:dyDescent="0.25">
      <c r="A20" s="3" t="s">
        <v>181</v>
      </c>
      <c r="B20" s="3">
        <f>('MSFT - Income Statement FY'!B7/'MSFT - Income Statement FY'!B38)/('MSFT - Income Statement FY'!G7/'MSFT - Income Statement FY'!G38)-1</f>
        <v>1.0274179006745436</v>
      </c>
      <c r="C20" s="3">
        <f>('MSFT - Income Statement FY'!C7/'MSFT - Income Statement FY'!C38)/('MSFT - Income Statement FY'!H7/'MSFT - Income Statement FY'!H38)-1</f>
        <v>1.02190410040971</v>
      </c>
      <c r="D20" s="3"/>
      <c r="E20" s="3"/>
      <c r="F20" s="3"/>
      <c r="G20" s="3"/>
      <c r="H20" s="3"/>
      <c r="I20" s="3"/>
      <c r="J20" s="3"/>
      <c r="K20" s="3"/>
      <c r="L20" s="3"/>
      <c r="M20" s="3"/>
      <c r="N20" s="3"/>
      <c r="O20" s="3"/>
      <c r="P20" s="3"/>
      <c r="Q20" s="3"/>
      <c r="R20" s="3"/>
      <c r="S20" s="3"/>
      <c r="T20" s="3"/>
    </row>
    <row r="21" spans="1:20" x14ac:dyDescent="0.25">
      <c r="A21" s="3" t="s">
        <v>180</v>
      </c>
      <c r="B21" s="3">
        <f>('MSFT - Income Statement FY'!B7/'MSFT - Income Statement FY'!B38)/('MSFT - Income Statement FY'!E7/'MSFT - Income Statement FY'!E38)-1</f>
        <v>0.43518660796330333</v>
      </c>
      <c r="C21" s="3">
        <f>('MSFT - Income Statement FY'!C7/'MSFT - Income Statement FY'!C38)/('MSFT - Income Statement FY'!F7/'MSFT - Income Statement FY'!F38)-1</f>
        <v>0.4854349097109516</v>
      </c>
      <c r="D21" s="3">
        <f>('MSFT - Income Statement FY'!D7/'MSFT - Income Statement FY'!D38)/('MSFT - Income Statement FY'!G7/'MSFT - Income Statement FY'!G38)-1</f>
        <v>0.52361092478357452</v>
      </c>
      <c r="E21" s="3">
        <f>('MSFT - Income Statement FY'!E7/'MSFT - Income Statement FY'!E38)/('MSFT - Income Statement FY'!H7/'MSFT - Income Statement FY'!H38)-1</f>
        <v>0.62004240220926188</v>
      </c>
      <c r="F21" s="3"/>
      <c r="G21" s="3"/>
      <c r="H21" s="3"/>
      <c r="I21" s="3"/>
      <c r="J21" s="3"/>
      <c r="K21" s="3"/>
      <c r="L21" s="3"/>
      <c r="M21" s="3"/>
      <c r="N21" s="3"/>
      <c r="O21" s="3"/>
      <c r="P21" s="3"/>
      <c r="Q21" s="3"/>
      <c r="R21" s="3"/>
      <c r="S21" s="3"/>
      <c r="T21" s="3"/>
    </row>
    <row r="22" spans="1:20" x14ac:dyDescent="0.25">
      <c r="A22" s="3" t="s">
        <v>179</v>
      </c>
      <c r="B22" s="3"/>
      <c r="C22" s="3"/>
      <c r="D22" s="3"/>
      <c r="E22" s="3"/>
      <c r="F22" s="3"/>
      <c r="G22" s="3"/>
      <c r="H22" s="3"/>
      <c r="I22" s="3"/>
      <c r="J22" s="3"/>
      <c r="K22" s="3"/>
      <c r="L22" s="3"/>
      <c r="M22" s="3"/>
      <c r="N22" s="3"/>
      <c r="O22" s="3"/>
      <c r="P22" s="3"/>
      <c r="Q22" s="3"/>
      <c r="R22" s="3"/>
      <c r="S22" s="3"/>
      <c r="T22" s="3"/>
    </row>
    <row r="23" spans="1:20" x14ac:dyDescent="0.25">
      <c r="A23" s="3" t="s">
        <v>178</v>
      </c>
      <c r="B23" s="3">
        <f>('MSFT - Cash Flow FY'!B17/'MSFT - Income Statement FY'!B38)/('MSFT - Cash Flow FY'!G17/'MSFT - Income Statement FY'!G38)-1</f>
        <v>1.30965523990406</v>
      </c>
      <c r="C23" s="3">
        <f>('MSFT - Cash Flow FY'!C17/'MSFT - Income Statement FY'!C38)/('MSFT - Cash Flow FY'!H17/'MSFT - Income Statement FY'!H38)-1</f>
        <v>1.3580655210647241</v>
      </c>
      <c r="D23" s="3"/>
      <c r="E23" s="3"/>
      <c r="F23" s="3"/>
      <c r="G23" s="3"/>
      <c r="H23" s="3"/>
      <c r="I23" s="3"/>
      <c r="J23" s="3"/>
      <c r="K23" s="3"/>
      <c r="L23" s="3"/>
      <c r="M23" s="3"/>
      <c r="N23" s="3"/>
      <c r="O23" s="3"/>
      <c r="P23" s="3"/>
      <c r="Q23" s="3"/>
      <c r="R23" s="3"/>
      <c r="S23" s="3"/>
      <c r="T23" s="3"/>
    </row>
    <row r="24" spans="1:20" x14ac:dyDescent="0.25">
      <c r="A24" s="3" t="s">
        <v>177</v>
      </c>
      <c r="B24" s="3">
        <f>('MSFT - Cash Flow FY'!B17/'MSFT - Income Statement FY'!B38)/('MSFT - Cash Flow FY'!E17/'MSFT - Income Statement FY'!E38)-1</f>
        <v>0.54467348816481342</v>
      </c>
      <c r="C24" s="3">
        <f>('MSFT - Cash Flow FY'!C17/'MSFT - Income Statement FY'!C38)/('MSFT - Cash Flow FY'!F17/'MSFT - Income Statement FY'!F38)-1</f>
        <v>0.57354976017107351</v>
      </c>
      <c r="D24" s="3">
        <f>('MSFT - Cash Flow FY'!D17/'MSFT - Income Statement FY'!D38)/('MSFT - Cash Flow FY'!G17/'MSFT - Income Statement FY'!G38)-1</f>
        <v>0.48422261072569572</v>
      </c>
      <c r="E24" s="3">
        <f>('MSFT - Cash Flow FY'!E17/'MSFT - Income Statement FY'!E38)/('MSFT - Cash Flow FY'!H17/'MSFT - Income Statement FY'!H38)-1</f>
        <v>0.75433898070753713</v>
      </c>
      <c r="F24" s="3"/>
      <c r="G24" s="3"/>
      <c r="H24" s="3"/>
      <c r="I24" s="3"/>
      <c r="J24" s="3"/>
      <c r="K24" s="3"/>
      <c r="L24" s="3"/>
      <c r="M24" s="3"/>
      <c r="N24" s="3"/>
      <c r="O24" s="3"/>
      <c r="P24" s="3"/>
      <c r="Q24" s="3"/>
      <c r="R24" s="3"/>
      <c r="S24" s="3"/>
      <c r="T24" s="3"/>
    </row>
    <row r="25" spans="1:20" x14ac:dyDescent="0.25">
      <c r="A25" s="3" t="s">
        <v>176</v>
      </c>
      <c r="B25" s="3"/>
      <c r="C25" s="3"/>
      <c r="D25" s="3"/>
      <c r="E25" s="3"/>
      <c r="F25" s="3"/>
      <c r="G25" s="3"/>
      <c r="H25" s="3"/>
      <c r="I25" s="3"/>
      <c r="J25" s="3"/>
      <c r="K25" s="3"/>
      <c r="L25" s="3"/>
      <c r="M25" s="3"/>
      <c r="N25" s="3"/>
      <c r="O25" s="3"/>
      <c r="P25" s="3"/>
      <c r="Q25" s="3"/>
      <c r="R25" s="3"/>
      <c r="S25" s="3"/>
      <c r="T25" s="3"/>
    </row>
    <row r="26" spans="1:20" x14ac:dyDescent="0.25">
      <c r="A26" s="3" t="s">
        <v>175</v>
      </c>
      <c r="B26" s="3">
        <f>('MSFT - Income Statement FY'!B32/'MSFT - Income Statement FY'!B38)/('MSFT - Income Statement FY'!G32/'MSFT - Income Statement FY'!G38)-1</f>
        <v>1.3668344099659588</v>
      </c>
      <c r="C26" s="3">
        <f>('MSFT - Income Statement FY'!C32/'MSFT - Income Statement FY'!C38)/('MSFT - Income Statement FY'!H32/'MSFT - Income Statement FY'!H38)-1</f>
        <v>1.3314798278006452</v>
      </c>
      <c r="D26" s="3"/>
      <c r="E26" s="3"/>
      <c r="F26" s="3"/>
      <c r="G26" s="3"/>
      <c r="H26" s="3"/>
      <c r="I26" s="3"/>
      <c r="J26" s="3"/>
      <c r="K26" s="3"/>
      <c r="L26" s="3"/>
      <c r="M26" s="3"/>
      <c r="N26" s="3"/>
      <c r="O26" s="3"/>
      <c r="P26" s="3"/>
      <c r="Q26" s="3"/>
      <c r="R26" s="3"/>
      <c r="S26" s="3"/>
      <c r="T26" s="3"/>
    </row>
    <row r="27" spans="1:20" x14ac:dyDescent="0.25">
      <c r="A27" s="3" t="s">
        <v>174</v>
      </c>
      <c r="B27" s="3">
        <f>('MSFT - Income Statement FY'!B32/'MSFT - Income Statement FY'!B38)/('MSFT - Income Statement FY'!E32/'MSFT - Income Statement FY'!E38)-1</f>
        <v>0.41404897633593696</v>
      </c>
      <c r="C27" s="3">
        <f>('MSFT - Income Statement FY'!C32/'MSFT - Income Statement FY'!C38)/('MSFT - Income Statement FY'!F32/'MSFT - Income Statement FY'!F38)-1</f>
        <v>0.46523205918722232</v>
      </c>
      <c r="D27" s="3">
        <f>('MSFT - Income Statement FY'!D32/'MSFT - Income Statement FY'!D38)/('MSFT - Income Statement FY'!G32/'MSFT - Income Statement FY'!G38)-1</f>
        <v>0.68027787922150096</v>
      </c>
      <c r="E27" s="3">
        <f>('MSFT - Income Statement FY'!E32/'MSFT - Income Statement FY'!E38)/('MSFT - Income Statement FY'!H32/'MSFT - Income Statement FY'!H38)-1</f>
        <v>0.90603466527145748</v>
      </c>
      <c r="F27" s="3"/>
      <c r="G27" s="3"/>
      <c r="H27" s="3"/>
      <c r="I27" s="3"/>
      <c r="J27" s="3"/>
      <c r="K27" s="3"/>
      <c r="L27" s="3"/>
      <c r="M27" s="3"/>
      <c r="N27" s="3"/>
      <c r="O27" s="3"/>
      <c r="P27" s="3"/>
      <c r="Q27" s="3"/>
      <c r="R27" s="3"/>
      <c r="S27" s="3"/>
      <c r="T27" s="3"/>
    </row>
    <row r="28" spans="1:20" x14ac:dyDescent="0.25">
      <c r="A28" s="3" t="s">
        <v>173</v>
      </c>
      <c r="B28" s="3"/>
      <c r="C28" s="3"/>
      <c r="D28" s="3"/>
      <c r="E28" s="3"/>
      <c r="F28" s="3"/>
      <c r="G28" s="3"/>
      <c r="H28" s="3"/>
      <c r="I28" s="3"/>
      <c r="J28" s="3"/>
      <c r="K28" s="3"/>
      <c r="L28" s="3"/>
      <c r="M28" s="3"/>
      <c r="N28" s="3"/>
      <c r="O28" s="3"/>
      <c r="P28" s="3"/>
      <c r="Q28" s="3"/>
      <c r="R28" s="3"/>
      <c r="S28" s="3"/>
      <c r="T28" s="3"/>
    </row>
    <row r="29" spans="1:20" x14ac:dyDescent="0.25">
      <c r="A29" s="3" t="s">
        <v>172</v>
      </c>
      <c r="B29" s="3">
        <f>('MSFT - Balance Sheet FY'!B47/'MSFT - Income Statement FY'!B38)/('MSFT - Balance Sheet FY'!G47/'MSFT - Income Statement FY'!G38)-1</f>
        <v>1.9881457859606666</v>
      </c>
      <c r="C29" s="3">
        <f>('MSFT - Balance Sheet FY'!C47/'MSFT - Income Statement FY'!C38)/('MSFT - Balance Sheet FY'!H47/'MSFT - Income Statement FY'!H38)-1</f>
        <v>1.7234000224806194</v>
      </c>
      <c r="D29" s="3"/>
      <c r="E29" s="3"/>
      <c r="F29" s="3"/>
      <c r="G29" s="3"/>
      <c r="H29" s="3"/>
      <c r="I29" s="3"/>
      <c r="J29" s="3"/>
      <c r="K29" s="3"/>
      <c r="L29" s="3"/>
      <c r="M29" s="3"/>
      <c r="N29" s="3"/>
      <c r="O29" s="3"/>
      <c r="P29" s="3"/>
      <c r="Q29" s="3"/>
      <c r="R29" s="3"/>
      <c r="S29" s="3"/>
      <c r="T29" s="3"/>
    </row>
    <row r="30" spans="1:20" x14ac:dyDescent="0.25">
      <c r="A30" s="3" t="s">
        <v>171</v>
      </c>
      <c r="B30" s="3">
        <f>('MSFT - Balance Sheet FY'!B47/'MSFT - Income Statement FY'!B38)/('MSFT - Balance Sheet FY'!E47/'MSFT - Income Statement FY'!E38)-1</f>
        <v>1.0831375519256792</v>
      </c>
      <c r="C30" s="3">
        <f>('MSFT - Balance Sheet FY'!C47/'MSFT - Income Statement FY'!C38)/('MSFT - Balance Sheet FY'!F47/'MSFT - Income Statement FY'!F38)-1</f>
        <v>0.92603195781277581</v>
      </c>
      <c r="D30" s="3">
        <f>('MSFT - Balance Sheet FY'!D47/'MSFT - Income Statement FY'!D38)/('MSFT - Balance Sheet FY'!G47/'MSFT - Income Statement FY'!G38)-1</f>
        <v>0.79238640618420586</v>
      </c>
      <c r="E30" s="3">
        <f>('MSFT - Balance Sheet FY'!E47/'MSFT - Income Statement FY'!E38)/('MSFT - Balance Sheet FY'!H47/'MSFT - Income Statement FY'!H38)-1</f>
        <v>0.67347504212848563</v>
      </c>
      <c r="F30" s="3"/>
      <c r="G30" s="3"/>
      <c r="H30" s="3"/>
      <c r="I30" s="3"/>
      <c r="J30" s="3"/>
      <c r="K30" s="3"/>
      <c r="L30" s="3"/>
      <c r="M30" s="3"/>
      <c r="N30" s="3"/>
      <c r="O30" s="3"/>
      <c r="P30" s="3"/>
      <c r="Q30" s="3"/>
      <c r="R30" s="3"/>
      <c r="S30" s="3"/>
      <c r="T30" s="3"/>
    </row>
    <row r="31" spans="1:20" x14ac:dyDescent="0.25">
      <c r="A31" s="3" t="s">
        <v>170</v>
      </c>
      <c r="B31" s="3"/>
      <c r="C31" s="3"/>
      <c r="D31" s="3"/>
      <c r="E31" s="3"/>
      <c r="F31" s="3"/>
      <c r="G31" s="3"/>
      <c r="H31" s="3"/>
      <c r="I31" s="3"/>
      <c r="J31" s="3"/>
      <c r="K31" s="3"/>
      <c r="L31" s="3"/>
      <c r="M31" s="3"/>
      <c r="N31" s="3"/>
      <c r="O31" s="3"/>
      <c r="P31" s="3"/>
      <c r="Q31" s="3"/>
      <c r="R31" s="3"/>
      <c r="S31" s="3"/>
      <c r="T31" s="3"/>
    </row>
    <row r="32" spans="1:20" x14ac:dyDescent="0.25">
      <c r="A32" s="3" t="s">
        <v>169</v>
      </c>
      <c r="B32" s="3">
        <f>(-'MSFT - Cash Flow FY'!B29/'MSFT - Income Statement FY'!B38)/(-'MSFT - Cash Flow FY'!G29/'MSFT - Income Statement FY'!G38)-1</f>
        <v>0.63739614003664946</v>
      </c>
      <c r="C32" s="3">
        <f>(-'MSFT - Cash Flow FY'!C29/'MSFT - Income Statement FY'!C38)/(-'MSFT - Cash Flow FY'!H29/'MSFT - Income Statement FY'!H38)-1</f>
        <v>0.63629113336839227</v>
      </c>
      <c r="D32" s="3"/>
      <c r="E32" s="3"/>
      <c r="F32" s="3"/>
      <c r="G32" s="3"/>
      <c r="H32" s="3"/>
      <c r="I32" s="3"/>
      <c r="J32" s="3"/>
      <c r="K32" s="3"/>
      <c r="L32" s="3"/>
      <c r="M32" s="3"/>
      <c r="N32" s="3"/>
      <c r="O32" s="3"/>
      <c r="P32" s="3"/>
      <c r="Q32" s="3"/>
      <c r="R32" s="3"/>
      <c r="S32" s="3"/>
      <c r="T32" s="3"/>
    </row>
    <row r="33" spans="1:20" x14ac:dyDescent="0.25">
      <c r="A33" s="3" t="s">
        <v>168</v>
      </c>
      <c r="B33" s="3">
        <f>(-'MSFT - Cash Flow FY'!B29/'MSFT - Income Statement FY'!B38)/(-'MSFT - Cash Flow FY'!E29/'MSFT - Income Statement FY'!E38)-1</f>
        <v>0.34127097302345222</v>
      </c>
      <c r="C33" s="3">
        <f>(-'MSFT - Cash Flow FY'!C29/'MSFT - Income Statement FY'!C38)/(-'MSFT - Cash Flow FY'!F29/'MSFT - Income Statement FY'!F38)-1</f>
        <v>0.34230154817261393</v>
      </c>
      <c r="D33" s="3">
        <f>(-'MSFT - Cash Flow FY'!D29/'MSFT - Income Statement FY'!D38)/(-'MSFT - Cash Flow FY'!G29/'MSFT - Income Statement FY'!G38)-1</f>
        <v>0.34499091028562945</v>
      </c>
      <c r="E33" s="3">
        <f>(-'MSFT - Cash Flow FY'!E29/'MSFT - Income Statement FY'!E38)/(-'MSFT - Cash Flow FY'!H29/'MSFT - Income Statement FY'!H38)-1</f>
        <v>0.35017751966823063</v>
      </c>
      <c r="F33" s="3"/>
      <c r="G33" s="3"/>
      <c r="H33" s="3"/>
      <c r="I33" s="3"/>
      <c r="J33" s="3"/>
      <c r="K33" s="3"/>
      <c r="L33" s="3"/>
      <c r="M33" s="3"/>
      <c r="N33" s="3"/>
      <c r="O33" s="3"/>
      <c r="P33" s="3"/>
      <c r="Q33" s="3"/>
      <c r="R33" s="3"/>
      <c r="S33" s="3"/>
      <c r="T33" s="3"/>
    </row>
    <row r="34" spans="1:20" x14ac:dyDescent="0.25">
      <c r="A34" s="3" t="s">
        <v>167</v>
      </c>
      <c r="B34" s="3">
        <f>'MSFT - Balance Sheet FY'!B10/'MSFT - Balance Sheet FY'!C10-1</f>
        <v>0.22804089663410854</v>
      </c>
      <c r="C34" s="3">
        <f>'MSFT - Balance Sheet FY'!C10/'MSFT - Balance Sheet FY'!D10-1</f>
        <v>0.16915872494249107</v>
      </c>
      <c r="D34" s="3">
        <f>'MSFT - Balance Sheet FY'!D10/'MSFT - Balance Sheet FY'!E10-1</f>
        <v>0.10002033392828902</v>
      </c>
      <c r="E34" s="3">
        <f>'MSFT - Balance Sheet FY'!E10/'MSFT - Balance Sheet FY'!F10-1</f>
        <v>0.1634466261861578</v>
      </c>
      <c r="F34" s="3">
        <f>'MSFT - Balance Sheet FY'!F10/'MSFT - Balance Sheet FY'!G10-1</f>
        <v>0.18843522539127178</v>
      </c>
      <c r="G34" s="3">
        <f>'MSFT - Balance Sheet FY'!G10/'MSFT - Balance Sheet FY'!H10-1</f>
        <v>8.4236553312559304E-2</v>
      </c>
      <c r="H34" s="3"/>
      <c r="I34" s="3"/>
      <c r="J34" s="3"/>
      <c r="K34" s="3"/>
      <c r="L34" s="3"/>
      <c r="M34" s="3"/>
      <c r="N34" s="3"/>
      <c r="O34" s="3"/>
      <c r="P34" s="3"/>
      <c r="Q34" s="3"/>
      <c r="R34" s="3"/>
      <c r="S34" s="3"/>
      <c r="T34" s="3"/>
    </row>
    <row r="35" spans="1:20" x14ac:dyDescent="0.25">
      <c r="A35" s="3" t="s">
        <v>165</v>
      </c>
      <c r="B35" s="3">
        <f>'MSFT - Balance Sheet FY'!B25/'MSFT - Balance Sheet FY'!C25-1</f>
        <v>0.20860546349502007</v>
      </c>
      <c r="C35" s="3">
        <f>'MSFT - Balance Sheet FY'!C25/'MSFT - Balance Sheet FY'!D25-1</f>
        <v>0.24318649630075528</v>
      </c>
      <c r="D35" s="3">
        <f>'MSFT - Balance Sheet FY'!D25/'MSFT - Balance Sheet FY'!E25-1</f>
        <v>0.12919636004824042</v>
      </c>
      <c r="E35" s="3">
        <f>'MSFT - Balance Sheet FY'!E25/'MSFT - Balance Sheet FY'!F25-1</f>
        <v>9.3058580677634062E-2</v>
      </c>
      <c r="F35" s="3">
        <f>'MSFT - Balance Sheet FY'!F25/'MSFT - Balance Sheet FY'!G25-1</f>
        <v>0.10775577393457247</v>
      </c>
      <c r="G35" s="3">
        <f>'MSFT - Balance Sheet FY'!G25/'MSFT - Balance Sheet FY'!H25-1</f>
        <v>5.1490808079398098E-2</v>
      </c>
      <c r="H35" s="3"/>
      <c r="I35" s="3"/>
      <c r="J35" s="3"/>
      <c r="K35" s="3"/>
      <c r="L35" s="3"/>
      <c r="M35" s="3"/>
      <c r="N35" s="3"/>
      <c r="O35" s="3"/>
      <c r="P35" s="3"/>
      <c r="Q35" s="3"/>
      <c r="R35" s="3"/>
      <c r="S35" s="3"/>
      <c r="T35" s="3"/>
    </row>
    <row r="36" spans="1:20" x14ac:dyDescent="0.25">
      <c r="A36" s="3" t="s">
        <v>166</v>
      </c>
      <c r="B36" s="3">
        <f>'MSFT - Balance Sheet FY'!B11/'MSFT - Balance Sheet FY'!C11-1</f>
        <v>-0.2471910112359551</v>
      </c>
      <c r="C36" s="3">
        <f>'MSFT - Balance Sheet FY'!C11/'MSFT - Balance Sheet FY'!D11-1</f>
        <v>-0.50160000000000005</v>
      </c>
      <c r="D36" s="3">
        <f>'MSFT - Balance Sheet FY'!D11/'MSFT - Balance Sheet FY'!E11-1</f>
        <v>-0.33190807055050775</v>
      </c>
      <c r="E36" s="3">
        <f>'MSFT - Balance Sheet FY'!E11/'MSFT - Balance Sheet FY'!F11-1</f>
        <v>0.4195751138088013</v>
      </c>
      <c r="F36" s="3">
        <f>'MSFT - Balance Sheet FY'!F11/'MSFT - Balance Sheet FY'!G11-1</f>
        <v>0.39102902374670179</v>
      </c>
      <c r="G36" s="3">
        <f>'MSFT - Balance Sheet FY'!G11/'MSFT - Balance Sheet FY'!H11-1</f>
        <v>-8.1434803683955392E-2</v>
      </c>
      <c r="H36" s="3"/>
      <c r="I36" s="3"/>
      <c r="J36" s="3"/>
      <c r="K36" s="3"/>
      <c r="L36" s="3"/>
      <c r="M36" s="3"/>
      <c r="N36" s="3"/>
      <c r="O36" s="3"/>
      <c r="P36" s="3"/>
      <c r="Q36" s="3"/>
      <c r="R36" s="3"/>
      <c r="S36" s="3"/>
      <c r="T36" s="3"/>
    </row>
    <row r="37" spans="1:20" x14ac:dyDescent="0.25">
      <c r="A37" s="3" t="s">
        <v>164</v>
      </c>
      <c r="B37" s="3">
        <f>('MSFT - Balance Sheet FY'!B47/'MSFT - Income Statement FY'!B38)/('MSFT - Balance Sheet FY'!C47/'MSFT - Income Statement FY'!C38)-1</f>
        <v>0.28004651306896466</v>
      </c>
      <c r="C37" s="3">
        <f>('MSFT - Balance Sheet FY'!C47/'MSFT - Income Statement FY'!C38)/('MSFT - Balance Sheet FY'!D47/'MSFT - Income Statement FY'!D38)-1</f>
        <v>0.30240000642169118</v>
      </c>
      <c r="D37" s="3">
        <f>('MSFT - Balance Sheet FY'!D47/'MSFT - Income Statement FY'!D38)/('MSFT - Balance Sheet FY'!E47/'MSFT - Income Statement FY'!E38)-1</f>
        <v>0.24953322151350377</v>
      </c>
      <c r="E37" s="3">
        <f>('MSFT - Balance Sheet FY'!E47/'MSFT - Income Statement FY'!E38)/('MSFT - Balance Sheet FY'!F47/'MSFT - Income Statement FY'!F38)-1</f>
        <v>0.18350825627360878</v>
      </c>
      <c r="F37" s="3">
        <f>('MSFT - Balance Sheet FY'!F47/'MSFT - Income Statement FY'!F38)/('MSFT - Balance Sheet FY'!G47/'MSFT - Income Statement FY'!G38)-1</f>
        <v>0.21202769115806253</v>
      </c>
      <c r="G37" s="3">
        <f>('MSFT - Balance Sheet FY'!G47/'MSFT - Income Statement FY'!G38)/('MSFT - Balance Sheet FY'!H47/'MSFT - Income Statement FY'!H38)-1</f>
        <v>0.16663608544370545</v>
      </c>
      <c r="H37" s="3"/>
      <c r="I37" s="3"/>
      <c r="J37" s="3"/>
      <c r="K37" s="3"/>
      <c r="L37" s="3"/>
      <c r="M37" s="3"/>
      <c r="N37" s="3"/>
      <c r="O37" s="3"/>
      <c r="P37" s="3"/>
      <c r="Q37" s="3"/>
      <c r="R37" s="3"/>
      <c r="S37" s="3"/>
      <c r="T37" s="3"/>
    </row>
    <row r="38" spans="1:20" x14ac:dyDescent="0.25">
      <c r="A38" s="3" t="s">
        <v>163</v>
      </c>
      <c r="B38" s="3">
        <f>'MSFT - Balance Sheet FY'!B51/'MSFT - Balance Sheet FY'!C51-1</f>
        <v>-0.16422622506294793</v>
      </c>
      <c r="C38" s="3">
        <f>'MSFT - Balance Sheet FY'!C51/'MSFT - Balance Sheet FY'!D51-1</f>
        <v>9.2999132036327481E-2</v>
      </c>
      <c r="D38" s="3">
        <f>'MSFT - Balance Sheet FY'!D51/'MSFT - Balance Sheet FY'!E51-1</f>
        <v>-5.1103834796408232E-2</v>
      </c>
      <c r="E38" s="3">
        <f>'MSFT - Balance Sheet FY'!E51/'MSFT - Balance Sheet FY'!F51-1</f>
        <v>-0.143862002545317</v>
      </c>
      <c r="F38" s="3">
        <f>'MSFT - Balance Sheet FY'!F51/'MSFT - Balance Sheet FY'!G51-1</f>
        <v>-8.1813444502344956E-2</v>
      </c>
      <c r="G38" s="3">
        <f>'MSFT - Balance Sheet FY'!G51/'MSFT - Balance Sheet FY'!H51-1</f>
        <v>-0.12262739338856721</v>
      </c>
      <c r="H38" s="3"/>
      <c r="I38" s="3"/>
      <c r="J38" s="3"/>
      <c r="K38" s="3"/>
      <c r="L38" s="3"/>
      <c r="M38" s="3"/>
      <c r="N38" s="3"/>
      <c r="O38" s="3"/>
      <c r="P38" s="3"/>
      <c r="Q38" s="3"/>
      <c r="R38" s="3"/>
      <c r="S38" s="3"/>
      <c r="T38" s="3"/>
    </row>
    <row r="39" spans="1:20" x14ac:dyDescent="0.25">
      <c r="A39" s="3" t="s">
        <v>162</v>
      </c>
      <c r="B39" s="3">
        <f>'MSFT - Income Statement FY'!B13/'MSFT - Income Statement FY'!C13-1</f>
        <v>0.10091494408675028</v>
      </c>
      <c r="C39" s="3">
        <f>'MSFT - Income Statement FY'!C13/'MSFT - Income Statement FY'!D13-1</f>
        <v>8.5125942268799326E-2</v>
      </c>
      <c r="D39" s="3">
        <f>'MSFT - Income Statement FY'!D13/'MSFT - Income Statement FY'!E13-1</f>
        <v>0.10945659268929497</v>
      </c>
      <c r="E39" s="3">
        <f>'MSFT - Income Statement FY'!E13/'MSFT - Income Statement FY'!F13-1</f>
        <v>0.1832400077234988</v>
      </c>
      <c r="F39" s="3">
        <f>'MSFT - Income Statement FY'!F13/'MSFT - Income Statement FY'!G13-1</f>
        <v>7.5094711713114437E-2</v>
      </c>
      <c r="G39" s="3">
        <f>'MSFT - Income Statement FY'!G13/'MSFT - Income Statement FY'!H13-1</f>
        <v>0.14179900450343674</v>
      </c>
      <c r="H39" s="3"/>
      <c r="I39" s="3"/>
      <c r="J39" s="3"/>
      <c r="K39" s="3"/>
      <c r="L39" s="3"/>
      <c r="M39" s="3"/>
      <c r="N39" s="3"/>
      <c r="O39" s="3"/>
      <c r="P39" s="3"/>
      <c r="Q39" s="3"/>
      <c r="R39" s="3"/>
      <c r="S39" s="3"/>
      <c r="T39" s="3"/>
    </row>
    <row r="40" spans="1:20" x14ac:dyDescent="0.25">
      <c r="A40" s="3" t="s">
        <v>161</v>
      </c>
      <c r="B40" s="3">
        <f>'MSFT - Income Statement FY'!B14/'MSFT - Income Statement FY'!C14-1</f>
        <v>2.5323561515671278E-2</v>
      </c>
      <c r="C40" s="3">
        <f>'MSFT - Income Statement FY'!C14/'MSFT - Income Statement FY'!D14-1</f>
        <v>5.7064679897145032E-2</v>
      </c>
      <c r="D40" s="3">
        <f>'MSFT - Income Statement FY'!D14/'MSFT - Income Statement FY'!E14-1</f>
        <v>9.4102795311091114E-2</v>
      </c>
      <c r="E40" s="3">
        <f>'MSFT - Income Statement FY'!E14/'MSFT - Income Statement FY'!F14-1</f>
        <v>9.9151601649222876E-2</v>
      </c>
      <c r="F40" s="3">
        <f>'MSFT - Income Statement FY'!F14/'MSFT - Income Statement FY'!G14-1</f>
        <v>2.0842607956615078E-2</v>
      </c>
      <c r="G40" s="3">
        <f>'MSFT - Income Statement FY'!G14/'MSFT - Income Statement FY'!H14-1</f>
        <v>6.9746298380812144E-2</v>
      </c>
      <c r="H40" s="3"/>
      <c r="I40" s="3"/>
      <c r="J40" s="3"/>
      <c r="K40" s="3"/>
      <c r="L40" s="3"/>
      <c r="M40" s="3"/>
      <c r="N40" s="3"/>
      <c r="O40" s="3"/>
      <c r="P40" s="3"/>
      <c r="Q40" s="3"/>
      <c r="R40" s="3"/>
      <c r="S40" s="3"/>
      <c r="T40" s="3"/>
    </row>
  </sheetData>
  <mergeCells count="1">
    <mergeCell ref="B4:T4"/>
  </mergeCells>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8AE64D-CA8B-4418-88BC-F996F021E476}">
  <sheetPr>
    <tabColor rgb="FFC6E0B4"/>
  </sheetPr>
  <dimension ref="A1:T38"/>
  <sheetViews>
    <sheetView topLeftCell="A4" workbookViewId="0"/>
  </sheetViews>
  <sheetFormatPr defaultRowHeight="15" x14ac:dyDescent="0.25"/>
  <cols>
    <col min="1" max="1" width="40.7109375" bestFit="1" customWidth="1"/>
    <col min="2" max="12" width="18.28515625" bestFit="1" customWidth="1"/>
    <col min="13" max="20" width="17.28515625" bestFit="1" customWidth="1"/>
  </cols>
  <sheetData>
    <row r="1" spans="1:20" x14ac:dyDescent="0.25">
      <c r="A1" s="10" t="s">
        <v>203</v>
      </c>
      <c r="B1" s="10"/>
      <c r="C1" s="10"/>
      <c r="D1" s="10"/>
      <c r="E1" s="10"/>
      <c r="F1" s="10"/>
      <c r="G1" s="10"/>
      <c r="H1" s="10"/>
      <c r="I1" s="10"/>
      <c r="J1" s="10"/>
      <c r="K1" s="10"/>
      <c r="L1" s="10"/>
      <c r="M1" s="10"/>
      <c r="N1" s="10"/>
      <c r="O1" s="10"/>
      <c r="P1" s="10"/>
      <c r="Q1" s="10"/>
      <c r="R1" s="10"/>
      <c r="S1" s="10"/>
      <c r="T1" s="10"/>
    </row>
    <row r="2" spans="1:20" x14ac:dyDescent="0.25">
      <c r="A2" t="s">
        <v>1</v>
      </c>
      <c r="B2" t="s">
        <v>204</v>
      </c>
    </row>
    <row r="3" spans="1:20" x14ac:dyDescent="0.25">
      <c r="A3" t="s">
        <v>3</v>
      </c>
      <c r="B3" t="s">
        <v>4</v>
      </c>
    </row>
    <row r="4" spans="1:20" x14ac:dyDescent="0.25">
      <c r="A4" t="s">
        <v>32</v>
      </c>
      <c r="B4" s="236" t="s">
        <v>33</v>
      </c>
      <c r="C4" s="236"/>
      <c r="D4" s="236"/>
      <c r="E4" s="236"/>
      <c r="F4" s="236"/>
      <c r="G4" s="236"/>
      <c r="H4" s="236"/>
      <c r="I4" s="236"/>
      <c r="J4" s="236"/>
      <c r="K4" s="236"/>
      <c r="L4" s="236"/>
      <c r="M4" s="236"/>
      <c r="N4" s="236"/>
      <c r="O4" s="236"/>
      <c r="P4" s="236"/>
      <c r="Q4" s="236"/>
      <c r="R4" s="236"/>
      <c r="S4" s="236"/>
      <c r="T4" s="236"/>
    </row>
    <row r="5" spans="1:20" x14ac:dyDescent="0.25">
      <c r="A5" t="s">
        <v>34</v>
      </c>
      <c r="B5" s="8">
        <v>46022</v>
      </c>
      <c r="C5" s="8">
        <v>45657</v>
      </c>
      <c r="D5" s="8">
        <v>45291</v>
      </c>
      <c r="E5" s="8">
        <v>44926</v>
      </c>
      <c r="F5" s="8">
        <v>44561</v>
      </c>
      <c r="G5" s="8">
        <v>44196</v>
      </c>
      <c r="H5" s="8">
        <v>43830</v>
      </c>
      <c r="I5" s="8"/>
      <c r="J5" s="8"/>
      <c r="K5" s="8"/>
      <c r="L5" s="8"/>
      <c r="M5" s="8"/>
      <c r="N5" s="8"/>
      <c r="O5" s="8"/>
      <c r="P5" s="8"/>
      <c r="Q5" s="8"/>
      <c r="R5" s="8"/>
      <c r="S5" s="8"/>
      <c r="T5" s="8"/>
    </row>
    <row r="7" spans="1:20" x14ac:dyDescent="0.25">
      <c r="A7" s="1" t="s">
        <v>31</v>
      </c>
      <c r="B7" s="1">
        <v>402836</v>
      </c>
      <c r="C7" s="1">
        <v>350018</v>
      </c>
      <c r="D7" s="1">
        <v>307394</v>
      </c>
      <c r="E7" s="1">
        <v>282836</v>
      </c>
      <c r="F7" s="1">
        <v>257637</v>
      </c>
      <c r="G7" s="1">
        <v>182527</v>
      </c>
      <c r="H7" s="1">
        <v>161857</v>
      </c>
      <c r="I7" s="1"/>
      <c r="J7" s="1"/>
      <c r="K7" s="1"/>
      <c r="L7" s="1"/>
      <c r="M7" s="1"/>
      <c r="N7" s="1"/>
      <c r="O7" s="1"/>
      <c r="P7" s="1"/>
      <c r="Q7" s="1"/>
      <c r="R7" s="1"/>
      <c r="S7" s="1"/>
      <c r="T7" s="1"/>
    </row>
    <row r="9" spans="1:20" x14ac:dyDescent="0.25">
      <c r="A9" s="1" t="s">
        <v>30</v>
      </c>
      <c r="B9" s="1">
        <v>162535</v>
      </c>
      <c r="C9" s="1">
        <v>146306</v>
      </c>
      <c r="D9" s="1">
        <v>133332</v>
      </c>
      <c r="E9" s="1">
        <v>126203</v>
      </c>
      <c r="F9" s="1">
        <v>110939</v>
      </c>
      <c r="G9" s="1">
        <v>84732</v>
      </c>
      <c r="H9" s="1">
        <v>71896</v>
      </c>
      <c r="I9" s="1"/>
      <c r="J9" s="1"/>
      <c r="K9" s="1"/>
      <c r="L9" s="1"/>
      <c r="M9" s="1"/>
      <c r="N9" s="1"/>
      <c r="O9" s="1"/>
      <c r="P9" s="1"/>
      <c r="Q9" s="1"/>
      <c r="R9" s="1"/>
      <c r="S9" s="1"/>
      <c r="T9" s="1"/>
    </row>
    <row r="10" spans="1:20" x14ac:dyDescent="0.25">
      <c r="A10" s="6" t="s">
        <v>29</v>
      </c>
      <c r="B10" s="4">
        <f t="shared" ref="B10:H10" si="0">B7-B9</f>
        <v>240301</v>
      </c>
      <c r="C10" s="4">
        <f t="shared" si="0"/>
        <v>203712</v>
      </c>
      <c r="D10" s="4">
        <f t="shared" si="0"/>
        <v>174062</v>
      </c>
      <c r="E10" s="4">
        <f t="shared" si="0"/>
        <v>156633</v>
      </c>
      <c r="F10" s="4">
        <f t="shared" si="0"/>
        <v>146698</v>
      </c>
      <c r="G10" s="4">
        <f t="shared" si="0"/>
        <v>97795</v>
      </c>
      <c r="H10" s="4">
        <f t="shared" si="0"/>
        <v>89961</v>
      </c>
      <c r="I10" s="4"/>
      <c r="J10" s="4"/>
      <c r="K10" s="4"/>
      <c r="L10" s="4"/>
      <c r="M10" s="4"/>
      <c r="N10" s="4"/>
      <c r="O10" s="4"/>
      <c r="P10" s="4"/>
      <c r="Q10" s="4"/>
      <c r="R10" s="4"/>
      <c r="S10" s="4"/>
      <c r="T10" s="4"/>
    </row>
    <row r="11" spans="1:20" x14ac:dyDescent="0.25">
      <c r="A11" s="3" t="s">
        <v>28</v>
      </c>
      <c r="B11" s="3">
        <f t="shared" ref="B11:H11" si="1">B10/B7</f>
        <v>0.59652315086039975</v>
      </c>
      <c r="C11" s="3">
        <f t="shared" si="1"/>
        <v>0.58200435406179107</v>
      </c>
      <c r="D11" s="3">
        <f t="shared" si="1"/>
        <v>0.56625047984020505</v>
      </c>
      <c r="E11" s="3">
        <f t="shared" si="1"/>
        <v>0.55379442503783116</v>
      </c>
      <c r="F11" s="3">
        <f t="shared" si="1"/>
        <v>0.5693980290098084</v>
      </c>
      <c r="G11" s="3">
        <f t="shared" si="1"/>
        <v>0.53578374706207854</v>
      </c>
      <c r="H11" s="3">
        <f t="shared" si="1"/>
        <v>0.5558054331910266</v>
      </c>
      <c r="I11" s="3"/>
      <c r="J11" s="3"/>
      <c r="K11" s="3"/>
      <c r="L11" s="3"/>
      <c r="M11" s="3"/>
      <c r="N11" s="3"/>
      <c r="O11" s="3"/>
      <c r="P11" s="3"/>
      <c r="Q11" s="3"/>
      <c r="R11" s="3"/>
      <c r="S11" s="3"/>
      <c r="T11" s="3"/>
    </row>
    <row r="13" spans="1:20" x14ac:dyDescent="0.25">
      <c r="A13" s="1" t="s">
        <v>27</v>
      </c>
      <c r="B13" s="1">
        <v>61087</v>
      </c>
      <c r="C13" s="1">
        <v>49326</v>
      </c>
      <c r="D13" s="1">
        <v>45427</v>
      </c>
      <c r="E13" s="1">
        <v>39500</v>
      </c>
      <c r="F13" s="1">
        <v>31562</v>
      </c>
      <c r="G13" s="1">
        <v>27573</v>
      </c>
      <c r="H13" s="1">
        <v>26018</v>
      </c>
      <c r="I13" s="1"/>
      <c r="J13" s="1"/>
      <c r="K13" s="1"/>
      <c r="L13" s="1"/>
      <c r="M13" s="1"/>
      <c r="N13" s="1"/>
      <c r="O13" s="1"/>
      <c r="P13" s="1"/>
      <c r="Q13" s="1"/>
      <c r="R13" s="1"/>
      <c r="S13" s="1"/>
      <c r="T13" s="1"/>
    </row>
    <row r="14" spans="1:20" x14ac:dyDescent="0.25">
      <c r="A14" s="1" t="s">
        <v>24</v>
      </c>
      <c r="B14" s="1">
        <f t="shared" ref="B14:H14" si="2">B16+B15</f>
        <v>50175</v>
      </c>
      <c r="C14" s="1">
        <f t="shared" si="2"/>
        <v>41996</v>
      </c>
      <c r="D14" s="1">
        <f t="shared" si="2"/>
        <v>44342</v>
      </c>
      <c r="E14" s="1">
        <f t="shared" si="2"/>
        <v>42291</v>
      </c>
      <c r="F14" s="1">
        <f t="shared" si="2"/>
        <v>36422</v>
      </c>
      <c r="G14" s="1">
        <f t="shared" si="2"/>
        <v>28998</v>
      </c>
      <c r="H14" s="1">
        <f t="shared" si="2"/>
        <v>28015</v>
      </c>
      <c r="I14" s="1"/>
      <c r="J14" s="1"/>
      <c r="K14" s="1"/>
      <c r="L14" s="1"/>
      <c r="M14" s="1"/>
      <c r="N14" s="1"/>
      <c r="O14" s="1"/>
      <c r="P14" s="1"/>
      <c r="Q14" s="1"/>
      <c r="R14" s="1"/>
      <c r="S14" s="1"/>
      <c r="T14" s="1"/>
    </row>
    <row r="15" spans="1:20" x14ac:dyDescent="0.25">
      <c r="A15" s="1" t="s">
        <v>26</v>
      </c>
      <c r="B15" s="1">
        <v>21482</v>
      </c>
      <c r="C15" s="1">
        <v>14188</v>
      </c>
      <c r="D15" s="1">
        <v>16425</v>
      </c>
      <c r="E15" s="1">
        <v>15724</v>
      </c>
      <c r="F15" s="1">
        <v>13510</v>
      </c>
      <c r="G15" s="1">
        <v>11052</v>
      </c>
      <c r="H15" s="1">
        <v>9551</v>
      </c>
      <c r="I15" s="1"/>
      <c r="J15" s="1"/>
      <c r="K15" s="1"/>
      <c r="L15" s="1"/>
      <c r="M15" s="1"/>
      <c r="N15" s="1"/>
      <c r="O15" s="1"/>
      <c r="P15" s="1"/>
      <c r="Q15" s="1"/>
      <c r="R15" s="1"/>
      <c r="S15" s="1"/>
      <c r="T15" s="1"/>
    </row>
    <row r="16" spans="1:20" x14ac:dyDescent="0.25">
      <c r="A16" s="1" t="s">
        <v>25</v>
      </c>
      <c r="B16" s="1">
        <v>28693</v>
      </c>
      <c r="C16" s="1">
        <v>27808</v>
      </c>
      <c r="D16" s="1">
        <v>27917</v>
      </c>
      <c r="E16" s="1">
        <v>26567</v>
      </c>
      <c r="F16" s="1">
        <v>22912</v>
      </c>
      <c r="G16" s="1">
        <v>17946</v>
      </c>
      <c r="H16" s="1">
        <v>18464</v>
      </c>
      <c r="I16" s="1"/>
      <c r="J16" s="1"/>
      <c r="K16" s="1"/>
      <c r="L16" s="1"/>
      <c r="M16" s="1"/>
      <c r="N16" s="1"/>
      <c r="O16" s="1"/>
      <c r="P16" s="1"/>
      <c r="Q16" s="1"/>
      <c r="R16" s="1"/>
      <c r="S16" s="1"/>
      <c r="T16" s="1"/>
    </row>
    <row r="17" spans="1:20" x14ac:dyDescent="0.25">
      <c r="A17" s="1" t="s">
        <v>23</v>
      </c>
      <c r="B17" s="1">
        <v>0</v>
      </c>
      <c r="C17" s="1">
        <v>0</v>
      </c>
      <c r="D17" s="1">
        <v>0</v>
      </c>
      <c r="E17" s="1">
        <v>0</v>
      </c>
      <c r="F17" s="1">
        <v>0</v>
      </c>
      <c r="G17" s="1">
        <v>0</v>
      </c>
      <c r="H17" s="1">
        <v>0</v>
      </c>
      <c r="I17" s="1"/>
      <c r="J17" s="1"/>
      <c r="K17" s="1"/>
      <c r="L17" s="1"/>
      <c r="M17" s="1"/>
      <c r="N17" s="1"/>
      <c r="O17" s="1"/>
      <c r="P17" s="1"/>
      <c r="Q17" s="1"/>
      <c r="R17" s="1"/>
      <c r="S17" s="1"/>
      <c r="T17" s="1"/>
    </row>
    <row r="18" spans="1:20" x14ac:dyDescent="0.25">
      <c r="A18" s="6" t="s">
        <v>22</v>
      </c>
      <c r="B18" s="4">
        <f t="shared" ref="B18:H18" si="3">B13+B14+B17</f>
        <v>111262</v>
      </c>
      <c r="C18" s="4">
        <f t="shared" si="3"/>
        <v>91322</v>
      </c>
      <c r="D18" s="4">
        <f t="shared" si="3"/>
        <v>89769</v>
      </c>
      <c r="E18" s="4">
        <f t="shared" si="3"/>
        <v>81791</v>
      </c>
      <c r="F18" s="4">
        <f t="shared" si="3"/>
        <v>67984</v>
      </c>
      <c r="G18" s="4">
        <f t="shared" si="3"/>
        <v>56571</v>
      </c>
      <c r="H18" s="4">
        <f t="shared" si="3"/>
        <v>54033</v>
      </c>
      <c r="I18" s="4"/>
      <c r="J18" s="4"/>
      <c r="K18" s="4"/>
      <c r="L18" s="4"/>
      <c r="M18" s="4"/>
      <c r="N18" s="4"/>
      <c r="O18" s="4"/>
      <c r="P18" s="4"/>
      <c r="Q18" s="4"/>
      <c r="R18" s="4"/>
      <c r="S18" s="4"/>
      <c r="T18" s="4"/>
    </row>
    <row r="20" spans="1:20" x14ac:dyDescent="0.25">
      <c r="A20" s="1" t="s">
        <v>21</v>
      </c>
      <c r="B20" s="1">
        <f t="shared" ref="B20:H20" si="4">B9+B18</f>
        <v>273797</v>
      </c>
      <c r="C20" s="1">
        <f t="shared" si="4"/>
        <v>237628</v>
      </c>
      <c r="D20" s="1">
        <f t="shared" si="4"/>
        <v>223101</v>
      </c>
      <c r="E20" s="1">
        <f t="shared" si="4"/>
        <v>207994</v>
      </c>
      <c r="F20" s="1">
        <f t="shared" si="4"/>
        <v>178923</v>
      </c>
      <c r="G20" s="1">
        <f t="shared" si="4"/>
        <v>141303</v>
      </c>
      <c r="H20" s="1">
        <f t="shared" si="4"/>
        <v>125929</v>
      </c>
      <c r="I20" s="1"/>
      <c r="J20" s="1"/>
      <c r="K20" s="1"/>
      <c r="L20" s="1"/>
      <c r="M20" s="1"/>
      <c r="N20" s="1"/>
      <c r="O20" s="1"/>
      <c r="P20" s="1"/>
      <c r="Q20" s="1"/>
      <c r="R20" s="1"/>
      <c r="S20" s="1"/>
      <c r="T20" s="1"/>
    </row>
    <row r="21" spans="1:20" x14ac:dyDescent="0.25">
      <c r="A21" s="1" t="s">
        <v>18</v>
      </c>
      <c r="B21" s="1">
        <f t="shared" ref="B21:H21" si="5">B25+B24</f>
        <v>150175</v>
      </c>
      <c r="C21" s="1">
        <f t="shared" si="5"/>
        <v>127701</v>
      </c>
      <c r="D21" s="1">
        <f t="shared" si="5"/>
        <v>96239</v>
      </c>
      <c r="E21" s="1">
        <f t="shared" si="5"/>
        <v>88958</v>
      </c>
      <c r="F21" s="1">
        <f t="shared" si="5"/>
        <v>89873</v>
      </c>
      <c r="G21" s="1">
        <f t="shared" si="5"/>
        <v>54921</v>
      </c>
      <c r="H21" s="1">
        <f t="shared" si="5"/>
        <v>45087</v>
      </c>
      <c r="I21" s="1"/>
      <c r="J21" s="1"/>
      <c r="K21" s="1"/>
      <c r="L21" s="1"/>
      <c r="M21" s="1"/>
      <c r="N21" s="1"/>
      <c r="O21" s="1"/>
      <c r="P21" s="1"/>
      <c r="Q21" s="1"/>
      <c r="R21" s="1"/>
      <c r="S21" s="1"/>
      <c r="T21" s="1"/>
    </row>
    <row r="22" spans="1:20" x14ac:dyDescent="0.25">
      <c r="A22" s="3" t="s">
        <v>17</v>
      </c>
      <c r="B22" s="3">
        <f t="shared" ref="B22:H22" si="6">B21/B7</f>
        <v>0.3727943877905649</v>
      </c>
      <c r="C22" s="3">
        <f t="shared" si="6"/>
        <v>0.3648412367363964</v>
      </c>
      <c r="D22" s="3">
        <f t="shared" si="6"/>
        <v>0.31308028133275212</v>
      </c>
      <c r="E22" s="3">
        <f t="shared" si="6"/>
        <v>0.31452148948507264</v>
      </c>
      <c r="F22" s="3">
        <f t="shared" si="6"/>
        <v>0.34883576504927477</v>
      </c>
      <c r="G22" s="3">
        <f t="shared" si="6"/>
        <v>0.30089247070296449</v>
      </c>
      <c r="H22" s="3">
        <f t="shared" si="6"/>
        <v>0.27856070481968653</v>
      </c>
      <c r="I22" s="3"/>
      <c r="J22" s="3"/>
      <c r="K22" s="3"/>
      <c r="L22" s="3"/>
      <c r="M22" s="3"/>
      <c r="N22" s="3"/>
      <c r="O22" s="3"/>
      <c r="P22" s="3"/>
      <c r="Q22" s="3"/>
      <c r="R22" s="3"/>
      <c r="S22" s="3"/>
      <c r="T22" s="3"/>
    </row>
    <row r="23" spans="1:20" x14ac:dyDescent="0.25">
      <c r="A23" s="1" t="s">
        <v>20</v>
      </c>
      <c r="B23" s="1">
        <v>0</v>
      </c>
      <c r="C23" s="1">
        <v>0</v>
      </c>
      <c r="D23" s="1">
        <v>0</v>
      </c>
      <c r="E23" s="1">
        <v>0</v>
      </c>
      <c r="F23" s="1">
        <v>0</v>
      </c>
      <c r="G23" s="1">
        <v>0</v>
      </c>
      <c r="H23" s="1">
        <v>0</v>
      </c>
      <c r="I23" s="1"/>
      <c r="J23" s="1"/>
      <c r="K23" s="1"/>
      <c r="L23" s="1"/>
      <c r="M23" s="1"/>
      <c r="N23" s="1"/>
      <c r="O23" s="1"/>
      <c r="P23" s="1"/>
      <c r="Q23" s="1"/>
      <c r="R23" s="1"/>
      <c r="S23" s="1"/>
      <c r="T23" s="1"/>
    </row>
    <row r="24" spans="1:20" x14ac:dyDescent="0.25">
      <c r="A24" s="1" t="s">
        <v>19</v>
      </c>
      <c r="B24" s="1">
        <v>21136</v>
      </c>
      <c r="C24" s="1">
        <v>15311</v>
      </c>
      <c r="D24" s="1">
        <v>11946</v>
      </c>
      <c r="E24" s="1">
        <v>14116</v>
      </c>
      <c r="F24" s="1">
        <v>11159</v>
      </c>
      <c r="G24" s="1">
        <v>13697</v>
      </c>
      <c r="H24" s="1">
        <v>10856</v>
      </c>
      <c r="I24" s="1"/>
      <c r="J24" s="1"/>
      <c r="K24" s="1"/>
      <c r="L24" s="1"/>
      <c r="M24" s="1"/>
      <c r="N24" s="1"/>
      <c r="O24" s="1"/>
      <c r="P24" s="1"/>
      <c r="Q24" s="1"/>
      <c r="R24" s="1"/>
      <c r="S24" s="1"/>
      <c r="T24" s="1"/>
    </row>
    <row r="25" spans="1:20" x14ac:dyDescent="0.25">
      <c r="A25" s="6" t="s">
        <v>16</v>
      </c>
      <c r="B25" s="5">
        <v>129039</v>
      </c>
      <c r="C25" s="5">
        <v>112390</v>
      </c>
      <c r="D25" s="5">
        <v>84293</v>
      </c>
      <c r="E25" s="5">
        <v>74842</v>
      </c>
      <c r="F25" s="5">
        <v>78714</v>
      </c>
      <c r="G25" s="5">
        <v>41224</v>
      </c>
      <c r="H25" s="5">
        <v>34231</v>
      </c>
      <c r="I25" s="5"/>
      <c r="J25" s="5"/>
      <c r="K25" s="5"/>
      <c r="L25" s="5"/>
      <c r="M25" s="5"/>
      <c r="N25" s="5"/>
      <c r="O25" s="5"/>
      <c r="P25" s="5"/>
      <c r="Q25" s="5"/>
      <c r="R25" s="5"/>
      <c r="S25" s="5"/>
      <c r="T25" s="5"/>
    </row>
    <row r="26" spans="1:20" x14ac:dyDescent="0.25">
      <c r="A26" s="3" t="s">
        <v>15</v>
      </c>
      <c r="B26" s="7">
        <f t="shared" ref="B26:H26" si="7">B25/B7</f>
        <v>0.32032638592380025</v>
      </c>
      <c r="C26" s="7">
        <f t="shared" si="7"/>
        <v>0.32109777211457696</v>
      </c>
      <c r="D26" s="7">
        <f t="shared" si="7"/>
        <v>0.27421810445226646</v>
      </c>
      <c r="E26" s="7">
        <f t="shared" si="7"/>
        <v>0.26461270842467011</v>
      </c>
      <c r="F26" s="7">
        <f t="shared" si="7"/>
        <v>0.3055228868524319</v>
      </c>
      <c r="G26" s="7">
        <f t="shared" si="7"/>
        <v>0.22585151785763202</v>
      </c>
      <c r="H26" s="7">
        <f t="shared" si="7"/>
        <v>0.21148915400631421</v>
      </c>
      <c r="I26" s="7"/>
      <c r="J26" s="7"/>
      <c r="K26" s="7"/>
      <c r="L26" s="7"/>
      <c r="M26" s="7"/>
      <c r="N26" s="7"/>
      <c r="O26" s="7"/>
      <c r="P26" s="7"/>
      <c r="Q26" s="7"/>
      <c r="R26" s="7"/>
      <c r="S26" s="7"/>
      <c r="T26" s="7"/>
    </row>
    <row r="28" spans="1:20" x14ac:dyDescent="0.25">
      <c r="A28" s="1" t="s">
        <v>14</v>
      </c>
      <c r="B28" s="1">
        <f t="shared" ref="B28:H28" si="8">B29-B25</f>
        <v>29787</v>
      </c>
      <c r="C28" s="1">
        <f t="shared" si="8"/>
        <v>7425</v>
      </c>
      <c r="D28" s="1">
        <f t="shared" si="8"/>
        <v>1424</v>
      </c>
      <c r="E28" s="1">
        <f t="shared" si="8"/>
        <v>-3514</v>
      </c>
      <c r="F28" s="1">
        <f t="shared" si="8"/>
        <v>12020</v>
      </c>
      <c r="G28" s="1">
        <f t="shared" si="8"/>
        <v>6858</v>
      </c>
      <c r="H28" s="1">
        <f t="shared" si="8"/>
        <v>5394</v>
      </c>
      <c r="I28" s="1"/>
      <c r="J28" s="1"/>
      <c r="K28" s="1"/>
      <c r="L28" s="1"/>
      <c r="M28" s="1"/>
      <c r="N28" s="1"/>
      <c r="O28" s="1"/>
      <c r="P28" s="1"/>
      <c r="Q28" s="1"/>
      <c r="R28" s="1"/>
      <c r="S28" s="1"/>
      <c r="T28" s="1"/>
    </row>
    <row r="29" spans="1:20" x14ac:dyDescent="0.25">
      <c r="A29" s="1" t="s">
        <v>13</v>
      </c>
      <c r="B29" s="1">
        <v>158826</v>
      </c>
      <c r="C29" s="1">
        <v>119815</v>
      </c>
      <c r="D29" s="1">
        <v>85717</v>
      </c>
      <c r="E29" s="1">
        <v>71328</v>
      </c>
      <c r="F29" s="1">
        <v>90734</v>
      </c>
      <c r="G29" s="1">
        <v>48082</v>
      </c>
      <c r="H29" s="1">
        <v>39625</v>
      </c>
      <c r="I29" s="1"/>
      <c r="J29" s="1"/>
      <c r="K29" s="1"/>
      <c r="L29" s="1"/>
      <c r="M29" s="1"/>
      <c r="N29" s="1"/>
      <c r="O29" s="1"/>
      <c r="P29" s="1"/>
      <c r="Q29" s="1"/>
      <c r="R29" s="1"/>
      <c r="S29" s="1"/>
      <c r="T29" s="1"/>
    </row>
    <row r="30" spans="1:20" x14ac:dyDescent="0.25">
      <c r="A30" s="2" t="s">
        <v>12</v>
      </c>
      <c r="B30" s="2">
        <f t="shared" ref="B30:H30" si="9">B29/B7</f>
        <v>0.39426962833510409</v>
      </c>
      <c r="C30" s="2">
        <f t="shared" si="9"/>
        <v>0.34231096686456125</v>
      </c>
      <c r="D30" s="2">
        <f t="shared" si="9"/>
        <v>0.2788505956524851</v>
      </c>
      <c r="E30" s="2">
        <f t="shared" si="9"/>
        <v>0.25218854742677738</v>
      </c>
      <c r="F30" s="2">
        <f t="shared" si="9"/>
        <v>0.35217767634307184</v>
      </c>
      <c r="G30" s="2">
        <f t="shared" si="9"/>
        <v>0.26342404137470071</v>
      </c>
      <c r="H30" s="2">
        <f t="shared" si="9"/>
        <v>0.24481486744471972</v>
      </c>
      <c r="I30" s="2"/>
      <c r="J30" s="2"/>
      <c r="K30" s="2"/>
      <c r="L30" s="2"/>
      <c r="M30" s="2"/>
      <c r="N30" s="2"/>
      <c r="O30" s="2"/>
      <c r="P30" s="2"/>
      <c r="Q30" s="2"/>
      <c r="R30" s="2"/>
      <c r="S30" s="2"/>
      <c r="T30" s="2"/>
    </row>
    <row r="31" spans="1:20" x14ac:dyDescent="0.25">
      <c r="A31" s="1" t="s">
        <v>11</v>
      </c>
      <c r="B31" s="1">
        <v>26656</v>
      </c>
      <c r="C31" s="1">
        <v>19697</v>
      </c>
      <c r="D31" s="1">
        <v>11922</v>
      </c>
      <c r="E31" s="1">
        <v>11356</v>
      </c>
      <c r="F31" s="1">
        <v>14701</v>
      </c>
      <c r="G31" s="1">
        <v>7813</v>
      </c>
      <c r="H31" s="1">
        <v>5282</v>
      </c>
      <c r="I31" s="1"/>
      <c r="J31" s="1"/>
      <c r="K31" s="1"/>
      <c r="L31" s="1"/>
      <c r="M31" s="1"/>
      <c r="N31" s="1"/>
      <c r="O31" s="1"/>
      <c r="P31" s="1"/>
      <c r="Q31" s="1"/>
      <c r="R31" s="1"/>
      <c r="S31" s="1"/>
      <c r="T31" s="1"/>
    </row>
    <row r="32" spans="1:20" x14ac:dyDescent="0.25">
      <c r="A32" s="6" t="s">
        <v>10</v>
      </c>
      <c r="B32" s="5">
        <f t="shared" ref="B32:H32" si="10">B29-B31</f>
        <v>132170</v>
      </c>
      <c r="C32" s="5">
        <f t="shared" si="10"/>
        <v>100118</v>
      </c>
      <c r="D32" s="5">
        <f t="shared" si="10"/>
        <v>73795</v>
      </c>
      <c r="E32" s="5">
        <f t="shared" si="10"/>
        <v>59972</v>
      </c>
      <c r="F32" s="5">
        <f t="shared" si="10"/>
        <v>76033</v>
      </c>
      <c r="G32" s="5">
        <f t="shared" si="10"/>
        <v>40269</v>
      </c>
      <c r="H32" s="5">
        <f t="shared" si="10"/>
        <v>34343</v>
      </c>
      <c r="I32" s="5"/>
      <c r="J32" s="5"/>
      <c r="K32" s="5"/>
      <c r="L32" s="5"/>
      <c r="M32" s="5"/>
      <c r="N32" s="5"/>
      <c r="O32" s="5"/>
      <c r="P32" s="5"/>
      <c r="Q32" s="5"/>
      <c r="R32" s="5"/>
      <c r="S32" s="5"/>
      <c r="T32" s="5"/>
    </row>
    <row r="34" spans="1:20" x14ac:dyDescent="0.25">
      <c r="A34" s="3" t="s">
        <v>9</v>
      </c>
      <c r="B34" s="3">
        <f t="shared" ref="B34:H34" si="11">B32/B7</f>
        <v>0.32809877965226542</v>
      </c>
      <c r="C34" s="3">
        <f t="shared" si="11"/>
        <v>0.28603671811164</v>
      </c>
      <c r="D34" s="3">
        <f t="shared" si="11"/>
        <v>0.24006649446638517</v>
      </c>
      <c r="E34" s="3">
        <f t="shared" si="11"/>
        <v>0.21203807153261961</v>
      </c>
      <c r="F34" s="3">
        <f t="shared" si="11"/>
        <v>0.29511677282377918</v>
      </c>
      <c r="G34" s="3">
        <f t="shared" si="11"/>
        <v>0.22061941520980458</v>
      </c>
      <c r="H34" s="3">
        <f t="shared" si="11"/>
        <v>0.21218112284300339</v>
      </c>
      <c r="I34" s="3"/>
      <c r="J34" s="3"/>
      <c r="K34" s="3"/>
      <c r="L34" s="3"/>
      <c r="M34" s="3"/>
      <c r="N34" s="3"/>
      <c r="O34" s="3"/>
      <c r="P34" s="3"/>
      <c r="Q34" s="3"/>
      <c r="R34" s="3"/>
      <c r="S34" s="3"/>
      <c r="T34" s="3"/>
    </row>
    <row r="35" spans="1:20" x14ac:dyDescent="0.25">
      <c r="A35" s="2" t="s">
        <v>8</v>
      </c>
      <c r="B35" s="2">
        <v>10.91</v>
      </c>
      <c r="C35" s="2">
        <v>8.1300000000000008</v>
      </c>
      <c r="D35" s="2">
        <v>5.84</v>
      </c>
      <c r="E35" s="2">
        <v>4.59</v>
      </c>
      <c r="F35" s="2">
        <v>5.69</v>
      </c>
      <c r="G35" s="2">
        <v>2.96</v>
      </c>
      <c r="H35" s="2">
        <v>2.48</v>
      </c>
      <c r="I35" s="2"/>
      <c r="J35" s="2"/>
      <c r="K35" s="2"/>
      <c r="L35" s="2"/>
      <c r="M35" s="2"/>
      <c r="N35" s="2"/>
      <c r="O35" s="2"/>
      <c r="P35" s="2"/>
      <c r="Q35" s="2"/>
      <c r="R35" s="2"/>
      <c r="S35" s="2"/>
      <c r="T35" s="2"/>
    </row>
    <row r="36" spans="1:20" x14ac:dyDescent="0.25">
      <c r="A36" s="2" t="s">
        <v>7</v>
      </c>
      <c r="B36" s="2">
        <v>10.81</v>
      </c>
      <c r="C36" s="2">
        <v>8.0399999999999991</v>
      </c>
      <c r="D36" s="2">
        <v>5.8</v>
      </c>
      <c r="E36" s="2">
        <v>4.5599999999999996</v>
      </c>
      <c r="F36" s="2">
        <v>5.61</v>
      </c>
      <c r="G36" s="2">
        <v>2.93</v>
      </c>
      <c r="H36" s="2">
        <v>2.46</v>
      </c>
      <c r="I36" s="2"/>
      <c r="J36" s="2"/>
      <c r="K36" s="2"/>
      <c r="L36" s="2"/>
      <c r="M36" s="2"/>
      <c r="N36" s="2"/>
      <c r="O36" s="2"/>
      <c r="P36" s="2"/>
      <c r="Q36" s="2"/>
      <c r="R36" s="2"/>
      <c r="S36" s="2"/>
      <c r="T36" s="2"/>
    </row>
    <row r="37" spans="1:20" x14ac:dyDescent="0.25">
      <c r="A37" s="1" t="s">
        <v>6</v>
      </c>
      <c r="B37" s="1">
        <f t="shared" ref="B37:H37" si="12">ROUND(B32/B35,0)</f>
        <v>12115</v>
      </c>
      <c r="C37" s="1">
        <f t="shared" si="12"/>
        <v>12315</v>
      </c>
      <c r="D37" s="1">
        <f t="shared" si="12"/>
        <v>12636</v>
      </c>
      <c r="E37" s="1">
        <f t="shared" si="12"/>
        <v>13066</v>
      </c>
      <c r="F37" s="1">
        <f t="shared" si="12"/>
        <v>13363</v>
      </c>
      <c r="G37" s="1">
        <f t="shared" si="12"/>
        <v>13604</v>
      </c>
      <c r="H37" s="1">
        <f t="shared" si="12"/>
        <v>13848</v>
      </c>
      <c r="I37" s="1"/>
      <c r="J37" s="1"/>
      <c r="K37" s="1"/>
      <c r="L37" s="1"/>
      <c r="M37" s="1"/>
      <c r="N37" s="1"/>
      <c r="O37" s="1"/>
      <c r="P37" s="1"/>
      <c r="Q37" s="1"/>
      <c r="R37" s="1"/>
      <c r="S37" s="1"/>
      <c r="T37" s="1"/>
    </row>
    <row r="38" spans="1:20" x14ac:dyDescent="0.25">
      <c r="A38" s="1" t="s">
        <v>5</v>
      </c>
      <c r="B38" s="1">
        <f t="shared" ref="B38:H38" si="13">ROUND(B32/B36,0)</f>
        <v>12227</v>
      </c>
      <c r="C38" s="1">
        <f t="shared" si="13"/>
        <v>12452</v>
      </c>
      <c r="D38" s="1">
        <f t="shared" si="13"/>
        <v>12723</v>
      </c>
      <c r="E38" s="1">
        <f t="shared" si="13"/>
        <v>13152</v>
      </c>
      <c r="F38" s="1">
        <f t="shared" si="13"/>
        <v>13553</v>
      </c>
      <c r="G38" s="1">
        <f t="shared" si="13"/>
        <v>13744</v>
      </c>
      <c r="H38" s="1">
        <f t="shared" si="13"/>
        <v>13961</v>
      </c>
      <c r="I38" s="1"/>
      <c r="J38" s="1"/>
      <c r="K38" s="1"/>
      <c r="L38" s="1"/>
      <c r="M38" s="1"/>
      <c r="N38" s="1"/>
      <c r="O38" s="1"/>
      <c r="P38" s="1"/>
      <c r="Q38" s="1"/>
      <c r="R38" s="1"/>
      <c r="S38" s="1"/>
      <c r="T38" s="1"/>
    </row>
  </sheetData>
  <mergeCells count="1">
    <mergeCell ref="B4:T4"/>
  </mergeCells>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AEC075-05E6-4368-84AB-E2E8BC11FF65}">
  <sheetPr>
    <tabColor rgb="FFC6E0B4"/>
  </sheetPr>
  <dimension ref="A1:T52"/>
  <sheetViews>
    <sheetView workbookViewId="0"/>
  </sheetViews>
  <sheetFormatPr defaultRowHeight="15" x14ac:dyDescent="0.25"/>
  <cols>
    <col min="1" max="1" width="44.42578125" bestFit="1" customWidth="1"/>
    <col min="2" max="10" width="18.28515625" bestFit="1" customWidth="1"/>
    <col min="11" max="18" width="17.28515625" bestFit="1" customWidth="1"/>
    <col min="19" max="20" width="16.85546875" bestFit="1" customWidth="1"/>
  </cols>
  <sheetData>
    <row r="1" spans="1:20" x14ac:dyDescent="0.25">
      <c r="A1" s="10" t="s">
        <v>205</v>
      </c>
      <c r="B1" s="10"/>
      <c r="C1" s="10"/>
      <c r="D1" s="10"/>
      <c r="E1" s="10"/>
      <c r="F1" s="10"/>
      <c r="G1" s="10"/>
      <c r="H1" s="10"/>
      <c r="I1" s="10"/>
      <c r="J1" s="10"/>
      <c r="K1" s="10"/>
      <c r="L1" s="10"/>
      <c r="M1" s="10"/>
      <c r="N1" s="10"/>
      <c r="O1" s="10"/>
      <c r="P1" s="10"/>
      <c r="Q1" s="10"/>
      <c r="R1" s="10"/>
      <c r="S1" s="10"/>
      <c r="T1" s="10"/>
    </row>
    <row r="2" spans="1:20" x14ac:dyDescent="0.25">
      <c r="A2" t="s">
        <v>1</v>
      </c>
      <c r="B2" t="s">
        <v>204</v>
      </c>
    </row>
    <row r="3" spans="1:20" x14ac:dyDescent="0.25">
      <c r="A3" t="s">
        <v>3</v>
      </c>
      <c r="B3" t="str">
        <f>'GOOGL - Income Statement FY'!B3</f>
        <v>USD</v>
      </c>
    </row>
    <row r="4" spans="1:20" x14ac:dyDescent="0.25">
      <c r="A4" t="s">
        <v>32</v>
      </c>
      <c r="B4" s="236" t="s">
        <v>33</v>
      </c>
      <c r="C4" s="236"/>
      <c r="D4" s="236"/>
      <c r="E4" s="236"/>
      <c r="F4" s="236"/>
      <c r="G4" s="236"/>
      <c r="H4" s="236"/>
      <c r="I4" s="236"/>
      <c r="J4" s="236"/>
      <c r="K4" s="236"/>
      <c r="L4" s="236"/>
      <c r="M4" s="236"/>
      <c r="N4" s="236"/>
      <c r="O4" s="236"/>
      <c r="P4" s="236"/>
      <c r="Q4" s="236"/>
      <c r="R4" s="236"/>
      <c r="S4" s="236"/>
      <c r="T4" s="236"/>
    </row>
    <row r="5" spans="1:20" x14ac:dyDescent="0.25">
      <c r="A5" t="s">
        <v>34</v>
      </c>
      <c r="B5" s="8">
        <v>46022</v>
      </c>
      <c r="C5" s="8">
        <v>45657</v>
      </c>
      <c r="D5" s="8">
        <v>45291</v>
      </c>
      <c r="E5" s="8">
        <v>44926</v>
      </c>
      <c r="F5" s="8">
        <v>44561</v>
      </c>
      <c r="G5" s="8">
        <v>44196</v>
      </c>
      <c r="H5" s="8">
        <v>43830</v>
      </c>
      <c r="I5" s="8"/>
      <c r="J5" s="8"/>
      <c r="K5" s="8"/>
      <c r="L5" s="8"/>
      <c r="M5" s="8"/>
      <c r="N5" s="8"/>
      <c r="O5" s="8"/>
      <c r="P5" s="8"/>
      <c r="Q5" s="8"/>
      <c r="R5" s="8"/>
      <c r="S5" s="8"/>
      <c r="T5" s="8"/>
    </row>
    <row r="7" spans="1:20" x14ac:dyDescent="0.25">
      <c r="A7" s="1" t="s">
        <v>74</v>
      </c>
      <c r="B7" s="1">
        <v>30708</v>
      </c>
      <c r="C7" s="1">
        <v>23466</v>
      </c>
      <c r="D7" s="1">
        <v>24048</v>
      </c>
      <c r="E7" s="1">
        <v>21879</v>
      </c>
      <c r="F7" s="1">
        <v>20945</v>
      </c>
      <c r="G7" s="1">
        <v>26465</v>
      </c>
      <c r="H7" s="1">
        <v>18498</v>
      </c>
      <c r="I7" s="1"/>
      <c r="J7" s="1"/>
      <c r="K7" s="1"/>
      <c r="L7" s="1"/>
      <c r="M7" s="1"/>
      <c r="N7" s="1"/>
      <c r="O7" s="1"/>
      <c r="P7" s="1"/>
      <c r="Q7" s="1"/>
      <c r="R7" s="1"/>
      <c r="S7" s="1"/>
      <c r="T7" s="1"/>
    </row>
    <row r="8" spans="1:20" x14ac:dyDescent="0.25">
      <c r="A8" s="1" t="s">
        <v>73</v>
      </c>
      <c r="B8" s="1">
        <v>96135</v>
      </c>
      <c r="C8" s="1">
        <v>72191</v>
      </c>
      <c r="D8" s="1">
        <v>86868</v>
      </c>
      <c r="E8" s="1">
        <v>91883</v>
      </c>
      <c r="F8" s="1">
        <v>118704</v>
      </c>
      <c r="G8" s="1">
        <v>110229</v>
      </c>
      <c r="H8" s="1">
        <v>101177</v>
      </c>
      <c r="I8" s="1"/>
      <c r="J8" s="1"/>
      <c r="K8" s="1"/>
      <c r="L8" s="1"/>
      <c r="M8" s="1"/>
      <c r="N8" s="1"/>
      <c r="O8" s="1"/>
      <c r="P8" s="1"/>
      <c r="Q8" s="1"/>
      <c r="R8" s="1"/>
      <c r="S8" s="1"/>
      <c r="T8" s="1"/>
    </row>
    <row r="9" spans="1:20" x14ac:dyDescent="0.25">
      <c r="A9" s="1" t="s">
        <v>72</v>
      </c>
      <c r="B9" s="1">
        <f t="shared" ref="B9:H9" si="0">B7+B8</f>
        <v>126843</v>
      </c>
      <c r="C9" s="1">
        <f t="shared" si="0"/>
        <v>95657</v>
      </c>
      <c r="D9" s="1">
        <f t="shared" si="0"/>
        <v>110916</v>
      </c>
      <c r="E9" s="1">
        <f t="shared" si="0"/>
        <v>113762</v>
      </c>
      <c r="F9" s="1">
        <f t="shared" si="0"/>
        <v>139649</v>
      </c>
      <c r="G9" s="1">
        <f t="shared" si="0"/>
        <v>136694</v>
      </c>
      <c r="H9" s="1">
        <f t="shared" si="0"/>
        <v>119675</v>
      </c>
      <c r="I9" s="1"/>
      <c r="J9" s="1"/>
      <c r="K9" s="1"/>
      <c r="L9" s="1"/>
      <c r="M9" s="1"/>
      <c r="N9" s="1"/>
      <c r="O9" s="1"/>
      <c r="P9" s="1"/>
      <c r="Q9" s="1"/>
      <c r="R9" s="1"/>
      <c r="S9" s="1"/>
      <c r="T9" s="1"/>
    </row>
    <row r="10" spans="1:20" x14ac:dyDescent="0.25">
      <c r="A10" s="1" t="s">
        <v>71</v>
      </c>
      <c r="B10" s="1">
        <v>62886</v>
      </c>
      <c r="C10" s="1">
        <v>52340</v>
      </c>
      <c r="D10" s="1">
        <v>47964</v>
      </c>
      <c r="E10" s="1">
        <v>40258</v>
      </c>
      <c r="F10" s="1">
        <v>39304</v>
      </c>
      <c r="G10" s="1">
        <v>30930</v>
      </c>
      <c r="H10" s="1">
        <v>25326</v>
      </c>
      <c r="I10" s="1"/>
      <c r="J10" s="1"/>
      <c r="K10" s="1"/>
      <c r="L10" s="1"/>
      <c r="M10" s="1"/>
      <c r="N10" s="1"/>
      <c r="O10" s="1"/>
      <c r="P10" s="1"/>
      <c r="Q10" s="1"/>
      <c r="R10" s="1"/>
      <c r="S10" s="1"/>
      <c r="T10" s="1"/>
    </row>
    <row r="11" spans="1:20" x14ac:dyDescent="0.25">
      <c r="A11" s="1" t="s">
        <v>70</v>
      </c>
      <c r="B11" s="1">
        <v>0</v>
      </c>
      <c r="C11" s="1">
        <v>0</v>
      </c>
      <c r="D11" s="1">
        <v>0</v>
      </c>
      <c r="E11" s="1">
        <v>2670</v>
      </c>
      <c r="F11" s="1">
        <v>1170</v>
      </c>
      <c r="G11" s="1">
        <v>728</v>
      </c>
      <c r="H11" s="1">
        <v>999</v>
      </c>
      <c r="I11" s="1"/>
      <c r="J11" s="1"/>
      <c r="K11" s="1"/>
      <c r="L11" s="1"/>
      <c r="M11" s="1"/>
      <c r="N11" s="1"/>
      <c r="O11" s="1"/>
      <c r="P11" s="1"/>
      <c r="Q11" s="1"/>
      <c r="R11" s="1"/>
      <c r="S11" s="1"/>
      <c r="T11" s="1"/>
    </row>
    <row r="12" spans="1:20" x14ac:dyDescent="0.25">
      <c r="A12" s="1" t="s">
        <v>69</v>
      </c>
      <c r="B12" s="1">
        <f t="shared" ref="B12:H12" si="1">B13-B7-B8-B10-B11</f>
        <v>16309</v>
      </c>
      <c r="C12" s="1">
        <f t="shared" si="1"/>
        <v>15714</v>
      </c>
      <c r="D12" s="1">
        <f t="shared" si="1"/>
        <v>12650</v>
      </c>
      <c r="E12" s="1">
        <f t="shared" si="1"/>
        <v>8105</v>
      </c>
      <c r="F12" s="1">
        <f t="shared" si="1"/>
        <v>8020</v>
      </c>
      <c r="G12" s="1">
        <f t="shared" si="1"/>
        <v>5944</v>
      </c>
      <c r="H12" s="1">
        <f t="shared" si="1"/>
        <v>6578</v>
      </c>
      <c r="I12" s="1"/>
      <c r="J12" s="1"/>
      <c r="K12" s="1"/>
      <c r="L12" s="1"/>
      <c r="M12" s="1"/>
      <c r="N12" s="1"/>
      <c r="O12" s="1"/>
      <c r="P12" s="1"/>
      <c r="Q12" s="1"/>
      <c r="R12" s="1"/>
      <c r="S12" s="1"/>
      <c r="T12" s="1"/>
    </row>
    <row r="13" spans="1:20" x14ac:dyDescent="0.25">
      <c r="A13" s="6" t="s">
        <v>68</v>
      </c>
      <c r="B13" s="4">
        <v>206038</v>
      </c>
      <c r="C13" s="4">
        <v>163711</v>
      </c>
      <c r="D13" s="4">
        <v>171530</v>
      </c>
      <c r="E13" s="4">
        <v>164795</v>
      </c>
      <c r="F13" s="4">
        <v>188143</v>
      </c>
      <c r="G13" s="4">
        <v>174296</v>
      </c>
      <c r="H13" s="4">
        <v>152578</v>
      </c>
      <c r="I13" s="4"/>
      <c r="J13" s="4"/>
      <c r="K13" s="4"/>
      <c r="L13" s="4"/>
      <c r="M13" s="4"/>
      <c r="N13" s="4"/>
      <c r="O13" s="4"/>
      <c r="P13" s="4"/>
      <c r="Q13" s="4"/>
      <c r="R13" s="4"/>
      <c r="S13" s="4"/>
      <c r="T13" s="4"/>
    </row>
    <row r="15" spans="1:20" x14ac:dyDescent="0.25">
      <c r="A15" s="1" t="s">
        <v>67</v>
      </c>
      <c r="B15" s="1">
        <v>246597</v>
      </c>
      <c r="C15" s="1">
        <v>171036</v>
      </c>
      <c r="D15" s="1">
        <v>134345</v>
      </c>
      <c r="E15" s="1">
        <v>112668</v>
      </c>
      <c r="F15" s="1">
        <v>97599</v>
      </c>
      <c r="G15" s="1">
        <v>84749</v>
      </c>
      <c r="H15" s="1">
        <v>73646</v>
      </c>
      <c r="I15" s="1"/>
      <c r="J15" s="1"/>
      <c r="K15" s="1"/>
      <c r="L15" s="1"/>
      <c r="M15" s="1"/>
      <c r="N15" s="1"/>
      <c r="O15" s="1"/>
      <c r="P15" s="1"/>
      <c r="Q15" s="1"/>
      <c r="R15" s="1"/>
      <c r="S15" s="1"/>
      <c r="T15" s="1"/>
    </row>
    <row r="16" spans="1:20" x14ac:dyDescent="0.25">
      <c r="A16" s="1" t="s">
        <v>66</v>
      </c>
      <c r="B16" s="1">
        <v>33380</v>
      </c>
      <c r="C16" s="1">
        <v>31885</v>
      </c>
      <c r="D16" s="1">
        <v>29198</v>
      </c>
      <c r="E16" s="1">
        <v>28960</v>
      </c>
      <c r="F16" s="1">
        <v>22956</v>
      </c>
      <c r="G16" s="1">
        <v>21175</v>
      </c>
      <c r="H16" s="1">
        <v>20624</v>
      </c>
      <c r="I16" s="1"/>
      <c r="J16" s="1"/>
      <c r="K16" s="1"/>
      <c r="L16" s="1"/>
      <c r="M16" s="1"/>
      <c r="N16" s="1"/>
      <c r="O16" s="1"/>
      <c r="P16" s="1"/>
      <c r="Q16" s="1"/>
      <c r="R16" s="1"/>
      <c r="S16" s="1"/>
      <c r="T16" s="1"/>
    </row>
    <row r="17" spans="1:20" x14ac:dyDescent="0.25">
      <c r="A17" s="1" t="s">
        <v>65</v>
      </c>
      <c r="B17" s="1">
        <v>0</v>
      </c>
      <c r="C17" s="1">
        <v>0</v>
      </c>
      <c r="D17" s="1">
        <v>0</v>
      </c>
      <c r="E17" s="1">
        <v>2084</v>
      </c>
      <c r="F17" s="1">
        <v>1417</v>
      </c>
      <c r="G17" s="1">
        <v>1445</v>
      </c>
      <c r="H17" s="1">
        <v>1979</v>
      </c>
      <c r="I17" s="1"/>
      <c r="J17" s="1"/>
      <c r="K17" s="1"/>
      <c r="L17" s="1"/>
      <c r="M17" s="1"/>
      <c r="N17" s="1"/>
      <c r="O17" s="1"/>
      <c r="P17" s="1"/>
      <c r="Q17" s="1"/>
      <c r="R17" s="1"/>
      <c r="S17" s="1"/>
      <c r="T17" s="1"/>
    </row>
    <row r="18" spans="1:20" x14ac:dyDescent="0.25">
      <c r="A18" s="1" t="s">
        <v>64</v>
      </c>
      <c r="B18" s="1">
        <f t="shared" ref="B18:H18" si="2">B16+B17</f>
        <v>33380</v>
      </c>
      <c r="C18" s="1">
        <f t="shared" si="2"/>
        <v>31885</v>
      </c>
      <c r="D18" s="1">
        <f t="shared" si="2"/>
        <v>29198</v>
      </c>
      <c r="E18" s="1">
        <f t="shared" si="2"/>
        <v>31044</v>
      </c>
      <c r="F18" s="1">
        <f t="shared" si="2"/>
        <v>24373</v>
      </c>
      <c r="G18" s="1">
        <f t="shared" si="2"/>
        <v>22620</v>
      </c>
      <c r="H18" s="1">
        <f t="shared" si="2"/>
        <v>22603</v>
      </c>
      <c r="I18" s="1"/>
      <c r="J18" s="1"/>
      <c r="K18" s="1"/>
      <c r="L18" s="1"/>
      <c r="M18" s="1"/>
      <c r="N18" s="1"/>
      <c r="O18" s="1"/>
      <c r="P18" s="1"/>
      <c r="Q18" s="1"/>
      <c r="R18" s="1"/>
      <c r="S18" s="1"/>
      <c r="T18" s="1"/>
    </row>
    <row r="19" spans="1:20" x14ac:dyDescent="0.25">
      <c r="A19" s="1" t="s">
        <v>63</v>
      </c>
      <c r="B19" s="1">
        <v>68687</v>
      </c>
      <c r="C19" s="1">
        <v>37982</v>
      </c>
      <c r="D19" s="1">
        <v>31008</v>
      </c>
      <c r="E19" s="1">
        <v>30492</v>
      </c>
      <c r="F19" s="1">
        <v>29549</v>
      </c>
      <c r="G19" s="1">
        <v>20703</v>
      </c>
      <c r="H19" s="1">
        <v>13078</v>
      </c>
      <c r="I19" s="1"/>
      <c r="J19" s="1"/>
      <c r="K19" s="1"/>
      <c r="L19" s="1"/>
      <c r="M19" s="1"/>
      <c r="N19" s="1"/>
      <c r="O19" s="1"/>
      <c r="P19" s="1"/>
      <c r="Q19" s="1"/>
      <c r="R19" s="1"/>
      <c r="S19" s="1"/>
      <c r="T19" s="1"/>
    </row>
    <row r="20" spans="1:20" x14ac:dyDescent="0.25">
      <c r="A20" s="1" t="s">
        <v>62</v>
      </c>
      <c r="B20" s="1">
        <v>0</v>
      </c>
      <c r="C20" s="1">
        <v>0</v>
      </c>
      <c r="D20" s="1">
        <v>0</v>
      </c>
      <c r="E20" s="1">
        <v>0</v>
      </c>
      <c r="F20" s="1">
        <v>0</v>
      </c>
      <c r="G20" s="1">
        <v>0</v>
      </c>
      <c r="H20" s="1">
        <v>0</v>
      </c>
      <c r="I20" s="1"/>
      <c r="J20" s="1"/>
      <c r="K20" s="1"/>
      <c r="L20" s="1"/>
      <c r="M20" s="1"/>
      <c r="N20" s="1"/>
      <c r="O20" s="1"/>
      <c r="P20" s="1"/>
      <c r="Q20" s="1"/>
      <c r="R20" s="1"/>
      <c r="S20" s="1"/>
      <c r="T20" s="1"/>
    </row>
    <row r="21" spans="1:20" x14ac:dyDescent="0.25">
      <c r="A21" s="1" t="s">
        <v>61</v>
      </c>
      <c r="B21" s="1">
        <f t="shared" ref="B21:H21" si="3">B22-B15-B18-B19-B20</f>
        <v>40579</v>
      </c>
      <c r="C21" s="1">
        <f t="shared" si="3"/>
        <v>45642</v>
      </c>
      <c r="D21" s="1">
        <f t="shared" si="3"/>
        <v>36311</v>
      </c>
      <c r="E21" s="1">
        <f t="shared" si="3"/>
        <v>26265</v>
      </c>
      <c r="F21" s="1">
        <f t="shared" si="3"/>
        <v>19604</v>
      </c>
      <c r="G21" s="1">
        <f t="shared" si="3"/>
        <v>17248</v>
      </c>
      <c r="H21" s="1">
        <f t="shared" si="3"/>
        <v>14004</v>
      </c>
      <c r="I21" s="1"/>
      <c r="J21" s="1"/>
      <c r="K21" s="1"/>
      <c r="L21" s="1"/>
      <c r="M21" s="1"/>
      <c r="N21" s="1"/>
      <c r="O21" s="1"/>
      <c r="P21" s="1"/>
      <c r="Q21" s="1"/>
      <c r="R21" s="1"/>
      <c r="S21" s="1"/>
      <c r="T21" s="1"/>
    </row>
    <row r="22" spans="1:20" x14ac:dyDescent="0.25">
      <c r="A22" s="6" t="s">
        <v>60</v>
      </c>
      <c r="B22" s="4">
        <f t="shared" ref="B22:H22" si="4">B25-B13</f>
        <v>389243</v>
      </c>
      <c r="C22" s="4">
        <f t="shared" si="4"/>
        <v>286545</v>
      </c>
      <c r="D22" s="4">
        <f t="shared" si="4"/>
        <v>230862</v>
      </c>
      <c r="E22" s="4">
        <f t="shared" si="4"/>
        <v>200469</v>
      </c>
      <c r="F22" s="4">
        <f t="shared" si="4"/>
        <v>171125</v>
      </c>
      <c r="G22" s="4">
        <f t="shared" si="4"/>
        <v>145320</v>
      </c>
      <c r="H22" s="4">
        <f t="shared" si="4"/>
        <v>123331</v>
      </c>
      <c r="I22" s="4"/>
      <c r="J22" s="4"/>
      <c r="K22" s="4"/>
      <c r="L22" s="4"/>
      <c r="M22" s="4"/>
      <c r="N22" s="4"/>
      <c r="O22" s="4"/>
      <c r="P22" s="4"/>
      <c r="Q22" s="4"/>
      <c r="R22" s="4"/>
      <c r="S22" s="4"/>
      <c r="T22" s="4"/>
    </row>
    <row r="24" spans="1:20" x14ac:dyDescent="0.25">
      <c r="A24" s="1" t="s">
        <v>59</v>
      </c>
      <c r="B24" s="1">
        <v>0</v>
      </c>
      <c r="C24" s="1">
        <v>0</v>
      </c>
      <c r="D24" s="1">
        <v>0</v>
      </c>
      <c r="E24" s="1">
        <v>0</v>
      </c>
      <c r="F24" s="1">
        <v>0</v>
      </c>
      <c r="G24" s="1">
        <v>0</v>
      </c>
      <c r="H24" s="1">
        <v>0</v>
      </c>
      <c r="I24" s="1"/>
      <c r="J24" s="1"/>
      <c r="K24" s="1"/>
      <c r="L24" s="1"/>
      <c r="M24" s="1"/>
      <c r="N24" s="1"/>
      <c r="O24" s="1"/>
      <c r="P24" s="1"/>
      <c r="Q24" s="1"/>
      <c r="R24" s="1"/>
      <c r="S24" s="1"/>
      <c r="T24" s="1"/>
    </row>
    <row r="25" spans="1:20" x14ac:dyDescent="0.25">
      <c r="A25" s="6" t="s">
        <v>58</v>
      </c>
      <c r="B25" s="5">
        <v>595281</v>
      </c>
      <c r="C25" s="5">
        <v>450256</v>
      </c>
      <c r="D25" s="5">
        <v>402392</v>
      </c>
      <c r="E25" s="5">
        <v>365264</v>
      </c>
      <c r="F25" s="5">
        <v>359268</v>
      </c>
      <c r="G25" s="5">
        <v>319616</v>
      </c>
      <c r="H25" s="5">
        <v>275909</v>
      </c>
      <c r="I25" s="5"/>
      <c r="J25" s="5"/>
      <c r="K25" s="5"/>
      <c r="L25" s="5"/>
      <c r="M25" s="5"/>
      <c r="N25" s="5"/>
      <c r="O25" s="5"/>
      <c r="P25" s="5"/>
      <c r="Q25" s="5"/>
      <c r="R25" s="5"/>
      <c r="S25" s="5"/>
      <c r="T25" s="5"/>
    </row>
    <row r="27" spans="1:20" x14ac:dyDescent="0.25">
      <c r="A27" s="1" t="s">
        <v>57</v>
      </c>
      <c r="B27" s="1">
        <v>12200</v>
      </c>
      <c r="C27" s="1">
        <v>7987</v>
      </c>
      <c r="D27" s="1">
        <v>7493</v>
      </c>
      <c r="E27" s="1">
        <v>5128</v>
      </c>
      <c r="F27" s="1">
        <v>6037</v>
      </c>
      <c r="G27" s="1">
        <v>5589</v>
      </c>
      <c r="H27" s="1">
        <v>5561</v>
      </c>
      <c r="I27" s="1"/>
      <c r="J27" s="1"/>
      <c r="K27" s="1"/>
      <c r="L27" s="1"/>
      <c r="M27" s="1"/>
      <c r="N27" s="1"/>
      <c r="O27" s="1"/>
      <c r="P27" s="1"/>
      <c r="Q27" s="1"/>
      <c r="R27" s="1"/>
      <c r="S27" s="1"/>
      <c r="T27" s="1"/>
    </row>
    <row r="28" spans="1:20" x14ac:dyDescent="0.25">
      <c r="A28" s="1" t="s">
        <v>56</v>
      </c>
      <c r="B28" s="1">
        <v>0</v>
      </c>
      <c r="C28" s="1">
        <v>0</v>
      </c>
      <c r="D28" s="1">
        <v>0</v>
      </c>
      <c r="E28" s="1">
        <v>0</v>
      </c>
      <c r="F28" s="1">
        <v>0</v>
      </c>
      <c r="G28" s="1">
        <v>0</v>
      </c>
      <c r="H28" s="1">
        <v>0</v>
      </c>
      <c r="I28" s="1"/>
      <c r="J28" s="1"/>
      <c r="K28" s="1"/>
      <c r="L28" s="1"/>
      <c r="M28" s="1"/>
      <c r="N28" s="1"/>
      <c r="O28" s="1"/>
      <c r="P28" s="1"/>
      <c r="Q28" s="1"/>
      <c r="R28" s="1"/>
      <c r="S28" s="1"/>
      <c r="T28" s="1"/>
    </row>
    <row r="29" spans="1:20" x14ac:dyDescent="0.25">
      <c r="A29" s="1" t="s">
        <v>55</v>
      </c>
      <c r="B29" s="1">
        <v>0</v>
      </c>
      <c r="C29" s="1">
        <v>0</v>
      </c>
      <c r="D29" s="1">
        <v>0</v>
      </c>
      <c r="E29" s="1">
        <v>0</v>
      </c>
      <c r="F29" s="1">
        <v>0</v>
      </c>
      <c r="G29" s="1">
        <v>0</v>
      </c>
      <c r="H29" s="1">
        <v>0</v>
      </c>
      <c r="I29" s="1"/>
      <c r="J29" s="1"/>
      <c r="K29" s="1"/>
      <c r="L29" s="1"/>
      <c r="M29" s="1"/>
      <c r="N29" s="1"/>
      <c r="O29" s="1"/>
      <c r="P29" s="1"/>
      <c r="Q29" s="1"/>
      <c r="R29" s="1"/>
      <c r="S29" s="1"/>
      <c r="T29" s="1"/>
    </row>
    <row r="30" spans="1:20" x14ac:dyDescent="0.25">
      <c r="A30" s="1" t="s">
        <v>54</v>
      </c>
      <c r="B30" s="1">
        <v>6578</v>
      </c>
      <c r="C30" s="1">
        <v>5036</v>
      </c>
      <c r="D30" s="1">
        <v>4137</v>
      </c>
      <c r="E30" s="1">
        <v>3908</v>
      </c>
      <c r="F30" s="1">
        <v>3288</v>
      </c>
      <c r="G30" s="1">
        <v>2543</v>
      </c>
      <c r="H30" s="1">
        <v>1908</v>
      </c>
      <c r="I30" s="1"/>
      <c r="J30" s="1"/>
      <c r="K30" s="1"/>
      <c r="L30" s="1"/>
      <c r="M30" s="1"/>
      <c r="N30" s="1"/>
      <c r="O30" s="1"/>
      <c r="P30" s="1"/>
      <c r="Q30" s="1"/>
      <c r="R30" s="1"/>
      <c r="S30" s="1"/>
      <c r="T30" s="1"/>
    </row>
    <row r="31" spans="1:20" x14ac:dyDescent="0.25">
      <c r="A31" s="1" t="s">
        <v>53</v>
      </c>
      <c r="B31" s="1">
        <f t="shared" ref="B31:H31" si="5">B32-B27-B28-B29-B30</f>
        <v>83967</v>
      </c>
      <c r="C31" s="1">
        <f t="shared" si="5"/>
        <v>76099</v>
      </c>
      <c r="D31" s="1">
        <f t="shared" si="5"/>
        <v>70184</v>
      </c>
      <c r="E31" s="1">
        <f t="shared" si="5"/>
        <v>60264</v>
      </c>
      <c r="F31" s="1">
        <f t="shared" si="5"/>
        <v>54929</v>
      </c>
      <c r="G31" s="1">
        <f t="shared" si="5"/>
        <v>48702</v>
      </c>
      <c r="H31" s="1">
        <f t="shared" si="5"/>
        <v>37752</v>
      </c>
      <c r="I31" s="1"/>
      <c r="J31" s="1"/>
      <c r="K31" s="1"/>
      <c r="L31" s="1"/>
      <c r="M31" s="1"/>
      <c r="N31" s="1"/>
      <c r="O31" s="1"/>
      <c r="P31" s="1"/>
      <c r="Q31" s="1"/>
      <c r="R31" s="1"/>
      <c r="S31" s="1"/>
      <c r="T31" s="1"/>
    </row>
    <row r="32" spans="1:20" x14ac:dyDescent="0.25">
      <c r="A32" s="6" t="s">
        <v>52</v>
      </c>
      <c r="B32" s="4">
        <v>102745</v>
      </c>
      <c r="C32" s="4">
        <v>89122</v>
      </c>
      <c r="D32" s="4">
        <v>81814</v>
      </c>
      <c r="E32" s="4">
        <v>69300</v>
      </c>
      <c r="F32" s="4">
        <v>64254</v>
      </c>
      <c r="G32" s="4">
        <v>56834</v>
      </c>
      <c r="H32" s="4">
        <v>45221</v>
      </c>
      <c r="I32" s="4"/>
      <c r="J32" s="4"/>
      <c r="K32" s="4"/>
      <c r="L32" s="4"/>
      <c r="M32" s="4"/>
      <c r="N32" s="4"/>
      <c r="O32" s="4"/>
      <c r="P32" s="4"/>
      <c r="Q32" s="4"/>
      <c r="R32" s="4"/>
      <c r="S32" s="4"/>
      <c r="T32" s="4"/>
    </row>
    <row r="34" spans="1:20" x14ac:dyDescent="0.25">
      <c r="A34" s="1" t="s">
        <v>51</v>
      </c>
      <c r="B34" s="1">
        <v>46547</v>
      </c>
      <c r="C34" s="1">
        <v>10883</v>
      </c>
      <c r="D34" s="1">
        <v>13253</v>
      </c>
      <c r="E34" s="1">
        <v>14701</v>
      </c>
      <c r="F34" s="1">
        <v>14817</v>
      </c>
      <c r="G34" s="1">
        <v>13932</v>
      </c>
      <c r="H34" s="1">
        <v>4554</v>
      </c>
      <c r="I34" s="1"/>
      <c r="J34" s="1"/>
      <c r="K34" s="1"/>
      <c r="L34" s="1"/>
      <c r="M34" s="1"/>
      <c r="N34" s="1"/>
      <c r="O34" s="1"/>
      <c r="P34" s="1"/>
      <c r="Q34" s="1"/>
      <c r="R34" s="1"/>
      <c r="S34" s="1"/>
      <c r="T34" s="1"/>
    </row>
    <row r="35" spans="1:20" x14ac:dyDescent="0.25">
      <c r="A35" s="1" t="s">
        <v>50</v>
      </c>
      <c r="B35" s="1">
        <v>0</v>
      </c>
      <c r="C35" s="1">
        <v>0</v>
      </c>
      <c r="D35" s="1">
        <v>911</v>
      </c>
      <c r="E35" s="1">
        <v>599</v>
      </c>
      <c r="F35" s="1">
        <v>535</v>
      </c>
      <c r="G35" s="1">
        <v>481</v>
      </c>
      <c r="H35" s="1">
        <v>358</v>
      </c>
      <c r="I35" s="1"/>
      <c r="J35" s="1"/>
      <c r="K35" s="1"/>
      <c r="L35" s="1"/>
      <c r="M35" s="1"/>
      <c r="N35" s="1"/>
      <c r="O35" s="1"/>
      <c r="P35" s="1"/>
      <c r="Q35" s="1"/>
      <c r="R35" s="1"/>
      <c r="S35" s="1"/>
      <c r="T35" s="1"/>
    </row>
    <row r="36" spans="1:20" x14ac:dyDescent="0.25">
      <c r="A36" s="1" t="s">
        <v>49</v>
      </c>
      <c r="B36" s="1">
        <v>0</v>
      </c>
      <c r="C36" s="1">
        <v>0</v>
      </c>
      <c r="D36" s="1">
        <v>0</v>
      </c>
      <c r="E36" s="1">
        <v>0</v>
      </c>
      <c r="F36" s="1">
        <v>0</v>
      </c>
      <c r="G36" s="1">
        <v>0</v>
      </c>
      <c r="H36" s="1">
        <v>0</v>
      </c>
      <c r="I36" s="1"/>
      <c r="J36" s="1"/>
      <c r="K36" s="1"/>
      <c r="L36" s="1"/>
      <c r="M36" s="1"/>
      <c r="N36" s="1"/>
      <c r="O36" s="1"/>
      <c r="P36" s="1"/>
      <c r="Q36" s="1"/>
      <c r="R36" s="1"/>
      <c r="S36" s="1"/>
      <c r="T36" s="1"/>
    </row>
    <row r="37" spans="1:20" x14ac:dyDescent="0.25">
      <c r="A37" s="1" t="s">
        <v>48</v>
      </c>
      <c r="B37" s="1">
        <f t="shared" ref="B37:H37" si="6">B38-B34-B35-B36</f>
        <v>30724</v>
      </c>
      <c r="C37" s="1">
        <f t="shared" si="6"/>
        <v>25167</v>
      </c>
      <c r="D37" s="1">
        <f t="shared" si="6"/>
        <v>23035</v>
      </c>
      <c r="E37" s="1">
        <f t="shared" si="6"/>
        <v>24520</v>
      </c>
      <c r="F37" s="1">
        <f t="shared" si="6"/>
        <v>28027</v>
      </c>
      <c r="G37" s="1">
        <f t="shared" si="6"/>
        <v>25825</v>
      </c>
      <c r="H37" s="1">
        <f t="shared" si="6"/>
        <v>24334</v>
      </c>
      <c r="I37" s="1"/>
      <c r="J37" s="1"/>
      <c r="K37" s="1"/>
      <c r="L37" s="1"/>
      <c r="M37" s="1"/>
      <c r="N37" s="1"/>
      <c r="O37" s="1"/>
      <c r="P37" s="1"/>
      <c r="Q37" s="1"/>
      <c r="R37" s="1"/>
      <c r="S37" s="1"/>
      <c r="T37" s="1"/>
    </row>
    <row r="38" spans="1:20" x14ac:dyDescent="0.25">
      <c r="A38" s="6" t="s">
        <v>47</v>
      </c>
      <c r="B38" s="4">
        <f t="shared" ref="B38:H38" si="7">B41-B32</f>
        <v>77271</v>
      </c>
      <c r="C38" s="4">
        <f t="shared" si="7"/>
        <v>36050</v>
      </c>
      <c r="D38" s="4">
        <f t="shared" si="7"/>
        <v>37199</v>
      </c>
      <c r="E38" s="4">
        <f t="shared" si="7"/>
        <v>39820</v>
      </c>
      <c r="F38" s="4">
        <f t="shared" si="7"/>
        <v>43379</v>
      </c>
      <c r="G38" s="4">
        <f t="shared" si="7"/>
        <v>40238</v>
      </c>
      <c r="H38" s="4">
        <f t="shared" si="7"/>
        <v>29246</v>
      </c>
      <c r="I38" s="4"/>
      <c r="J38" s="4"/>
      <c r="K38" s="4"/>
      <c r="L38" s="4"/>
      <c r="M38" s="4"/>
      <c r="N38" s="4"/>
      <c r="O38" s="4"/>
      <c r="P38" s="4"/>
      <c r="Q38" s="4"/>
      <c r="R38" s="4"/>
      <c r="S38" s="4"/>
      <c r="T38" s="4"/>
    </row>
    <row r="40" spans="1:20" x14ac:dyDescent="0.25">
      <c r="A40" s="1" t="s">
        <v>46</v>
      </c>
      <c r="B40" s="1">
        <v>0</v>
      </c>
      <c r="C40" s="1">
        <v>0</v>
      </c>
      <c r="D40" s="1">
        <v>0</v>
      </c>
      <c r="E40" s="1">
        <v>0</v>
      </c>
      <c r="F40" s="1">
        <v>0</v>
      </c>
      <c r="G40" s="1">
        <v>0</v>
      </c>
      <c r="H40" s="1">
        <v>0</v>
      </c>
      <c r="I40" s="1"/>
      <c r="J40" s="1"/>
      <c r="K40" s="1"/>
      <c r="L40" s="1"/>
      <c r="M40" s="1"/>
      <c r="N40" s="1"/>
      <c r="O40" s="1"/>
      <c r="P40" s="1"/>
      <c r="Q40" s="1"/>
      <c r="R40" s="1"/>
      <c r="S40" s="1"/>
      <c r="T40" s="1"/>
    </row>
    <row r="41" spans="1:20" x14ac:dyDescent="0.25">
      <c r="A41" s="6" t="s">
        <v>45</v>
      </c>
      <c r="B41" s="5">
        <v>180016</v>
      </c>
      <c r="C41" s="5">
        <v>125172</v>
      </c>
      <c r="D41" s="5">
        <v>119013</v>
      </c>
      <c r="E41" s="5">
        <v>109120</v>
      </c>
      <c r="F41" s="5">
        <v>107633</v>
      </c>
      <c r="G41" s="5">
        <v>97072</v>
      </c>
      <c r="H41" s="5">
        <v>74467</v>
      </c>
      <c r="I41" s="5"/>
      <c r="J41" s="5"/>
      <c r="K41" s="5"/>
      <c r="L41" s="5"/>
      <c r="M41" s="5"/>
      <c r="N41" s="5"/>
      <c r="O41" s="5"/>
      <c r="P41" s="5"/>
      <c r="Q41" s="5"/>
      <c r="R41" s="5"/>
      <c r="S41" s="5"/>
      <c r="T41" s="5"/>
    </row>
    <row r="43" spans="1:20" x14ac:dyDescent="0.25">
      <c r="A43" s="1" t="s">
        <v>44</v>
      </c>
      <c r="B43" s="1">
        <v>93126</v>
      </c>
      <c r="C43" s="1">
        <v>84800</v>
      </c>
      <c r="D43" s="1">
        <v>76534</v>
      </c>
      <c r="E43" s="1">
        <v>68184</v>
      </c>
      <c r="F43" s="1">
        <v>61774</v>
      </c>
      <c r="G43" s="1">
        <v>58510</v>
      </c>
      <c r="H43" s="1">
        <v>50552</v>
      </c>
      <c r="I43" s="1"/>
      <c r="J43" s="1"/>
      <c r="K43" s="1"/>
      <c r="L43" s="1"/>
      <c r="M43" s="1"/>
      <c r="N43" s="1"/>
      <c r="O43" s="1"/>
      <c r="P43" s="1"/>
      <c r="Q43" s="1"/>
      <c r="R43" s="1"/>
      <c r="S43" s="1"/>
      <c r="T43" s="1"/>
    </row>
    <row r="44" spans="1:20" x14ac:dyDescent="0.25">
      <c r="A44" s="1" t="s">
        <v>43</v>
      </c>
      <c r="B44" s="1">
        <v>324055</v>
      </c>
      <c r="C44" s="1">
        <v>245084</v>
      </c>
      <c r="D44" s="1">
        <v>211247</v>
      </c>
      <c r="E44" s="1">
        <v>195563</v>
      </c>
      <c r="F44" s="1">
        <v>191484</v>
      </c>
      <c r="G44" s="1">
        <v>163401</v>
      </c>
      <c r="H44" s="1">
        <v>152122</v>
      </c>
      <c r="I44" s="1"/>
      <c r="J44" s="1"/>
      <c r="K44" s="1"/>
      <c r="L44" s="1"/>
      <c r="M44" s="1"/>
      <c r="N44" s="1"/>
      <c r="O44" s="1"/>
      <c r="P44" s="1"/>
      <c r="Q44" s="1"/>
      <c r="R44" s="1"/>
      <c r="S44" s="1"/>
      <c r="T44" s="1"/>
    </row>
    <row r="45" spans="1:20" x14ac:dyDescent="0.25">
      <c r="A45" s="1" t="s">
        <v>42</v>
      </c>
      <c r="B45" s="1">
        <f t="shared" ref="B45:H45" si="8">B47-B43-B44</f>
        <v>-1916</v>
      </c>
      <c r="C45" s="1">
        <f t="shared" si="8"/>
        <v>-4800</v>
      </c>
      <c r="D45" s="1">
        <f t="shared" si="8"/>
        <v>-4402</v>
      </c>
      <c r="E45" s="1">
        <f t="shared" si="8"/>
        <v>-7603</v>
      </c>
      <c r="F45" s="1">
        <f t="shared" si="8"/>
        <v>-1623</v>
      </c>
      <c r="G45" s="1">
        <f t="shared" si="8"/>
        <v>633</v>
      </c>
      <c r="H45" s="1">
        <f t="shared" si="8"/>
        <v>-1232</v>
      </c>
      <c r="I45" s="1"/>
      <c r="J45" s="1"/>
      <c r="K45" s="1"/>
      <c r="L45" s="1"/>
      <c r="M45" s="1"/>
      <c r="N45" s="1"/>
      <c r="O45" s="1"/>
      <c r="P45" s="1"/>
      <c r="Q45" s="1"/>
      <c r="R45" s="1"/>
      <c r="S45" s="1"/>
      <c r="T45" s="1"/>
    </row>
    <row r="46" spans="1:20" x14ac:dyDescent="0.25">
      <c r="A46" s="1" t="s">
        <v>41</v>
      </c>
      <c r="B46" s="1">
        <v>0</v>
      </c>
      <c r="C46" s="1">
        <v>0</v>
      </c>
      <c r="D46" s="1">
        <v>0</v>
      </c>
      <c r="E46" s="1">
        <v>0</v>
      </c>
      <c r="F46" s="1">
        <v>0</v>
      </c>
      <c r="G46" s="1">
        <v>0</v>
      </c>
      <c r="H46" s="1">
        <v>0</v>
      </c>
      <c r="I46" s="1"/>
      <c r="J46" s="1"/>
      <c r="K46" s="1"/>
      <c r="L46" s="1"/>
      <c r="M46" s="1"/>
      <c r="N46" s="1"/>
      <c r="O46" s="1"/>
      <c r="P46" s="1"/>
      <c r="Q46" s="1"/>
      <c r="R46" s="1"/>
      <c r="S46" s="1"/>
      <c r="T46" s="1"/>
    </row>
    <row r="47" spans="1:20" x14ac:dyDescent="0.25">
      <c r="A47" s="6" t="s">
        <v>40</v>
      </c>
      <c r="B47" s="5">
        <v>415265</v>
      </c>
      <c r="C47" s="5">
        <v>325084</v>
      </c>
      <c r="D47" s="5">
        <v>283379</v>
      </c>
      <c r="E47" s="5">
        <v>256144</v>
      </c>
      <c r="F47" s="5">
        <v>251635</v>
      </c>
      <c r="G47" s="5">
        <v>222544</v>
      </c>
      <c r="H47" s="5">
        <v>201442</v>
      </c>
      <c r="I47" s="5"/>
      <c r="J47" s="5"/>
      <c r="K47" s="5"/>
      <c r="L47" s="5"/>
      <c r="M47" s="5"/>
      <c r="N47" s="5"/>
      <c r="O47" s="5"/>
      <c r="P47" s="5"/>
      <c r="Q47" s="5"/>
      <c r="R47" s="5"/>
      <c r="S47" s="5"/>
      <c r="T47" s="5"/>
    </row>
    <row r="49" spans="1:20" x14ac:dyDescent="0.25">
      <c r="A49" s="1" t="s">
        <v>39</v>
      </c>
      <c r="B49" s="1">
        <v>595281</v>
      </c>
      <c r="C49" s="1">
        <v>450256</v>
      </c>
      <c r="D49" s="1">
        <v>402392</v>
      </c>
      <c r="E49" s="1">
        <v>365264</v>
      </c>
      <c r="F49" s="1">
        <v>359268</v>
      </c>
      <c r="G49" s="1">
        <v>319616</v>
      </c>
      <c r="H49" s="1">
        <v>275909</v>
      </c>
      <c r="I49" s="1"/>
      <c r="J49" s="1"/>
      <c r="K49" s="1"/>
      <c r="L49" s="1"/>
      <c r="M49" s="1"/>
      <c r="N49" s="1"/>
      <c r="O49" s="1"/>
      <c r="P49" s="1"/>
      <c r="Q49" s="1"/>
      <c r="R49" s="1"/>
      <c r="S49" s="1"/>
      <c r="T49" s="1"/>
    </row>
    <row r="50" spans="1:20" x14ac:dyDescent="0.25">
      <c r="A50" s="1" t="s">
        <v>38</v>
      </c>
      <c r="B50" s="1">
        <f t="shared" ref="B50:H50" si="9">B8+B19</f>
        <v>164822</v>
      </c>
      <c r="C50" s="1">
        <f t="shared" si="9"/>
        <v>110173</v>
      </c>
      <c r="D50" s="1">
        <f t="shared" si="9"/>
        <v>117876</v>
      </c>
      <c r="E50" s="1">
        <f t="shared" si="9"/>
        <v>122375</v>
      </c>
      <c r="F50" s="1">
        <f t="shared" si="9"/>
        <v>148253</v>
      </c>
      <c r="G50" s="1">
        <f t="shared" si="9"/>
        <v>130932</v>
      </c>
      <c r="H50" s="1">
        <f t="shared" si="9"/>
        <v>114255</v>
      </c>
      <c r="I50" s="1"/>
      <c r="J50" s="1"/>
      <c r="K50" s="1"/>
      <c r="L50" s="1"/>
      <c r="M50" s="1"/>
      <c r="N50" s="1"/>
      <c r="O50" s="1"/>
      <c r="P50" s="1"/>
      <c r="Q50" s="1"/>
      <c r="R50" s="1"/>
      <c r="S50" s="1"/>
      <c r="T50" s="1"/>
    </row>
    <row r="51" spans="1:20" x14ac:dyDescent="0.25">
      <c r="A51" s="1" t="s">
        <v>37</v>
      </c>
      <c r="B51" s="1">
        <f t="shared" ref="B51:H51" si="10">B28+B34</f>
        <v>46547</v>
      </c>
      <c r="C51" s="1">
        <f t="shared" si="10"/>
        <v>10883</v>
      </c>
      <c r="D51" s="1">
        <f t="shared" si="10"/>
        <v>13253</v>
      </c>
      <c r="E51" s="1">
        <f t="shared" si="10"/>
        <v>14701</v>
      </c>
      <c r="F51" s="1">
        <f t="shared" si="10"/>
        <v>14817</v>
      </c>
      <c r="G51" s="1">
        <f t="shared" si="10"/>
        <v>13932</v>
      </c>
      <c r="H51" s="1">
        <f t="shared" si="10"/>
        <v>4554</v>
      </c>
      <c r="I51" s="1"/>
      <c r="J51" s="1"/>
      <c r="K51" s="1"/>
      <c r="L51" s="1"/>
      <c r="M51" s="1"/>
      <c r="N51" s="1"/>
      <c r="O51" s="1"/>
      <c r="P51" s="1"/>
      <c r="Q51" s="1"/>
      <c r="R51" s="1"/>
      <c r="S51" s="1"/>
      <c r="T51" s="1"/>
    </row>
    <row r="52" spans="1:20" x14ac:dyDescent="0.25">
      <c r="A52" s="1" t="s">
        <v>36</v>
      </c>
      <c r="B52" s="1">
        <f t="shared" ref="B52:H52" si="11">B51-B7</f>
        <v>15839</v>
      </c>
      <c r="C52" s="1">
        <f t="shared" si="11"/>
        <v>-12583</v>
      </c>
      <c r="D52" s="1">
        <f t="shared" si="11"/>
        <v>-10795</v>
      </c>
      <c r="E52" s="1">
        <f t="shared" si="11"/>
        <v>-7178</v>
      </c>
      <c r="F52" s="1">
        <f t="shared" si="11"/>
        <v>-6128</v>
      </c>
      <c r="G52" s="1">
        <f t="shared" si="11"/>
        <v>-12533</v>
      </c>
      <c r="H52" s="1">
        <f t="shared" si="11"/>
        <v>-13944</v>
      </c>
      <c r="I52" s="1"/>
      <c r="J52" s="1"/>
      <c r="K52" s="1"/>
      <c r="L52" s="1"/>
      <c r="M52" s="1"/>
      <c r="N52" s="1"/>
      <c r="O52" s="1"/>
      <c r="P52" s="1"/>
      <c r="Q52" s="1"/>
      <c r="R52" s="1"/>
      <c r="S52" s="1"/>
      <c r="T52" s="1"/>
    </row>
  </sheetData>
  <mergeCells count="1">
    <mergeCell ref="B4:T4"/>
  </mergeCells>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2DFF73-F9C8-475E-8299-41736F85A215}">
  <sheetPr>
    <tabColor rgb="FFC6E0B4"/>
  </sheetPr>
  <dimension ref="A1:T39"/>
  <sheetViews>
    <sheetView workbookViewId="0"/>
  </sheetViews>
  <sheetFormatPr defaultRowHeight="15" x14ac:dyDescent="0.25"/>
  <cols>
    <col min="1" max="1" width="44.28515625" bestFit="1" customWidth="1"/>
    <col min="2" max="2" width="19" bestFit="1" customWidth="1"/>
    <col min="3" max="3" width="18.28515625" bestFit="1" customWidth="1"/>
    <col min="4" max="11" width="18" bestFit="1" customWidth="1"/>
    <col min="12" max="13" width="17.28515625" bestFit="1" customWidth="1"/>
    <col min="14" max="19" width="16.85546875" bestFit="1" customWidth="1"/>
    <col min="20" max="20" width="16.140625" bestFit="1" customWidth="1"/>
  </cols>
  <sheetData>
    <row r="1" spans="1:20" x14ac:dyDescent="0.25">
      <c r="A1" s="10" t="s">
        <v>206</v>
      </c>
      <c r="B1" s="10"/>
      <c r="C1" s="10"/>
      <c r="D1" s="10"/>
      <c r="E1" s="10"/>
      <c r="F1" s="10"/>
      <c r="G1" s="10"/>
      <c r="H1" s="10"/>
      <c r="I1" s="10"/>
      <c r="J1" s="10"/>
      <c r="K1" s="10"/>
      <c r="L1" s="10"/>
      <c r="M1" s="10"/>
      <c r="N1" s="10"/>
      <c r="O1" s="10"/>
      <c r="P1" s="10"/>
      <c r="Q1" s="10"/>
      <c r="R1" s="10"/>
      <c r="S1" s="10"/>
      <c r="T1" s="10"/>
    </row>
    <row r="2" spans="1:20" x14ac:dyDescent="0.25">
      <c r="A2" t="s">
        <v>1</v>
      </c>
      <c r="B2" t="s">
        <v>204</v>
      </c>
    </row>
    <row r="3" spans="1:20" x14ac:dyDescent="0.25">
      <c r="A3" t="s">
        <v>3</v>
      </c>
      <c r="B3" t="str">
        <f>'GOOGL - Income Statement FY'!B3</f>
        <v>USD</v>
      </c>
    </row>
    <row r="4" spans="1:20" x14ac:dyDescent="0.25">
      <c r="A4" t="s">
        <v>32</v>
      </c>
      <c r="B4" s="236" t="s">
        <v>33</v>
      </c>
      <c r="C4" s="236"/>
      <c r="D4" s="236"/>
      <c r="E4" s="236"/>
      <c r="F4" s="236"/>
      <c r="G4" s="236"/>
      <c r="H4" s="236"/>
      <c r="I4" s="236"/>
      <c r="J4" s="236"/>
      <c r="K4" s="236"/>
      <c r="L4" s="236"/>
      <c r="M4" s="236"/>
      <c r="N4" s="236"/>
      <c r="O4" s="236"/>
      <c r="P4" s="236"/>
      <c r="Q4" s="236"/>
      <c r="R4" s="236"/>
      <c r="S4" s="236"/>
      <c r="T4" s="236"/>
    </row>
    <row r="5" spans="1:20" x14ac:dyDescent="0.25">
      <c r="A5" t="s">
        <v>34</v>
      </c>
      <c r="B5" s="8">
        <v>46022</v>
      </c>
      <c r="C5" s="8">
        <v>45657</v>
      </c>
      <c r="D5" s="8">
        <v>45291</v>
      </c>
      <c r="E5" s="8">
        <v>44926</v>
      </c>
      <c r="F5" s="8">
        <v>44561</v>
      </c>
      <c r="G5" s="8">
        <v>44196</v>
      </c>
      <c r="H5" s="8">
        <v>43830</v>
      </c>
      <c r="I5" s="8"/>
      <c r="J5" s="8"/>
      <c r="K5" s="8"/>
      <c r="L5" s="8"/>
      <c r="M5" s="8"/>
      <c r="N5" s="8"/>
      <c r="O5" s="8"/>
      <c r="P5" s="8"/>
      <c r="Q5" s="8"/>
      <c r="R5" s="8"/>
      <c r="S5" s="8"/>
      <c r="T5" s="8"/>
    </row>
    <row r="7" spans="1:20" x14ac:dyDescent="0.25">
      <c r="A7" s="6" t="s">
        <v>10</v>
      </c>
      <c r="B7" s="5">
        <v>132170</v>
      </c>
      <c r="C7" s="5">
        <v>100118</v>
      </c>
      <c r="D7" s="5">
        <v>73795</v>
      </c>
      <c r="E7" s="5">
        <v>59972</v>
      </c>
      <c r="F7" s="5">
        <v>76033</v>
      </c>
      <c r="G7" s="5">
        <v>40269</v>
      </c>
      <c r="H7" s="5">
        <v>34343</v>
      </c>
      <c r="I7" s="5"/>
      <c r="J7" s="5"/>
      <c r="K7" s="5"/>
      <c r="L7" s="5"/>
      <c r="M7" s="5"/>
      <c r="N7" s="5"/>
      <c r="O7" s="5"/>
      <c r="P7" s="5"/>
      <c r="Q7" s="5"/>
      <c r="R7" s="5"/>
      <c r="S7" s="5"/>
      <c r="T7" s="5"/>
    </row>
    <row r="8" spans="1:20" x14ac:dyDescent="0.25">
      <c r="A8" s="1" t="s">
        <v>19</v>
      </c>
      <c r="B8" s="1">
        <v>21136</v>
      </c>
      <c r="C8" s="1">
        <v>15311</v>
      </c>
      <c r="D8" s="1">
        <v>11946</v>
      </c>
      <c r="E8" s="1">
        <v>14116</v>
      </c>
      <c r="F8" s="1">
        <v>11159</v>
      </c>
      <c r="G8" s="1">
        <v>13697</v>
      </c>
      <c r="H8" s="1">
        <v>10856</v>
      </c>
      <c r="I8" s="1"/>
      <c r="J8" s="1"/>
      <c r="K8" s="1"/>
      <c r="L8" s="1"/>
      <c r="M8" s="1"/>
      <c r="N8" s="1"/>
      <c r="O8" s="1"/>
      <c r="P8" s="1"/>
      <c r="Q8" s="1"/>
      <c r="R8" s="1"/>
      <c r="S8" s="1"/>
      <c r="T8" s="1"/>
    </row>
    <row r="9" spans="1:20" x14ac:dyDescent="0.25">
      <c r="A9" s="1" t="s">
        <v>102</v>
      </c>
      <c r="B9" s="1">
        <v>8348</v>
      </c>
      <c r="C9" s="1">
        <v>5257</v>
      </c>
      <c r="D9" s="1">
        <v>7763</v>
      </c>
      <c r="E9" s="1">
        <v>8081</v>
      </c>
      <c r="F9" s="1">
        <v>1808</v>
      </c>
      <c r="G9" s="1">
        <v>1390</v>
      </c>
      <c r="H9" s="1">
        <v>173</v>
      </c>
      <c r="I9" s="1"/>
      <c r="J9" s="1"/>
      <c r="K9" s="1"/>
      <c r="L9" s="1"/>
      <c r="M9" s="1"/>
      <c r="N9" s="1"/>
      <c r="O9" s="1"/>
      <c r="P9" s="1"/>
      <c r="Q9" s="1"/>
      <c r="R9" s="1"/>
      <c r="S9" s="1"/>
      <c r="T9" s="1"/>
    </row>
    <row r="10" spans="1:20" x14ac:dyDescent="0.25">
      <c r="A10" s="1" t="s">
        <v>101</v>
      </c>
      <c r="B10" s="1">
        <v>24953</v>
      </c>
      <c r="C10" s="1">
        <v>22785</v>
      </c>
      <c r="D10" s="1">
        <v>22460</v>
      </c>
      <c r="E10" s="1">
        <v>19362</v>
      </c>
      <c r="F10" s="1">
        <v>15376</v>
      </c>
      <c r="G10" s="1">
        <v>12991</v>
      </c>
      <c r="H10" s="1">
        <v>10794</v>
      </c>
      <c r="I10" s="1"/>
      <c r="J10" s="1"/>
      <c r="K10" s="1"/>
      <c r="L10" s="1"/>
      <c r="M10" s="1"/>
      <c r="N10" s="1"/>
      <c r="O10" s="1"/>
      <c r="P10" s="1"/>
      <c r="Q10" s="1"/>
      <c r="R10" s="1"/>
      <c r="S10" s="1"/>
      <c r="T10" s="1"/>
    </row>
    <row r="11" spans="1:20" x14ac:dyDescent="0.25">
      <c r="A11" s="1" t="s">
        <v>100</v>
      </c>
      <c r="B11" s="1">
        <f t="shared" ref="B11:H11" si="0">SUM(B12:B15)</f>
        <v>-48622</v>
      </c>
      <c r="C11" s="1">
        <f t="shared" si="0"/>
        <v>-24262</v>
      </c>
      <c r="D11" s="1">
        <f t="shared" si="0"/>
        <v>-19371</v>
      </c>
      <c r="E11" s="1">
        <f t="shared" si="0"/>
        <v>-19038</v>
      </c>
      <c r="F11" s="1">
        <f t="shared" si="0"/>
        <v>-26949</v>
      </c>
      <c r="G11" s="1">
        <f t="shared" si="0"/>
        <v>1827</v>
      </c>
      <c r="H11" s="1">
        <f t="shared" si="0"/>
        <v>-5036</v>
      </c>
      <c r="I11" s="1"/>
      <c r="J11" s="1"/>
      <c r="K11" s="1"/>
      <c r="L11" s="1"/>
      <c r="M11" s="1"/>
      <c r="N11" s="1"/>
      <c r="O11" s="1"/>
      <c r="P11" s="1"/>
      <c r="Q11" s="1"/>
      <c r="R11" s="1"/>
      <c r="S11" s="1"/>
      <c r="T11" s="1"/>
    </row>
    <row r="12" spans="1:20" x14ac:dyDescent="0.25">
      <c r="A12" s="1" t="s">
        <v>99</v>
      </c>
      <c r="B12" s="1">
        <v>8779</v>
      </c>
      <c r="C12" s="1">
        <v>5891</v>
      </c>
      <c r="D12" s="1">
        <v>7833</v>
      </c>
      <c r="E12" s="1">
        <v>2317</v>
      </c>
      <c r="F12" s="1">
        <v>9095</v>
      </c>
      <c r="G12" s="1">
        <v>-6524</v>
      </c>
      <c r="H12" s="1">
        <v>4340</v>
      </c>
      <c r="I12" s="1"/>
      <c r="J12" s="1"/>
      <c r="K12" s="1"/>
      <c r="L12" s="1"/>
      <c r="M12" s="1"/>
      <c r="N12" s="1"/>
      <c r="O12" s="1"/>
      <c r="P12" s="1"/>
      <c r="Q12" s="1"/>
      <c r="R12" s="1"/>
      <c r="S12" s="1"/>
      <c r="T12" s="1"/>
    </row>
    <row r="13" spans="1:20" x14ac:dyDescent="0.25">
      <c r="A13" s="1" t="s">
        <v>70</v>
      </c>
      <c r="B13" s="1">
        <v>0</v>
      </c>
      <c r="C13" s="1">
        <v>0</v>
      </c>
      <c r="D13" s="1">
        <v>0</v>
      </c>
      <c r="E13" s="1">
        <v>0</v>
      </c>
      <c r="F13" s="1">
        <v>0</v>
      </c>
      <c r="G13" s="1">
        <v>0</v>
      </c>
      <c r="H13" s="1">
        <v>0</v>
      </c>
      <c r="I13" s="1"/>
      <c r="J13" s="1"/>
      <c r="K13" s="1"/>
      <c r="L13" s="1"/>
      <c r="M13" s="1"/>
      <c r="N13" s="1"/>
      <c r="O13" s="1"/>
      <c r="P13" s="1"/>
      <c r="Q13" s="1"/>
      <c r="R13" s="1"/>
      <c r="S13" s="1"/>
      <c r="T13" s="1"/>
    </row>
    <row r="14" spans="1:20" x14ac:dyDescent="0.25">
      <c r="A14" s="1" t="s">
        <v>98</v>
      </c>
      <c r="B14" s="1">
        <v>907</v>
      </c>
      <c r="C14" s="1">
        <v>359</v>
      </c>
      <c r="D14" s="1">
        <v>664</v>
      </c>
      <c r="E14" s="1">
        <v>707</v>
      </c>
      <c r="F14" s="1">
        <v>283</v>
      </c>
      <c r="G14" s="1">
        <v>694</v>
      </c>
      <c r="H14" s="1">
        <v>428</v>
      </c>
      <c r="I14" s="1"/>
      <c r="J14" s="1"/>
      <c r="K14" s="1"/>
      <c r="L14" s="1"/>
      <c r="M14" s="1"/>
      <c r="N14" s="1"/>
      <c r="O14" s="1"/>
      <c r="P14" s="1"/>
      <c r="Q14" s="1"/>
      <c r="R14" s="1"/>
      <c r="S14" s="1"/>
      <c r="T14" s="1"/>
    </row>
    <row r="15" spans="1:20" x14ac:dyDescent="0.25">
      <c r="A15" s="1" t="s">
        <v>97</v>
      </c>
      <c r="B15" s="1">
        <f t="shared" ref="B15:H15" si="1">B17-B7-B8-B9-B10-B16-B12-B13-B14</f>
        <v>-58308</v>
      </c>
      <c r="C15" s="1">
        <f t="shared" si="1"/>
        <v>-30512</v>
      </c>
      <c r="D15" s="1">
        <f t="shared" si="1"/>
        <v>-27868</v>
      </c>
      <c r="E15" s="1">
        <f t="shared" si="1"/>
        <v>-22062</v>
      </c>
      <c r="F15" s="1">
        <f t="shared" si="1"/>
        <v>-36327</v>
      </c>
      <c r="G15" s="1">
        <f t="shared" si="1"/>
        <v>7657</v>
      </c>
      <c r="H15" s="1">
        <f t="shared" si="1"/>
        <v>-9804</v>
      </c>
      <c r="I15" s="1"/>
      <c r="J15" s="1"/>
      <c r="K15" s="1"/>
      <c r="L15" s="1"/>
      <c r="M15" s="1"/>
      <c r="N15" s="1"/>
      <c r="O15" s="1"/>
      <c r="P15" s="1"/>
      <c r="Q15" s="1"/>
      <c r="R15" s="1"/>
      <c r="S15" s="1"/>
      <c r="T15" s="1"/>
    </row>
    <row r="16" spans="1:20" x14ac:dyDescent="0.25">
      <c r="A16" s="1" t="s">
        <v>96</v>
      </c>
      <c r="B16" s="1">
        <v>26728</v>
      </c>
      <c r="C16" s="1">
        <v>6090</v>
      </c>
      <c r="D16" s="1">
        <v>5153</v>
      </c>
      <c r="E16" s="1">
        <v>9002</v>
      </c>
      <c r="F16" s="1">
        <v>14225</v>
      </c>
      <c r="G16" s="1">
        <v>-5050</v>
      </c>
      <c r="H16" s="1">
        <v>3390</v>
      </c>
      <c r="I16" s="1"/>
      <c r="J16" s="1"/>
      <c r="K16" s="1"/>
      <c r="L16" s="1"/>
      <c r="M16" s="1"/>
      <c r="N16" s="1"/>
      <c r="O16" s="1"/>
      <c r="P16" s="1"/>
      <c r="Q16" s="1"/>
      <c r="R16" s="1"/>
      <c r="S16" s="1"/>
      <c r="T16" s="1"/>
    </row>
    <row r="17" spans="1:20" x14ac:dyDescent="0.25">
      <c r="A17" s="6" t="s">
        <v>95</v>
      </c>
      <c r="B17" s="4">
        <v>164713</v>
      </c>
      <c r="C17" s="4">
        <v>125299</v>
      </c>
      <c r="D17" s="4">
        <v>101746</v>
      </c>
      <c r="E17" s="4">
        <v>91495</v>
      </c>
      <c r="F17" s="4">
        <v>91652</v>
      </c>
      <c r="G17" s="4">
        <v>65124</v>
      </c>
      <c r="H17" s="4">
        <v>54520</v>
      </c>
      <c r="I17" s="4"/>
      <c r="J17" s="4"/>
      <c r="K17" s="4"/>
      <c r="L17" s="4"/>
      <c r="M17" s="4"/>
      <c r="N17" s="4"/>
      <c r="O17" s="4"/>
      <c r="P17" s="4"/>
      <c r="Q17" s="4"/>
      <c r="R17" s="4"/>
      <c r="S17" s="4"/>
      <c r="T17" s="4"/>
    </row>
    <row r="19" spans="1:20" x14ac:dyDescent="0.25">
      <c r="A19" s="1" t="s">
        <v>94</v>
      </c>
      <c r="B19" s="1">
        <v>-91447</v>
      </c>
      <c r="C19" s="1">
        <v>-52535</v>
      </c>
      <c r="D19" s="1">
        <v>-32251</v>
      </c>
      <c r="E19" s="1">
        <v>-31485</v>
      </c>
      <c r="F19" s="1">
        <v>-24640</v>
      </c>
      <c r="G19" s="1">
        <v>-22281</v>
      </c>
      <c r="H19" s="1">
        <v>-23548</v>
      </c>
      <c r="I19" s="1"/>
      <c r="J19" s="1"/>
      <c r="K19" s="1"/>
      <c r="L19" s="1"/>
      <c r="M19" s="1"/>
      <c r="N19" s="1"/>
      <c r="O19" s="1"/>
      <c r="P19" s="1"/>
      <c r="Q19" s="1"/>
      <c r="R19" s="1"/>
      <c r="S19" s="1"/>
      <c r="T19" s="1"/>
    </row>
    <row r="20" spans="1:20" x14ac:dyDescent="0.25">
      <c r="A20" s="1" t="s">
        <v>93</v>
      </c>
      <c r="B20" s="1">
        <v>-1592</v>
      </c>
      <c r="C20" s="1">
        <v>-2931</v>
      </c>
      <c r="D20" s="1">
        <v>-495</v>
      </c>
      <c r="E20" s="1">
        <v>-6969</v>
      </c>
      <c r="F20" s="1">
        <v>-2618</v>
      </c>
      <c r="G20" s="1">
        <v>-738</v>
      </c>
      <c r="H20" s="1">
        <v>-2515</v>
      </c>
      <c r="I20" s="1"/>
      <c r="J20" s="1"/>
      <c r="K20" s="1"/>
      <c r="L20" s="1"/>
      <c r="M20" s="1"/>
      <c r="N20" s="1"/>
      <c r="O20" s="1"/>
      <c r="P20" s="1"/>
      <c r="Q20" s="1"/>
      <c r="R20" s="1"/>
      <c r="S20" s="1"/>
      <c r="T20" s="1"/>
    </row>
    <row r="21" spans="1:20" x14ac:dyDescent="0.25">
      <c r="A21" s="1" t="s">
        <v>92</v>
      </c>
      <c r="B21" s="1">
        <v>-109489</v>
      </c>
      <c r="C21" s="1">
        <v>-91713</v>
      </c>
      <c r="D21" s="1">
        <v>-80885</v>
      </c>
      <c r="E21" s="1">
        <v>-81405</v>
      </c>
      <c r="F21" s="1">
        <v>-138034</v>
      </c>
      <c r="G21" s="1">
        <v>-143751</v>
      </c>
      <c r="H21" s="1">
        <v>-102247</v>
      </c>
      <c r="I21" s="1"/>
      <c r="J21" s="1"/>
      <c r="K21" s="1"/>
      <c r="L21" s="1"/>
      <c r="M21" s="1"/>
      <c r="N21" s="1"/>
      <c r="O21" s="1"/>
      <c r="P21" s="1"/>
      <c r="Q21" s="1"/>
      <c r="R21" s="1"/>
      <c r="S21" s="1"/>
      <c r="T21" s="1"/>
    </row>
    <row r="22" spans="1:20" x14ac:dyDescent="0.25">
      <c r="A22" s="1" t="s">
        <v>91</v>
      </c>
      <c r="B22" s="1">
        <v>84607</v>
      </c>
      <c r="C22" s="1">
        <v>104310</v>
      </c>
      <c r="D22" s="1">
        <v>87619</v>
      </c>
      <c r="E22" s="1">
        <v>97972</v>
      </c>
      <c r="F22" s="1">
        <v>129228</v>
      </c>
      <c r="G22" s="1">
        <v>133929</v>
      </c>
      <c r="H22" s="1">
        <v>98230</v>
      </c>
      <c r="I22" s="1"/>
      <c r="J22" s="1"/>
      <c r="K22" s="1"/>
      <c r="L22" s="1"/>
      <c r="M22" s="1"/>
      <c r="N22" s="1"/>
      <c r="O22" s="1"/>
      <c r="P22" s="1"/>
      <c r="Q22" s="1"/>
      <c r="R22" s="1"/>
      <c r="S22" s="1"/>
      <c r="T22" s="1"/>
    </row>
    <row r="23" spans="1:20" x14ac:dyDescent="0.25">
      <c r="A23" s="1" t="s">
        <v>90</v>
      </c>
      <c r="B23" s="1">
        <f t="shared" ref="B23:H23" si="2">B24-SUM(B19:B22)</f>
        <v>-2370</v>
      </c>
      <c r="C23" s="1">
        <f t="shared" si="2"/>
        <v>-2667</v>
      </c>
      <c r="D23" s="1">
        <f t="shared" si="2"/>
        <v>-1051</v>
      </c>
      <c r="E23" s="1">
        <f t="shared" si="2"/>
        <v>1589</v>
      </c>
      <c r="F23" s="1">
        <f t="shared" si="2"/>
        <v>541</v>
      </c>
      <c r="G23" s="1">
        <f t="shared" si="2"/>
        <v>68</v>
      </c>
      <c r="H23" s="1">
        <f t="shared" si="2"/>
        <v>589</v>
      </c>
      <c r="I23" s="1"/>
      <c r="J23" s="1"/>
      <c r="K23" s="1"/>
      <c r="L23" s="1"/>
      <c r="M23" s="1"/>
      <c r="N23" s="1"/>
      <c r="O23" s="1"/>
      <c r="P23" s="1"/>
      <c r="Q23" s="1"/>
      <c r="R23" s="1"/>
      <c r="S23" s="1"/>
      <c r="T23" s="1"/>
    </row>
    <row r="24" spans="1:20" x14ac:dyDescent="0.25">
      <c r="A24" s="6" t="s">
        <v>89</v>
      </c>
      <c r="B24" s="4">
        <v>-120291</v>
      </c>
      <c r="C24" s="4">
        <v>-45536</v>
      </c>
      <c r="D24" s="4">
        <v>-27063</v>
      </c>
      <c r="E24" s="4">
        <v>-20298</v>
      </c>
      <c r="F24" s="4">
        <v>-35523</v>
      </c>
      <c r="G24" s="4">
        <v>-32773</v>
      </c>
      <c r="H24" s="4">
        <v>-29491</v>
      </c>
      <c r="I24" s="4"/>
      <c r="J24" s="4"/>
      <c r="K24" s="4"/>
      <c r="L24" s="4"/>
      <c r="M24" s="4"/>
      <c r="N24" s="4"/>
      <c r="O24" s="4"/>
      <c r="P24" s="4"/>
      <c r="Q24" s="4"/>
      <c r="R24" s="4"/>
      <c r="S24" s="4"/>
      <c r="T24" s="4"/>
    </row>
    <row r="26" spans="1:20" x14ac:dyDescent="0.25">
      <c r="A26" s="1" t="s">
        <v>88</v>
      </c>
      <c r="B26" s="1">
        <v>-32427</v>
      </c>
      <c r="C26" s="1">
        <v>-12701</v>
      </c>
      <c r="D26" s="1">
        <v>-11550</v>
      </c>
      <c r="E26" s="1">
        <v>-54068</v>
      </c>
      <c r="F26" s="1">
        <v>-21435</v>
      </c>
      <c r="G26" s="1">
        <v>-2100</v>
      </c>
      <c r="H26" s="1">
        <v>-585</v>
      </c>
      <c r="I26" s="1"/>
      <c r="J26" s="1"/>
      <c r="K26" s="1"/>
      <c r="L26" s="1"/>
      <c r="M26" s="1"/>
      <c r="N26" s="1"/>
      <c r="O26" s="1"/>
      <c r="P26" s="1"/>
      <c r="Q26" s="1"/>
      <c r="R26" s="1"/>
      <c r="S26" s="1"/>
      <c r="T26" s="1"/>
    </row>
    <row r="27" spans="1:20" x14ac:dyDescent="0.25">
      <c r="A27" s="1" t="s">
        <v>87</v>
      </c>
      <c r="B27" s="1">
        <v>14167</v>
      </c>
      <c r="C27" s="1">
        <v>12190</v>
      </c>
      <c r="D27" s="1">
        <v>9837</v>
      </c>
      <c r="E27" s="1">
        <v>9300</v>
      </c>
      <c r="F27" s="1">
        <v>10162</v>
      </c>
      <c r="G27" s="1">
        <v>-5720</v>
      </c>
      <c r="H27" s="1">
        <v>4765</v>
      </c>
      <c r="I27" s="1"/>
      <c r="J27" s="1"/>
      <c r="K27" s="1"/>
      <c r="L27" s="1"/>
      <c r="M27" s="1"/>
      <c r="N27" s="1"/>
      <c r="O27" s="1"/>
      <c r="P27" s="1"/>
      <c r="Q27" s="1"/>
      <c r="R27" s="1"/>
      <c r="S27" s="1"/>
      <c r="T27" s="1"/>
    </row>
    <row r="28" spans="1:20" x14ac:dyDescent="0.25">
      <c r="A28" s="1" t="s">
        <v>86</v>
      </c>
      <c r="B28" s="1">
        <v>-45709</v>
      </c>
      <c r="C28" s="1">
        <v>-62222</v>
      </c>
      <c r="D28" s="1">
        <v>-61504</v>
      </c>
      <c r="E28" s="1">
        <v>-59296</v>
      </c>
      <c r="F28" s="1">
        <v>-50274</v>
      </c>
      <c r="G28" s="1">
        <v>-31149</v>
      </c>
      <c r="H28" s="1">
        <v>-18396</v>
      </c>
      <c r="I28" s="1"/>
      <c r="J28" s="1"/>
      <c r="K28" s="1"/>
      <c r="L28" s="1"/>
      <c r="M28" s="1"/>
      <c r="N28" s="1"/>
      <c r="O28" s="1"/>
      <c r="P28" s="1"/>
      <c r="Q28" s="1"/>
      <c r="R28" s="1"/>
      <c r="S28" s="1"/>
      <c r="T28" s="1"/>
    </row>
    <row r="29" spans="1:20" x14ac:dyDescent="0.25">
      <c r="A29" s="1" t="s">
        <v>85</v>
      </c>
      <c r="B29" s="1">
        <v>-10049</v>
      </c>
      <c r="C29" s="1">
        <v>-7363</v>
      </c>
      <c r="D29" s="1">
        <v>0</v>
      </c>
      <c r="E29" s="1">
        <v>0</v>
      </c>
      <c r="F29" s="1">
        <v>0</v>
      </c>
      <c r="G29" s="1">
        <v>0</v>
      </c>
      <c r="H29" s="1">
        <v>0</v>
      </c>
      <c r="I29" s="1"/>
      <c r="J29" s="1"/>
      <c r="K29" s="1"/>
      <c r="L29" s="1"/>
      <c r="M29" s="1"/>
      <c r="N29" s="1"/>
      <c r="O29" s="1"/>
      <c r="P29" s="1"/>
      <c r="Q29" s="1"/>
      <c r="R29" s="1"/>
      <c r="S29" s="1"/>
      <c r="T29" s="1"/>
    </row>
    <row r="30" spans="1:20" x14ac:dyDescent="0.25">
      <c r="A30" s="1" t="s">
        <v>84</v>
      </c>
      <c r="B30" s="1">
        <f t="shared" ref="B30:H30" si="3">B31-SUM(B26:B29)</f>
        <v>36630</v>
      </c>
      <c r="C30" s="1">
        <f t="shared" si="3"/>
        <v>-9637</v>
      </c>
      <c r="D30" s="1">
        <f t="shared" si="3"/>
        <v>-8876</v>
      </c>
      <c r="E30" s="1">
        <f t="shared" si="3"/>
        <v>34307</v>
      </c>
      <c r="F30" s="1">
        <f t="shared" si="3"/>
        <v>185</v>
      </c>
      <c r="G30" s="1">
        <f t="shared" si="3"/>
        <v>14561</v>
      </c>
      <c r="H30" s="1">
        <f t="shared" si="3"/>
        <v>-8993</v>
      </c>
      <c r="I30" s="1"/>
      <c r="J30" s="1"/>
      <c r="K30" s="1"/>
      <c r="L30" s="1"/>
      <c r="M30" s="1"/>
      <c r="N30" s="1"/>
      <c r="O30" s="1"/>
      <c r="P30" s="1"/>
      <c r="Q30" s="1"/>
      <c r="R30" s="1"/>
      <c r="S30" s="1"/>
      <c r="T30" s="1"/>
    </row>
    <row r="31" spans="1:20" x14ac:dyDescent="0.25">
      <c r="A31" s="6" t="s">
        <v>83</v>
      </c>
      <c r="B31" s="4">
        <v>-37388</v>
      </c>
      <c r="C31" s="4">
        <v>-79733</v>
      </c>
      <c r="D31" s="4">
        <v>-72093</v>
      </c>
      <c r="E31" s="4">
        <v>-69757</v>
      </c>
      <c r="F31" s="4">
        <v>-61362</v>
      </c>
      <c r="G31" s="4">
        <v>-24408</v>
      </c>
      <c r="H31" s="4">
        <v>-23209</v>
      </c>
      <c r="I31" s="4"/>
      <c r="J31" s="4"/>
      <c r="K31" s="4"/>
      <c r="L31" s="4"/>
      <c r="M31" s="4"/>
      <c r="N31" s="4"/>
      <c r="O31" s="4"/>
      <c r="P31" s="4"/>
      <c r="Q31" s="4"/>
      <c r="R31" s="4"/>
      <c r="S31" s="4"/>
      <c r="T31" s="4"/>
    </row>
    <row r="33" spans="1:20" x14ac:dyDescent="0.25">
      <c r="A33" s="1" t="s">
        <v>82</v>
      </c>
      <c r="B33" s="1">
        <f t="shared" ref="B33:H33" si="4">B34-B17-B24-B31</f>
        <v>208</v>
      </c>
      <c r="C33" s="1">
        <f t="shared" si="4"/>
        <v>-612</v>
      </c>
      <c r="D33" s="1">
        <f t="shared" si="4"/>
        <v>-421</v>
      </c>
      <c r="E33" s="1">
        <f t="shared" si="4"/>
        <v>-506</v>
      </c>
      <c r="F33" s="1">
        <f t="shared" si="4"/>
        <v>-287</v>
      </c>
      <c r="G33" s="1">
        <f t="shared" si="4"/>
        <v>24</v>
      </c>
      <c r="H33" s="1">
        <f t="shared" si="4"/>
        <v>-23</v>
      </c>
      <c r="I33" s="1"/>
      <c r="J33" s="1"/>
      <c r="K33" s="1"/>
      <c r="L33" s="1"/>
      <c r="M33" s="1"/>
      <c r="N33" s="1"/>
      <c r="O33" s="1"/>
      <c r="P33" s="1"/>
      <c r="Q33" s="1"/>
      <c r="R33" s="1"/>
      <c r="S33" s="1"/>
      <c r="T33" s="1"/>
    </row>
    <row r="34" spans="1:20" x14ac:dyDescent="0.25">
      <c r="A34" s="1" t="s">
        <v>81</v>
      </c>
      <c r="B34" s="1">
        <f t="shared" ref="B34:H34" si="5">B35-B36</f>
        <v>7242</v>
      </c>
      <c r="C34" s="1">
        <f t="shared" si="5"/>
        <v>-582</v>
      </c>
      <c r="D34" s="1">
        <f t="shared" si="5"/>
        <v>2169</v>
      </c>
      <c r="E34" s="1">
        <f t="shared" si="5"/>
        <v>934</v>
      </c>
      <c r="F34" s="1">
        <f t="shared" si="5"/>
        <v>-5520</v>
      </c>
      <c r="G34" s="1">
        <f t="shared" si="5"/>
        <v>7967</v>
      </c>
      <c r="H34" s="1">
        <f t="shared" si="5"/>
        <v>1797</v>
      </c>
      <c r="I34" s="1"/>
      <c r="J34" s="1"/>
      <c r="K34" s="1"/>
      <c r="L34" s="1"/>
      <c r="M34" s="1"/>
      <c r="N34" s="1"/>
      <c r="O34" s="1"/>
      <c r="P34" s="1"/>
      <c r="Q34" s="1"/>
      <c r="R34" s="1"/>
      <c r="S34" s="1"/>
      <c r="T34" s="1"/>
    </row>
    <row r="35" spans="1:20" x14ac:dyDescent="0.25">
      <c r="A35" s="1" t="s">
        <v>80</v>
      </c>
      <c r="B35" s="1">
        <v>30708</v>
      </c>
      <c r="C35" s="1">
        <v>23466</v>
      </c>
      <c r="D35" s="1">
        <v>24048</v>
      </c>
      <c r="E35" s="1">
        <v>21879</v>
      </c>
      <c r="F35" s="1">
        <v>20945</v>
      </c>
      <c r="G35" s="1">
        <v>26465</v>
      </c>
      <c r="H35" s="1">
        <v>18498</v>
      </c>
      <c r="I35" s="1"/>
      <c r="J35" s="1"/>
      <c r="K35" s="1"/>
      <c r="L35" s="1"/>
      <c r="M35" s="1"/>
      <c r="N35" s="1"/>
      <c r="O35" s="1"/>
      <c r="P35" s="1"/>
      <c r="Q35" s="1"/>
      <c r="R35" s="1"/>
      <c r="S35" s="1"/>
      <c r="T35" s="1"/>
    </row>
    <row r="36" spans="1:20" x14ac:dyDescent="0.25">
      <c r="A36" s="1" t="s">
        <v>79</v>
      </c>
      <c r="B36" s="1">
        <v>23466</v>
      </c>
      <c r="C36" s="1">
        <v>24048</v>
      </c>
      <c r="D36" s="1">
        <v>21879</v>
      </c>
      <c r="E36" s="1">
        <v>20945</v>
      </c>
      <c r="F36" s="1">
        <v>26465</v>
      </c>
      <c r="G36" s="1">
        <v>18498</v>
      </c>
      <c r="H36" s="1">
        <v>16701</v>
      </c>
      <c r="I36" s="1"/>
      <c r="J36" s="1"/>
      <c r="K36" s="1"/>
      <c r="L36" s="1"/>
      <c r="M36" s="1"/>
      <c r="N36" s="1"/>
      <c r="O36" s="1"/>
      <c r="P36" s="1"/>
      <c r="Q36" s="1"/>
      <c r="R36" s="1"/>
      <c r="S36" s="1"/>
      <c r="T36" s="1"/>
    </row>
    <row r="37" spans="1:20" x14ac:dyDescent="0.25">
      <c r="A37" s="1" t="s">
        <v>78</v>
      </c>
      <c r="B37" s="1">
        <f t="shared" ref="B37:H37" si="6">B17</f>
        <v>164713</v>
      </c>
      <c r="C37" s="1">
        <f t="shared" si="6"/>
        <v>125299</v>
      </c>
      <c r="D37" s="1">
        <f t="shared" si="6"/>
        <v>101746</v>
      </c>
      <c r="E37" s="1">
        <f t="shared" si="6"/>
        <v>91495</v>
      </c>
      <c r="F37" s="1">
        <f t="shared" si="6"/>
        <v>91652</v>
      </c>
      <c r="G37" s="1">
        <f t="shared" si="6"/>
        <v>65124</v>
      </c>
      <c r="H37" s="1">
        <f t="shared" si="6"/>
        <v>54520</v>
      </c>
      <c r="I37" s="1"/>
      <c r="J37" s="1"/>
      <c r="K37" s="1"/>
      <c r="L37" s="1"/>
      <c r="M37" s="1"/>
      <c r="N37" s="1"/>
      <c r="O37" s="1"/>
      <c r="P37" s="1"/>
      <c r="Q37" s="1"/>
      <c r="R37" s="1"/>
      <c r="S37" s="1"/>
      <c r="T37" s="1"/>
    </row>
    <row r="38" spans="1:20" x14ac:dyDescent="0.25">
      <c r="A38" s="1" t="s">
        <v>77</v>
      </c>
      <c r="B38" s="1">
        <f t="shared" ref="B38:H38" si="7">B19</f>
        <v>-91447</v>
      </c>
      <c r="C38" s="1">
        <f t="shared" si="7"/>
        <v>-52535</v>
      </c>
      <c r="D38" s="1">
        <f t="shared" si="7"/>
        <v>-32251</v>
      </c>
      <c r="E38" s="1">
        <f t="shared" si="7"/>
        <v>-31485</v>
      </c>
      <c r="F38" s="1">
        <f t="shared" si="7"/>
        <v>-24640</v>
      </c>
      <c r="G38" s="1">
        <f t="shared" si="7"/>
        <v>-22281</v>
      </c>
      <c r="H38" s="1">
        <f t="shared" si="7"/>
        <v>-23548</v>
      </c>
      <c r="I38" s="1"/>
      <c r="J38" s="1"/>
      <c r="K38" s="1"/>
      <c r="L38" s="1"/>
      <c r="M38" s="1"/>
      <c r="N38" s="1"/>
      <c r="O38" s="1"/>
      <c r="P38" s="1"/>
      <c r="Q38" s="1"/>
      <c r="R38" s="1"/>
      <c r="S38" s="1"/>
      <c r="T38" s="1"/>
    </row>
    <row r="39" spans="1:20" x14ac:dyDescent="0.25">
      <c r="A39" s="6" t="s">
        <v>76</v>
      </c>
      <c r="B39" s="5">
        <f t="shared" ref="B39:H39" si="8">B37+B38</f>
        <v>73266</v>
      </c>
      <c r="C39" s="5">
        <f t="shared" si="8"/>
        <v>72764</v>
      </c>
      <c r="D39" s="5">
        <f t="shared" si="8"/>
        <v>69495</v>
      </c>
      <c r="E39" s="5">
        <f t="shared" si="8"/>
        <v>60010</v>
      </c>
      <c r="F39" s="5">
        <f t="shared" si="8"/>
        <v>67012</v>
      </c>
      <c r="G39" s="5">
        <f t="shared" si="8"/>
        <v>42843</v>
      </c>
      <c r="H39" s="5">
        <f t="shared" si="8"/>
        <v>30972</v>
      </c>
      <c r="I39" s="5"/>
      <c r="J39" s="5"/>
      <c r="K39" s="5"/>
      <c r="L39" s="5"/>
      <c r="M39" s="5"/>
      <c r="N39" s="5"/>
      <c r="O39" s="5"/>
      <c r="P39" s="5"/>
      <c r="Q39" s="5"/>
      <c r="R39" s="5"/>
      <c r="S39" s="5"/>
      <c r="T39" s="5"/>
    </row>
  </sheetData>
  <mergeCells count="1">
    <mergeCell ref="B4:T4"/>
  </mergeCells>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022AC0-AFCF-40DE-9816-8AAF614981F9}">
  <sheetPr>
    <tabColor rgb="FFC6E0B4"/>
  </sheetPr>
  <dimension ref="A1:T61"/>
  <sheetViews>
    <sheetView workbookViewId="0"/>
  </sheetViews>
  <sheetFormatPr defaultRowHeight="15" x14ac:dyDescent="0.25"/>
  <cols>
    <col min="1" max="1" width="41.28515625" bestFit="1" customWidth="1"/>
    <col min="2" max="4" width="19.85546875" bestFit="1" customWidth="1"/>
    <col min="5" max="5" width="19" bestFit="1" customWidth="1"/>
    <col min="6" max="7" width="19.85546875" bestFit="1" customWidth="1"/>
    <col min="8" max="15" width="18.28515625" bestFit="1" customWidth="1"/>
    <col min="16" max="20" width="17.28515625" bestFit="1" customWidth="1"/>
  </cols>
  <sheetData>
    <row r="1" spans="1:20" x14ac:dyDescent="0.25">
      <c r="A1" s="10" t="s">
        <v>207</v>
      </c>
      <c r="B1" s="10"/>
      <c r="C1" s="10"/>
      <c r="D1" s="10"/>
      <c r="E1" s="10"/>
      <c r="F1" s="10"/>
      <c r="G1" s="10"/>
      <c r="H1" s="10"/>
      <c r="I1" s="10"/>
      <c r="J1" s="10"/>
      <c r="K1" s="10"/>
      <c r="L1" s="10"/>
      <c r="M1" s="10"/>
      <c r="N1" s="10"/>
      <c r="O1" s="10"/>
      <c r="P1" s="10"/>
      <c r="Q1" s="10"/>
      <c r="R1" s="10"/>
      <c r="S1" s="10"/>
      <c r="T1" s="10"/>
    </row>
    <row r="2" spans="1:20" x14ac:dyDescent="0.25">
      <c r="A2" t="s">
        <v>1</v>
      </c>
      <c r="B2" t="s">
        <v>204</v>
      </c>
    </row>
    <row r="3" spans="1:20" x14ac:dyDescent="0.25">
      <c r="A3" t="s">
        <v>3</v>
      </c>
      <c r="B3" t="str">
        <f>'GOOGL - Income Statement FY'!B3</f>
        <v>USD</v>
      </c>
    </row>
    <row r="4" spans="1:20" x14ac:dyDescent="0.25">
      <c r="A4" t="s">
        <v>32</v>
      </c>
      <c r="B4" s="236" t="s">
        <v>33</v>
      </c>
      <c r="C4" s="236"/>
      <c r="D4" s="236"/>
      <c r="E4" s="236"/>
      <c r="F4" s="236"/>
      <c r="G4" s="236"/>
      <c r="H4" s="236"/>
      <c r="I4" s="236"/>
      <c r="J4" s="236"/>
      <c r="K4" s="236"/>
      <c r="L4" s="236"/>
      <c r="M4" s="236"/>
      <c r="N4" s="236"/>
      <c r="O4" s="236"/>
      <c r="P4" s="236"/>
      <c r="Q4" s="236"/>
      <c r="R4" s="236"/>
      <c r="S4" s="236"/>
      <c r="T4" s="236"/>
    </row>
    <row r="5" spans="1:20" x14ac:dyDescent="0.25">
      <c r="A5" t="s">
        <v>34</v>
      </c>
      <c r="B5" s="8">
        <v>46022</v>
      </c>
      <c r="C5" s="8">
        <v>45657</v>
      </c>
      <c r="D5" s="8">
        <v>45291</v>
      </c>
      <c r="E5" s="8">
        <v>44926</v>
      </c>
      <c r="F5" s="8">
        <v>44561</v>
      </c>
      <c r="G5" s="8">
        <v>44196</v>
      </c>
      <c r="H5" s="8">
        <v>43830</v>
      </c>
      <c r="I5" s="8"/>
      <c r="J5" s="8"/>
      <c r="K5" s="8"/>
      <c r="L5" s="8"/>
      <c r="M5" s="8"/>
      <c r="N5" s="8"/>
      <c r="O5" s="8"/>
      <c r="P5" s="8"/>
      <c r="Q5" s="8"/>
      <c r="R5" s="8"/>
      <c r="S5" s="8"/>
      <c r="T5" s="8"/>
    </row>
    <row r="6" spans="1:20" x14ac:dyDescent="0.25">
      <c r="A6" s="2" t="s">
        <v>159</v>
      </c>
      <c r="B6" s="2">
        <f>'GOOGL - Income Statement FY'!B7/'GOOGL - Income Statement FY'!B38</f>
        <v>32.946430031896625</v>
      </c>
      <c r="C6" s="2">
        <f>'GOOGL - Income Statement FY'!C7/'GOOGL - Income Statement FY'!C38</f>
        <v>28.109380019274013</v>
      </c>
      <c r="D6" s="2">
        <f>'GOOGL - Income Statement FY'!D7/'GOOGL - Income Statement FY'!D38</f>
        <v>24.160496738190677</v>
      </c>
      <c r="E6" s="2">
        <f>'GOOGL - Income Statement FY'!E7/'GOOGL - Income Statement FY'!E38</f>
        <v>21.505170316301705</v>
      </c>
      <c r="F6" s="2">
        <f>'GOOGL - Income Statement FY'!F7/'GOOGL - Income Statement FY'!F38</f>
        <v>19.009591972257066</v>
      </c>
      <c r="G6" s="2">
        <f>'GOOGL - Income Statement FY'!G7/'GOOGL - Income Statement FY'!G38</f>
        <v>13.280486030267753</v>
      </c>
      <c r="H6" s="2">
        <f>'GOOGL - Income Statement FY'!H7/'GOOGL - Income Statement FY'!H38</f>
        <v>11.593510493517657</v>
      </c>
      <c r="I6" s="2"/>
      <c r="J6" s="2"/>
      <c r="K6" s="2"/>
      <c r="L6" s="2"/>
      <c r="M6" s="2"/>
      <c r="N6" s="2"/>
      <c r="O6" s="2"/>
      <c r="P6" s="2"/>
      <c r="Q6" s="2"/>
      <c r="R6" s="2"/>
      <c r="S6" s="2"/>
      <c r="T6" s="2"/>
    </row>
    <row r="7" spans="1:20" x14ac:dyDescent="0.25">
      <c r="A7" s="2" t="s">
        <v>158</v>
      </c>
      <c r="B7" s="2">
        <f>'GOOGL - Income Statement FY'!B32/'GOOGL - Income Statement FY'!B38</f>
        <v>10.80968348736403</v>
      </c>
      <c r="C7" s="2">
        <f>'GOOGL - Income Statement FY'!C32/'GOOGL - Income Statement FY'!C38</f>
        <v>8.0403148088660448</v>
      </c>
      <c r="D7" s="2">
        <f>'GOOGL - Income Statement FY'!D32/'GOOGL - Income Statement FY'!D38</f>
        <v>5.8001257565039692</v>
      </c>
      <c r="E7" s="2">
        <f>'GOOGL - Income Statement FY'!E32/'GOOGL - Income Statement FY'!E38</f>
        <v>4.5599148418491486</v>
      </c>
      <c r="F7" s="2">
        <f>'GOOGL - Income Statement FY'!F32/'GOOGL - Income Statement FY'!F38</f>
        <v>5.6100494355493247</v>
      </c>
      <c r="G7" s="2">
        <f>'GOOGL - Income Statement FY'!G32/'GOOGL - Income Statement FY'!G38</f>
        <v>2.9299330616996508</v>
      </c>
      <c r="H7" s="2">
        <f>'GOOGL - Income Statement FY'!H32/'GOOGL - Income Statement FY'!H38</f>
        <v>2.4599240742067185</v>
      </c>
      <c r="I7" s="2"/>
      <c r="J7" s="2"/>
      <c r="K7" s="2"/>
      <c r="L7" s="2"/>
      <c r="M7" s="2"/>
      <c r="N7" s="2"/>
      <c r="O7" s="2"/>
      <c r="P7" s="2"/>
      <c r="Q7" s="2"/>
      <c r="R7" s="2"/>
      <c r="S7" s="2"/>
      <c r="T7" s="2"/>
    </row>
    <row r="8" spans="1:20" x14ac:dyDescent="0.25">
      <c r="A8" s="2" t="s">
        <v>157</v>
      </c>
      <c r="B8" s="2">
        <f>'GOOGL - Cash Flow FY'!B17/'GOOGL - Income Statement FY'!B38</f>
        <v>13.471252146888034</v>
      </c>
      <c r="C8" s="2">
        <f>'GOOGL - Cash Flow FY'!C17/'GOOGL - Income Statement FY'!C38</f>
        <v>10.062560231288147</v>
      </c>
      <c r="D8" s="2">
        <f>'GOOGL - Cash Flow FY'!D17/'GOOGL - Income Statement FY'!D38</f>
        <v>7.9970132830307321</v>
      </c>
      <c r="E8" s="2">
        <f>'GOOGL - Cash Flow FY'!E17/'GOOGL - Income Statement FY'!E38</f>
        <v>6.9567366180048662</v>
      </c>
      <c r="F8" s="2">
        <f>'GOOGL - Cash Flow FY'!F17/'GOOGL - Income Statement FY'!F38</f>
        <v>6.7624880100346783</v>
      </c>
      <c r="G8" s="2">
        <f>'GOOGL - Cash Flow FY'!G17/'GOOGL - Income Statement FY'!G38</f>
        <v>4.7383585564610016</v>
      </c>
      <c r="H8" s="2">
        <f>'GOOGL - Cash Flow FY'!H17/'GOOGL - Income Statement FY'!H38</f>
        <v>3.9051643865052648</v>
      </c>
      <c r="I8" s="2"/>
      <c r="J8" s="2"/>
      <c r="K8" s="2"/>
      <c r="L8" s="2"/>
      <c r="M8" s="2"/>
      <c r="N8" s="2"/>
      <c r="O8" s="2"/>
      <c r="P8" s="2"/>
      <c r="Q8" s="2"/>
      <c r="R8" s="2"/>
      <c r="S8" s="2"/>
      <c r="T8" s="2"/>
    </row>
    <row r="9" spans="1:20" x14ac:dyDescent="0.25">
      <c r="A9" s="2" t="s">
        <v>156</v>
      </c>
      <c r="B9" s="2">
        <f>'GOOGL - Cash Flow FY'!B39/'GOOGL - Income Statement FY'!B38</f>
        <v>5.9921485237588943</v>
      </c>
      <c r="C9" s="2">
        <f>'GOOGL - Cash Flow FY'!C39/'GOOGL - Income Statement FY'!C38</f>
        <v>5.8435592675875361</v>
      </c>
      <c r="D9" s="2">
        <f>'GOOGL - Cash Flow FY'!D39/'GOOGL - Income Statement FY'!D38</f>
        <v>5.4621551520867717</v>
      </c>
      <c r="E9" s="2">
        <f>'GOOGL - Cash Flow FY'!E39/'GOOGL - Income Statement FY'!E38</f>
        <v>4.5628041362530416</v>
      </c>
      <c r="F9" s="2">
        <f>'GOOGL - Cash Flow FY'!F39/'GOOGL - Income Statement FY'!F38</f>
        <v>4.9444403453110013</v>
      </c>
      <c r="G9" s="2">
        <f>'GOOGL - Cash Flow FY'!G39/'GOOGL - Income Statement FY'!G38</f>
        <v>3.1172147846332945</v>
      </c>
      <c r="H9" s="2">
        <f>'GOOGL - Cash Flow FY'!H39/'GOOGL - Income Statement FY'!H38</f>
        <v>2.2184657259508631</v>
      </c>
      <c r="I9" s="2"/>
      <c r="J9" s="2"/>
      <c r="K9" s="2"/>
      <c r="L9" s="2"/>
      <c r="M9" s="2"/>
      <c r="N9" s="2"/>
      <c r="O9" s="2"/>
      <c r="P9" s="2"/>
      <c r="Q9" s="2"/>
      <c r="R9" s="2"/>
      <c r="S9" s="2"/>
      <c r="T9" s="2"/>
    </row>
    <row r="10" spans="1:20" x14ac:dyDescent="0.25">
      <c r="A10" s="2" t="s">
        <v>155</v>
      </c>
      <c r="B10" s="2">
        <f>'GOOGL - Balance Sheet FY'!B7/'GOOGL - Income Statement FY'!B38</f>
        <v>2.5114909626237019</v>
      </c>
      <c r="C10" s="2">
        <f>'GOOGL - Balance Sheet FY'!C7/'GOOGL - Income Statement FY'!C38</f>
        <v>1.8845165435271443</v>
      </c>
      <c r="D10" s="2">
        <f>'GOOGL - Balance Sheet FY'!D7/'GOOGL - Income Statement FY'!D38</f>
        <v>1.8901202546569205</v>
      </c>
      <c r="E10" s="2">
        <f>'GOOGL - Balance Sheet FY'!E7/'GOOGL - Income Statement FY'!E38</f>
        <v>1.6635492700729928</v>
      </c>
      <c r="F10" s="2">
        <f>'GOOGL - Balance Sheet FY'!F7/'GOOGL - Income Statement FY'!F38</f>
        <v>1.5454142994171032</v>
      </c>
      <c r="G10" s="2">
        <f>'GOOGL - Balance Sheet FY'!G7/'GOOGL - Income Statement FY'!G38</f>
        <v>1.9255675203725262</v>
      </c>
      <c r="H10" s="2">
        <f>'GOOGL - Balance Sheet FY'!H7/'GOOGL - Income Statement FY'!H38</f>
        <v>1.3249767208652676</v>
      </c>
      <c r="I10" s="2"/>
      <c r="J10" s="2"/>
      <c r="K10" s="2"/>
      <c r="L10" s="2"/>
      <c r="M10" s="2"/>
      <c r="N10" s="2"/>
      <c r="O10" s="2"/>
      <c r="P10" s="2"/>
      <c r="Q10" s="2"/>
      <c r="R10" s="2"/>
      <c r="S10" s="2"/>
      <c r="T10" s="2"/>
    </row>
    <row r="11" spans="1:20" x14ac:dyDescent="0.25">
      <c r="A11" s="2" t="s">
        <v>154</v>
      </c>
      <c r="B11" s="2">
        <f>'GOOGL - Balance Sheet FY'!B47/'GOOGL - Income Statement FY'!B38</f>
        <v>33.962950846487281</v>
      </c>
      <c r="C11" s="2">
        <f>'GOOGL - Balance Sheet FY'!C47/'GOOGL - Income Statement FY'!C38</f>
        <v>26.106970767748152</v>
      </c>
      <c r="D11" s="2">
        <f>'GOOGL - Balance Sheet FY'!D47/'GOOGL - Income Statement FY'!D38</f>
        <v>22.272970211428124</v>
      </c>
      <c r="E11" s="2">
        <f>'GOOGL - Balance Sheet FY'!E47/'GOOGL - Income Statement FY'!E38</f>
        <v>19.47566909975669</v>
      </c>
      <c r="F11" s="2">
        <f>'GOOGL - Balance Sheet FY'!F47/'GOOGL - Income Statement FY'!F38</f>
        <v>18.566737991588578</v>
      </c>
      <c r="G11" s="2">
        <f>'GOOGL - Balance Sheet FY'!G47/'GOOGL - Income Statement FY'!G38</f>
        <v>16.192083818393481</v>
      </c>
      <c r="H11" s="2">
        <f>'GOOGL - Balance Sheet FY'!H47/'GOOGL - Income Statement FY'!H38</f>
        <v>14.428909103932384</v>
      </c>
      <c r="I11" s="2"/>
      <c r="J11" s="2"/>
      <c r="K11" s="2"/>
      <c r="L11" s="2"/>
      <c r="M11" s="2"/>
      <c r="N11" s="2"/>
      <c r="O11" s="2"/>
      <c r="P11" s="2"/>
      <c r="Q11" s="2"/>
      <c r="R11" s="2"/>
      <c r="S11" s="2"/>
      <c r="T11" s="2"/>
    </row>
    <row r="12" spans="1:20" x14ac:dyDescent="0.25">
      <c r="A12" s="2" t="s">
        <v>153</v>
      </c>
      <c r="B12" s="2">
        <f>('GOOGL - Balance Sheet FY'!B47-'GOOGL - Balance Sheet FY'!B18)/'GOOGL - Income Statement FY'!B38</f>
        <v>31.232927128486136</v>
      </c>
      <c r="C12" s="2">
        <f>('GOOGL - Balance Sheet FY'!C47-'GOOGL - Balance Sheet FY'!C18)/'GOOGL - Income Statement FY'!C38</f>
        <v>23.546337937680693</v>
      </c>
      <c r="D12" s="2">
        <f>('GOOGL - Balance Sheet FY'!D47-'GOOGL - Balance Sheet FY'!D18)/'GOOGL - Income Statement FY'!D38</f>
        <v>19.978071209620374</v>
      </c>
      <c r="E12" s="2">
        <f>('GOOGL - Balance Sheet FY'!E47-'GOOGL - Balance Sheet FY'!E18)/'GOOGL - Income Statement FY'!E38</f>
        <v>17.115267639902676</v>
      </c>
      <c r="F12" s="2">
        <f>('GOOGL - Balance Sheet FY'!F47-'GOOGL - Balance Sheet FY'!F18)/'GOOGL - Income Statement FY'!F38</f>
        <v>16.768390762192873</v>
      </c>
      <c r="G12" s="2">
        <f>('GOOGL - Balance Sheet FY'!G47-'GOOGL - Balance Sheet FY'!G18)/'GOOGL - Income Statement FY'!G38</f>
        <v>14.54627473806752</v>
      </c>
      <c r="H12" s="2">
        <f>('GOOGL - Balance Sheet FY'!H47-'GOOGL - Balance Sheet FY'!H18)/'GOOGL - Income Statement FY'!H38</f>
        <v>12.809899004369315</v>
      </c>
      <c r="I12" s="2"/>
      <c r="J12" s="2"/>
      <c r="K12" s="2"/>
      <c r="L12" s="2"/>
      <c r="M12" s="2"/>
      <c r="N12" s="2"/>
      <c r="O12" s="2"/>
      <c r="P12" s="2"/>
      <c r="Q12" s="2"/>
      <c r="R12" s="2"/>
      <c r="S12" s="2"/>
      <c r="T12" s="2"/>
    </row>
    <row r="13" spans="1:20" x14ac:dyDescent="0.25">
      <c r="A13" s="2" t="s">
        <v>152</v>
      </c>
      <c r="B13" s="2">
        <f>'GOOGL - Balance Sheet FY'!B47/'GOOGL - Income Statement FY'!B38</f>
        <v>33.962950846487281</v>
      </c>
      <c r="C13" s="2">
        <f>'GOOGL - Balance Sheet FY'!C47/'GOOGL - Income Statement FY'!C38</f>
        <v>26.106970767748152</v>
      </c>
      <c r="D13" s="2">
        <f>'GOOGL - Balance Sheet FY'!D47/'GOOGL - Income Statement FY'!D38</f>
        <v>22.272970211428124</v>
      </c>
      <c r="E13" s="2">
        <f>'GOOGL - Balance Sheet FY'!E47/'GOOGL - Income Statement FY'!E38</f>
        <v>19.47566909975669</v>
      </c>
      <c r="F13" s="2">
        <f>'GOOGL - Balance Sheet FY'!F47/'GOOGL - Income Statement FY'!F38</f>
        <v>18.566737991588578</v>
      </c>
      <c r="G13" s="2">
        <f>'GOOGL - Balance Sheet FY'!G47/'GOOGL - Income Statement FY'!G38</f>
        <v>16.192083818393481</v>
      </c>
      <c r="H13" s="2">
        <f>'GOOGL - Balance Sheet FY'!H47/'GOOGL - Income Statement FY'!H38</f>
        <v>14.428909103932384</v>
      </c>
      <c r="I13" s="2"/>
      <c r="J13" s="2"/>
      <c r="K13" s="2"/>
      <c r="L13" s="2"/>
      <c r="M13" s="2"/>
      <c r="N13" s="2"/>
      <c r="O13" s="2"/>
      <c r="P13" s="2"/>
      <c r="Q13" s="2"/>
      <c r="R13" s="2"/>
      <c r="S13" s="2"/>
      <c r="T13" s="2"/>
    </row>
    <row r="14" spans="1:20" x14ac:dyDescent="0.25">
      <c r="A14" s="2" t="s">
        <v>151</v>
      </c>
      <c r="B14" s="2">
        <f>'GOOGL - Balance Sheet FY'!B51/'GOOGL - Income Statement FY'!B38</f>
        <v>3.8069027561953055</v>
      </c>
      <c r="C14" s="2">
        <f>'GOOGL - Balance Sheet FY'!C51/'GOOGL - Income Statement FY'!C38</f>
        <v>0.87399614519755864</v>
      </c>
      <c r="D14" s="2">
        <f>'GOOGL - Balance Sheet FY'!D51/'GOOGL - Income Statement FY'!D38</f>
        <v>1.041656841939794</v>
      </c>
      <c r="E14" s="2">
        <f>'GOOGL - Balance Sheet FY'!E51/'GOOGL - Income Statement FY'!E38</f>
        <v>1.1177767639902676</v>
      </c>
      <c r="F14" s="2">
        <f>'GOOGL - Balance Sheet FY'!F51/'GOOGL - Income Statement FY'!F38</f>
        <v>1.0932634840994613</v>
      </c>
      <c r="G14" s="2">
        <f>'GOOGL - Balance Sheet FY'!G51/'GOOGL - Income Statement FY'!G38</f>
        <v>1.0136786961583237</v>
      </c>
      <c r="H14" s="2">
        <f>'GOOGL - Balance Sheet FY'!H51/'GOOGL - Income Statement FY'!H38</f>
        <v>0.32619439868204281</v>
      </c>
      <c r="I14" s="2"/>
      <c r="J14" s="2"/>
      <c r="K14" s="2"/>
      <c r="L14" s="2"/>
      <c r="M14" s="2"/>
      <c r="N14" s="2"/>
      <c r="O14" s="2"/>
      <c r="P14" s="2"/>
      <c r="Q14" s="2"/>
      <c r="R14" s="2"/>
      <c r="S14" s="2"/>
      <c r="T14" s="2"/>
    </row>
    <row r="15" spans="1:20" x14ac:dyDescent="0.25">
      <c r="A15" s="12" t="s">
        <v>150</v>
      </c>
      <c r="B15" s="1"/>
      <c r="C15" s="1"/>
      <c r="D15" s="1"/>
      <c r="E15" s="1"/>
      <c r="F15" s="1"/>
      <c r="G15" s="1"/>
      <c r="H15" s="1"/>
      <c r="I15" s="1"/>
      <c r="J15" s="1"/>
      <c r="K15" s="1"/>
      <c r="L15" s="1"/>
      <c r="M15" s="1"/>
      <c r="N15" s="1"/>
      <c r="O15" s="1"/>
      <c r="P15" s="1"/>
      <c r="Q15" s="1"/>
      <c r="R15" s="1"/>
      <c r="S15" s="1"/>
      <c r="T15" s="1"/>
    </row>
    <row r="16" spans="1:20" x14ac:dyDescent="0.25">
      <c r="A16" s="12" t="s">
        <v>149</v>
      </c>
      <c r="B16" s="1"/>
      <c r="C16" s="1"/>
      <c r="D16" s="1"/>
      <c r="E16" s="1"/>
      <c r="F16" s="1"/>
      <c r="G16" s="1"/>
      <c r="H16" s="1"/>
      <c r="I16" s="1"/>
      <c r="J16" s="1"/>
      <c r="K16" s="1"/>
      <c r="L16" s="1"/>
      <c r="M16" s="1"/>
      <c r="N16" s="1"/>
      <c r="O16" s="1"/>
      <c r="P16" s="1"/>
      <c r="Q16" s="1"/>
      <c r="R16" s="1"/>
      <c r="S16" s="1"/>
      <c r="T16" s="1"/>
    </row>
    <row r="17" spans="1:20" x14ac:dyDescent="0.25">
      <c r="A17" s="13" t="s">
        <v>148</v>
      </c>
      <c r="B17" s="2"/>
      <c r="C17" s="2"/>
      <c r="D17" s="2"/>
      <c r="E17" s="2"/>
      <c r="F17" s="2"/>
      <c r="G17" s="2"/>
      <c r="H17" s="2"/>
      <c r="I17" s="2"/>
      <c r="J17" s="2"/>
      <c r="K17" s="2"/>
      <c r="L17" s="2"/>
      <c r="M17" s="2"/>
      <c r="N17" s="2"/>
      <c r="O17" s="2"/>
      <c r="P17" s="2"/>
      <c r="Q17" s="2"/>
      <c r="R17" s="2"/>
      <c r="S17" s="2"/>
      <c r="T17" s="2"/>
    </row>
    <row r="18" spans="1:20" x14ac:dyDescent="0.25">
      <c r="A18" s="13" t="s">
        <v>147</v>
      </c>
      <c r="B18" s="2"/>
      <c r="C18" s="2"/>
      <c r="D18" s="2"/>
      <c r="E18" s="2"/>
      <c r="F18" s="2"/>
      <c r="G18" s="2"/>
      <c r="H18" s="2"/>
      <c r="I18" s="2"/>
      <c r="J18" s="2"/>
      <c r="K18" s="2"/>
      <c r="L18" s="2"/>
      <c r="M18" s="2"/>
      <c r="N18" s="2"/>
      <c r="O18" s="2"/>
      <c r="P18" s="2"/>
      <c r="Q18" s="2"/>
      <c r="R18" s="2"/>
      <c r="S18" s="2"/>
      <c r="T18" s="2"/>
    </row>
    <row r="19" spans="1:20" x14ac:dyDescent="0.25">
      <c r="A19" s="13" t="s">
        <v>146</v>
      </c>
      <c r="B19" s="2"/>
      <c r="C19" s="2"/>
      <c r="D19" s="2"/>
      <c r="E19" s="2"/>
      <c r="F19" s="2"/>
      <c r="G19" s="2"/>
      <c r="H19" s="2"/>
      <c r="I19" s="2"/>
      <c r="J19" s="2"/>
      <c r="K19" s="2"/>
      <c r="L19" s="2"/>
      <c r="M19" s="2"/>
      <c r="N19" s="2"/>
      <c r="O19" s="2"/>
      <c r="P19" s="2"/>
      <c r="Q19" s="2"/>
      <c r="R19" s="2"/>
      <c r="S19" s="2"/>
      <c r="T19" s="2"/>
    </row>
    <row r="20" spans="1:20" x14ac:dyDescent="0.25">
      <c r="A20" s="13" t="s">
        <v>145</v>
      </c>
      <c r="B20" s="2"/>
      <c r="C20" s="2"/>
      <c r="D20" s="2"/>
      <c r="E20" s="2"/>
      <c r="F20" s="2"/>
      <c r="G20" s="2"/>
      <c r="H20" s="2"/>
      <c r="I20" s="2"/>
      <c r="J20" s="2"/>
      <c r="K20" s="2"/>
      <c r="L20" s="2"/>
      <c r="M20" s="2"/>
      <c r="N20" s="2"/>
      <c r="O20" s="2"/>
      <c r="P20" s="2"/>
      <c r="Q20" s="2"/>
      <c r="R20" s="2"/>
      <c r="S20" s="2"/>
      <c r="T20" s="2"/>
    </row>
    <row r="21" spans="1:20" x14ac:dyDescent="0.25">
      <c r="A21" s="13" t="s">
        <v>144</v>
      </c>
      <c r="B21" s="2"/>
      <c r="C21" s="2"/>
      <c r="D21" s="2"/>
      <c r="E21" s="2"/>
      <c r="F21" s="2"/>
      <c r="G21" s="2"/>
      <c r="H21" s="2"/>
      <c r="I21" s="2"/>
      <c r="J21" s="2"/>
      <c r="K21" s="2"/>
      <c r="L21" s="2"/>
      <c r="M21" s="2"/>
      <c r="N21" s="2"/>
      <c r="O21" s="2"/>
      <c r="P21" s="2"/>
      <c r="Q21" s="2"/>
      <c r="R21" s="2"/>
      <c r="S21" s="2"/>
      <c r="T21" s="2"/>
    </row>
    <row r="22" spans="1:20" x14ac:dyDescent="0.25">
      <c r="A22" s="13" t="s">
        <v>143</v>
      </c>
      <c r="B22" s="2"/>
      <c r="C22" s="2"/>
      <c r="D22" s="2"/>
      <c r="E22" s="2"/>
      <c r="F22" s="2"/>
      <c r="G22" s="2"/>
      <c r="H22" s="2"/>
      <c r="I22" s="2"/>
      <c r="J22" s="2"/>
      <c r="K22" s="2"/>
      <c r="L22" s="2"/>
      <c r="M22" s="2"/>
      <c r="N22" s="2"/>
      <c r="O22" s="2"/>
      <c r="P22" s="2"/>
      <c r="Q22" s="2"/>
      <c r="R22" s="2"/>
      <c r="S22" s="2"/>
      <c r="T22" s="2"/>
    </row>
    <row r="23" spans="1:20" x14ac:dyDescent="0.25">
      <c r="A23" s="13" t="s">
        <v>142</v>
      </c>
      <c r="B23" s="2"/>
      <c r="C23" s="2"/>
      <c r="D23" s="2"/>
      <c r="E23" s="2"/>
      <c r="F23" s="2"/>
      <c r="G23" s="2"/>
      <c r="H23" s="2"/>
      <c r="I23" s="2"/>
      <c r="J23" s="2"/>
      <c r="K23" s="2"/>
      <c r="L23" s="2"/>
      <c r="M23" s="2"/>
      <c r="N23" s="2"/>
      <c r="O23" s="2"/>
      <c r="P23" s="2"/>
      <c r="Q23" s="2"/>
      <c r="R23" s="2"/>
      <c r="S23" s="2"/>
      <c r="T23" s="2"/>
    </row>
    <row r="24" spans="1:20" x14ac:dyDescent="0.25">
      <c r="A24" s="13" t="s">
        <v>141</v>
      </c>
      <c r="B24" s="2"/>
      <c r="C24" s="2"/>
      <c r="D24" s="2"/>
      <c r="E24" s="2"/>
      <c r="F24" s="2"/>
      <c r="G24" s="2"/>
      <c r="H24" s="2"/>
      <c r="I24" s="2"/>
      <c r="J24" s="2"/>
      <c r="K24" s="2"/>
      <c r="L24" s="2"/>
      <c r="M24" s="2"/>
      <c r="N24" s="2"/>
      <c r="O24" s="2"/>
      <c r="P24" s="2"/>
      <c r="Q24" s="2"/>
      <c r="R24" s="2"/>
      <c r="S24" s="2"/>
      <c r="T24" s="2"/>
    </row>
    <row r="25" spans="1:20" x14ac:dyDescent="0.25">
      <c r="A25" s="13" t="s">
        <v>140</v>
      </c>
      <c r="B25" s="2"/>
      <c r="C25" s="2"/>
      <c r="D25" s="2"/>
      <c r="E25" s="2"/>
      <c r="F25" s="2"/>
      <c r="G25" s="2"/>
      <c r="H25" s="2"/>
      <c r="I25" s="2"/>
      <c r="J25" s="2"/>
      <c r="K25" s="2"/>
      <c r="L25" s="2"/>
      <c r="M25" s="2"/>
      <c r="N25" s="2"/>
      <c r="O25" s="2"/>
      <c r="P25" s="2"/>
      <c r="Q25" s="2"/>
      <c r="R25" s="2"/>
      <c r="S25" s="2"/>
      <c r="T25" s="2"/>
    </row>
    <row r="26" spans="1:20" x14ac:dyDescent="0.25">
      <c r="A26" s="13" t="s">
        <v>139</v>
      </c>
      <c r="B26" s="2"/>
      <c r="C26" s="2"/>
      <c r="D26" s="2"/>
      <c r="E26" s="2"/>
      <c r="F26" s="2"/>
      <c r="G26" s="2"/>
      <c r="H26" s="2"/>
      <c r="I26" s="2"/>
      <c r="J26" s="2"/>
      <c r="K26" s="2"/>
      <c r="L26" s="2"/>
      <c r="M26" s="2"/>
      <c r="N26" s="2"/>
      <c r="O26" s="2"/>
      <c r="P26" s="2"/>
      <c r="Q26" s="2"/>
      <c r="R26" s="2"/>
      <c r="S26" s="2"/>
      <c r="T26" s="2"/>
    </row>
    <row r="27" spans="1:20" x14ac:dyDescent="0.25">
      <c r="A27" s="14" t="s">
        <v>138</v>
      </c>
      <c r="B27" s="3"/>
      <c r="C27" s="3"/>
      <c r="D27" s="3"/>
      <c r="E27" s="3"/>
      <c r="F27" s="3"/>
      <c r="G27" s="3"/>
      <c r="H27" s="3"/>
      <c r="I27" s="3"/>
      <c r="J27" s="3"/>
      <c r="K27" s="3"/>
      <c r="L27" s="3"/>
      <c r="M27" s="3"/>
      <c r="N27" s="3"/>
      <c r="O27" s="3"/>
      <c r="P27" s="3"/>
      <c r="Q27" s="3"/>
      <c r="R27" s="3"/>
      <c r="S27" s="3"/>
      <c r="T27" s="3"/>
    </row>
    <row r="28" spans="1:20" x14ac:dyDescent="0.25">
      <c r="A28" s="14" t="s">
        <v>137</v>
      </c>
      <c r="B28" s="3"/>
      <c r="C28" s="3"/>
      <c r="D28" s="3"/>
      <c r="E28" s="3"/>
      <c r="F28" s="3"/>
      <c r="G28" s="3"/>
      <c r="H28" s="3"/>
      <c r="I28" s="3"/>
      <c r="J28" s="3"/>
      <c r="K28" s="3"/>
      <c r="L28" s="3"/>
      <c r="M28" s="3"/>
      <c r="N28" s="3"/>
      <c r="O28" s="3"/>
      <c r="P28" s="3"/>
      <c r="Q28" s="3"/>
      <c r="R28" s="3"/>
      <c r="S28" s="3"/>
      <c r="T28" s="3"/>
    </row>
    <row r="29" spans="1:20" x14ac:dyDescent="0.25">
      <c r="A29" s="2" t="s">
        <v>136</v>
      </c>
      <c r="B29" s="2">
        <f>'GOOGL - Balance Sheet FY'!B51/'GOOGL - Balance Sheet FY'!B47</f>
        <v>0.11208987032376916</v>
      </c>
      <c r="C29" s="2">
        <f>'GOOGL - Balance Sheet FY'!C51/'GOOGL - Balance Sheet FY'!C47</f>
        <v>3.3477501199689924E-2</v>
      </c>
      <c r="D29" s="2">
        <f>'GOOGL - Balance Sheet FY'!D51/'GOOGL - Balance Sheet FY'!D47</f>
        <v>4.6767756255756424E-2</v>
      </c>
      <c r="E29" s="2">
        <f>'GOOGL - Balance Sheet FY'!E51/'GOOGL - Balance Sheet FY'!E47</f>
        <v>5.7393497407708167E-2</v>
      </c>
      <c r="F29" s="2">
        <f>'GOOGL - Balance Sheet FY'!F51/'GOOGL - Balance Sheet FY'!F47</f>
        <v>5.8882905796093551E-2</v>
      </c>
      <c r="G29" s="2">
        <f>'GOOGL - Balance Sheet FY'!G51/'GOOGL - Balance Sheet FY'!G47</f>
        <v>6.2603350348695089E-2</v>
      </c>
      <c r="H29" s="2">
        <f>'GOOGL - Balance Sheet FY'!H51/'GOOGL - Balance Sheet FY'!H47</f>
        <v>2.260700350473089E-2</v>
      </c>
      <c r="I29" s="2"/>
      <c r="J29" s="2"/>
      <c r="K29" s="2"/>
      <c r="L29" s="2"/>
      <c r="M29" s="2"/>
      <c r="N29" s="2"/>
      <c r="O29" s="2"/>
      <c r="P29" s="2"/>
      <c r="Q29" s="2"/>
      <c r="R29" s="2"/>
      <c r="S29" s="2"/>
      <c r="T29" s="2"/>
    </row>
    <row r="30" spans="1:20" x14ac:dyDescent="0.25">
      <c r="A30" s="3" t="s">
        <v>135</v>
      </c>
      <c r="B30" s="3">
        <f>'GOOGL - Balance Sheet FY'!B51/'GOOGL - Balance Sheet FY'!B25</f>
        <v>7.819332382521868E-2</v>
      </c>
      <c r="C30" s="3">
        <f>'GOOGL - Balance Sheet FY'!C51/'GOOGL - Balance Sheet FY'!C25</f>
        <v>2.4170694005188158E-2</v>
      </c>
      <c r="D30" s="3">
        <f>'GOOGL - Balance Sheet FY'!D51/'GOOGL - Balance Sheet FY'!D25</f>
        <v>3.293554543827909E-2</v>
      </c>
      <c r="E30" s="3">
        <f>'GOOGL - Balance Sheet FY'!E51/'GOOGL - Balance Sheet FY'!E25</f>
        <v>4.024760173463577E-2</v>
      </c>
      <c r="F30" s="3">
        <f>'GOOGL - Balance Sheet FY'!F51/'GOOGL - Balance Sheet FY'!F25</f>
        <v>4.1242192457997928E-2</v>
      </c>
      <c r="G30" s="3">
        <f>'GOOGL - Balance Sheet FY'!G51/'GOOGL - Balance Sheet FY'!G25</f>
        <v>4.358980776932319E-2</v>
      </c>
      <c r="H30" s="3">
        <f>'GOOGL - Balance Sheet FY'!H51/'GOOGL - Balance Sheet FY'!H25</f>
        <v>1.6505442011677765E-2</v>
      </c>
      <c r="I30" s="3"/>
      <c r="J30" s="3"/>
      <c r="K30" s="3"/>
      <c r="L30" s="3"/>
      <c r="M30" s="3"/>
      <c r="N30" s="3"/>
      <c r="O30" s="3"/>
      <c r="P30" s="3"/>
      <c r="Q30" s="3"/>
      <c r="R30" s="3"/>
      <c r="S30" s="3"/>
      <c r="T30" s="3"/>
    </row>
    <row r="31" spans="1:20" x14ac:dyDescent="0.25">
      <c r="A31" s="3" t="s">
        <v>134</v>
      </c>
      <c r="B31" s="3">
        <f>'GOOGL - Balance Sheet FY'!B52/'GOOGL - Income Statement FY'!B21</f>
        <v>0.10547028466788747</v>
      </c>
      <c r="C31" s="3">
        <f>'GOOGL - Balance Sheet FY'!C52/'GOOGL - Income Statement FY'!C21</f>
        <v>-9.8534858771661932E-2</v>
      </c>
      <c r="D31" s="3">
        <f>'GOOGL - Balance Sheet FY'!D52/'GOOGL - Income Statement FY'!D21</f>
        <v>-0.11216866343166491</v>
      </c>
      <c r="E31" s="3">
        <f>'GOOGL - Balance Sheet FY'!E52/'GOOGL - Income Statement FY'!E21</f>
        <v>-8.0689763708716472E-2</v>
      </c>
      <c r="F31" s="3">
        <f>'GOOGL - Balance Sheet FY'!F52/'GOOGL - Income Statement FY'!F21</f>
        <v>-6.8185105649082589E-2</v>
      </c>
      <c r="G31" s="3">
        <f>'GOOGL - Balance Sheet FY'!G52/'GOOGL - Income Statement FY'!G21</f>
        <v>-0.22820050618160631</v>
      </c>
      <c r="H31" s="3">
        <f>'GOOGL - Balance Sheet FY'!H52/'GOOGL - Income Statement FY'!H21</f>
        <v>-0.30926874708896135</v>
      </c>
      <c r="I31" s="3"/>
      <c r="J31" s="3"/>
      <c r="K31" s="3"/>
      <c r="L31" s="3"/>
      <c r="M31" s="3"/>
      <c r="N31" s="3"/>
      <c r="O31" s="3"/>
      <c r="P31" s="3"/>
      <c r="Q31" s="3"/>
      <c r="R31" s="3"/>
      <c r="S31" s="3"/>
      <c r="T31" s="3"/>
    </row>
    <row r="32" spans="1:20" x14ac:dyDescent="0.25">
      <c r="A32" s="2" t="s">
        <v>133</v>
      </c>
      <c r="B32" s="2">
        <f>'GOOGL - Balance Sheet FY'!B13/'GOOGL - Balance Sheet FY'!B32</f>
        <v>2.0053335928755658</v>
      </c>
      <c r="C32" s="2">
        <f>'GOOGL - Balance Sheet FY'!C13/'GOOGL - Balance Sheet FY'!C32</f>
        <v>1.8369313974102914</v>
      </c>
      <c r="D32" s="2">
        <f>'GOOGL - Balance Sheet FY'!D13/'GOOGL - Balance Sheet FY'!D32</f>
        <v>2.0965849365634242</v>
      </c>
      <c r="E32" s="2">
        <f>'GOOGL - Balance Sheet FY'!E13/'GOOGL - Balance Sheet FY'!E32</f>
        <v>2.3779942279942281</v>
      </c>
      <c r="F32" s="2">
        <f>'GOOGL - Balance Sheet FY'!F13/'GOOGL - Balance Sheet FY'!F32</f>
        <v>2.9281134248451459</v>
      </c>
      <c r="G32" s="2">
        <f>'GOOGL - Balance Sheet FY'!G13/'GOOGL - Balance Sheet FY'!G32</f>
        <v>3.0667558151810534</v>
      </c>
      <c r="H32" s="2">
        <f>'GOOGL - Balance Sheet FY'!H13/'GOOGL - Balance Sheet FY'!H32</f>
        <v>3.3740518785520002</v>
      </c>
      <c r="I32" s="2"/>
      <c r="J32" s="2"/>
      <c r="K32" s="2"/>
      <c r="L32" s="2"/>
      <c r="M32" s="2"/>
      <c r="N32" s="2"/>
      <c r="O32" s="2"/>
      <c r="P32" s="2"/>
      <c r="Q32" s="2"/>
      <c r="R32" s="2"/>
      <c r="S32" s="2"/>
      <c r="T32" s="2"/>
    </row>
    <row r="33" spans="1:20" x14ac:dyDescent="0.25">
      <c r="A33" s="2" t="s">
        <v>132</v>
      </c>
      <c r="B33" s="2" t="str">
        <f>IFERROR('GOOGL - Income Statement FY'!B25/'GOOGL - Income Statement FY'!B23,"")</f>
        <v/>
      </c>
      <c r="C33" s="2" t="str">
        <f>IFERROR('GOOGL - Income Statement FY'!C25/'GOOGL - Income Statement FY'!C23,"")</f>
        <v/>
      </c>
      <c r="D33" s="2" t="str">
        <f>IFERROR('GOOGL - Income Statement FY'!D25/'GOOGL - Income Statement FY'!D23,"")</f>
        <v/>
      </c>
      <c r="E33" s="2" t="str">
        <f>IFERROR('GOOGL - Income Statement FY'!E25/'GOOGL - Income Statement FY'!E23,"")</f>
        <v/>
      </c>
      <c r="F33" s="2" t="str">
        <f>IFERROR('GOOGL - Income Statement FY'!F25/'GOOGL - Income Statement FY'!F23,"")</f>
        <v/>
      </c>
      <c r="G33" s="2" t="str">
        <f>IFERROR('GOOGL - Income Statement FY'!G25/'GOOGL - Income Statement FY'!G23,"")</f>
        <v/>
      </c>
      <c r="H33" s="2" t="str">
        <f>IFERROR('GOOGL - Income Statement FY'!H25/'GOOGL - Income Statement FY'!H23,"")</f>
        <v/>
      </c>
      <c r="I33" s="2"/>
      <c r="J33" s="2"/>
      <c r="K33" s="2"/>
      <c r="L33" s="2"/>
      <c r="M33" s="2"/>
      <c r="N33" s="2"/>
      <c r="O33" s="2"/>
      <c r="P33" s="2"/>
      <c r="Q33" s="2"/>
      <c r="R33" s="2"/>
      <c r="S33" s="2"/>
      <c r="T33" s="2"/>
    </row>
    <row r="34" spans="1:20" x14ac:dyDescent="0.25">
      <c r="A34" s="2" t="s">
        <v>131</v>
      </c>
      <c r="B34" s="2">
        <f>'GOOGL - Cash Flow FY'!B17/'GOOGL - Income Statement FY'!B32</f>
        <v>1.2462207762729818</v>
      </c>
      <c r="C34" s="2">
        <f>'GOOGL - Cash Flow FY'!C17/'GOOGL - Income Statement FY'!C32</f>
        <v>1.2515132144069998</v>
      </c>
      <c r="D34" s="2">
        <f>'GOOGL - Cash Flow FY'!D17/'GOOGL - Income Statement FY'!D32</f>
        <v>1.3787654990175486</v>
      </c>
      <c r="E34" s="2">
        <f>'GOOGL - Cash Flow FY'!E17/'GOOGL - Income Statement FY'!E32</f>
        <v>1.5256286266924566</v>
      </c>
      <c r="F34" s="2">
        <f>'GOOGL - Cash Flow FY'!F17/'GOOGL - Income Statement FY'!F32</f>
        <v>1.2054239606486656</v>
      </c>
      <c r="G34" s="2">
        <f>'GOOGL - Cash Flow FY'!G17/'GOOGL - Income Statement FY'!G32</f>
        <v>1.6172241674737391</v>
      </c>
      <c r="H34" s="2">
        <f>'GOOGL - Cash Flow FY'!H17/'GOOGL - Income Statement FY'!H32</f>
        <v>1.5875141950324665</v>
      </c>
      <c r="I34" s="2"/>
      <c r="J34" s="2"/>
      <c r="K34" s="2"/>
      <c r="L34" s="2"/>
      <c r="M34" s="2"/>
      <c r="N34" s="2"/>
      <c r="O34" s="2"/>
      <c r="P34" s="2"/>
      <c r="Q34" s="2"/>
      <c r="R34" s="2"/>
      <c r="S34" s="2"/>
      <c r="T34" s="2"/>
    </row>
    <row r="35" spans="1:20" x14ac:dyDescent="0.25">
      <c r="A35" s="14" t="s">
        <v>130</v>
      </c>
      <c r="B35" s="3"/>
      <c r="C35" s="3"/>
      <c r="D35" s="3"/>
      <c r="E35" s="3"/>
      <c r="F35" s="3"/>
      <c r="G35" s="3"/>
      <c r="H35" s="3"/>
      <c r="I35" s="3"/>
      <c r="J35" s="3"/>
      <c r="K35" s="3"/>
      <c r="L35" s="3"/>
      <c r="M35" s="3"/>
      <c r="N35" s="3"/>
      <c r="O35" s="3"/>
      <c r="P35" s="3"/>
      <c r="Q35" s="3"/>
      <c r="R35" s="3"/>
      <c r="S35" s="3"/>
      <c r="T35" s="3"/>
    </row>
    <row r="36" spans="1:20" x14ac:dyDescent="0.25">
      <c r="A36" s="3" t="s">
        <v>129</v>
      </c>
      <c r="B36" s="3">
        <f>-'GOOGL - Cash Flow FY'!B29/'GOOGL - Income Statement FY'!B32</f>
        <v>7.6030869334947418E-2</v>
      </c>
      <c r="C36" s="3">
        <f>-'GOOGL - Cash Flow FY'!C29/'GOOGL - Income Statement FY'!C32</f>
        <v>7.3543219001578133E-2</v>
      </c>
      <c r="D36" s="3">
        <f>-'GOOGL - Cash Flow FY'!D29/'GOOGL - Income Statement FY'!D32</f>
        <v>0</v>
      </c>
      <c r="E36" s="3">
        <f>-'GOOGL - Cash Flow FY'!E29/'GOOGL - Income Statement FY'!E32</f>
        <v>0</v>
      </c>
      <c r="F36" s="3">
        <f>-'GOOGL - Cash Flow FY'!F29/'GOOGL - Income Statement FY'!F32</f>
        <v>0</v>
      </c>
      <c r="G36" s="3">
        <f>-'GOOGL - Cash Flow FY'!G29/'GOOGL - Income Statement FY'!G32</f>
        <v>0</v>
      </c>
      <c r="H36" s="3">
        <f>-'GOOGL - Cash Flow FY'!H29/'GOOGL - Income Statement FY'!H32</f>
        <v>0</v>
      </c>
      <c r="I36" s="3"/>
      <c r="J36" s="3"/>
      <c r="K36" s="3"/>
      <c r="L36" s="3"/>
      <c r="M36" s="3"/>
      <c r="N36" s="3"/>
      <c r="O36" s="3"/>
      <c r="P36" s="3"/>
      <c r="Q36" s="3"/>
      <c r="R36" s="3"/>
      <c r="S36" s="3"/>
      <c r="T36" s="3"/>
    </row>
    <row r="37" spans="1:20" x14ac:dyDescent="0.25">
      <c r="A37" s="3" t="s">
        <v>128</v>
      </c>
      <c r="B37" s="3">
        <f>'GOOGL - Income Statement FY'!B14/'GOOGL - Income Statement FY'!B7</f>
        <v>0.12455440923849904</v>
      </c>
      <c r="C37" s="3">
        <f>'GOOGL - Income Statement FY'!C14/'GOOGL - Income Statement FY'!C7</f>
        <v>0.11998240090509631</v>
      </c>
      <c r="D37" s="3">
        <f>'GOOGL - Income Statement FY'!D14/'GOOGL - Income Statement FY'!D7</f>
        <v>0.14425135168545905</v>
      </c>
      <c r="E37" s="3">
        <f>'GOOGL - Income Statement FY'!E14/'GOOGL - Income Statement FY'!E7</f>
        <v>0.14952481296581766</v>
      </c>
      <c r="F37" s="3">
        <f>'GOOGL - Income Statement FY'!F14/'GOOGL - Income Statement FY'!F7</f>
        <v>0.14136944615874272</v>
      </c>
      <c r="G37" s="3">
        <f>'GOOGL - Income Statement FY'!G14/'GOOGL - Income Statement FY'!G7</f>
        <v>0.15886964668240863</v>
      </c>
      <c r="H37" s="3">
        <f>'GOOGL - Income Statement FY'!H14/'GOOGL - Income Statement FY'!H7</f>
        <v>0.17308488357006493</v>
      </c>
      <c r="I37" s="3"/>
      <c r="J37" s="3"/>
      <c r="K37" s="3"/>
      <c r="L37" s="3"/>
      <c r="M37" s="3"/>
      <c r="N37" s="3"/>
      <c r="O37" s="3"/>
      <c r="P37" s="3"/>
      <c r="Q37" s="3"/>
      <c r="R37" s="3"/>
      <c r="S37" s="3"/>
      <c r="T37" s="3"/>
    </row>
    <row r="38" spans="1:20" x14ac:dyDescent="0.25">
      <c r="A38" s="3" t="s">
        <v>127</v>
      </c>
      <c r="B38" s="3">
        <f>'GOOGL - Income Statement FY'!B13/'GOOGL - Income Statement FY'!B7</f>
        <v>0.15164235569810047</v>
      </c>
      <c r="C38" s="3">
        <f>'GOOGL - Income Statement FY'!C13/'GOOGL - Income Statement FY'!C7</f>
        <v>0.14092418104211785</v>
      </c>
      <c r="D38" s="3">
        <f>'GOOGL - Income Statement FY'!D13/'GOOGL - Income Statement FY'!D7</f>
        <v>0.14778102370247956</v>
      </c>
      <c r="E38" s="3">
        <f>'GOOGL - Income Statement FY'!E13/'GOOGL - Income Statement FY'!E7</f>
        <v>0.13965690364734334</v>
      </c>
      <c r="F38" s="3">
        <f>'GOOGL - Income Statement FY'!F13/'GOOGL - Income Statement FY'!F7</f>
        <v>0.12250569599863374</v>
      </c>
      <c r="G38" s="3">
        <f>'GOOGL - Income Statement FY'!G13/'GOOGL - Income Statement FY'!G7</f>
        <v>0.15106258252203783</v>
      </c>
      <c r="H38" s="3">
        <f>'GOOGL - Income Statement FY'!H13/'GOOGL - Income Statement FY'!H7</f>
        <v>0.16074683208016954</v>
      </c>
      <c r="I38" s="3"/>
      <c r="J38" s="3"/>
      <c r="K38" s="3"/>
      <c r="L38" s="3"/>
      <c r="M38" s="3"/>
      <c r="N38" s="3"/>
      <c r="O38" s="3"/>
      <c r="P38" s="3"/>
      <c r="Q38" s="3"/>
      <c r="R38" s="3"/>
      <c r="S38" s="3"/>
      <c r="T38" s="3"/>
    </row>
    <row r="39" spans="1:20" x14ac:dyDescent="0.25">
      <c r="A39" s="3" t="s">
        <v>126</v>
      </c>
      <c r="B39" s="3">
        <f>'GOOGL - Balance Sheet FY'!B18/'GOOGL - Balance Sheet FY'!B25</f>
        <v>5.6074358160263807E-2</v>
      </c>
      <c r="C39" s="3">
        <f>'GOOGL - Balance Sheet FY'!C18/'GOOGL - Balance Sheet FY'!C25</f>
        <v>7.0815269535553102E-2</v>
      </c>
      <c r="D39" s="3">
        <f>'GOOGL - Balance Sheet FY'!D18/'GOOGL - Balance Sheet FY'!D25</f>
        <v>7.2561084713413784E-2</v>
      </c>
      <c r="E39" s="3">
        <f>'GOOGL - Balance Sheet FY'!E18/'GOOGL - Balance Sheet FY'!E25</f>
        <v>8.4990582154277461E-2</v>
      </c>
      <c r="F39" s="3">
        <f>'GOOGL - Balance Sheet FY'!F18/'GOOGL - Balance Sheet FY'!F25</f>
        <v>6.784072057628289E-2</v>
      </c>
      <c r="G39" s="3">
        <f>'GOOGL - Balance Sheet FY'!G18/'GOOGL - Balance Sheet FY'!G25</f>
        <v>7.0772426912294753E-2</v>
      </c>
      <c r="H39" s="3">
        <f>'GOOGL - Balance Sheet FY'!H18/'GOOGL - Balance Sheet FY'!H25</f>
        <v>8.1921938030292601E-2</v>
      </c>
      <c r="I39" s="3"/>
      <c r="J39" s="3"/>
      <c r="K39" s="3"/>
      <c r="L39" s="3"/>
      <c r="M39" s="3"/>
      <c r="N39" s="3"/>
      <c r="O39" s="3"/>
      <c r="P39" s="3"/>
      <c r="Q39" s="3"/>
      <c r="R39" s="3"/>
      <c r="S39" s="3"/>
      <c r="T39" s="3"/>
    </row>
    <row r="40" spans="1:20" x14ac:dyDescent="0.25">
      <c r="A40" s="2" t="s">
        <v>125</v>
      </c>
      <c r="B40" s="2">
        <f>'GOOGL - Cash Flow FY'!B38/'GOOGL - Cash Flow FY'!B17</f>
        <v>-0.55518993643488979</v>
      </c>
      <c r="C40" s="2">
        <f>'GOOGL - Cash Flow FY'!C38/'GOOGL - Cash Flow FY'!C17</f>
        <v>-0.4192770892026273</v>
      </c>
      <c r="D40" s="2">
        <f>'GOOGL - Cash Flow FY'!D38/'GOOGL - Cash Flow FY'!D17</f>
        <v>-0.31697560592062585</v>
      </c>
      <c r="E40" s="2">
        <f>'GOOGL - Cash Flow FY'!E38/'GOOGL - Cash Flow FY'!E17</f>
        <v>-0.34411716487239741</v>
      </c>
      <c r="F40" s="2">
        <f>'GOOGL - Cash Flow FY'!F38/'GOOGL - Cash Flow FY'!F17</f>
        <v>-0.26884301488238116</v>
      </c>
      <c r="G40" s="2">
        <f>'GOOGL - Cash Flow FY'!G38/'GOOGL - Cash Flow FY'!G17</f>
        <v>-0.34213193292795285</v>
      </c>
      <c r="H40" s="2">
        <f>'GOOGL - Cash Flow FY'!H38/'GOOGL - Cash Flow FY'!H17</f>
        <v>-0.43191489361702129</v>
      </c>
      <c r="I40" s="2"/>
      <c r="J40" s="2"/>
      <c r="K40" s="2"/>
      <c r="L40" s="2"/>
      <c r="M40" s="2"/>
      <c r="N40" s="2"/>
      <c r="O40" s="2"/>
      <c r="P40" s="2"/>
      <c r="Q40" s="2"/>
      <c r="R40" s="2"/>
      <c r="S40" s="2"/>
      <c r="T40" s="2"/>
    </row>
    <row r="41" spans="1:20" x14ac:dyDescent="0.25">
      <c r="A41" s="2" t="s">
        <v>124</v>
      </c>
      <c r="B41" s="2">
        <f>'GOOGL - Cash Flow FY'!B38/'GOOGL - Income Statement FY'!B7</f>
        <v>-0.22700801318650765</v>
      </c>
      <c r="C41" s="2">
        <f>'GOOGL - Cash Flow FY'!C38/'GOOGL - Income Statement FY'!C7</f>
        <v>-0.15009228096840735</v>
      </c>
      <c r="D41" s="2">
        <f>'GOOGL - Cash Flow FY'!D38/'GOOGL - Income Statement FY'!D7</f>
        <v>-0.10491746748472644</v>
      </c>
      <c r="E41" s="2">
        <f>'GOOGL - Cash Flow FY'!E38/'GOOGL - Income Statement FY'!E7</f>
        <v>-0.11131892686928113</v>
      </c>
      <c r="F41" s="2">
        <f>'GOOGL - Cash Flow FY'!F38/'GOOGL - Income Statement FY'!F7</f>
        <v>-9.5638437025737766E-2</v>
      </c>
      <c r="G41" s="2">
        <f>'GOOGL - Cash Flow FY'!G38/'GOOGL - Income Statement FY'!G7</f>
        <v>-0.12206961161910293</v>
      </c>
      <c r="H41" s="2">
        <f>'GOOGL - Cash Flow FY'!H38/'GOOGL - Income Statement FY'!H7</f>
        <v>-0.14548644791389931</v>
      </c>
      <c r="I41" s="2"/>
      <c r="J41" s="2"/>
      <c r="K41" s="2"/>
      <c r="L41" s="2"/>
      <c r="M41" s="2"/>
      <c r="N41" s="2"/>
      <c r="O41" s="2"/>
      <c r="P41" s="2"/>
      <c r="Q41" s="2"/>
      <c r="R41" s="2"/>
      <c r="S41" s="2"/>
      <c r="T41" s="2"/>
    </row>
    <row r="42" spans="1:20" x14ac:dyDescent="0.25">
      <c r="A42" s="2" t="s">
        <v>123</v>
      </c>
      <c r="B42" s="2">
        <f>'GOOGL - Cash Flow FY'!B38/'GOOGL - Cash Flow FY'!B8</f>
        <v>-4.3265991672975019</v>
      </c>
      <c r="C42" s="2">
        <f>'GOOGL - Cash Flow FY'!C38/'GOOGL - Cash Flow FY'!C8</f>
        <v>-3.4311932597478938</v>
      </c>
      <c r="D42" s="2">
        <f>'GOOGL - Cash Flow FY'!D38/'GOOGL - Cash Flow FY'!D8</f>
        <v>-2.6997321279089235</v>
      </c>
      <c r="E42" s="2">
        <f>'GOOGL - Cash Flow FY'!E38/'GOOGL - Cash Flow FY'!E8</f>
        <v>-2.2304477189005385</v>
      </c>
      <c r="F42" s="2">
        <f>'GOOGL - Cash Flow FY'!F38/'GOOGL - Cash Flow FY'!F8</f>
        <v>-2.2080831615736178</v>
      </c>
      <c r="G42" s="2">
        <f>'GOOGL - Cash Flow FY'!G38/'GOOGL - Cash Flow FY'!G8</f>
        <v>-1.6267065780827918</v>
      </c>
      <c r="H42" s="2">
        <f>'GOOGL - Cash Flow FY'!H38/'GOOGL - Cash Flow FY'!H8</f>
        <v>-2.1691230655858513</v>
      </c>
      <c r="I42" s="2"/>
      <c r="J42" s="2"/>
      <c r="K42" s="2"/>
      <c r="L42" s="2"/>
      <c r="M42" s="2"/>
      <c r="N42" s="2"/>
      <c r="O42" s="2"/>
      <c r="P42" s="2"/>
      <c r="Q42" s="2"/>
      <c r="R42" s="2"/>
      <c r="S42" s="2"/>
      <c r="T42" s="2"/>
    </row>
    <row r="43" spans="1:20" x14ac:dyDescent="0.25">
      <c r="A43" s="3" t="s">
        <v>122</v>
      </c>
      <c r="B43" s="3">
        <f>'GOOGL - Cash Flow FY'!B10/'GOOGL - Income Statement FY'!B7</f>
        <v>6.1943321848096991E-2</v>
      </c>
      <c r="C43" s="3">
        <f>'GOOGL - Cash Flow FY'!C10/'GOOGL - Income Statement FY'!C7</f>
        <v>6.5096652172174002E-2</v>
      </c>
      <c r="D43" s="3">
        <f>'GOOGL - Cash Flow FY'!D10/'GOOGL - Income Statement FY'!D7</f>
        <v>7.3065837329290742E-2</v>
      </c>
      <c r="E43" s="3">
        <f>'GOOGL - Cash Flow FY'!E10/'GOOGL - Income Statement FY'!E7</f>
        <v>6.8456632111895233E-2</v>
      </c>
      <c r="F43" s="3">
        <f>'GOOGL - Cash Flow FY'!F10/'GOOGL - Income Statement FY'!F7</f>
        <v>5.9680868819307786E-2</v>
      </c>
      <c r="G43" s="3">
        <f>'GOOGL - Cash Flow FY'!G10/'GOOGL - Income Statement FY'!G7</f>
        <v>7.1173031935001393E-2</v>
      </c>
      <c r="H43" s="3">
        <f>'GOOGL - Cash Flow FY'!H10/'GOOGL - Income Statement FY'!H7</f>
        <v>6.6688496635919359E-2</v>
      </c>
      <c r="I43" s="3"/>
      <c r="J43" s="3"/>
      <c r="K43" s="3"/>
      <c r="L43" s="3"/>
      <c r="M43" s="3"/>
      <c r="N43" s="3"/>
      <c r="O43" s="3"/>
      <c r="P43" s="3"/>
      <c r="Q43" s="3"/>
      <c r="R43" s="3"/>
      <c r="S43" s="3"/>
      <c r="T43" s="3"/>
    </row>
    <row r="44" spans="1:20" x14ac:dyDescent="0.25">
      <c r="A44" s="2" t="s">
        <v>121</v>
      </c>
      <c r="B44" s="2">
        <f>SQRT(22.5*'GOOGL - Income Statement FY'!B35*'GOOGL - Balance Sheet FY'!B47/'GOOGL - Income Statement FY'!B38)</f>
        <v>91.3074770160772</v>
      </c>
      <c r="C44" s="2">
        <f>SQRT(22.5*'GOOGL - Income Statement FY'!C35*'GOOGL - Balance Sheet FY'!C47/'GOOGL - Income Statement FY'!C38)</f>
        <v>69.10584365804624</v>
      </c>
      <c r="D44" s="2">
        <f>SQRT(22.5*'GOOGL - Income Statement FY'!D35*'GOOGL - Balance Sheet FY'!D47/'GOOGL - Income Statement FY'!D38)</f>
        <v>54.098690240907452</v>
      </c>
      <c r="E44" s="2">
        <f>SQRT(22.5*'GOOGL - Income Statement FY'!E35*'GOOGL - Balance Sheet FY'!E47/'GOOGL - Income Statement FY'!E38)</f>
        <v>44.848073830181072</v>
      </c>
      <c r="F44" s="2">
        <f>SQRT(22.5*'GOOGL - Income Statement FY'!F35*'GOOGL - Balance Sheet FY'!F47/'GOOGL - Income Statement FY'!F38)</f>
        <v>48.754554980772077</v>
      </c>
      <c r="G44" s="2">
        <f>SQRT(22.5*'GOOGL - Income Statement FY'!G35*'GOOGL - Balance Sheet FY'!G47/'GOOGL - Income Statement FY'!G38)</f>
        <v>32.83889130748792</v>
      </c>
      <c r="H44" s="2">
        <f>SQRT(22.5*'GOOGL - Income Statement FY'!H35*'GOOGL - Balance Sheet FY'!H47/'GOOGL - Income Statement FY'!H38)</f>
        <v>28.374867893955507</v>
      </c>
      <c r="I44" s="2"/>
      <c r="J44" s="2"/>
      <c r="K44" s="2"/>
      <c r="L44" s="2"/>
      <c r="M44" s="2"/>
      <c r="N44" s="2"/>
      <c r="O44" s="2"/>
      <c r="P44" s="2"/>
      <c r="Q44" s="2"/>
      <c r="R44" s="2"/>
      <c r="S44" s="2"/>
      <c r="T44" s="2"/>
    </row>
    <row r="45" spans="1:20" x14ac:dyDescent="0.25">
      <c r="A45" s="3" t="s">
        <v>120</v>
      </c>
      <c r="B45" s="3">
        <f>'GOOGL - Income Statement FY'!B25*(1-'GOOGL - Income Statement FY'!B31/'GOOGL - Income Statement FY'!B29)/('GOOGL - Balance Sheet FY'!B47+'GOOGL - Balance Sheet FY'!B51)</f>
        <v>0.23252361523558601</v>
      </c>
      <c r="C45" s="3">
        <f>'GOOGL - Income Statement FY'!C25*(1-'GOOGL - Income Statement FY'!C31/'GOOGL - Income Statement FY'!C29)/('GOOGL - Balance Sheet FY'!C47+'GOOGL - Balance Sheet FY'!C51)</f>
        <v>0.27953231622529828</v>
      </c>
      <c r="D45" s="3">
        <f>'GOOGL - Income Statement FY'!D25*(1-'GOOGL - Income Statement FY'!D31/'GOOGL - Income Statement FY'!D29)/('GOOGL - Balance Sheet FY'!D47+'GOOGL - Balance Sheet FY'!D51)</f>
        <v>0.244643389412359</v>
      </c>
      <c r="E45" s="3">
        <f>'GOOGL - Income Statement FY'!E25*(1-'GOOGL - Income Statement FY'!E31/'GOOGL - Income Statement FY'!E29)/('GOOGL - Balance Sheet FY'!E47+'GOOGL - Balance Sheet FY'!E51)</f>
        <v>0.23233414871181321</v>
      </c>
      <c r="F45" s="3">
        <f>'GOOGL - Income Statement FY'!F25*(1-'GOOGL - Income Statement FY'!F31/'GOOGL - Income Statement FY'!F29)/('GOOGL - Balance Sheet FY'!F47+'GOOGL - Balance Sheet FY'!F51)</f>
        <v>0.24755121799801769</v>
      </c>
      <c r="G45" s="3">
        <f>'GOOGL - Income Statement FY'!G25*(1-'GOOGL - Income Statement FY'!G31/'GOOGL - Income Statement FY'!G29)/('GOOGL - Balance Sheet FY'!G47+'GOOGL - Balance Sheet FY'!G51)</f>
        <v>0.14599950373321227</v>
      </c>
      <c r="H45" s="3">
        <f>'GOOGL - Income Statement FY'!H25*(1-'GOOGL - Income Statement FY'!H31/'GOOGL - Income Statement FY'!H29)/('GOOGL - Balance Sheet FY'!H47+'GOOGL - Balance Sheet FY'!H51)</f>
        <v>0.14402230382348546</v>
      </c>
      <c r="I45" s="3"/>
      <c r="J45" s="3"/>
      <c r="K45" s="3"/>
      <c r="L45" s="3"/>
      <c r="M45" s="3"/>
      <c r="N45" s="3"/>
      <c r="O45" s="3"/>
      <c r="P45" s="3"/>
      <c r="Q45" s="3"/>
      <c r="R45" s="3"/>
      <c r="S45" s="3"/>
      <c r="T45" s="3"/>
    </row>
    <row r="46" spans="1:20" x14ac:dyDescent="0.25">
      <c r="A46" s="3" t="s">
        <v>119</v>
      </c>
      <c r="B46" s="3">
        <f>'GOOGL - Income Statement FY'!B32/('GOOGL - Balance Sheet FY'!B25-'GOOGL - Balance Sheet FY'!B18)</f>
        <v>0.23521937138392707</v>
      </c>
      <c r="C46" s="3">
        <f>'GOOGL - Income Statement FY'!C32/('GOOGL - Balance Sheet FY'!C25-'GOOGL - Balance Sheet FY'!C18)</f>
        <v>0.23930434948885079</v>
      </c>
      <c r="D46" s="3">
        <f>'GOOGL - Income Statement FY'!D32/('GOOGL - Balance Sheet FY'!D25-'GOOGL - Balance Sheet FY'!D18)</f>
        <v>0.19773897758270498</v>
      </c>
      <c r="E46" s="3">
        <f>'GOOGL - Income Statement FY'!E32/('GOOGL - Balance Sheet FY'!E25-'GOOGL - Balance Sheet FY'!E18)</f>
        <v>0.17943869307641674</v>
      </c>
      <c r="F46" s="3">
        <f>'GOOGL - Income Statement FY'!F32/('GOOGL - Balance Sheet FY'!F25-'GOOGL - Balance Sheet FY'!F18)</f>
        <v>0.22703533943474821</v>
      </c>
      <c r="G46" s="3">
        <f>'GOOGL - Income Statement FY'!G32/('GOOGL - Balance Sheet FY'!G25-'GOOGL - Balance Sheet FY'!G18)</f>
        <v>0.135587684682622</v>
      </c>
      <c r="H46" s="3">
        <f>'GOOGL - Income Statement FY'!H32/('GOOGL - Balance Sheet FY'!H25-'GOOGL - Balance Sheet FY'!H18)</f>
        <v>0.13557910195573733</v>
      </c>
      <c r="I46" s="3"/>
      <c r="J46" s="3"/>
      <c r="K46" s="3"/>
      <c r="L46" s="3"/>
      <c r="M46" s="3"/>
      <c r="N46" s="3"/>
      <c r="O46" s="3"/>
      <c r="P46" s="3"/>
      <c r="Q46" s="3"/>
      <c r="R46" s="3"/>
      <c r="S46" s="3"/>
      <c r="T46" s="3"/>
    </row>
    <row r="47" spans="1:20" x14ac:dyDescent="0.25">
      <c r="A47" s="2" t="s">
        <v>118</v>
      </c>
      <c r="B47" s="2">
        <f>('GOOGL - Balance Sheet FY'!B13-'GOOGL - Balance Sheet FY'!B41)/'GOOGL - Income Statement FY'!B38</f>
        <v>2.1282407786047273</v>
      </c>
      <c r="C47" s="2">
        <f>('GOOGL - Balance Sheet FY'!C13-'GOOGL - Balance Sheet FY'!C41)/'GOOGL - Income Statement FY'!C38</f>
        <v>3.0950048185030519</v>
      </c>
      <c r="D47" s="2">
        <f>('GOOGL - Balance Sheet FY'!D13-'GOOGL - Balance Sheet FY'!D41)/'GOOGL - Income Statement FY'!D38</f>
        <v>4.1277214493437082</v>
      </c>
      <c r="E47" s="2">
        <f>('GOOGL - Balance Sheet FY'!E13-'GOOGL - Balance Sheet FY'!E41)/'GOOGL - Income Statement FY'!E38</f>
        <v>4.2331964720194648</v>
      </c>
      <c r="F47" s="2">
        <f>('GOOGL - Balance Sheet FY'!F13-'GOOGL - Balance Sheet FY'!F41)/'GOOGL - Income Statement FY'!F38</f>
        <v>5.9403822032022431</v>
      </c>
      <c r="G47" s="2">
        <f>('GOOGL - Balance Sheet FY'!G13-'GOOGL - Balance Sheet FY'!G41)/'GOOGL - Income Statement FY'!G38</f>
        <v>5.6187427240977881</v>
      </c>
      <c r="H47" s="2">
        <f>('GOOGL - Balance Sheet FY'!H13-'GOOGL - Balance Sheet FY'!H41)/'GOOGL - Income Statement FY'!H38</f>
        <v>5.5949430556550395</v>
      </c>
      <c r="I47" s="2"/>
      <c r="J47" s="2"/>
      <c r="K47" s="2"/>
      <c r="L47" s="2"/>
      <c r="M47" s="2"/>
      <c r="N47" s="2"/>
      <c r="O47" s="2"/>
      <c r="P47" s="2"/>
      <c r="Q47" s="2"/>
      <c r="R47" s="2"/>
      <c r="S47" s="2"/>
      <c r="T47" s="2"/>
    </row>
    <row r="48" spans="1:20" x14ac:dyDescent="0.25">
      <c r="A48" s="1" t="s">
        <v>117</v>
      </c>
      <c r="B48" s="1">
        <f>'GOOGL - Balance Sheet FY'!B13-'GOOGL - Balance Sheet FY'!B32</f>
        <v>103293</v>
      </c>
      <c r="C48" s="1">
        <f>'GOOGL - Balance Sheet FY'!C13-'GOOGL - Balance Sheet FY'!C32</f>
        <v>74589</v>
      </c>
      <c r="D48" s="1">
        <f>'GOOGL - Balance Sheet FY'!D13-'GOOGL - Balance Sheet FY'!D32</f>
        <v>89716</v>
      </c>
      <c r="E48" s="1">
        <f>'GOOGL - Balance Sheet FY'!E13-'GOOGL - Balance Sheet FY'!E32</f>
        <v>95495</v>
      </c>
      <c r="F48" s="1">
        <f>'GOOGL - Balance Sheet FY'!F13-'GOOGL - Balance Sheet FY'!F32</f>
        <v>123889</v>
      </c>
      <c r="G48" s="1">
        <f>'GOOGL - Balance Sheet FY'!G13-'GOOGL - Balance Sheet FY'!G32</f>
        <v>117462</v>
      </c>
      <c r="H48" s="1">
        <f>'GOOGL - Balance Sheet FY'!H13-'GOOGL - Balance Sheet FY'!H32</f>
        <v>107357</v>
      </c>
      <c r="I48" s="1"/>
      <c r="J48" s="1"/>
      <c r="K48" s="1"/>
      <c r="L48" s="1"/>
      <c r="M48" s="1"/>
      <c r="N48" s="1"/>
      <c r="O48" s="1"/>
      <c r="P48" s="1"/>
      <c r="Q48" s="1"/>
      <c r="R48" s="1"/>
      <c r="S48" s="1"/>
      <c r="T48" s="1"/>
    </row>
    <row r="49" spans="1:20" x14ac:dyDescent="0.25">
      <c r="A49" s="1" t="s">
        <v>116</v>
      </c>
      <c r="B49" s="1">
        <f>'GOOGL - Balance Sheet FY'!B25-'GOOGL - Balance Sheet FY'!B18-'GOOGL - Balance Sheet FY'!B41</f>
        <v>381885</v>
      </c>
      <c r="C49" s="1">
        <f>'GOOGL - Balance Sheet FY'!C25-'GOOGL - Balance Sheet FY'!C18-'GOOGL - Balance Sheet FY'!C41</f>
        <v>293199</v>
      </c>
      <c r="D49" s="1">
        <f>'GOOGL - Balance Sheet FY'!D25-'GOOGL - Balance Sheet FY'!D18-'GOOGL - Balance Sheet FY'!D41</f>
        <v>254181</v>
      </c>
      <c r="E49" s="1">
        <f>'GOOGL - Balance Sheet FY'!E25-'GOOGL - Balance Sheet FY'!E18-'GOOGL - Balance Sheet FY'!E41</f>
        <v>225100</v>
      </c>
      <c r="F49" s="1">
        <f>'GOOGL - Balance Sheet FY'!F25-'GOOGL - Balance Sheet FY'!F18-'GOOGL - Balance Sheet FY'!F41</f>
        <v>227262</v>
      </c>
      <c r="G49" s="1">
        <f>'GOOGL - Balance Sheet FY'!G25-'GOOGL - Balance Sheet FY'!G18-'GOOGL - Balance Sheet FY'!G41</f>
        <v>199924</v>
      </c>
      <c r="H49" s="1">
        <f>'GOOGL - Balance Sheet FY'!H25-'GOOGL - Balance Sheet FY'!H18-'GOOGL - Balance Sheet FY'!H41</f>
        <v>178839</v>
      </c>
      <c r="I49" s="1"/>
      <c r="J49" s="1"/>
      <c r="K49" s="1"/>
      <c r="L49" s="1"/>
      <c r="M49" s="1"/>
      <c r="N49" s="1"/>
      <c r="O49" s="1"/>
      <c r="P49" s="1"/>
      <c r="Q49" s="1"/>
      <c r="R49" s="1"/>
      <c r="S49" s="1"/>
      <c r="T49" s="1"/>
    </row>
    <row r="50" spans="1:20" x14ac:dyDescent="0.25">
      <c r="A50" s="1" t="s">
        <v>115</v>
      </c>
      <c r="B50" s="1">
        <f>'GOOGL - Balance Sheet FY'!B13-'GOOGL - Balance Sheet FY'!B41</f>
        <v>26022</v>
      </c>
      <c r="C50" s="1">
        <f>'GOOGL - Balance Sheet FY'!C13-'GOOGL - Balance Sheet FY'!C41</f>
        <v>38539</v>
      </c>
      <c r="D50" s="1">
        <f>'GOOGL - Balance Sheet FY'!D13-'GOOGL - Balance Sheet FY'!D41</f>
        <v>52517</v>
      </c>
      <c r="E50" s="1">
        <f>'GOOGL - Balance Sheet FY'!E13-'GOOGL - Balance Sheet FY'!E41</f>
        <v>55675</v>
      </c>
      <c r="F50" s="1">
        <f>'GOOGL - Balance Sheet FY'!F13-'GOOGL - Balance Sheet FY'!F41</f>
        <v>80510</v>
      </c>
      <c r="G50" s="1">
        <f>'GOOGL - Balance Sheet FY'!G13-'GOOGL - Balance Sheet FY'!G41</f>
        <v>77224</v>
      </c>
      <c r="H50" s="1">
        <f>'GOOGL - Balance Sheet FY'!H13-'GOOGL - Balance Sheet FY'!H41</f>
        <v>78111</v>
      </c>
      <c r="I50" s="1"/>
      <c r="J50" s="1"/>
      <c r="K50" s="1"/>
      <c r="L50" s="1"/>
      <c r="M50" s="1"/>
      <c r="N50" s="1"/>
      <c r="O50" s="1"/>
      <c r="P50" s="1"/>
      <c r="Q50" s="1"/>
      <c r="R50" s="1"/>
      <c r="S50" s="1"/>
      <c r="T50" s="1"/>
    </row>
    <row r="51" spans="1:20" x14ac:dyDescent="0.25">
      <c r="A51" s="1" t="s">
        <v>114</v>
      </c>
      <c r="B51" s="1">
        <f>AVERAGE('GOOGL - Balance Sheet FY'!B10,'GOOGL - Balance Sheet FY'!C10)</f>
        <v>57613</v>
      </c>
      <c r="C51" s="1">
        <f>AVERAGE('GOOGL - Balance Sheet FY'!C10,'GOOGL - Balance Sheet FY'!D10)</f>
        <v>50152</v>
      </c>
      <c r="D51" s="1">
        <f>AVERAGE('GOOGL - Balance Sheet FY'!D10,'GOOGL - Balance Sheet FY'!E10)</f>
        <v>44111</v>
      </c>
      <c r="E51" s="1">
        <f>AVERAGE('GOOGL - Balance Sheet FY'!E10,'GOOGL - Balance Sheet FY'!F10)</f>
        <v>39781</v>
      </c>
      <c r="F51" s="1">
        <f>AVERAGE('GOOGL - Balance Sheet FY'!F10,'GOOGL - Balance Sheet FY'!G10)</f>
        <v>35117</v>
      </c>
      <c r="G51" s="1">
        <f>AVERAGE('GOOGL - Balance Sheet FY'!G10,'GOOGL - Balance Sheet FY'!H10)</f>
        <v>28128</v>
      </c>
      <c r="H51" s="1">
        <f>'GOOGL - Balance Sheet FY'!H10</f>
        <v>25326</v>
      </c>
      <c r="I51" s="1"/>
      <c r="J51" s="1"/>
      <c r="K51" s="1"/>
      <c r="L51" s="1"/>
      <c r="M51" s="1"/>
      <c r="N51" s="1"/>
      <c r="O51" s="1"/>
      <c r="P51" s="1"/>
      <c r="Q51" s="1"/>
      <c r="R51" s="1"/>
      <c r="S51" s="1"/>
      <c r="T51" s="1"/>
    </row>
    <row r="52" spans="1:20" x14ac:dyDescent="0.25">
      <c r="A52" s="1" t="s">
        <v>113</v>
      </c>
      <c r="B52" s="1">
        <f>AVERAGE('GOOGL - Balance Sheet FY'!B27,'GOOGL - Balance Sheet FY'!C27)</f>
        <v>10093.5</v>
      </c>
      <c r="C52" s="1">
        <f>AVERAGE('GOOGL - Balance Sheet FY'!C27,'GOOGL - Balance Sheet FY'!D27)</f>
        <v>7740</v>
      </c>
      <c r="D52" s="1">
        <f>AVERAGE('GOOGL - Balance Sheet FY'!D27,'GOOGL - Balance Sheet FY'!E27)</f>
        <v>6310.5</v>
      </c>
      <c r="E52" s="1">
        <f>AVERAGE('GOOGL - Balance Sheet FY'!E27,'GOOGL - Balance Sheet FY'!F27)</f>
        <v>5582.5</v>
      </c>
      <c r="F52" s="1">
        <f>AVERAGE('GOOGL - Balance Sheet FY'!F27,'GOOGL - Balance Sheet FY'!G27)</f>
        <v>5813</v>
      </c>
      <c r="G52" s="1">
        <f>AVERAGE('GOOGL - Balance Sheet FY'!G27,'GOOGL - Balance Sheet FY'!H27)</f>
        <v>5575</v>
      </c>
      <c r="H52" s="1">
        <f>'GOOGL - Balance Sheet FY'!H27</f>
        <v>5561</v>
      </c>
      <c r="I52" s="1"/>
      <c r="J52" s="1"/>
      <c r="K52" s="1"/>
      <c r="L52" s="1"/>
      <c r="M52" s="1"/>
      <c r="N52" s="1"/>
      <c r="O52" s="1"/>
      <c r="P52" s="1"/>
      <c r="Q52" s="1"/>
      <c r="R52" s="1"/>
      <c r="S52" s="1"/>
      <c r="T52" s="1"/>
    </row>
    <row r="53" spans="1:20" x14ac:dyDescent="0.25">
      <c r="A53" s="1" t="s">
        <v>112</v>
      </c>
      <c r="B53" s="1">
        <f>AVERAGE('GOOGL - Balance Sheet FY'!B11,'GOOGL - Balance Sheet FY'!C11)</f>
        <v>0</v>
      </c>
      <c r="C53" s="1">
        <f>AVERAGE('GOOGL - Balance Sheet FY'!C11,'GOOGL - Balance Sheet FY'!D11)</f>
        <v>0</v>
      </c>
      <c r="D53" s="1">
        <f>AVERAGE('GOOGL - Balance Sheet FY'!D11,'GOOGL - Balance Sheet FY'!E11)</f>
        <v>1335</v>
      </c>
      <c r="E53" s="1">
        <f>AVERAGE('GOOGL - Balance Sheet FY'!E11,'GOOGL - Balance Sheet FY'!F11)</f>
        <v>1920</v>
      </c>
      <c r="F53" s="1">
        <f>AVERAGE('GOOGL - Balance Sheet FY'!F11,'GOOGL - Balance Sheet FY'!G11)</f>
        <v>949</v>
      </c>
      <c r="G53" s="1">
        <f>AVERAGE('GOOGL - Balance Sheet FY'!G11,'GOOGL - Balance Sheet FY'!H11)</f>
        <v>863.5</v>
      </c>
      <c r="H53" s="1">
        <f>'GOOGL - Balance Sheet FY'!H11</f>
        <v>999</v>
      </c>
      <c r="I53" s="1"/>
      <c r="J53" s="1"/>
      <c r="K53" s="1"/>
      <c r="L53" s="1"/>
      <c r="M53" s="1"/>
      <c r="N53" s="1"/>
      <c r="O53" s="1"/>
      <c r="P53" s="1"/>
      <c r="Q53" s="1"/>
      <c r="R53" s="1"/>
      <c r="S53" s="1"/>
      <c r="T53" s="1"/>
    </row>
    <row r="54" spans="1:20" x14ac:dyDescent="0.25">
      <c r="A54" s="2" t="s">
        <v>111</v>
      </c>
      <c r="B54" s="2">
        <f>B51/'GOOGL - Income Statement FY'!B7*365</f>
        <v>52.201752077768617</v>
      </c>
      <c r="C54" s="2">
        <f>C51/'GOOGL - Income Statement FY'!C7*365</f>
        <v>52.298681782079775</v>
      </c>
      <c r="D54" s="2">
        <f>D51/'GOOGL - Income Statement FY'!D7*365</f>
        <v>52.377453691353772</v>
      </c>
      <c r="E54" s="2">
        <f>E51/'GOOGL - Income Statement FY'!E7*365</f>
        <v>51.337400472358539</v>
      </c>
      <c r="F54" s="2">
        <f>F51/'GOOGL - Income Statement FY'!F7*365</f>
        <v>49.751025667897082</v>
      </c>
      <c r="G54" s="2">
        <f>G51/'GOOGL - Income Statement FY'!G7*365</f>
        <v>56.247678425657575</v>
      </c>
      <c r="H54" s="2">
        <f>H51/'GOOGL - Income Statement FY'!H7*365</f>
        <v>57.112080416664092</v>
      </c>
      <c r="I54" s="2"/>
      <c r="J54" s="2"/>
      <c r="K54" s="2"/>
      <c r="L54" s="2"/>
      <c r="M54" s="2"/>
      <c r="N54" s="2"/>
      <c r="O54" s="2"/>
      <c r="P54" s="2"/>
      <c r="Q54" s="2"/>
      <c r="R54" s="2"/>
      <c r="S54" s="2"/>
      <c r="T54" s="2"/>
    </row>
    <row r="55" spans="1:20" x14ac:dyDescent="0.25">
      <c r="A55" s="2" t="s">
        <v>110</v>
      </c>
      <c r="B55" s="2">
        <f>B52/'GOOGL - Income Statement FY'!B9*365</f>
        <v>22.666671793767499</v>
      </c>
      <c r="C55" s="2">
        <f>C52/'GOOGL - Income Statement FY'!C9*365</f>
        <v>19.309529342610695</v>
      </c>
      <c r="D55" s="2">
        <f>D52/'GOOGL - Income Statement FY'!D9*365</f>
        <v>17.275166501665016</v>
      </c>
      <c r="E55" s="2">
        <f>E52/'GOOGL - Income Statement FY'!E9*365</f>
        <v>16.145515558267238</v>
      </c>
      <c r="F55" s="2">
        <f>F52/'GOOGL - Income Statement FY'!F9*365</f>
        <v>19.125330136381255</v>
      </c>
      <c r="G55" s="2">
        <f>G52/'GOOGL - Income Statement FY'!G9*365</f>
        <v>24.01542510503706</v>
      </c>
      <c r="H55" s="2">
        <f>H52/'GOOGL - Income Statement FY'!H9*365</f>
        <v>28.231960053410486</v>
      </c>
      <c r="I55" s="2"/>
      <c r="J55" s="2"/>
      <c r="K55" s="2"/>
      <c r="L55" s="2"/>
      <c r="M55" s="2"/>
      <c r="N55" s="2"/>
      <c r="O55" s="2"/>
      <c r="P55" s="2"/>
      <c r="Q55" s="2"/>
      <c r="R55" s="2"/>
      <c r="S55" s="2"/>
      <c r="T55" s="2"/>
    </row>
    <row r="56" spans="1:20" x14ac:dyDescent="0.25">
      <c r="A56" s="2" t="s">
        <v>109</v>
      </c>
      <c r="B56" s="2">
        <f>IFERROR(B53/'GOOGL - Income Statement FY'!B9*365,"")</f>
        <v>0</v>
      </c>
      <c r="C56" s="2">
        <f>IFERROR(C53/'GOOGL - Income Statement FY'!C9*365,"")</f>
        <v>0</v>
      </c>
      <c r="D56" s="2">
        <f>IFERROR(D53/'GOOGL - Income Statement FY'!D9*365,"")</f>
        <v>3.6545990459904596</v>
      </c>
      <c r="E56" s="2">
        <f>IFERROR(E53/'GOOGL - Income Statement FY'!E9*365,"")</f>
        <v>5.5529583290413065</v>
      </c>
      <c r="F56" s="2">
        <f>IFERROR(F53/'GOOGL - Income Statement FY'!F9*365,"")</f>
        <v>3.1223014449382092</v>
      </c>
      <c r="G56" s="2">
        <f>IFERROR(G53/'GOOGL - Income Statement FY'!G9*365,"")</f>
        <v>3.7196985790492372</v>
      </c>
      <c r="H56" s="2">
        <f>IFERROR(H53/'GOOGL - Income Statement FY'!H9*365,"")</f>
        <v>5.071700790030043</v>
      </c>
      <c r="I56" s="2"/>
      <c r="J56" s="2"/>
      <c r="K56" s="2"/>
      <c r="L56" s="2"/>
      <c r="M56" s="2"/>
      <c r="N56" s="2"/>
      <c r="O56" s="2"/>
      <c r="P56" s="2"/>
      <c r="Q56" s="2"/>
      <c r="R56" s="2"/>
      <c r="S56" s="2"/>
      <c r="T56" s="2"/>
    </row>
    <row r="57" spans="1:20" x14ac:dyDescent="0.25">
      <c r="A57" s="2" t="s">
        <v>108</v>
      </c>
      <c r="B57" s="2">
        <f>'GOOGL - Income Statement FY'!B7/B51</f>
        <v>6.9921024768715396</v>
      </c>
      <c r="C57" s="2">
        <f>'GOOGL - Income Statement FY'!C7/C51</f>
        <v>6.9791434040516833</v>
      </c>
      <c r="D57" s="2">
        <f>'GOOGL - Income Statement FY'!D7/D51</f>
        <v>6.9686472761896123</v>
      </c>
      <c r="E57" s="2">
        <f>'GOOGL - Income Statement FY'!E7/E51</f>
        <v>7.1098262989869534</v>
      </c>
      <c r="F57" s="2">
        <f>'GOOGL - Income Statement FY'!F7/F51</f>
        <v>7.3365321639092178</v>
      </c>
      <c r="G57" s="2">
        <f>'GOOGL - Income Statement FY'!G7/G51</f>
        <v>6.4891567121729237</v>
      </c>
      <c r="H57" s="2">
        <f>'GOOGL - Income Statement FY'!H7/H51</f>
        <v>6.3909421148227121</v>
      </c>
      <c r="I57" s="2"/>
      <c r="J57" s="2"/>
      <c r="K57" s="2"/>
      <c r="L57" s="2"/>
      <c r="M57" s="2"/>
      <c r="N57" s="2"/>
      <c r="O57" s="2"/>
      <c r="P57" s="2"/>
      <c r="Q57" s="2"/>
      <c r="R57" s="2"/>
      <c r="S57" s="2"/>
      <c r="T57" s="2"/>
    </row>
    <row r="58" spans="1:20" x14ac:dyDescent="0.25">
      <c r="A58" s="2" t="s">
        <v>107</v>
      </c>
      <c r="B58" s="2">
        <f>'GOOGL - Income Statement FY'!B9/B52</f>
        <v>16.102937534056572</v>
      </c>
      <c r="C58" s="2">
        <f>'GOOGL - Income Statement FY'!C9/C52</f>
        <v>18.902583979328167</v>
      </c>
      <c r="D58" s="2">
        <f>'GOOGL - Income Statement FY'!D9/D52</f>
        <v>21.128595198478727</v>
      </c>
      <c r="E58" s="2">
        <f>'GOOGL - Income Statement FY'!E9/E52</f>
        <v>22.606896551724137</v>
      </c>
      <c r="F58" s="2">
        <f>'GOOGL - Income Statement FY'!F9/F52</f>
        <v>19.084637880612419</v>
      </c>
      <c r="G58" s="2">
        <f>'GOOGL - Income Statement FY'!G9/G52</f>
        <v>15.198565022421525</v>
      </c>
      <c r="H58" s="2">
        <f>'GOOGL - Income Statement FY'!H9/H52</f>
        <v>12.928609962237008</v>
      </c>
      <c r="I58" s="2"/>
      <c r="J58" s="2"/>
      <c r="K58" s="2"/>
      <c r="L58" s="2"/>
      <c r="M58" s="2"/>
      <c r="N58" s="2"/>
      <c r="O58" s="2"/>
      <c r="P58" s="2"/>
      <c r="Q58" s="2"/>
      <c r="R58" s="2"/>
      <c r="S58" s="2"/>
      <c r="T58" s="2"/>
    </row>
    <row r="59" spans="1:20" x14ac:dyDescent="0.25">
      <c r="A59" s="2" t="s">
        <v>106</v>
      </c>
      <c r="B59" s="2" t="str">
        <f>IFERROR('GOOGL - Income Statement FY'!B9/B53,"")</f>
        <v/>
      </c>
      <c r="C59" s="2" t="str">
        <f>IFERROR('GOOGL - Income Statement FY'!C9/C53,"")</f>
        <v/>
      </c>
      <c r="D59" s="2">
        <f>IFERROR('GOOGL - Income Statement FY'!D9/D53,"")</f>
        <v>99.874157303370779</v>
      </c>
      <c r="E59" s="2">
        <f>IFERROR('GOOGL - Income Statement FY'!E9/E53,"")</f>
        <v>65.730729166666663</v>
      </c>
      <c r="F59" s="2">
        <f>IFERROR('GOOGL - Income Statement FY'!F9/F53,"")</f>
        <v>116.9009483667018</v>
      </c>
      <c r="G59" s="2">
        <f>IFERROR('GOOGL - Income Statement FY'!G9/G53,"")</f>
        <v>98.126230457440641</v>
      </c>
      <c r="H59" s="2">
        <f>IFERROR('GOOGL - Income Statement FY'!H9/H53,"")</f>
        <v>71.967967967967965</v>
      </c>
      <c r="I59" s="2"/>
      <c r="J59" s="2"/>
      <c r="K59" s="2"/>
      <c r="L59" s="2"/>
      <c r="M59" s="2"/>
      <c r="N59" s="2"/>
      <c r="O59" s="2"/>
      <c r="P59" s="2"/>
      <c r="Q59" s="2"/>
      <c r="R59" s="2"/>
      <c r="S59" s="2"/>
      <c r="T59" s="2"/>
    </row>
    <row r="60" spans="1:20" x14ac:dyDescent="0.25">
      <c r="A60" s="3" t="s">
        <v>105</v>
      </c>
      <c r="B60" s="3">
        <f>'GOOGL - Income Statement FY'!B32/'GOOGL - Balance Sheet FY'!B47</f>
        <v>0.31827868951151672</v>
      </c>
      <c r="C60" s="3">
        <f>'GOOGL - Income Statement FY'!C32/'GOOGL - Balance Sheet FY'!C47</f>
        <v>0.30797578472025694</v>
      </c>
      <c r="D60" s="3">
        <f>'GOOGL - Income Statement FY'!D32/'GOOGL - Balance Sheet FY'!D47</f>
        <v>0.26041096905557576</v>
      </c>
      <c r="E60" s="3">
        <f>'GOOGL - Income Statement FY'!E32/'GOOGL - Balance Sheet FY'!E47</f>
        <v>0.23413392466737459</v>
      </c>
      <c r="F60" s="3">
        <f>'GOOGL - Income Statement FY'!F32/'GOOGL - Balance Sheet FY'!F47</f>
        <v>0.30215590041131002</v>
      </c>
      <c r="G60" s="3">
        <f>'GOOGL - Income Statement FY'!G32/'GOOGL - Balance Sheet FY'!G47</f>
        <v>0.18094848659141563</v>
      </c>
      <c r="H60" s="3">
        <f>'GOOGL - Income Statement FY'!H32/'GOOGL - Balance Sheet FY'!H47</f>
        <v>0.17048579740074066</v>
      </c>
      <c r="I60" s="3"/>
      <c r="J60" s="3"/>
      <c r="K60" s="3"/>
      <c r="L60" s="3"/>
      <c r="M60" s="3"/>
      <c r="N60" s="3"/>
      <c r="O60" s="3"/>
      <c r="P60" s="3"/>
      <c r="Q60" s="3"/>
      <c r="R60" s="3"/>
      <c r="S60" s="3"/>
      <c r="T60" s="3"/>
    </row>
    <row r="61" spans="1:20" x14ac:dyDescent="0.25">
      <c r="A61" s="2" t="s">
        <v>104</v>
      </c>
      <c r="B61" s="2">
        <f>'GOOGL - Cash Flow FY'!B38/'GOOGL - Income Statement FY'!B38</f>
        <v>-7.4791036231291406</v>
      </c>
      <c r="C61" s="2">
        <f>'GOOGL - Cash Flow FY'!C38/'GOOGL - Income Statement FY'!C38</f>
        <v>-4.2190009637006103</v>
      </c>
      <c r="D61" s="2">
        <f>'GOOGL - Cash Flow FY'!D38/'GOOGL - Income Statement FY'!D38</f>
        <v>-2.53485813094396</v>
      </c>
      <c r="E61" s="2">
        <f>'GOOGL - Cash Flow FY'!E38/'GOOGL - Income Statement FY'!E38</f>
        <v>-2.3939324817518246</v>
      </c>
      <c r="F61" s="2">
        <f>'GOOGL - Cash Flow FY'!F38/'GOOGL - Income Statement FY'!F38</f>
        <v>-1.8180476647236774</v>
      </c>
      <c r="G61" s="2">
        <f>'GOOGL - Cash Flow FY'!G38/'GOOGL - Income Statement FY'!G38</f>
        <v>-1.6211437718277066</v>
      </c>
      <c r="H61" s="2">
        <f>'GOOGL - Cash Flow FY'!H38/'GOOGL - Income Statement FY'!H38</f>
        <v>-1.6866986605544017</v>
      </c>
      <c r="I61" s="2"/>
      <c r="J61" s="2"/>
      <c r="K61" s="2"/>
      <c r="L61" s="2"/>
      <c r="M61" s="2"/>
      <c r="N61" s="2"/>
      <c r="O61" s="2"/>
      <c r="P61" s="2"/>
      <c r="Q61" s="2"/>
      <c r="R61" s="2"/>
      <c r="S61" s="2"/>
      <c r="T61" s="2"/>
    </row>
  </sheetData>
  <mergeCells count="1">
    <mergeCell ref="B4:T4"/>
  </mergeCells>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913FE9-D555-4994-AB80-F8F53176E641}">
  <sheetPr>
    <tabColor rgb="FFC6E0B4"/>
  </sheetPr>
  <dimension ref="A1:T40"/>
  <sheetViews>
    <sheetView workbookViewId="0"/>
  </sheetViews>
  <sheetFormatPr defaultRowHeight="15" x14ac:dyDescent="0.25"/>
  <cols>
    <col min="1" max="1" width="41.140625" bestFit="1" customWidth="1"/>
    <col min="2" max="2" width="15.5703125" bestFit="1" customWidth="1"/>
    <col min="3" max="19" width="10.42578125" bestFit="1" customWidth="1"/>
    <col min="20" max="20" width="11.140625" bestFit="1" customWidth="1"/>
  </cols>
  <sheetData>
    <row r="1" spans="1:20" x14ac:dyDescent="0.25">
      <c r="A1" s="10" t="s">
        <v>208</v>
      </c>
      <c r="B1" s="10"/>
      <c r="C1" s="10"/>
      <c r="D1" s="10"/>
      <c r="E1" s="10"/>
      <c r="F1" s="10"/>
      <c r="G1" s="10"/>
      <c r="H1" s="10"/>
      <c r="I1" s="10"/>
      <c r="J1" s="10"/>
      <c r="K1" s="10"/>
      <c r="L1" s="10"/>
      <c r="M1" s="10"/>
      <c r="N1" s="10"/>
      <c r="O1" s="10"/>
      <c r="P1" s="10"/>
      <c r="Q1" s="10"/>
      <c r="R1" s="10"/>
      <c r="S1" s="10"/>
      <c r="T1" s="10"/>
    </row>
    <row r="2" spans="1:20" x14ac:dyDescent="0.25">
      <c r="A2" t="s">
        <v>1</v>
      </c>
      <c r="B2" t="s">
        <v>204</v>
      </c>
    </row>
    <row r="3" spans="1:20" x14ac:dyDescent="0.25">
      <c r="A3" t="s">
        <v>3</v>
      </c>
      <c r="B3" t="str">
        <f>'GOOGL - Income Statement FY'!B3</f>
        <v>USD</v>
      </c>
    </row>
    <row r="4" spans="1:20" x14ac:dyDescent="0.25">
      <c r="A4" t="s">
        <v>32</v>
      </c>
      <c r="B4" s="236" t="s">
        <v>33</v>
      </c>
      <c r="C4" s="236"/>
      <c r="D4" s="236"/>
      <c r="E4" s="236"/>
      <c r="F4" s="236"/>
      <c r="G4" s="236"/>
      <c r="H4" s="236"/>
      <c r="I4" s="236"/>
      <c r="J4" s="236"/>
      <c r="K4" s="236"/>
      <c r="L4" s="236"/>
      <c r="M4" s="236"/>
      <c r="N4" s="236"/>
      <c r="O4" s="236"/>
      <c r="P4" s="236"/>
      <c r="Q4" s="236"/>
      <c r="R4" s="236"/>
      <c r="S4" s="236"/>
      <c r="T4" s="236"/>
    </row>
    <row r="5" spans="1:20" x14ac:dyDescent="0.25">
      <c r="A5" t="s">
        <v>34</v>
      </c>
      <c r="B5" s="8">
        <v>46022</v>
      </c>
      <c r="C5" s="8">
        <v>45657</v>
      </c>
      <c r="D5" s="8">
        <v>45291</v>
      </c>
      <c r="E5" s="8">
        <v>44926</v>
      </c>
      <c r="F5" s="8">
        <v>44561</v>
      </c>
      <c r="G5" s="8">
        <v>44196</v>
      </c>
      <c r="H5" s="8">
        <v>43830</v>
      </c>
      <c r="I5" s="8"/>
      <c r="J5" s="8"/>
      <c r="K5" s="8"/>
      <c r="L5" s="8"/>
      <c r="M5" s="8"/>
      <c r="N5" s="8"/>
      <c r="O5" s="8"/>
      <c r="P5" s="8"/>
      <c r="Q5" s="8"/>
      <c r="R5" s="8"/>
      <c r="S5" s="8"/>
      <c r="T5" s="8"/>
    </row>
    <row r="7" spans="1:20" x14ac:dyDescent="0.25">
      <c r="A7" s="3" t="s">
        <v>194</v>
      </c>
      <c r="B7" s="3">
        <f>'GOOGL - Income Statement FY'!B7/'GOOGL - Income Statement FY'!C7-1</f>
        <v>0.15090081081544371</v>
      </c>
      <c r="C7" s="3">
        <f>'GOOGL - Income Statement FY'!C7/'GOOGL - Income Statement FY'!D7-1</f>
        <v>0.13866243322901561</v>
      </c>
      <c r="D7" s="3">
        <f>'GOOGL - Income Statement FY'!D7/'GOOGL - Income Statement FY'!E7-1</f>
        <v>8.6827702272695095E-2</v>
      </c>
      <c r="E7" s="3">
        <f>'GOOGL - Income Statement FY'!E7/'GOOGL - Income Statement FY'!F7-1</f>
        <v>9.7808156437157789E-2</v>
      </c>
      <c r="F7" s="3">
        <f>'GOOGL - Income Statement FY'!F7/'GOOGL - Income Statement FY'!G7-1</f>
        <v>0.41150076427049154</v>
      </c>
      <c r="G7" s="3">
        <f>'GOOGL - Income Statement FY'!G7/'GOOGL - Income Statement FY'!H7-1</f>
        <v>0.12770532012826141</v>
      </c>
      <c r="H7" s="3"/>
      <c r="I7" s="3"/>
      <c r="J7" s="3"/>
      <c r="K7" s="3"/>
      <c r="L7" s="3"/>
      <c r="M7" s="3"/>
      <c r="N7" s="3"/>
      <c r="O7" s="3"/>
      <c r="P7" s="3"/>
      <c r="Q7" s="3"/>
      <c r="R7" s="3"/>
      <c r="S7" s="3"/>
      <c r="T7" s="3"/>
    </row>
    <row r="8" spans="1:20" x14ac:dyDescent="0.25">
      <c r="A8" s="3" t="s">
        <v>193</v>
      </c>
      <c r="B8" s="3">
        <f>'GOOGL - Income Statement FY'!B10/'GOOGL - Income Statement FY'!C10-1</f>
        <v>0.17961141218975807</v>
      </c>
      <c r="C8" s="3">
        <f>'GOOGL - Income Statement FY'!C10/'GOOGL - Income Statement FY'!D10-1</f>
        <v>0.17034160241752949</v>
      </c>
      <c r="D8" s="3">
        <f>'GOOGL - Income Statement FY'!D10/'GOOGL - Income Statement FY'!E10-1</f>
        <v>0.11127284799499471</v>
      </c>
      <c r="E8" s="3">
        <f>'GOOGL - Income Statement FY'!E10/'GOOGL - Income Statement FY'!F10-1</f>
        <v>6.7724168018650666E-2</v>
      </c>
      <c r="F8" s="3">
        <f>'GOOGL - Income Statement FY'!F10/'GOOGL - Income Statement FY'!G10-1</f>
        <v>0.50005624009407423</v>
      </c>
      <c r="G8" s="3">
        <f>'GOOGL - Income Statement FY'!G10/'GOOGL - Income Statement FY'!H10-1</f>
        <v>8.7082180055801928E-2</v>
      </c>
      <c r="H8" s="3"/>
      <c r="I8" s="3"/>
      <c r="J8" s="3"/>
      <c r="K8" s="3"/>
      <c r="L8" s="3"/>
      <c r="M8" s="3"/>
      <c r="N8" s="3"/>
      <c r="O8" s="3"/>
      <c r="P8" s="3"/>
      <c r="Q8" s="3"/>
      <c r="R8" s="3"/>
      <c r="S8" s="3"/>
      <c r="T8" s="3"/>
    </row>
    <row r="9" spans="1:20" x14ac:dyDescent="0.25">
      <c r="A9" s="3" t="s">
        <v>192</v>
      </c>
      <c r="B9" s="3">
        <f>'GOOGL - Income Statement FY'!B25/'GOOGL - Income Statement FY'!C25-1</f>
        <v>0.14813595515615274</v>
      </c>
      <c r="C9" s="3">
        <f>'GOOGL - Income Statement FY'!C25/'GOOGL - Income Statement FY'!D25-1</f>
        <v>0.33332542441246593</v>
      </c>
      <c r="D9" s="3">
        <f>'GOOGL - Income Statement FY'!D25/'GOOGL - Income Statement FY'!E25-1</f>
        <v>0.12627936185564259</v>
      </c>
      <c r="E9" s="3">
        <f>'GOOGL - Income Statement FY'!E25/'GOOGL - Income Statement FY'!F25-1</f>
        <v>-4.9190741164214735E-2</v>
      </c>
      <c r="F9" s="3">
        <f>'GOOGL - Income Statement FY'!F25/'GOOGL - Income Statement FY'!G25-1</f>
        <v>0.90942169609935952</v>
      </c>
      <c r="G9" s="3">
        <f>'GOOGL - Income Statement FY'!G25/'GOOGL - Income Statement FY'!H25-1</f>
        <v>0.20428851041453644</v>
      </c>
      <c r="H9" s="3"/>
      <c r="I9" s="3"/>
      <c r="J9" s="3"/>
      <c r="K9" s="3"/>
      <c r="L9" s="3"/>
      <c r="M9" s="3"/>
      <c r="N9" s="3"/>
      <c r="O9" s="3"/>
      <c r="P9" s="3"/>
      <c r="Q9" s="3"/>
      <c r="R9" s="3"/>
      <c r="S9" s="3"/>
      <c r="T9" s="3"/>
    </row>
    <row r="10" spans="1:20" x14ac:dyDescent="0.25">
      <c r="A10" s="3" t="s">
        <v>191</v>
      </c>
      <c r="B10" s="3">
        <f>'GOOGL - Income Statement FY'!B25/'GOOGL - Income Statement FY'!C25-1</f>
        <v>0.14813595515615274</v>
      </c>
      <c r="C10" s="3">
        <f>'GOOGL - Income Statement FY'!C25/'GOOGL - Income Statement FY'!D25-1</f>
        <v>0.33332542441246593</v>
      </c>
      <c r="D10" s="3">
        <f>'GOOGL - Income Statement FY'!D25/'GOOGL - Income Statement FY'!E25-1</f>
        <v>0.12627936185564259</v>
      </c>
      <c r="E10" s="3">
        <f>'GOOGL - Income Statement FY'!E25/'GOOGL - Income Statement FY'!F25-1</f>
        <v>-4.9190741164214735E-2</v>
      </c>
      <c r="F10" s="3">
        <f>'GOOGL - Income Statement FY'!F25/'GOOGL - Income Statement FY'!G25-1</f>
        <v>0.90942169609935952</v>
      </c>
      <c r="G10" s="3">
        <f>'GOOGL - Income Statement FY'!G25/'GOOGL - Income Statement FY'!H25-1</f>
        <v>0.20428851041453644</v>
      </c>
      <c r="H10" s="3"/>
      <c r="I10" s="3"/>
      <c r="J10" s="3"/>
      <c r="K10" s="3"/>
      <c r="L10" s="3"/>
      <c r="M10" s="3"/>
      <c r="N10" s="3"/>
      <c r="O10" s="3"/>
      <c r="P10" s="3"/>
      <c r="Q10" s="3"/>
      <c r="R10" s="3"/>
      <c r="S10" s="3"/>
      <c r="T10" s="3"/>
    </row>
    <row r="11" spans="1:20" x14ac:dyDescent="0.25">
      <c r="A11" s="3" t="s">
        <v>190</v>
      </c>
      <c r="B11" s="3">
        <f>'GOOGL - Income Statement FY'!B32/'GOOGL - Income Statement FY'!C32-1</f>
        <v>0.32014223216604409</v>
      </c>
      <c r="C11" s="3">
        <f>'GOOGL - Income Statement FY'!C32/'GOOGL - Income Statement FY'!D32-1</f>
        <v>0.35670438376583768</v>
      </c>
      <c r="D11" s="3">
        <f>'GOOGL - Income Statement FY'!D32/'GOOGL - Income Statement FY'!E32-1</f>
        <v>0.23049089575135073</v>
      </c>
      <c r="E11" s="3">
        <f>'GOOGL - Income Statement FY'!E32/'GOOGL - Income Statement FY'!F32-1</f>
        <v>-0.21123722594136751</v>
      </c>
      <c r="F11" s="3">
        <f>'GOOGL - Income Statement FY'!F32/'GOOGL - Income Statement FY'!G32-1</f>
        <v>0.88812734361419454</v>
      </c>
      <c r="G11" s="3">
        <f>'GOOGL - Income Statement FY'!G32/'GOOGL - Income Statement FY'!H32-1</f>
        <v>0.17255335876306677</v>
      </c>
      <c r="H11" s="3"/>
      <c r="I11" s="3"/>
      <c r="J11" s="3"/>
      <c r="K11" s="3"/>
      <c r="L11" s="3"/>
      <c r="M11" s="3"/>
      <c r="N11" s="3"/>
      <c r="O11" s="3"/>
      <c r="P11" s="3"/>
      <c r="Q11" s="3"/>
      <c r="R11" s="3"/>
      <c r="S11" s="3"/>
      <c r="T11" s="3"/>
    </row>
    <row r="12" spans="1:20" x14ac:dyDescent="0.25">
      <c r="A12" s="3" t="s">
        <v>189</v>
      </c>
      <c r="B12" s="3">
        <f>'GOOGL - Income Statement FY'!B35/'GOOGL - Income Statement FY'!C35-1</f>
        <v>0.34194341943419415</v>
      </c>
      <c r="C12" s="3">
        <f>'GOOGL - Income Statement FY'!C35/'GOOGL - Income Statement FY'!D35-1</f>
        <v>0.39212328767123306</v>
      </c>
      <c r="D12" s="3">
        <f>'GOOGL - Income Statement FY'!D35/'GOOGL - Income Statement FY'!E35-1</f>
        <v>0.27233115468409586</v>
      </c>
      <c r="E12" s="3">
        <f>'GOOGL - Income Statement FY'!E35/'GOOGL - Income Statement FY'!F35-1</f>
        <v>-0.19332161687170479</v>
      </c>
      <c r="F12" s="3">
        <f>'GOOGL - Income Statement FY'!F35/'GOOGL - Income Statement FY'!G35-1</f>
        <v>0.92229729729729737</v>
      </c>
      <c r="G12" s="3">
        <f>'GOOGL - Income Statement FY'!G35/'GOOGL - Income Statement FY'!H35-1</f>
        <v>0.19354838709677424</v>
      </c>
      <c r="H12" s="3"/>
      <c r="I12" s="3"/>
      <c r="J12" s="3"/>
      <c r="K12" s="3"/>
      <c r="L12" s="3"/>
      <c r="M12" s="3"/>
      <c r="N12" s="3"/>
      <c r="O12" s="3"/>
      <c r="P12" s="3"/>
      <c r="Q12" s="3"/>
      <c r="R12" s="3"/>
      <c r="S12" s="3"/>
      <c r="T12" s="3"/>
    </row>
    <row r="13" spans="1:20" x14ac:dyDescent="0.25">
      <c r="A13" s="3" t="s">
        <v>188</v>
      </c>
      <c r="B13" s="3">
        <f>'GOOGL - Income Statement FY'!B36/'GOOGL - Income Statement FY'!C36-1</f>
        <v>0.34452736318407973</v>
      </c>
      <c r="C13" s="3">
        <f>'GOOGL - Income Statement FY'!C36/'GOOGL - Income Statement FY'!D36-1</f>
        <v>0.38620689655172402</v>
      </c>
      <c r="D13" s="3">
        <f>'GOOGL - Income Statement FY'!D36/'GOOGL - Income Statement FY'!E36-1</f>
        <v>0.27192982456140369</v>
      </c>
      <c r="E13" s="3">
        <f>'GOOGL - Income Statement FY'!E36/'GOOGL - Income Statement FY'!F36-1</f>
        <v>-0.1871657754010696</v>
      </c>
      <c r="F13" s="3">
        <f>'GOOGL - Income Statement FY'!F36/'GOOGL - Income Statement FY'!G36-1</f>
        <v>0.9146757679180888</v>
      </c>
      <c r="G13" s="3">
        <f>'GOOGL - Income Statement FY'!G36/'GOOGL - Income Statement FY'!H36-1</f>
        <v>0.19105691056910579</v>
      </c>
      <c r="H13" s="3"/>
      <c r="I13" s="3"/>
      <c r="J13" s="3"/>
      <c r="K13" s="3"/>
      <c r="L13" s="3"/>
      <c r="M13" s="3"/>
      <c r="N13" s="3"/>
      <c r="O13" s="3"/>
      <c r="P13" s="3"/>
      <c r="Q13" s="3"/>
      <c r="R13" s="3"/>
      <c r="S13" s="3"/>
      <c r="T13" s="3"/>
    </row>
    <row r="14" spans="1:20" x14ac:dyDescent="0.25">
      <c r="A14" s="3" t="s">
        <v>187</v>
      </c>
      <c r="B14" s="3">
        <f>'GOOGL - Income Statement FY'!B37/'GOOGL - Income Statement FY'!C37-1</f>
        <v>-1.624035728786033E-2</v>
      </c>
      <c r="C14" s="3">
        <f>'GOOGL - Income Statement FY'!C37/'GOOGL - Income Statement FY'!D37-1</f>
        <v>-2.5403608736942029E-2</v>
      </c>
      <c r="D14" s="3">
        <f>'GOOGL - Income Statement FY'!D37/'GOOGL - Income Statement FY'!E37-1</f>
        <v>-3.2909842338894824E-2</v>
      </c>
      <c r="E14" s="3">
        <f>'GOOGL - Income Statement FY'!E37/'GOOGL - Income Statement FY'!F37-1</f>
        <v>-2.222554815535438E-2</v>
      </c>
      <c r="F14" s="3">
        <f>'GOOGL - Income Statement FY'!F37/'GOOGL - Income Statement FY'!G37-1</f>
        <v>-1.771537783004995E-2</v>
      </c>
      <c r="G14" s="3">
        <f>'GOOGL - Income Statement FY'!G37/'GOOGL - Income Statement FY'!H37-1</f>
        <v>-1.7619872905834777E-2</v>
      </c>
      <c r="H14" s="3"/>
      <c r="I14" s="3"/>
      <c r="J14" s="3"/>
      <c r="K14" s="3"/>
      <c r="L14" s="3"/>
      <c r="M14" s="3"/>
      <c r="N14" s="3"/>
      <c r="O14" s="3"/>
      <c r="P14" s="3"/>
      <c r="Q14" s="3"/>
      <c r="R14" s="3"/>
      <c r="S14" s="3"/>
      <c r="T14" s="3"/>
    </row>
    <row r="15" spans="1:20" x14ac:dyDescent="0.25">
      <c r="A15" s="3" t="s">
        <v>186</v>
      </c>
      <c r="B15" s="3">
        <f>'GOOGL - Income Statement FY'!B38/'GOOGL - Income Statement FY'!C38-1</f>
        <v>-1.8069386443944735E-2</v>
      </c>
      <c r="C15" s="3">
        <f>'GOOGL - Income Statement FY'!C38/'GOOGL - Income Statement FY'!D38-1</f>
        <v>-2.1300007859781478E-2</v>
      </c>
      <c r="D15" s="3">
        <f>'GOOGL - Income Statement FY'!D38/'GOOGL - Income Statement FY'!E38-1</f>
        <v>-3.2618613138686081E-2</v>
      </c>
      <c r="E15" s="3">
        <f>'GOOGL - Income Statement FY'!E38/'GOOGL - Income Statement FY'!F38-1</f>
        <v>-2.9587545192946263E-2</v>
      </c>
      <c r="F15" s="3">
        <f>'GOOGL - Income Statement FY'!F38/'GOOGL - Income Statement FY'!G38-1</f>
        <v>-1.3896973224679865E-2</v>
      </c>
      <c r="G15" s="3">
        <f>'GOOGL - Income Statement FY'!G38/'GOOGL - Income Statement FY'!H38-1</f>
        <v>-1.5543299190602378E-2</v>
      </c>
      <c r="H15" s="3"/>
      <c r="I15" s="3"/>
      <c r="J15" s="3"/>
      <c r="K15" s="3"/>
      <c r="L15" s="3"/>
      <c r="M15" s="3"/>
      <c r="N15" s="3"/>
      <c r="O15" s="3"/>
      <c r="P15" s="3"/>
      <c r="Q15" s="3"/>
      <c r="R15" s="3"/>
      <c r="S15" s="3"/>
      <c r="T15" s="3"/>
    </row>
    <row r="16" spans="1:20" x14ac:dyDescent="0.25">
      <c r="A16" s="3" t="s">
        <v>185</v>
      </c>
      <c r="B16" s="3">
        <f>IFERROR((-'GOOGL - Cash Flow FY'!B29/'GOOGL - Income Statement FY'!B38)/(-'GOOGL - Cash Flow FY'!C29/'GOOGL - Income Statement FY'!C38)-1,"")</f>
        <v>0.38991181140506326</v>
      </c>
      <c r="C16" s="3" t="str">
        <f>IFERROR((-'GOOGL - Cash Flow FY'!C29/'GOOGL - Income Statement FY'!C38)/(-'GOOGL - Cash Flow FY'!D29/'GOOGL - Income Statement FY'!D38)-1,"")</f>
        <v/>
      </c>
      <c r="D16" s="3" t="str">
        <f>IFERROR((-'GOOGL - Cash Flow FY'!D29/'GOOGL - Income Statement FY'!D38)/(-'GOOGL - Cash Flow FY'!E29/'GOOGL - Income Statement FY'!E38)-1,"")</f>
        <v/>
      </c>
      <c r="E16" s="3" t="str">
        <f>IFERROR((-'GOOGL - Cash Flow FY'!E29/'GOOGL - Income Statement FY'!E38)/(-'GOOGL - Cash Flow FY'!F29/'GOOGL - Income Statement FY'!F38)-1,"")</f>
        <v/>
      </c>
      <c r="F16" s="3" t="str">
        <f>IFERROR((-'GOOGL - Cash Flow FY'!F29/'GOOGL - Income Statement FY'!F38)/(-'GOOGL - Cash Flow FY'!G29/'GOOGL - Income Statement FY'!G38)-1,"")</f>
        <v/>
      </c>
      <c r="G16" s="3" t="str">
        <f>IFERROR((-'GOOGL - Cash Flow FY'!G29/'GOOGL - Income Statement FY'!G38)/(-'GOOGL - Cash Flow FY'!H29/'GOOGL - Income Statement FY'!H38)-1,"")</f>
        <v/>
      </c>
      <c r="H16" s="3"/>
      <c r="I16" s="3"/>
      <c r="J16" s="3"/>
      <c r="K16" s="3"/>
      <c r="L16" s="3"/>
      <c r="M16" s="3"/>
      <c r="N16" s="3"/>
      <c r="O16" s="3"/>
      <c r="P16" s="3"/>
      <c r="Q16" s="3"/>
      <c r="R16" s="3"/>
      <c r="S16" s="3"/>
      <c r="T16" s="3"/>
    </row>
    <row r="17" spans="1:20" x14ac:dyDescent="0.25">
      <c r="A17" s="3" t="s">
        <v>184</v>
      </c>
      <c r="B17" s="3">
        <f>'GOOGL - Cash Flow FY'!B17/'GOOGL - Cash Flow FY'!C17-1</f>
        <v>0.31455957350018759</v>
      </c>
      <c r="C17" s="3">
        <f>'GOOGL - Cash Flow FY'!C17/'GOOGL - Cash Flow FY'!D17-1</f>
        <v>0.23148821575295342</v>
      </c>
      <c r="D17" s="3">
        <f>'GOOGL - Cash Flow FY'!D17/'GOOGL - Cash Flow FY'!E17-1</f>
        <v>0.11203890923001247</v>
      </c>
      <c r="E17" s="3">
        <f>'GOOGL - Cash Flow FY'!E17/'GOOGL - Cash Flow FY'!F17-1</f>
        <v>-1.7130013529437216E-3</v>
      </c>
      <c r="F17" s="3">
        <f>'GOOGL - Cash Flow FY'!F17/'GOOGL - Cash Flow FY'!G17-1</f>
        <v>0.40734598611878869</v>
      </c>
      <c r="G17" s="3">
        <f>'GOOGL - Cash Flow FY'!G17/'GOOGL - Cash Flow FY'!H17-1</f>
        <v>0.19449743213499637</v>
      </c>
      <c r="H17" s="3"/>
      <c r="I17" s="3"/>
      <c r="J17" s="3"/>
      <c r="K17" s="3"/>
      <c r="L17" s="3"/>
      <c r="M17" s="3"/>
      <c r="N17" s="3"/>
      <c r="O17" s="3"/>
      <c r="P17" s="3"/>
      <c r="Q17" s="3"/>
      <c r="R17" s="3"/>
      <c r="S17" s="3"/>
      <c r="T17" s="3"/>
    </row>
    <row r="18" spans="1:20" x14ac:dyDescent="0.25">
      <c r="A18" s="3" t="s">
        <v>183</v>
      </c>
      <c r="B18" s="3">
        <f>'GOOGL - Cash Flow FY'!B39/'GOOGL - Cash Flow FY'!C39-1</f>
        <v>6.8990159969215537E-3</v>
      </c>
      <c r="C18" s="3">
        <f>'GOOGL - Cash Flow FY'!C39/'GOOGL - Cash Flow FY'!D39-1</f>
        <v>4.7039355349305811E-2</v>
      </c>
      <c r="D18" s="3">
        <f>'GOOGL - Cash Flow FY'!D39/'GOOGL - Cash Flow FY'!E39-1</f>
        <v>0.15805699050158317</v>
      </c>
      <c r="E18" s="3">
        <f>'GOOGL - Cash Flow FY'!E39/'GOOGL - Cash Flow FY'!F39-1</f>
        <v>-0.10448874828388943</v>
      </c>
      <c r="F18" s="3">
        <f>'GOOGL - Cash Flow FY'!F39/'GOOGL - Cash Flow FY'!G39-1</f>
        <v>0.56412949606703555</v>
      </c>
      <c r="G18" s="3">
        <f>'GOOGL - Cash Flow FY'!G39/'GOOGL - Cash Flow FY'!H39-1</f>
        <v>0.38328167376985656</v>
      </c>
      <c r="H18" s="3"/>
      <c r="I18" s="3"/>
      <c r="J18" s="3"/>
      <c r="K18" s="3"/>
      <c r="L18" s="3"/>
      <c r="M18" s="3"/>
      <c r="N18" s="3"/>
      <c r="O18" s="3"/>
      <c r="P18" s="3"/>
      <c r="Q18" s="3"/>
      <c r="R18" s="3"/>
      <c r="S18" s="3"/>
      <c r="T18" s="3"/>
    </row>
    <row r="19" spans="1:20" x14ac:dyDescent="0.25">
      <c r="A19" s="3" t="s">
        <v>182</v>
      </c>
      <c r="B19" s="3"/>
      <c r="C19" s="3"/>
      <c r="D19" s="3"/>
      <c r="E19" s="3"/>
      <c r="F19" s="3"/>
      <c r="G19" s="3"/>
      <c r="H19" s="3"/>
      <c r="I19" s="3"/>
      <c r="J19" s="3"/>
      <c r="K19" s="3"/>
      <c r="L19" s="3"/>
      <c r="M19" s="3"/>
      <c r="N19" s="3"/>
      <c r="O19" s="3"/>
      <c r="P19" s="3"/>
      <c r="Q19" s="3"/>
      <c r="R19" s="3"/>
      <c r="S19" s="3"/>
      <c r="T19" s="3"/>
    </row>
    <row r="20" spans="1:20" x14ac:dyDescent="0.25">
      <c r="A20" s="3" t="s">
        <v>181</v>
      </c>
      <c r="B20" s="3">
        <f>('GOOGL - Income Statement FY'!B7/'GOOGL - Income Statement FY'!B38)/('GOOGL - Income Statement FY'!G7/'GOOGL - Income Statement FY'!G38)-1</f>
        <v>1.4808150813763841</v>
      </c>
      <c r="C20" s="3">
        <f>('GOOGL - Income Statement FY'!C7/'GOOGL - Income Statement FY'!C38)/('GOOGL - Income Statement FY'!H7/'GOOGL - Income Statement FY'!H38)-1</f>
        <v>1.4245788223498796</v>
      </c>
      <c r="D20" s="3"/>
      <c r="E20" s="3"/>
      <c r="F20" s="3"/>
      <c r="G20" s="3"/>
      <c r="H20" s="3"/>
      <c r="I20" s="3"/>
      <c r="J20" s="3"/>
      <c r="K20" s="3"/>
      <c r="L20" s="3"/>
      <c r="M20" s="3"/>
      <c r="N20" s="3"/>
      <c r="O20" s="3"/>
      <c r="P20" s="3"/>
      <c r="Q20" s="3"/>
      <c r="R20" s="3"/>
      <c r="S20" s="3"/>
      <c r="T20" s="3"/>
    </row>
    <row r="21" spans="1:20" x14ac:dyDescent="0.25">
      <c r="A21" s="3" t="s">
        <v>180</v>
      </c>
      <c r="B21" s="3">
        <f>('GOOGL - Income Statement FY'!B7/'GOOGL - Income Statement FY'!B38)/('GOOGL - Income Statement FY'!E7/'GOOGL - Income Statement FY'!E38)-1</f>
        <v>0.53202367371729342</v>
      </c>
      <c r="C21" s="3">
        <f>('GOOGL - Income Statement FY'!C7/'GOOGL - Income Statement FY'!C38)/('GOOGL - Income Statement FY'!F7/'GOOGL - Income Statement FY'!F38)-1</f>
        <v>0.47869454853619886</v>
      </c>
      <c r="D21" s="3">
        <f>('GOOGL - Income Statement FY'!D7/'GOOGL - Income Statement FY'!D38)/('GOOGL - Income Statement FY'!G7/'GOOGL - Income Statement FY'!G38)-1</f>
        <v>0.81924793137285268</v>
      </c>
      <c r="E21" s="3">
        <f>('GOOGL - Income Statement FY'!E7/'GOOGL - Income Statement FY'!E38)/('GOOGL - Income Statement FY'!H7/'GOOGL - Income Statement FY'!H38)-1</f>
        <v>0.85493171618087627</v>
      </c>
      <c r="F21" s="3"/>
      <c r="G21" s="3"/>
      <c r="H21" s="3"/>
      <c r="I21" s="3"/>
      <c r="J21" s="3"/>
      <c r="K21" s="3"/>
      <c r="L21" s="3"/>
      <c r="M21" s="3"/>
      <c r="N21" s="3"/>
      <c r="O21" s="3"/>
      <c r="P21" s="3"/>
      <c r="Q21" s="3"/>
      <c r="R21" s="3"/>
      <c r="S21" s="3"/>
      <c r="T21" s="3"/>
    </row>
    <row r="22" spans="1:20" x14ac:dyDescent="0.25">
      <c r="A22" s="3" t="s">
        <v>179</v>
      </c>
      <c r="B22" s="3"/>
      <c r="C22" s="3"/>
      <c r="D22" s="3"/>
      <c r="E22" s="3"/>
      <c r="F22" s="3"/>
      <c r="G22" s="3"/>
      <c r="H22" s="3"/>
      <c r="I22" s="3"/>
      <c r="J22" s="3"/>
      <c r="K22" s="3"/>
      <c r="L22" s="3"/>
      <c r="M22" s="3"/>
      <c r="N22" s="3"/>
      <c r="O22" s="3"/>
      <c r="P22" s="3"/>
      <c r="Q22" s="3"/>
      <c r="R22" s="3"/>
      <c r="S22" s="3"/>
      <c r="T22" s="3"/>
    </row>
    <row r="23" spans="1:20" x14ac:dyDescent="0.25">
      <c r="A23" s="3" t="s">
        <v>178</v>
      </c>
      <c r="B23" s="3">
        <f>('GOOGL - Cash Flow FY'!B17/'GOOGL - Income Statement FY'!B38)/('GOOGL - Cash Flow FY'!G17/'GOOGL - Income Statement FY'!G38)-1</f>
        <v>1.8430208449546885</v>
      </c>
      <c r="C23" s="3">
        <f>('GOOGL - Cash Flow FY'!C17/'GOOGL - Income Statement FY'!C38)/('GOOGL - Cash Flow FY'!H17/'GOOGL - Income Statement FY'!H38)-1</f>
        <v>1.5767315368491164</v>
      </c>
      <c r="D23" s="3"/>
      <c r="E23" s="3"/>
      <c r="F23" s="3"/>
      <c r="G23" s="3"/>
      <c r="H23" s="3"/>
      <c r="I23" s="3"/>
      <c r="J23" s="3"/>
      <c r="K23" s="3"/>
      <c r="L23" s="3"/>
      <c r="M23" s="3"/>
      <c r="N23" s="3"/>
      <c r="O23" s="3"/>
      <c r="P23" s="3"/>
      <c r="Q23" s="3"/>
      <c r="R23" s="3"/>
      <c r="S23" s="3"/>
      <c r="T23" s="3"/>
    </row>
    <row r="24" spans="1:20" x14ac:dyDescent="0.25">
      <c r="A24" s="3" t="s">
        <v>177</v>
      </c>
      <c r="B24" s="3">
        <f>('GOOGL - Cash Flow FY'!B17/'GOOGL - Income Statement FY'!B38)/('GOOGL - Cash Flow FY'!E17/'GOOGL - Income Statement FY'!E38)-1</f>
        <v>0.93643268195935758</v>
      </c>
      <c r="C24" s="3">
        <f>('GOOGL - Cash Flow FY'!C17/'GOOGL - Income Statement FY'!C38)/('GOOGL - Cash Flow FY'!F17/'GOOGL - Income Statement FY'!F38)-1</f>
        <v>0.48799675745917459</v>
      </c>
      <c r="D24" s="3">
        <f>('GOOGL - Cash Flow FY'!D17/'GOOGL - Income Statement FY'!D38)/('GOOGL - Cash Flow FY'!G17/'GOOGL - Income Statement FY'!G38)-1</f>
        <v>0.68771805420389365</v>
      </c>
      <c r="E24" s="3">
        <f>('GOOGL - Cash Flow FY'!E17/'GOOGL - Income Statement FY'!E38)/('GOOGL - Cash Flow FY'!H17/'GOOGL - Income Statement FY'!H38)-1</f>
        <v>0.78141966111456229</v>
      </c>
      <c r="F24" s="3"/>
      <c r="G24" s="3"/>
      <c r="H24" s="3"/>
      <c r="I24" s="3"/>
      <c r="J24" s="3"/>
      <c r="K24" s="3"/>
      <c r="L24" s="3"/>
      <c r="M24" s="3"/>
      <c r="N24" s="3"/>
      <c r="O24" s="3"/>
      <c r="P24" s="3"/>
      <c r="Q24" s="3"/>
      <c r="R24" s="3"/>
      <c r="S24" s="3"/>
      <c r="T24" s="3"/>
    </row>
    <row r="25" spans="1:20" x14ac:dyDescent="0.25">
      <c r="A25" s="3" t="s">
        <v>176</v>
      </c>
      <c r="B25" s="3"/>
      <c r="C25" s="3"/>
      <c r="D25" s="3"/>
      <c r="E25" s="3"/>
      <c r="F25" s="3"/>
      <c r="G25" s="3"/>
      <c r="H25" s="3"/>
      <c r="I25" s="3"/>
      <c r="J25" s="3"/>
      <c r="K25" s="3"/>
      <c r="L25" s="3"/>
      <c r="M25" s="3"/>
      <c r="N25" s="3"/>
      <c r="O25" s="3"/>
      <c r="P25" s="3"/>
      <c r="Q25" s="3"/>
      <c r="R25" s="3"/>
      <c r="S25" s="3"/>
      <c r="T25" s="3"/>
    </row>
    <row r="26" spans="1:20" x14ac:dyDescent="0.25">
      <c r="A26" s="3" t="s">
        <v>175</v>
      </c>
      <c r="B26" s="3">
        <f>('GOOGL - Income Statement FY'!B32/'GOOGL - Income Statement FY'!B38)/('GOOGL - Income Statement FY'!G32/'GOOGL - Income Statement FY'!G38)-1</f>
        <v>2.6893960577697786</v>
      </c>
      <c r="C26" s="3">
        <f>('GOOGL - Income Statement FY'!C32/'GOOGL - Income Statement FY'!C38)/('GOOGL - Income Statement FY'!H32/'GOOGL - Income Statement FY'!H38)-1</f>
        <v>2.26852153412861</v>
      </c>
      <c r="D26" s="3"/>
      <c r="E26" s="3"/>
      <c r="F26" s="3"/>
      <c r="G26" s="3"/>
      <c r="H26" s="3"/>
      <c r="I26" s="3"/>
      <c r="J26" s="3"/>
      <c r="K26" s="3"/>
      <c r="L26" s="3"/>
      <c r="M26" s="3"/>
      <c r="N26" s="3"/>
      <c r="O26" s="3"/>
      <c r="P26" s="3"/>
      <c r="Q26" s="3"/>
      <c r="R26" s="3"/>
      <c r="S26" s="3"/>
      <c r="T26" s="3"/>
    </row>
    <row r="27" spans="1:20" x14ac:dyDescent="0.25">
      <c r="A27" s="3" t="s">
        <v>174</v>
      </c>
      <c r="B27" s="3">
        <f>('GOOGL - Income Statement FY'!B32/'GOOGL - Income Statement FY'!B38)/('GOOGL - Income Statement FY'!E32/'GOOGL - Income Statement FY'!E38)-1</f>
        <v>1.3705888952479777</v>
      </c>
      <c r="C27" s="3">
        <f>('GOOGL - Income Statement FY'!C32/'GOOGL - Income Statement FY'!C38)/('GOOGL - Income Statement FY'!F32/'GOOGL - Income Statement FY'!F38)-1</f>
        <v>0.43319856647194643</v>
      </c>
      <c r="D27" s="3">
        <f>('GOOGL - Income Statement FY'!D32/'GOOGL - Income Statement FY'!D38)/('GOOGL - Income Statement FY'!G32/'GOOGL - Income Statement FY'!G38)-1</f>
        <v>0.9796103304624042</v>
      </c>
      <c r="E27" s="3">
        <f>('GOOGL - Income Statement FY'!E32/'GOOGL - Income Statement FY'!E38)/('GOOGL - Income Statement FY'!H32/'GOOGL - Income Statement FY'!H38)-1</f>
        <v>0.85368113173153093</v>
      </c>
      <c r="F27" s="3"/>
      <c r="G27" s="3"/>
      <c r="H27" s="3"/>
      <c r="I27" s="3"/>
      <c r="J27" s="3"/>
      <c r="K27" s="3"/>
      <c r="L27" s="3"/>
      <c r="M27" s="3"/>
      <c r="N27" s="3"/>
      <c r="O27" s="3"/>
      <c r="P27" s="3"/>
      <c r="Q27" s="3"/>
      <c r="R27" s="3"/>
      <c r="S27" s="3"/>
      <c r="T27" s="3"/>
    </row>
    <row r="28" spans="1:20" x14ac:dyDescent="0.25">
      <c r="A28" s="3" t="s">
        <v>173</v>
      </c>
      <c r="B28" s="3"/>
      <c r="C28" s="3"/>
      <c r="D28" s="3"/>
      <c r="E28" s="3"/>
      <c r="F28" s="3"/>
      <c r="G28" s="3"/>
      <c r="H28" s="3"/>
      <c r="I28" s="3"/>
      <c r="J28" s="3"/>
      <c r="K28" s="3"/>
      <c r="L28" s="3"/>
      <c r="M28" s="3"/>
      <c r="N28" s="3"/>
      <c r="O28" s="3"/>
      <c r="P28" s="3"/>
      <c r="Q28" s="3"/>
      <c r="R28" s="3"/>
      <c r="S28" s="3"/>
      <c r="T28" s="3"/>
    </row>
    <row r="29" spans="1:20" x14ac:dyDescent="0.25">
      <c r="A29" s="3" t="s">
        <v>172</v>
      </c>
      <c r="B29" s="3">
        <f>('GOOGL - Balance Sheet FY'!B47/'GOOGL - Income Statement FY'!B38)/('GOOGL - Balance Sheet FY'!G47/'GOOGL - Income Statement FY'!G38)-1</f>
        <v>1.0975033990317473</v>
      </c>
      <c r="C29" s="3">
        <f>('GOOGL - Balance Sheet FY'!C47/'GOOGL - Income Statement FY'!C38)/('GOOGL - Balance Sheet FY'!H47/'GOOGL - Income Statement FY'!H38)-1</f>
        <v>0.80935166890981991</v>
      </c>
      <c r="D29" s="3"/>
      <c r="E29" s="3"/>
      <c r="F29" s="3"/>
      <c r="G29" s="3"/>
      <c r="H29" s="3"/>
      <c r="I29" s="3"/>
      <c r="J29" s="3"/>
      <c r="K29" s="3"/>
      <c r="L29" s="3"/>
      <c r="M29" s="3"/>
      <c r="N29" s="3"/>
      <c r="O29" s="3"/>
      <c r="P29" s="3"/>
      <c r="Q29" s="3"/>
      <c r="R29" s="3"/>
      <c r="S29" s="3"/>
      <c r="T29" s="3"/>
    </row>
    <row r="30" spans="1:20" x14ac:dyDescent="0.25">
      <c r="A30" s="3" t="s">
        <v>171</v>
      </c>
      <c r="B30" s="3">
        <f>('GOOGL - Balance Sheet FY'!B47/'GOOGL - Income Statement FY'!B38)/('GOOGL - Balance Sheet FY'!E47/'GOOGL - Income Statement FY'!E38)-1</f>
        <v>0.74386567529593028</v>
      </c>
      <c r="C30" s="3">
        <f>('GOOGL - Balance Sheet FY'!C47/'GOOGL - Income Statement FY'!C38)/('GOOGL - Balance Sheet FY'!F47/'GOOGL - Income Statement FY'!F38)-1</f>
        <v>0.40611510646488247</v>
      </c>
      <c r="D30" s="3">
        <f>('GOOGL - Balance Sheet FY'!D47/'GOOGL - Income Statement FY'!D38)/('GOOGL - Balance Sheet FY'!G47/'GOOGL - Income Statement FY'!G38)-1</f>
        <v>0.375546869768981</v>
      </c>
      <c r="E30" s="3">
        <f>('GOOGL - Balance Sheet FY'!E47/'GOOGL - Income Statement FY'!E38)/('GOOGL - Balance Sheet FY'!H47/'GOOGL - Income Statement FY'!H38)-1</f>
        <v>0.34976725956703736</v>
      </c>
      <c r="F30" s="3"/>
      <c r="G30" s="3"/>
      <c r="H30" s="3"/>
      <c r="I30" s="3"/>
      <c r="J30" s="3"/>
      <c r="K30" s="3"/>
      <c r="L30" s="3"/>
      <c r="M30" s="3"/>
      <c r="N30" s="3"/>
      <c r="O30" s="3"/>
      <c r="P30" s="3"/>
      <c r="Q30" s="3"/>
      <c r="R30" s="3"/>
      <c r="S30" s="3"/>
      <c r="T30" s="3"/>
    </row>
    <row r="31" spans="1:20" x14ac:dyDescent="0.25">
      <c r="A31" s="3" t="s">
        <v>170</v>
      </c>
      <c r="B31" s="3"/>
      <c r="C31" s="3"/>
      <c r="D31" s="3"/>
      <c r="E31" s="3"/>
      <c r="F31" s="3"/>
      <c r="G31" s="3"/>
      <c r="H31" s="3"/>
      <c r="I31" s="3"/>
      <c r="J31" s="3"/>
      <c r="K31" s="3"/>
      <c r="L31" s="3"/>
      <c r="M31" s="3"/>
      <c r="N31" s="3"/>
      <c r="O31" s="3"/>
      <c r="P31" s="3"/>
      <c r="Q31" s="3"/>
      <c r="R31" s="3"/>
      <c r="S31" s="3"/>
      <c r="T31" s="3"/>
    </row>
    <row r="32" spans="1:20" x14ac:dyDescent="0.25">
      <c r="A32" s="3" t="s">
        <v>169</v>
      </c>
      <c r="B32" s="3" t="str">
        <f>IFERROR((-'GOOGL - Cash Flow FY'!B29/'GOOGL - Income Statement FY'!B38)/(-'GOOGL - Cash Flow FY'!G29/'GOOGL - Income Statement FY'!G38)-1,"")</f>
        <v/>
      </c>
      <c r="C32" s="3" t="str">
        <f>IFERROR((-'GOOGL - Cash Flow FY'!C29/'GOOGL - Income Statement FY'!C38)/(-'GOOGL - Cash Flow FY'!H29/'GOOGL - Income Statement FY'!H38)-1,"")</f>
        <v/>
      </c>
      <c r="D32" s="3"/>
      <c r="E32" s="3"/>
      <c r="F32" s="3"/>
      <c r="G32" s="3"/>
      <c r="H32" s="3"/>
      <c r="I32" s="3"/>
      <c r="J32" s="3"/>
      <c r="K32" s="3"/>
      <c r="L32" s="3"/>
      <c r="M32" s="3"/>
      <c r="N32" s="3"/>
      <c r="O32" s="3"/>
      <c r="P32" s="3"/>
      <c r="Q32" s="3"/>
      <c r="R32" s="3"/>
      <c r="S32" s="3"/>
      <c r="T32" s="3"/>
    </row>
    <row r="33" spans="1:20" x14ac:dyDescent="0.25">
      <c r="A33" s="3" t="s">
        <v>168</v>
      </c>
      <c r="B33" s="3" t="str">
        <f>IFERROR((-'GOOGL - Cash Flow FY'!B29/'GOOGL - Income Statement FY'!B38)/(-'GOOGL - Cash Flow FY'!E29/'GOOGL - Income Statement FY'!E38)-1,"")</f>
        <v/>
      </c>
      <c r="C33" s="3" t="str">
        <f>IFERROR((-'GOOGL - Cash Flow FY'!C29/'GOOGL - Income Statement FY'!C38)/(-'GOOGL - Cash Flow FY'!F29/'GOOGL - Income Statement FY'!F38)-1,"")</f>
        <v/>
      </c>
      <c r="D33" s="3" t="str">
        <f>IFERROR((-'GOOGL - Cash Flow FY'!D29/'GOOGL - Income Statement FY'!D38)/(-'GOOGL - Cash Flow FY'!G29/'GOOGL - Income Statement FY'!G38)-1,"")</f>
        <v/>
      </c>
      <c r="E33" s="3" t="str">
        <f>IFERROR((-'GOOGL - Cash Flow FY'!E29/'GOOGL - Income Statement FY'!E38)/(-'GOOGL - Cash Flow FY'!H29/'GOOGL - Income Statement FY'!H38)-1,"")</f>
        <v/>
      </c>
      <c r="F33" s="3"/>
      <c r="G33" s="3"/>
      <c r="H33" s="3"/>
      <c r="I33" s="3"/>
      <c r="J33" s="3"/>
      <c r="K33" s="3"/>
      <c r="L33" s="3"/>
      <c r="M33" s="3"/>
      <c r="N33" s="3"/>
      <c r="O33" s="3"/>
      <c r="P33" s="3"/>
      <c r="Q33" s="3"/>
      <c r="R33" s="3"/>
      <c r="S33" s="3"/>
      <c r="T33" s="3"/>
    </row>
    <row r="34" spans="1:20" x14ac:dyDescent="0.25">
      <c r="A34" s="3" t="s">
        <v>167</v>
      </c>
      <c r="B34" s="3">
        <f>'GOOGL - Balance Sheet FY'!B10/'GOOGL - Balance Sheet FY'!C10-1</f>
        <v>0.20149025601834158</v>
      </c>
      <c r="C34" s="3">
        <f>'GOOGL - Balance Sheet FY'!C10/'GOOGL - Balance Sheet FY'!D10-1</f>
        <v>9.123509298640653E-2</v>
      </c>
      <c r="D34" s="3">
        <f>'GOOGL - Balance Sheet FY'!D10/'GOOGL - Balance Sheet FY'!E10-1</f>
        <v>0.19141537085796623</v>
      </c>
      <c r="E34" s="3">
        <f>'GOOGL - Balance Sheet FY'!E10/'GOOGL - Balance Sheet FY'!F10-1</f>
        <v>2.427233869326284E-2</v>
      </c>
      <c r="F34" s="3">
        <f>'GOOGL - Balance Sheet FY'!F10/'GOOGL - Balance Sheet FY'!G10-1</f>
        <v>0.27074038150662783</v>
      </c>
      <c r="G34" s="3">
        <f>'GOOGL - Balance Sheet FY'!G10/'GOOGL - Balance Sheet FY'!H10-1</f>
        <v>0.22127457948353468</v>
      </c>
      <c r="H34" s="3"/>
      <c r="I34" s="3"/>
      <c r="J34" s="3"/>
      <c r="K34" s="3"/>
      <c r="L34" s="3"/>
      <c r="M34" s="3"/>
      <c r="N34" s="3"/>
      <c r="O34" s="3"/>
      <c r="P34" s="3"/>
      <c r="Q34" s="3"/>
      <c r="R34" s="3"/>
      <c r="S34" s="3"/>
      <c r="T34" s="3"/>
    </row>
    <row r="35" spans="1:20" x14ac:dyDescent="0.25">
      <c r="A35" s="3" t="s">
        <v>165</v>
      </c>
      <c r="B35" s="3">
        <f>'GOOGL - Balance Sheet FY'!B25/'GOOGL - Balance Sheet FY'!C25-1</f>
        <v>0.32209454177179198</v>
      </c>
      <c r="C35" s="3">
        <f>'GOOGL - Balance Sheet FY'!C25/'GOOGL - Balance Sheet FY'!D25-1</f>
        <v>0.11894868685262128</v>
      </c>
      <c r="D35" s="3">
        <f>'GOOGL - Balance Sheet FY'!D25/'GOOGL - Balance Sheet FY'!E25-1</f>
        <v>0.10164702790310565</v>
      </c>
      <c r="E35" s="3">
        <f>'GOOGL - Balance Sheet FY'!E25/'GOOGL - Balance Sheet FY'!F25-1</f>
        <v>1.6689490853624589E-2</v>
      </c>
      <c r="F35" s="3">
        <f>'GOOGL - Balance Sheet FY'!F25/'GOOGL - Balance Sheet FY'!G25-1</f>
        <v>0.12406137364837799</v>
      </c>
      <c r="G35" s="3">
        <f>'GOOGL - Balance Sheet FY'!G25/'GOOGL - Balance Sheet FY'!H25-1</f>
        <v>0.15841092534132639</v>
      </c>
      <c r="H35" s="3"/>
      <c r="I35" s="3"/>
      <c r="J35" s="3"/>
      <c r="K35" s="3"/>
      <c r="L35" s="3"/>
      <c r="M35" s="3"/>
      <c r="N35" s="3"/>
      <c r="O35" s="3"/>
      <c r="P35" s="3"/>
      <c r="Q35" s="3"/>
      <c r="R35" s="3"/>
      <c r="S35" s="3"/>
      <c r="T35" s="3"/>
    </row>
    <row r="36" spans="1:20" x14ac:dyDescent="0.25">
      <c r="A36" s="3" t="s">
        <v>166</v>
      </c>
      <c r="B36" s="3" t="str">
        <f>IFERROR('GOOGL - Balance Sheet FY'!B11/'GOOGL - Balance Sheet FY'!C11-1,"")</f>
        <v/>
      </c>
      <c r="C36" s="3" t="str">
        <f>IFERROR('GOOGL - Balance Sheet FY'!C11/'GOOGL - Balance Sheet FY'!D11-1,"")</f>
        <v/>
      </c>
      <c r="D36" s="3">
        <f>IFERROR('GOOGL - Balance Sheet FY'!D11/'GOOGL - Balance Sheet FY'!E11-1,"")</f>
        <v>-1</v>
      </c>
      <c r="E36" s="3">
        <f>IFERROR('GOOGL - Balance Sheet FY'!E11/'GOOGL - Balance Sheet FY'!F11-1,"")</f>
        <v>1.2820512820512819</v>
      </c>
      <c r="F36" s="3">
        <f>IFERROR('GOOGL - Balance Sheet FY'!F11/'GOOGL - Balance Sheet FY'!G11-1,"")</f>
        <v>0.60714285714285721</v>
      </c>
      <c r="G36" s="3">
        <f>IFERROR('GOOGL - Balance Sheet FY'!G11/'GOOGL - Balance Sheet FY'!H11-1,"")</f>
        <v>-0.27127127127127126</v>
      </c>
      <c r="H36" s="3"/>
      <c r="I36" s="3"/>
      <c r="J36" s="3"/>
      <c r="K36" s="3"/>
      <c r="L36" s="3"/>
      <c r="M36" s="3"/>
      <c r="N36" s="3"/>
      <c r="O36" s="3"/>
      <c r="P36" s="3"/>
      <c r="Q36" s="3"/>
      <c r="R36" s="3"/>
      <c r="S36" s="3"/>
      <c r="T36" s="3"/>
    </row>
    <row r="37" spans="1:20" x14ac:dyDescent="0.25">
      <c r="A37" s="3" t="s">
        <v>164</v>
      </c>
      <c r="B37" s="3">
        <f>('GOOGL - Balance Sheet FY'!B47/'GOOGL - Income Statement FY'!B38)/('GOOGL - Balance Sheet FY'!C47/'GOOGL - Income Statement FY'!C38)-1</f>
        <v>0.30091503716104029</v>
      </c>
      <c r="C37" s="3">
        <f>('GOOGL - Balance Sheet FY'!C47/'GOOGL - Income Statement FY'!C38)/('GOOGL - Balance Sheet FY'!D47/'GOOGL - Income Statement FY'!D38)-1</f>
        <v>0.17213692291263549</v>
      </c>
      <c r="D37" s="3">
        <f>('GOOGL - Balance Sheet FY'!D47/'GOOGL - Income Statement FY'!D38)/('GOOGL - Balance Sheet FY'!E47/'GOOGL - Income Statement FY'!E38)-1</f>
        <v>0.14363055242638012</v>
      </c>
      <c r="E37" s="3">
        <f>('GOOGL - Balance Sheet FY'!E47/'GOOGL - Income Statement FY'!E38)/('GOOGL - Balance Sheet FY'!F47/'GOOGL - Income Statement FY'!F38)-1</f>
        <v>4.8954808786545678E-2</v>
      </c>
      <c r="F37" s="3">
        <f>('GOOGL - Balance Sheet FY'!F47/'GOOGL - Income Statement FY'!F38)/('GOOGL - Balance Sheet FY'!G47/'GOOGL - Income Statement FY'!G38)-1</f>
        <v>0.14665525449526129</v>
      </c>
      <c r="G37" s="3">
        <f>('GOOGL - Balance Sheet FY'!G47/'GOOGL - Income Statement FY'!G38)/('GOOGL - Balance Sheet FY'!H47/'GOOGL - Income Statement FY'!H38)-1</f>
        <v>0.12219736792025193</v>
      </c>
      <c r="H37" s="3"/>
      <c r="I37" s="3"/>
      <c r="J37" s="3"/>
      <c r="K37" s="3"/>
      <c r="L37" s="3"/>
      <c r="M37" s="3"/>
      <c r="N37" s="3"/>
      <c r="O37" s="3"/>
      <c r="P37" s="3"/>
      <c r="Q37" s="3"/>
      <c r="R37" s="3"/>
      <c r="S37" s="3"/>
      <c r="T37" s="3"/>
    </row>
    <row r="38" spans="1:20" x14ac:dyDescent="0.25">
      <c r="A38" s="3" t="s">
        <v>163</v>
      </c>
      <c r="B38" s="3">
        <f>'GOOGL - Balance Sheet FY'!B51/'GOOGL - Balance Sheet FY'!C51-1</f>
        <v>3.2770375815492052</v>
      </c>
      <c r="C38" s="3">
        <f>'GOOGL - Balance Sheet FY'!C51/'GOOGL - Balance Sheet FY'!D51-1</f>
        <v>-0.17882743529766842</v>
      </c>
      <c r="D38" s="3">
        <f>'GOOGL - Balance Sheet FY'!D51/'GOOGL - Balance Sheet FY'!E51-1</f>
        <v>-9.8496700904700307E-2</v>
      </c>
      <c r="E38" s="3">
        <f>'GOOGL - Balance Sheet FY'!E51/'GOOGL - Balance Sheet FY'!F51-1</f>
        <v>-7.8288452453263435E-3</v>
      </c>
      <c r="F38" s="3">
        <f>'GOOGL - Balance Sheet FY'!F51/'GOOGL - Balance Sheet FY'!G51-1</f>
        <v>6.3522825150732043E-2</v>
      </c>
      <c r="G38" s="3">
        <f>'GOOGL - Balance Sheet FY'!G51/'GOOGL - Balance Sheet FY'!H51-1</f>
        <v>2.0592885375494072</v>
      </c>
      <c r="H38" s="3"/>
      <c r="I38" s="3"/>
      <c r="J38" s="3"/>
      <c r="K38" s="3"/>
      <c r="L38" s="3"/>
      <c r="M38" s="3"/>
      <c r="N38" s="3"/>
      <c r="O38" s="3"/>
      <c r="P38" s="3"/>
      <c r="Q38" s="3"/>
      <c r="R38" s="3"/>
      <c r="S38" s="3"/>
      <c r="T38" s="3"/>
    </row>
    <row r="39" spans="1:20" x14ac:dyDescent="0.25">
      <c r="A39" s="3" t="s">
        <v>162</v>
      </c>
      <c r="B39" s="3">
        <f>'GOOGL - Income Statement FY'!B13/'GOOGL - Income Statement FY'!C13-1</f>
        <v>0.23843409155414985</v>
      </c>
      <c r="C39" s="3">
        <f>'GOOGL - Income Statement FY'!C13/'GOOGL - Income Statement FY'!D13-1</f>
        <v>8.583001298787063E-2</v>
      </c>
      <c r="D39" s="3">
        <f>'GOOGL - Income Statement FY'!D13/'GOOGL - Income Statement FY'!E13-1</f>
        <v>0.15005063291139242</v>
      </c>
      <c r="E39" s="3">
        <f>'GOOGL - Income Statement FY'!E13/'GOOGL - Income Statement FY'!F13-1</f>
        <v>0.25150497433622721</v>
      </c>
      <c r="F39" s="3">
        <f>'GOOGL - Income Statement FY'!F13/'GOOGL - Income Statement FY'!G13-1</f>
        <v>0.14467051100714468</v>
      </c>
      <c r="G39" s="3">
        <f>'GOOGL - Income Statement FY'!G13/'GOOGL - Income Statement FY'!H13-1</f>
        <v>5.9766315627642452E-2</v>
      </c>
      <c r="H39" s="3"/>
      <c r="I39" s="3"/>
      <c r="J39" s="3"/>
      <c r="K39" s="3"/>
      <c r="L39" s="3"/>
      <c r="M39" s="3"/>
      <c r="N39" s="3"/>
      <c r="O39" s="3"/>
      <c r="P39" s="3"/>
      <c r="Q39" s="3"/>
      <c r="R39" s="3"/>
      <c r="S39" s="3"/>
      <c r="T39" s="3"/>
    </row>
    <row r="40" spans="1:20" x14ac:dyDescent="0.25">
      <c r="A40" s="3" t="s">
        <v>161</v>
      </c>
      <c r="B40" s="3">
        <f>'GOOGL - Income Statement FY'!B14/'GOOGL - Income Statement FY'!C14-1</f>
        <v>0.19475664348985622</v>
      </c>
      <c r="C40" s="3">
        <f>'GOOGL - Income Statement FY'!C14/'GOOGL - Income Statement FY'!D14-1</f>
        <v>-5.2906950520950846E-2</v>
      </c>
      <c r="D40" s="3">
        <f>'GOOGL - Income Statement FY'!D14/'GOOGL - Income Statement FY'!E14-1</f>
        <v>4.849731621385156E-2</v>
      </c>
      <c r="E40" s="3">
        <f>'GOOGL - Income Statement FY'!E14/'GOOGL - Income Statement FY'!F14-1</f>
        <v>0.16113887211026312</v>
      </c>
      <c r="F40" s="3">
        <f>'GOOGL - Income Statement FY'!F14/'GOOGL - Income Statement FY'!G14-1</f>
        <v>0.25601765639009577</v>
      </c>
      <c r="G40" s="3">
        <f>'GOOGL - Income Statement FY'!G14/'GOOGL - Income Statement FY'!H14-1</f>
        <v>3.5088345529180831E-2</v>
      </c>
      <c r="H40" s="3"/>
      <c r="I40" s="3"/>
      <c r="J40" s="3"/>
      <c r="K40" s="3"/>
      <c r="L40" s="3"/>
      <c r="M40" s="3"/>
      <c r="N40" s="3"/>
      <c r="O40" s="3"/>
      <c r="P40" s="3"/>
      <c r="Q40" s="3"/>
      <c r="R40" s="3"/>
      <c r="S40" s="3"/>
      <c r="T40" s="3"/>
    </row>
  </sheetData>
  <mergeCells count="1">
    <mergeCell ref="B4:T4"/>
  </mergeCells>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DDDD24-7C73-4C7C-AB82-DE99E94048F9}">
  <sheetPr>
    <tabColor rgb="FFC6E0B4"/>
  </sheetPr>
  <dimension ref="A1:T38"/>
  <sheetViews>
    <sheetView topLeftCell="A4" workbookViewId="0"/>
  </sheetViews>
  <sheetFormatPr defaultRowHeight="15" x14ac:dyDescent="0.25"/>
  <cols>
    <col min="1" max="1" width="40.7109375" bestFit="1" customWidth="1"/>
    <col min="2" max="12" width="18.28515625" bestFit="1" customWidth="1"/>
    <col min="13" max="20" width="17.28515625" bestFit="1" customWidth="1"/>
  </cols>
  <sheetData>
    <row r="1" spans="1:20" x14ac:dyDescent="0.25">
      <c r="A1" s="10" t="s">
        <v>0</v>
      </c>
      <c r="B1" s="10"/>
      <c r="C1" s="10"/>
      <c r="D1" s="10"/>
      <c r="E1" s="10"/>
      <c r="F1" s="10"/>
      <c r="G1" s="10"/>
      <c r="H1" s="10"/>
      <c r="I1" s="10"/>
      <c r="J1" s="10"/>
      <c r="K1" s="10"/>
      <c r="L1" s="10"/>
      <c r="M1" s="10"/>
      <c r="N1" s="10"/>
      <c r="O1" s="10"/>
      <c r="P1" s="10"/>
      <c r="Q1" s="10"/>
      <c r="R1" s="10"/>
      <c r="S1" s="10"/>
      <c r="T1" s="10"/>
    </row>
    <row r="2" spans="1:20" x14ac:dyDescent="0.25">
      <c r="A2" t="s">
        <v>1</v>
      </c>
      <c r="B2" t="s">
        <v>196</v>
      </c>
    </row>
    <row r="3" spans="1:20" x14ac:dyDescent="0.25">
      <c r="A3" t="s">
        <v>3</v>
      </c>
      <c r="B3" t="s">
        <v>4</v>
      </c>
    </row>
    <row r="4" spans="1:20" x14ac:dyDescent="0.25">
      <c r="A4" t="s">
        <v>32</v>
      </c>
      <c r="B4" s="236" t="s">
        <v>33</v>
      </c>
      <c r="C4" s="236"/>
      <c r="D4" s="236"/>
      <c r="E4" s="236"/>
      <c r="F4" s="236"/>
      <c r="G4" s="236"/>
      <c r="H4" s="236"/>
      <c r="I4" s="236"/>
      <c r="J4" s="236"/>
      <c r="K4" s="236"/>
      <c r="L4" s="236"/>
      <c r="M4" s="236"/>
      <c r="N4" s="236"/>
      <c r="O4" s="236"/>
      <c r="P4" s="236"/>
      <c r="Q4" s="236"/>
      <c r="R4" s="236"/>
      <c r="S4" s="236"/>
      <c r="T4" s="236"/>
    </row>
    <row r="5" spans="1:20" x14ac:dyDescent="0.25">
      <c r="A5" t="s">
        <v>34</v>
      </c>
      <c r="B5" s="8">
        <v>46022</v>
      </c>
      <c r="C5" s="8">
        <v>45657</v>
      </c>
      <c r="D5" s="8">
        <v>45291</v>
      </c>
      <c r="E5" s="8">
        <v>44926</v>
      </c>
      <c r="F5" s="8">
        <v>44561</v>
      </c>
      <c r="G5" s="8">
        <v>44196</v>
      </c>
      <c r="H5" s="8">
        <v>43830</v>
      </c>
      <c r="I5" s="8">
        <v>43465</v>
      </c>
      <c r="J5" s="8">
        <v>43100</v>
      </c>
      <c r="K5" s="8">
        <v>42735</v>
      </c>
      <c r="L5" s="8">
        <v>42369</v>
      </c>
      <c r="M5" s="8">
        <v>42004</v>
      </c>
      <c r="N5" s="8">
        <v>41639</v>
      </c>
      <c r="O5" s="8">
        <v>41274</v>
      </c>
      <c r="P5" s="8">
        <v>40908</v>
      </c>
      <c r="Q5" s="8">
        <v>40543</v>
      </c>
      <c r="R5" s="8">
        <v>40178</v>
      </c>
      <c r="S5" s="8">
        <v>39813</v>
      </c>
      <c r="T5" s="8">
        <v>39447</v>
      </c>
    </row>
    <row r="7" spans="1:20" x14ac:dyDescent="0.25">
      <c r="A7" s="1" t="s">
        <v>31</v>
      </c>
      <c r="B7" s="1">
        <v>716924</v>
      </c>
      <c r="C7" s="1">
        <v>637959</v>
      </c>
      <c r="D7" s="1">
        <v>574785</v>
      </c>
      <c r="E7" s="1">
        <v>513983</v>
      </c>
      <c r="F7" s="1">
        <v>469822</v>
      </c>
      <c r="G7" s="1">
        <v>386064</v>
      </c>
      <c r="H7" s="1">
        <v>280522</v>
      </c>
      <c r="I7" s="1">
        <v>232887</v>
      </c>
      <c r="J7" s="1">
        <v>177866</v>
      </c>
      <c r="K7" s="1">
        <v>135987</v>
      </c>
      <c r="L7" s="1">
        <v>107006</v>
      </c>
      <c r="M7" s="1">
        <v>88988</v>
      </c>
      <c r="N7" s="1">
        <v>74452</v>
      </c>
      <c r="O7" s="1">
        <v>61093</v>
      </c>
      <c r="P7" s="1">
        <v>48077</v>
      </c>
      <c r="Q7" s="1">
        <v>34204</v>
      </c>
      <c r="R7" s="1">
        <v>24509</v>
      </c>
      <c r="S7" s="1">
        <v>19166</v>
      </c>
      <c r="T7" s="1">
        <v>14835</v>
      </c>
    </row>
    <row r="9" spans="1:20" x14ac:dyDescent="0.25">
      <c r="A9" s="1" t="s">
        <v>30</v>
      </c>
      <c r="B9" s="1">
        <v>356414</v>
      </c>
      <c r="C9" s="1">
        <v>326288</v>
      </c>
      <c r="D9" s="1">
        <v>304739</v>
      </c>
      <c r="E9" s="1">
        <v>288831</v>
      </c>
      <c r="F9" s="1">
        <v>272344</v>
      </c>
      <c r="G9" s="1">
        <v>233307</v>
      </c>
      <c r="H9" s="1">
        <v>165536</v>
      </c>
      <c r="I9" s="1">
        <v>139156</v>
      </c>
      <c r="J9" s="1">
        <v>111934</v>
      </c>
      <c r="K9" s="1">
        <v>88265</v>
      </c>
      <c r="L9" s="1">
        <v>71651</v>
      </c>
      <c r="M9" s="1">
        <v>62752</v>
      </c>
      <c r="N9" s="1">
        <v>54181</v>
      </c>
      <c r="O9" s="1">
        <v>45971</v>
      </c>
      <c r="P9" s="1">
        <v>37288</v>
      </c>
      <c r="Q9" s="1">
        <v>26561</v>
      </c>
      <c r="R9" s="1">
        <v>18978</v>
      </c>
      <c r="S9" s="1">
        <v>14896</v>
      </c>
      <c r="T9" s="1">
        <v>11482</v>
      </c>
    </row>
    <row r="10" spans="1:20" x14ac:dyDescent="0.25">
      <c r="A10" s="6" t="s">
        <v>29</v>
      </c>
      <c r="B10" s="4">
        <v>360510</v>
      </c>
      <c r="C10" s="4">
        <v>311671</v>
      </c>
      <c r="D10" s="4">
        <v>270046</v>
      </c>
      <c r="E10" s="4">
        <v>225152</v>
      </c>
      <c r="F10" s="4">
        <v>197478</v>
      </c>
      <c r="G10" s="4">
        <v>152757</v>
      </c>
      <c r="H10" s="4">
        <v>114986</v>
      </c>
      <c r="I10" s="4">
        <v>93731</v>
      </c>
      <c r="J10" s="4">
        <v>65932</v>
      </c>
      <c r="K10" s="4">
        <v>47722</v>
      </c>
      <c r="L10" s="4">
        <v>35355</v>
      </c>
      <c r="M10" s="4">
        <v>26236</v>
      </c>
      <c r="N10" s="4">
        <v>20271</v>
      </c>
      <c r="O10" s="4">
        <v>15122</v>
      </c>
      <c r="P10" s="4">
        <v>10789</v>
      </c>
      <c r="Q10" s="4">
        <v>7643</v>
      </c>
      <c r="R10" s="4">
        <v>5531</v>
      </c>
      <c r="S10" s="4">
        <v>4270</v>
      </c>
      <c r="T10" s="4">
        <v>3353</v>
      </c>
    </row>
    <row r="11" spans="1:20" x14ac:dyDescent="0.25">
      <c r="A11" s="3" t="s">
        <v>28</v>
      </c>
      <c r="B11" s="3">
        <v>0.50285664870000002</v>
      </c>
      <c r="C11" s="3">
        <v>0.48854393460000001</v>
      </c>
      <c r="D11" s="3">
        <v>0.46982088960000001</v>
      </c>
      <c r="E11" s="3">
        <v>0.43805339869999999</v>
      </c>
      <c r="F11" s="3">
        <v>0.42032514440000002</v>
      </c>
      <c r="G11" s="3">
        <v>0.39567791870000002</v>
      </c>
      <c r="H11" s="3">
        <v>0.40990011479999999</v>
      </c>
      <c r="I11" s="3">
        <v>0.40247416130000002</v>
      </c>
      <c r="J11" s="3">
        <v>0.3706835483</v>
      </c>
      <c r="K11" s="3">
        <v>0.35093060370000001</v>
      </c>
      <c r="L11" s="3">
        <v>0.33040203350000003</v>
      </c>
      <c r="M11" s="3">
        <v>0.2948262687</v>
      </c>
      <c r="N11" s="3">
        <v>0.27226938160000003</v>
      </c>
      <c r="O11" s="3">
        <v>0.24752426629999999</v>
      </c>
      <c r="P11" s="3">
        <v>0.22441084089999999</v>
      </c>
      <c r="Q11" s="3">
        <v>0.2234533973</v>
      </c>
      <c r="R11" s="3">
        <v>0.22567220199999999</v>
      </c>
      <c r="S11" s="3">
        <v>0.22279035790000001</v>
      </c>
      <c r="T11" s="3">
        <v>0.22601954839999999</v>
      </c>
    </row>
    <row r="13" spans="1:20" x14ac:dyDescent="0.25">
      <c r="A13" s="1" t="s">
        <v>27</v>
      </c>
      <c r="B13" s="1">
        <v>108521</v>
      </c>
      <c r="C13" s="1">
        <v>88544</v>
      </c>
      <c r="D13" s="1">
        <v>85622</v>
      </c>
      <c r="E13" s="1">
        <v>73213</v>
      </c>
      <c r="F13" s="1">
        <v>56052</v>
      </c>
      <c r="G13" s="1">
        <v>42740</v>
      </c>
      <c r="H13" s="1">
        <v>35931</v>
      </c>
      <c r="I13" s="1">
        <v>28837</v>
      </c>
      <c r="J13" s="1">
        <v>22620</v>
      </c>
      <c r="K13" s="1">
        <v>16085</v>
      </c>
      <c r="L13" s="1">
        <v>12540</v>
      </c>
      <c r="M13" s="1">
        <v>9275</v>
      </c>
      <c r="N13" s="1">
        <v>6565</v>
      </c>
      <c r="O13" s="1">
        <v>4564</v>
      </c>
      <c r="P13" s="1">
        <v>2909</v>
      </c>
      <c r="Q13" s="1">
        <v>1734</v>
      </c>
      <c r="R13" s="1">
        <v>1240</v>
      </c>
      <c r="S13" s="1">
        <v>1033</v>
      </c>
      <c r="T13" s="1">
        <v>818</v>
      </c>
    </row>
    <row r="14" spans="1:20" x14ac:dyDescent="0.25">
      <c r="A14" s="1" t="s">
        <v>24</v>
      </c>
      <c r="B14" s="1">
        <v>58301</v>
      </c>
      <c r="C14" s="1">
        <v>55266</v>
      </c>
      <c r="D14" s="1">
        <v>56186</v>
      </c>
      <c r="E14" s="1">
        <v>54129</v>
      </c>
      <c r="F14" s="1">
        <v>41374</v>
      </c>
      <c r="G14" s="1">
        <v>28676</v>
      </c>
      <c r="H14" s="1">
        <v>24081</v>
      </c>
      <c r="I14" s="1">
        <v>18150</v>
      </c>
      <c r="J14" s="1">
        <v>13743</v>
      </c>
      <c r="K14" s="1">
        <v>9665</v>
      </c>
      <c r="L14" s="1">
        <v>7001</v>
      </c>
      <c r="M14" s="1">
        <v>5884</v>
      </c>
      <c r="N14" s="1">
        <v>4262</v>
      </c>
      <c r="O14" s="1">
        <v>3304</v>
      </c>
      <c r="P14" s="1">
        <v>2288</v>
      </c>
      <c r="Q14" s="1">
        <v>1499</v>
      </c>
      <c r="R14" s="1">
        <v>1008</v>
      </c>
      <c r="S14" s="1">
        <v>761</v>
      </c>
      <c r="T14" s="1">
        <v>579</v>
      </c>
    </row>
    <row r="15" spans="1:20" x14ac:dyDescent="0.25">
      <c r="A15" s="1" t="s">
        <v>26</v>
      </c>
      <c r="B15" s="1">
        <v>11172</v>
      </c>
      <c r="C15" s="1">
        <v>11359</v>
      </c>
      <c r="D15" s="1">
        <v>11816</v>
      </c>
      <c r="E15" s="1">
        <v>11891</v>
      </c>
      <c r="F15" s="1">
        <v>8823</v>
      </c>
      <c r="G15" s="1">
        <v>6668</v>
      </c>
      <c r="H15" s="1">
        <v>5203</v>
      </c>
      <c r="I15" s="1">
        <v>4336</v>
      </c>
      <c r="J15" s="1">
        <v>3674</v>
      </c>
      <c r="K15" s="1">
        <v>2432</v>
      </c>
      <c r="L15" s="1">
        <v>1747</v>
      </c>
      <c r="M15" s="1">
        <v>1552</v>
      </c>
      <c r="N15" s="1">
        <v>1129</v>
      </c>
      <c r="O15" s="1">
        <v>896</v>
      </c>
      <c r="P15" s="1">
        <v>658</v>
      </c>
      <c r="Q15" s="1">
        <v>470</v>
      </c>
      <c r="R15" s="1">
        <v>328</v>
      </c>
      <c r="S15" s="1">
        <v>279</v>
      </c>
      <c r="T15" s="1">
        <v>235</v>
      </c>
    </row>
    <row r="16" spans="1:20" x14ac:dyDescent="0.25">
      <c r="A16" s="1" t="s">
        <v>25</v>
      </c>
      <c r="B16" s="1">
        <v>47129</v>
      </c>
      <c r="C16" s="1">
        <v>43907</v>
      </c>
      <c r="D16" s="1">
        <v>44370</v>
      </c>
      <c r="E16" s="1">
        <v>42238</v>
      </c>
      <c r="F16" s="1">
        <v>32551</v>
      </c>
      <c r="G16" s="1">
        <v>22008</v>
      </c>
      <c r="H16" s="1">
        <v>18878</v>
      </c>
      <c r="I16" s="1">
        <v>13814</v>
      </c>
      <c r="J16" s="1">
        <v>10069</v>
      </c>
      <c r="K16" s="1">
        <v>7233</v>
      </c>
      <c r="L16" s="1">
        <v>5254</v>
      </c>
      <c r="M16" s="1">
        <v>4332</v>
      </c>
      <c r="N16" s="1">
        <v>3133</v>
      </c>
      <c r="O16" s="1">
        <v>2408</v>
      </c>
      <c r="P16" s="1">
        <v>1630</v>
      </c>
      <c r="Q16" s="1">
        <v>1029</v>
      </c>
      <c r="R16" s="1">
        <v>680</v>
      </c>
      <c r="S16" s="1">
        <v>482</v>
      </c>
      <c r="T16" s="1">
        <v>344</v>
      </c>
    </row>
    <row r="17" spans="1:20" x14ac:dyDescent="0.25">
      <c r="A17" s="1" t="s">
        <v>23</v>
      </c>
      <c r="B17" s="1">
        <v>113713</v>
      </c>
      <c r="C17" s="1">
        <v>99268</v>
      </c>
      <c r="D17" s="1">
        <v>91386</v>
      </c>
      <c r="E17" s="1">
        <v>85562</v>
      </c>
      <c r="F17" s="1">
        <v>75173</v>
      </c>
      <c r="G17" s="1">
        <v>58442</v>
      </c>
      <c r="H17" s="1">
        <v>40433</v>
      </c>
      <c r="I17" s="1">
        <v>34323</v>
      </c>
      <c r="J17" s="1">
        <v>25463</v>
      </c>
      <c r="K17" s="1">
        <v>17786</v>
      </c>
      <c r="L17" s="1">
        <v>13581</v>
      </c>
      <c r="M17" s="1">
        <v>10899</v>
      </c>
      <c r="N17" s="1">
        <v>8699</v>
      </c>
      <c r="O17" s="1">
        <v>6578</v>
      </c>
      <c r="P17" s="1">
        <v>4730</v>
      </c>
      <c r="Q17" s="1">
        <v>3004</v>
      </c>
      <c r="R17" s="1">
        <v>2154</v>
      </c>
      <c r="S17" s="1">
        <v>1634</v>
      </c>
      <c r="T17" s="1">
        <v>1301</v>
      </c>
    </row>
    <row r="18" spans="1:20" x14ac:dyDescent="0.25">
      <c r="A18" s="6" t="s">
        <v>22</v>
      </c>
      <c r="B18" s="4">
        <v>280535</v>
      </c>
      <c r="C18" s="4">
        <v>243078</v>
      </c>
      <c r="D18" s="4">
        <v>233194</v>
      </c>
      <c r="E18" s="4">
        <v>212904</v>
      </c>
      <c r="F18" s="4">
        <v>172599</v>
      </c>
      <c r="G18" s="4">
        <v>129858</v>
      </c>
      <c r="H18" s="4">
        <v>100445</v>
      </c>
      <c r="I18" s="4">
        <v>81310</v>
      </c>
      <c r="J18" s="4">
        <v>61826</v>
      </c>
      <c r="K18" s="4">
        <v>43536</v>
      </c>
      <c r="L18" s="4">
        <v>33122</v>
      </c>
      <c r="M18" s="4">
        <v>26058</v>
      </c>
      <c r="N18" s="4">
        <v>19526</v>
      </c>
      <c r="O18" s="4">
        <v>14446</v>
      </c>
      <c r="P18" s="4">
        <v>9927</v>
      </c>
      <c r="Q18" s="4">
        <v>6237</v>
      </c>
      <c r="R18" s="4">
        <v>4402</v>
      </c>
      <c r="S18" s="4">
        <v>3428</v>
      </c>
      <c r="T18" s="4">
        <v>2698</v>
      </c>
    </row>
    <row r="20" spans="1:20" x14ac:dyDescent="0.25">
      <c r="A20" s="1" t="s">
        <v>21</v>
      </c>
      <c r="B20" s="1">
        <v>636949</v>
      </c>
      <c r="C20" s="1">
        <v>569366</v>
      </c>
      <c r="D20" s="1">
        <v>537933</v>
      </c>
      <c r="E20" s="1">
        <v>501735</v>
      </c>
      <c r="F20" s="1">
        <v>444943</v>
      </c>
      <c r="G20" s="1">
        <v>363165</v>
      </c>
      <c r="H20" s="1">
        <v>265981</v>
      </c>
      <c r="I20" s="1">
        <v>220466</v>
      </c>
      <c r="J20" s="1">
        <v>173760</v>
      </c>
      <c r="K20" s="1">
        <v>131801</v>
      </c>
      <c r="L20" s="1">
        <v>104773</v>
      </c>
      <c r="M20" s="1">
        <v>88810</v>
      </c>
      <c r="N20" s="1">
        <v>73707</v>
      </c>
      <c r="O20" s="1">
        <v>60417</v>
      </c>
      <c r="P20" s="1">
        <v>47215</v>
      </c>
      <c r="Q20" s="1">
        <v>32798</v>
      </c>
      <c r="R20" s="1">
        <v>23380</v>
      </c>
      <c r="S20" s="1">
        <v>18324</v>
      </c>
      <c r="T20" s="1">
        <v>14180</v>
      </c>
    </row>
    <row r="21" spans="1:20" x14ac:dyDescent="0.25">
      <c r="A21" s="1" t="s">
        <v>18</v>
      </c>
      <c r="B21" s="1">
        <v>165341</v>
      </c>
      <c r="C21" s="1">
        <v>123815</v>
      </c>
      <c r="D21" s="1">
        <v>89402</v>
      </c>
      <c r="E21" s="1">
        <v>38352</v>
      </c>
      <c r="F21" s="1">
        <v>74393</v>
      </c>
      <c r="G21" s="1">
        <v>51005</v>
      </c>
      <c r="H21" s="1">
        <v>37365</v>
      </c>
      <c r="I21" s="1">
        <v>28019</v>
      </c>
      <c r="J21" s="1">
        <v>16132</v>
      </c>
      <c r="K21" s="1">
        <v>12492</v>
      </c>
      <c r="L21" s="1">
        <v>8308</v>
      </c>
      <c r="M21" s="1">
        <v>4845</v>
      </c>
      <c r="N21" s="1">
        <v>3900</v>
      </c>
      <c r="O21" s="1">
        <v>2795</v>
      </c>
      <c r="P21" s="1">
        <v>2082</v>
      </c>
      <c r="Q21" s="1">
        <v>2104</v>
      </c>
      <c r="R21" s="1">
        <v>1573</v>
      </c>
      <c r="S21" s="1">
        <v>1259</v>
      </c>
      <c r="T21" s="1">
        <v>983</v>
      </c>
    </row>
    <row r="22" spans="1:20" x14ac:dyDescent="0.25">
      <c r="A22" s="3" t="s">
        <v>17</v>
      </c>
      <c r="B22" s="3">
        <v>0.23062556140000001</v>
      </c>
      <c r="C22" s="3">
        <v>0.19407987030000001</v>
      </c>
      <c r="D22" s="3">
        <v>0.1555398975</v>
      </c>
      <c r="E22" s="3">
        <v>7.46172539E-2</v>
      </c>
      <c r="F22" s="3">
        <v>0.1583429469</v>
      </c>
      <c r="G22" s="3">
        <v>0.13211540059999999</v>
      </c>
      <c r="H22" s="3">
        <v>0.1331981092</v>
      </c>
      <c r="I22" s="3">
        <v>0.1203115674</v>
      </c>
      <c r="J22" s="3">
        <v>9.0697491399999997E-2</v>
      </c>
      <c r="K22" s="3">
        <v>9.1861722100000001E-2</v>
      </c>
      <c r="L22" s="3">
        <v>7.7640506100000006E-2</v>
      </c>
      <c r="M22" s="3">
        <v>5.4445543200000002E-2</v>
      </c>
      <c r="N22" s="3">
        <v>5.2382743199999998E-2</v>
      </c>
      <c r="O22" s="3">
        <v>4.5749922200000001E-2</v>
      </c>
      <c r="P22" s="3">
        <v>4.3305530699999997E-2</v>
      </c>
      <c r="Q22" s="3">
        <v>6.1513273299999997E-2</v>
      </c>
      <c r="R22" s="3">
        <v>6.4180505099999993E-2</v>
      </c>
      <c r="S22" s="3">
        <v>6.5689241400000001E-2</v>
      </c>
      <c r="T22" s="3">
        <v>6.6262217700000001E-2</v>
      </c>
    </row>
    <row r="23" spans="1:20" x14ac:dyDescent="0.25">
      <c r="A23" s="1" t="s">
        <v>20</v>
      </c>
      <c r="B23" s="1">
        <v>2274</v>
      </c>
      <c r="C23" s="1">
        <v>2406</v>
      </c>
      <c r="D23" s="1">
        <v>3182</v>
      </c>
      <c r="E23" s="1">
        <v>2367</v>
      </c>
      <c r="F23" s="1">
        <v>1809</v>
      </c>
      <c r="G23" s="1">
        <v>1647</v>
      </c>
      <c r="H23" s="1">
        <v>1600</v>
      </c>
      <c r="I23" s="1">
        <v>1417</v>
      </c>
      <c r="J23" s="1">
        <v>848</v>
      </c>
      <c r="K23" s="1">
        <v>484</v>
      </c>
      <c r="L23" s="1">
        <v>459</v>
      </c>
      <c r="M23" s="1">
        <v>210</v>
      </c>
      <c r="N23" s="1">
        <v>141</v>
      </c>
      <c r="O23" s="1">
        <v>92</v>
      </c>
      <c r="P23" s="1">
        <v>65</v>
      </c>
      <c r="Q23" s="1">
        <v>39</v>
      </c>
      <c r="R23" s="1">
        <v>34</v>
      </c>
      <c r="S23" s="1">
        <v>71</v>
      </c>
      <c r="T23" s="1">
        <v>77</v>
      </c>
    </row>
    <row r="24" spans="1:20" x14ac:dyDescent="0.25">
      <c r="A24" s="1" t="s">
        <v>19</v>
      </c>
      <c r="B24" s="1">
        <v>65756</v>
      </c>
      <c r="C24" s="1">
        <v>52795</v>
      </c>
      <c r="D24" s="1">
        <v>48663</v>
      </c>
      <c r="E24" s="1">
        <v>41921</v>
      </c>
      <c r="F24" s="1">
        <v>34433</v>
      </c>
      <c r="G24" s="1">
        <v>25180</v>
      </c>
      <c r="H24" s="1">
        <v>21789</v>
      </c>
      <c r="I24" s="1">
        <v>15341</v>
      </c>
      <c r="J24" s="1">
        <v>11478</v>
      </c>
      <c r="K24" s="1">
        <v>8116</v>
      </c>
      <c r="L24" s="1">
        <v>6281</v>
      </c>
      <c r="M24" s="1">
        <v>4746</v>
      </c>
      <c r="N24" s="1">
        <v>3253</v>
      </c>
      <c r="O24" s="1">
        <v>2159</v>
      </c>
      <c r="P24" s="1">
        <v>1083</v>
      </c>
      <c r="Q24" s="1">
        <v>568</v>
      </c>
      <c r="R24" s="1">
        <v>378</v>
      </c>
      <c r="S24" s="1">
        <v>287</v>
      </c>
      <c r="T24" s="1">
        <v>246</v>
      </c>
    </row>
    <row r="25" spans="1:20" x14ac:dyDescent="0.25">
      <c r="A25" s="6" t="s">
        <v>16</v>
      </c>
      <c r="B25" s="5">
        <v>79975</v>
      </c>
      <c r="C25" s="5">
        <v>68593</v>
      </c>
      <c r="D25" s="5">
        <v>36852</v>
      </c>
      <c r="E25" s="5">
        <v>12248</v>
      </c>
      <c r="F25" s="5">
        <v>24879</v>
      </c>
      <c r="G25" s="5">
        <v>22899</v>
      </c>
      <c r="H25" s="5">
        <v>14541</v>
      </c>
      <c r="I25" s="5">
        <v>12421</v>
      </c>
      <c r="J25" s="5">
        <v>4106</v>
      </c>
      <c r="K25" s="5">
        <v>4353</v>
      </c>
      <c r="L25" s="5">
        <v>2233</v>
      </c>
      <c r="M25" s="5">
        <v>178</v>
      </c>
      <c r="N25" s="5">
        <v>745</v>
      </c>
      <c r="O25" s="5">
        <v>676</v>
      </c>
      <c r="P25" s="5">
        <v>862</v>
      </c>
      <c r="Q25" s="5">
        <v>1406</v>
      </c>
      <c r="R25" s="5">
        <v>1129</v>
      </c>
      <c r="S25" s="5">
        <v>842</v>
      </c>
      <c r="T25" s="5">
        <v>655</v>
      </c>
    </row>
    <row r="26" spans="1:20" x14ac:dyDescent="0.25">
      <c r="A26" s="3" t="s">
        <v>15</v>
      </c>
      <c r="B26" s="7">
        <v>0.111552968</v>
      </c>
      <c r="C26" s="7">
        <v>0.10751944870000001</v>
      </c>
      <c r="D26" s="7">
        <v>6.4114407999999998E-2</v>
      </c>
      <c r="E26" s="7">
        <v>2.3829581900000001E-2</v>
      </c>
      <c r="F26" s="7">
        <v>5.2954097499999998E-2</v>
      </c>
      <c r="G26" s="7">
        <v>5.9313999800000003E-2</v>
      </c>
      <c r="H26" s="7">
        <v>5.1835506699999999E-2</v>
      </c>
      <c r="I26" s="7">
        <v>5.3334879100000003E-2</v>
      </c>
      <c r="J26" s="7">
        <v>2.3084794200000001E-2</v>
      </c>
      <c r="K26" s="7">
        <v>3.2010412799999999E-2</v>
      </c>
      <c r="L26" s="7">
        <v>2.0867988699999999E-2</v>
      </c>
      <c r="M26" s="7">
        <v>2.0002697000000001E-3</v>
      </c>
      <c r="N26" s="7">
        <v>1.00064471E-2</v>
      </c>
      <c r="O26" s="7">
        <v>1.1065097499999999E-2</v>
      </c>
      <c r="P26" s="7">
        <v>1.7929571299999999E-2</v>
      </c>
      <c r="Q26" s="7">
        <v>4.1106303400000002E-2</v>
      </c>
      <c r="R26" s="7">
        <v>4.60647109E-2</v>
      </c>
      <c r="S26" s="7">
        <v>4.3931962900000003E-2</v>
      </c>
      <c r="T26" s="7">
        <v>4.4152342400000003E-2</v>
      </c>
    </row>
    <row r="28" spans="1:20" x14ac:dyDescent="0.25">
      <c r="A28" s="1" t="s">
        <v>14</v>
      </c>
      <c r="B28" s="1">
        <v>16782</v>
      </c>
      <c r="C28" s="1">
        <v>-80</v>
      </c>
      <c r="D28" s="1">
        <v>693</v>
      </c>
      <c r="E28" s="1">
        <v>-18187</v>
      </c>
      <c r="F28" s="1">
        <v>13276</v>
      </c>
      <c r="G28" s="1">
        <v>1295</v>
      </c>
      <c r="H28" s="1">
        <v>-579</v>
      </c>
      <c r="I28" s="1">
        <v>-1151</v>
      </c>
      <c r="J28" s="1">
        <v>-304</v>
      </c>
      <c r="K28" s="1">
        <v>-390</v>
      </c>
      <c r="L28" s="1">
        <v>-687</v>
      </c>
      <c r="M28" s="1">
        <v>-252</v>
      </c>
      <c r="N28" s="1">
        <v>-310</v>
      </c>
      <c r="O28" s="1">
        <v>-287</v>
      </c>
      <c r="P28" s="1">
        <v>60</v>
      </c>
      <c r="Q28" s="1">
        <v>98</v>
      </c>
      <c r="R28" s="1">
        <v>26</v>
      </c>
      <c r="S28" s="1">
        <v>50</v>
      </c>
      <c r="T28" s="1">
        <v>5</v>
      </c>
    </row>
    <row r="29" spans="1:20" x14ac:dyDescent="0.25">
      <c r="A29" s="1" t="s">
        <v>13</v>
      </c>
      <c r="B29" s="1">
        <v>96757</v>
      </c>
      <c r="C29" s="1">
        <v>68513</v>
      </c>
      <c r="D29" s="1">
        <v>37545</v>
      </c>
      <c r="E29" s="1">
        <v>-5939</v>
      </c>
      <c r="F29" s="1">
        <v>38155</v>
      </c>
      <c r="G29" s="1">
        <v>24194</v>
      </c>
      <c r="H29" s="1">
        <v>13962</v>
      </c>
      <c r="I29" s="1">
        <v>11270</v>
      </c>
      <c r="J29" s="1">
        <v>3802</v>
      </c>
      <c r="K29" s="1">
        <v>3796</v>
      </c>
      <c r="L29" s="1">
        <v>1546</v>
      </c>
      <c r="M29" s="1">
        <v>-74</v>
      </c>
      <c r="N29" s="1">
        <v>435</v>
      </c>
      <c r="O29" s="1">
        <v>389</v>
      </c>
      <c r="P29" s="1">
        <v>922</v>
      </c>
      <c r="Q29" s="1">
        <v>1504</v>
      </c>
      <c r="R29" s="1">
        <v>1155</v>
      </c>
      <c r="S29" s="1">
        <v>892</v>
      </c>
      <c r="T29" s="1">
        <v>660</v>
      </c>
    </row>
    <row r="30" spans="1:20" x14ac:dyDescent="0.25">
      <c r="A30" s="2" t="s">
        <v>12</v>
      </c>
      <c r="B30" s="2">
        <v>0.13496130689999999</v>
      </c>
      <c r="C30" s="2">
        <v>0.1073940488</v>
      </c>
      <c r="D30" s="2">
        <v>6.5320076199999993E-2</v>
      </c>
      <c r="E30" s="2">
        <v>-1.15548569E-2</v>
      </c>
      <c r="F30" s="2">
        <v>8.1211607800000002E-2</v>
      </c>
      <c r="G30" s="2">
        <v>6.2668365899999995E-2</v>
      </c>
      <c r="H30" s="2">
        <v>4.9771497400000003E-2</v>
      </c>
      <c r="I30" s="2">
        <v>4.8392568099999998E-2</v>
      </c>
      <c r="J30" s="2">
        <v>2.1375642300000001E-2</v>
      </c>
      <c r="K30" s="2">
        <v>2.7914432999999999E-2</v>
      </c>
      <c r="L30" s="2">
        <v>1.4447788E-2</v>
      </c>
      <c r="M30" s="2">
        <v>-8.3157279999999999E-4</v>
      </c>
      <c r="N30" s="2">
        <v>5.8426906000000004E-3</v>
      </c>
      <c r="O30" s="2">
        <v>6.3673415999999997E-3</v>
      </c>
      <c r="P30" s="2">
        <v>1.9177569299999999E-2</v>
      </c>
      <c r="Q30" s="2">
        <v>4.3971465299999998E-2</v>
      </c>
      <c r="R30" s="2">
        <v>4.71255457E-2</v>
      </c>
      <c r="S30" s="2">
        <v>4.6540749200000002E-2</v>
      </c>
      <c r="T30" s="2">
        <v>4.4489383200000003E-2</v>
      </c>
    </row>
    <row r="31" spans="1:20" x14ac:dyDescent="0.25">
      <c r="A31" s="1" t="s">
        <v>11</v>
      </c>
      <c r="B31" s="1">
        <v>19087</v>
      </c>
      <c r="C31" s="1">
        <v>9265</v>
      </c>
      <c r="D31" s="1">
        <v>7120</v>
      </c>
      <c r="E31" s="1">
        <v>-3217</v>
      </c>
      <c r="F31" s="1">
        <v>4791</v>
      </c>
      <c r="G31" s="1">
        <v>2863</v>
      </c>
      <c r="H31" s="1">
        <v>2374</v>
      </c>
      <c r="I31" s="1">
        <v>1197</v>
      </c>
      <c r="J31" s="1">
        <v>769</v>
      </c>
      <c r="K31" s="1">
        <v>1425</v>
      </c>
      <c r="L31" s="1">
        <v>950</v>
      </c>
      <c r="M31" s="1">
        <v>167</v>
      </c>
      <c r="N31" s="1">
        <v>161</v>
      </c>
      <c r="O31" s="1">
        <v>428</v>
      </c>
      <c r="P31" s="1">
        <v>291</v>
      </c>
      <c r="Q31" s="1">
        <v>352</v>
      </c>
      <c r="R31" s="1">
        <v>253</v>
      </c>
      <c r="S31" s="1">
        <v>247</v>
      </c>
      <c r="T31" s="1">
        <v>184</v>
      </c>
    </row>
    <row r="32" spans="1:20" x14ac:dyDescent="0.25">
      <c r="A32" s="6" t="s">
        <v>10</v>
      </c>
      <c r="B32" s="5">
        <v>77670</v>
      </c>
      <c r="C32" s="5">
        <v>59248</v>
      </c>
      <c r="D32" s="5">
        <v>30425</v>
      </c>
      <c r="E32" s="5">
        <v>-2722</v>
      </c>
      <c r="F32" s="5">
        <v>33364</v>
      </c>
      <c r="G32" s="5">
        <v>21331</v>
      </c>
      <c r="H32" s="5">
        <v>11588</v>
      </c>
      <c r="I32" s="5">
        <v>10073</v>
      </c>
      <c r="J32" s="5">
        <v>3033</v>
      </c>
      <c r="K32" s="5">
        <v>2371</v>
      </c>
      <c r="L32" s="5">
        <v>596</v>
      </c>
      <c r="M32" s="5">
        <v>-241</v>
      </c>
      <c r="N32" s="5">
        <v>274</v>
      </c>
      <c r="O32" s="5">
        <v>-39</v>
      </c>
      <c r="P32" s="5">
        <v>631</v>
      </c>
      <c r="Q32" s="5">
        <v>1152</v>
      </c>
      <c r="R32" s="5">
        <v>902</v>
      </c>
      <c r="S32" s="5">
        <v>645</v>
      </c>
      <c r="T32" s="5">
        <v>476</v>
      </c>
    </row>
    <row r="34" spans="1:20" x14ac:dyDescent="0.25">
      <c r="A34" s="3" t="s">
        <v>9</v>
      </c>
      <c r="B34" s="3">
        <v>0.1083378433</v>
      </c>
      <c r="C34" s="3">
        <v>9.2871172000000002E-2</v>
      </c>
      <c r="D34" s="3">
        <v>5.2932835800000001E-2</v>
      </c>
      <c r="E34" s="3">
        <v>-5.2958950000000001E-3</v>
      </c>
      <c r="F34" s="3">
        <v>7.1014128800000006E-2</v>
      </c>
      <c r="G34" s="3">
        <v>5.5252496999999998E-2</v>
      </c>
      <c r="H34" s="3">
        <v>4.1308703099999997E-2</v>
      </c>
      <c r="I34" s="3">
        <v>4.3252736299999997E-2</v>
      </c>
      <c r="J34" s="3">
        <v>1.7052162900000001E-2</v>
      </c>
      <c r="K34" s="3">
        <v>1.7435490200000001E-2</v>
      </c>
      <c r="L34" s="3">
        <v>5.5697810999999998E-3</v>
      </c>
      <c r="M34" s="3">
        <v>-2.7082302999999999E-3</v>
      </c>
      <c r="N34" s="3">
        <v>3.6802235E-3</v>
      </c>
      <c r="O34" s="3">
        <v>-6.3837099999999999E-4</v>
      </c>
      <c r="P34" s="3">
        <v>1.3124779E-2</v>
      </c>
      <c r="Q34" s="3">
        <v>3.3680271300000002E-2</v>
      </c>
      <c r="R34" s="3">
        <v>3.6802807100000001E-2</v>
      </c>
      <c r="S34" s="3">
        <v>3.3653344500000001E-2</v>
      </c>
      <c r="T34" s="3">
        <v>3.2086282399999999E-2</v>
      </c>
    </row>
    <row r="35" spans="1:20" x14ac:dyDescent="0.25">
      <c r="A35" s="2" t="s">
        <v>8</v>
      </c>
      <c r="B35" s="2">
        <v>7.29</v>
      </c>
      <c r="C35" s="2">
        <v>5.66</v>
      </c>
      <c r="D35" s="2">
        <v>2.95</v>
      </c>
      <c r="E35" s="2">
        <v>-0.27</v>
      </c>
      <c r="F35" s="2">
        <v>3.3</v>
      </c>
      <c r="G35" s="2">
        <v>2.13</v>
      </c>
      <c r="H35" s="2">
        <v>1.17</v>
      </c>
      <c r="I35" s="2">
        <v>1.03</v>
      </c>
      <c r="J35" s="2">
        <v>0.32</v>
      </c>
      <c r="K35" s="2">
        <v>0.25</v>
      </c>
      <c r="L35" s="2">
        <v>6.4000000000000001E-2</v>
      </c>
      <c r="M35" s="2">
        <v>-2.5999999999999999E-2</v>
      </c>
      <c r="N35" s="2">
        <v>0.03</v>
      </c>
      <c r="O35" s="2">
        <v>-4.4999999999999997E-3</v>
      </c>
      <c r="P35" s="2">
        <v>6.9500000000000006E-2</v>
      </c>
      <c r="Q35" s="2">
        <v>0.13</v>
      </c>
      <c r="R35" s="2">
        <v>0.1</v>
      </c>
      <c r="S35" s="2">
        <v>7.5999999999999998E-2</v>
      </c>
      <c r="T35" s="2">
        <v>5.7500000000000002E-2</v>
      </c>
    </row>
    <row r="36" spans="1:20" x14ac:dyDescent="0.25">
      <c r="A36" s="2" t="s">
        <v>7</v>
      </c>
      <c r="B36" s="2">
        <v>7.17</v>
      </c>
      <c r="C36" s="2">
        <v>5.53</v>
      </c>
      <c r="D36" s="2">
        <v>2.9</v>
      </c>
      <c r="E36" s="2">
        <v>-0.27</v>
      </c>
      <c r="F36" s="2">
        <v>3.24</v>
      </c>
      <c r="G36" s="2">
        <v>2.09</v>
      </c>
      <c r="H36" s="2">
        <v>1.1499999999999999</v>
      </c>
      <c r="I36" s="2">
        <v>1.01</v>
      </c>
      <c r="J36" s="2">
        <v>0.31</v>
      </c>
      <c r="K36" s="2">
        <v>0.25</v>
      </c>
      <c r="L36" s="2">
        <v>6.25E-2</v>
      </c>
      <c r="M36" s="2">
        <v>-2.5999999999999999E-2</v>
      </c>
      <c r="N36" s="2">
        <v>2.9499999999999998E-2</v>
      </c>
      <c r="O36" s="2">
        <v>-4.4999999999999997E-3</v>
      </c>
      <c r="P36" s="2">
        <v>6.8500000000000005E-2</v>
      </c>
      <c r="Q36" s="2">
        <v>0.13</v>
      </c>
      <c r="R36" s="2">
        <v>0.1</v>
      </c>
      <c r="S36" s="2">
        <v>7.4499999999999997E-2</v>
      </c>
      <c r="T36" s="2">
        <v>5.6000000000000001E-2</v>
      </c>
    </row>
    <row r="37" spans="1:20" x14ac:dyDescent="0.25">
      <c r="A37" s="1" t="s">
        <v>6</v>
      </c>
      <c r="B37" s="1">
        <v>10656</v>
      </c>
      <c r="C37" s="1">
        <v>10473</v>
      </c>
      <c r="D37" s="1">
        <v>10304</v>
      </c>
      <c r="E37" s="1">
        <v>10189</v>
      </c>
      <c r="F37" s="1">
        <v>10120</v>
      </c>
      <c r="G37" s="1">
        <v>10000</v>
      </c>
      <c r="H37" s="1">
        <v>9880</v>
      </c>
      <c r="I37" s="1">
        <v>9740</v>
      </c>
      <c r="J37" s="1">
        <v>9600</v>
      </c>
      <c r="K37" s="1">
        <v>9480</v>
      </c>
      <c r="L37" s="1">
        <v>9340</v>
      </c>
      <c r="M37" s="1">
        <v>9240</v>
      </c>
      <c r="N37" s="1">
        <v>9140</v>
      </c>
      <c r="O37" s="1">
        <v>8666.6666659999992</v>
      </c>
      <c r="P37" s="1">
        <v>9060</v>
      </c>
      <c r="Q37" s="1">
        <v>8940</v>
      </c>
      <c r="R37" s="1">
        <v>8660</v>
      </c>
      <c r="S37" s="1">
        <v>8460</v>
      </c>
      <c r="T37" s="1">
        <v>8260</v>
      </c>
    </row>
    <row r="38" spans="1:20" x14ac:dyDescent="0.25">
      <c r="A38" s="1" t="s">
        <v>5</v>
      </c>
      <c r="B38" s="1">
        <v>10827</v>
      </c>
      <c r="C38" s="1">
        <v>10721</v>
      </c>
      <c r="D38" s="1">
        <v>10492</v>
      </c>
      <c r="E38" s="1">
        <v>10189</v>
      </c>
      <c r="F38" s="1">
        <v>10300</v>
      </c>
      <c r="G38" s="1">
        <v>10200</v>
      </c>
      <c r="H38" s="1">
        <v>10080</v>
      </c>
      <c r="I38" s="1">
        <v>10000</v>
      </c>
      <c r="J38" s="1">
        <v>9860</v>
      </c>
      <c r="K38" s="1">
        <v>9680</v>
      </c>
      <c r="L38" s="1">
        <v>9540</v>
      </c>
      <c r="M38" s="1">
        <v>9240</v>
      </c>
      <c r="N38" s="1">
        <v>9300</v>
      </c>
      <c r="O38" s="1">
        <v>9060</v>
      </c>
      <c r="P38" s="1">
        <v>9220</v>
      </c>
      <c r="Q38" s="1">
        <v>9120</v>
      </c>
      <c r="R38" s="1">
        <v>8840</v>
      </c>
      <c r="S38" s="1">
        <v>8640</v>
      </c>
      <c r="T38" s="1">
        <v>8480</v>
      </c>
    </row>
  </sheetData>
  <mergeCells count="1">
    <mergeCell ref="B4:T4"/>
  </mergeCells>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8DB630-EA0B-4F5C-B480-116DFF1BD9AC}">
  <sheetPr>
    <tabColor rgb="FFC6E0B4"/>
  </sheetPr>
  <dimension ref="A1:T52"/>
  <sheetViews>
    <sheetView workbookViewId="0"/>
  </sheetViews>
  <sheetFormatPr defaultRowHeight="15" x14ac:dyDescent="0.25"/>
  <cols>
    <col min="1" max="1" width="44.42578125" bestFit="1" customWidth="1"/>
    <col min="2" max="10" width="18.28515625" bestFit="1" customWidth="1"/>
    <col min="11" max="18" width="17.28515625" bestFit="1" customWidth="1"/>
    <col min="19" max="20" width="16.85546875" bestFit="1" customWidth="1"/>
  </cols>
  <sheetData>
    <row r="1" spans="1:20" x14ac:dyDescent="0.25">
      <c r="A1" s="10" t="s">
        <v>35</v>
      </c>
      <c r="B1" s="10"/>
      <c r="C1" s="10"/>
      <c r="D1" s="10"/>
      <c r="E1" s="10"/>
      <c r="F1" s="10"/>
      <c r="G1" s="10"/>
      <c r="H1" s="10"/>
      <c r="I1" s="10"/>
      <c r="J1" s="10"/>
      <c r="K1" s="10"/>
      <c r="L1" s="10"/>
      <c r="M1" s="10"/>
      <c r="N1" s="10"/>
      <c r="O1" s="10"/>
      <c r="P1" s="10"/>
      <c r="Q1" s="10"/>
      <c r="R1" s="10"/>
      <c r="S1" s="10"/>
      <c r="T1" s="10"/>
    </row>
    <row r="2" spans="1:20" x14ac:dyDescent="0.25">
      <c r="A2" t="s">
        <v>1</v>
      </c>
      <c r="B2" t="s">
        <v>196</v>
      </c>
    </row>
    <row r="3" spans="1:20" x14ac:dyDescent="0.25">
      <c r="A3" t="s">
        <v>3</v>
      </c>
      <c r="B3" t="str">
        <f>'AMZN - Income Statement FY'!B3</f>
        <v>USD</v>
      </c>
    </row>
    <row r="4" spans="1:20" x14ac:dyDescent="0.25">
      <c r="A4" t="s">
        <v>32</v>
      </c>
      <c r="B4" s="236" t="s">
        <v>33</v>
      </c>
      <c r="C4" s="236"/>
      <c r="D4" s="236"/>
      <c r="E4" s="236"/>
      <c r="F4" s="236"/>
      <c r="G4" s="236"/>
      <c r="H4" s="236"/>
      <c r="I4" s="236"/>
      <c r="J4" s="236"/>
      <c r="K4" s="236"/>
      <c r="L4" s="236"/>
      <c r="M4" s="236"/>
      <c r="N4" s="236"/>
      <c r="O4" s="236"/>
      <c r="P4" s="236"/>
      <c r="Q4" s="236"/>
      <c r="R4" s="236"/>
      <c r="S4" s="236"/>
      <c r="T4" s="236"/>
    </row>
    <row r="5" spans="1:20" x14ac:dyDescent="0.25">
      <c r="A5" t="s">
        <v>34</v>
      </c>
      <c r="B5" s="8">
        <v>46022</v>
      </c>
      <c r="C5" s="8">
        <v>45657</v>
      </c>
      <c r="D5" s="8">
        <v>45291</v>
      </c>
      <c r="E5" s="8">
        <v>44926</v>
      </c>
      <c r="F5" s="8">
        <v>44561</v>
      </c>
      <c r="G5" s="8">
        <v>44196</v>
      </c>
      <c r="H5" s="8">
        <v>43830</v>
      </c>
      <c r="I5" s="8">
        <v>43465</v>
      </c>
      <c r="J5" s="8">
        <v>43100</v>
      </c>
      <c r="K5" s="8">
        <v>42735</v>
      </c>
      <c r="L5" s="8">
        <v>42369</v>
      </c>
      <c r="M5" s="8">
        <v>42004</v>
      </c>
      <c r="N5" s="8">
        <v>41639</v>
      </c>
      <c r="O5" s="8">
        <v>41274</v>
      </c>
      <c r="P5" s="8">
        <v>40908</v>
      </c>
      <c r="Q5" s="8">
        <v>40543</v>
      </c>
      <c r="R5" s="8">
        <v>40178</v>
      </c>
      <c r="S5" s="8">
        <v>39813</v>
      </c>
      <c r="T5" s="8">
        <v>39447</v>
      </c>
    </row>
    <row r="7" spans="1:20" x14ac:dyDescent="0.25">
      <c r="A7" s="1" t="s">
        <v>74</v>
      </c>
      <c r="B7" s="1">
        <v>86810</v>
      </c>
      <c r="C7" s="1">
        <v>78779</v>
      </c>
      <c r="D7" s="1">
        <v>73387</v>
      </c>
      <c r="E7" s="1">
        <v>53888</v>
      </c>
      <c r="F7" s="1">
        <v>36220</v>
      </c>
      <c r="G7" s="1">
        <v>42122</v>
      </c>
      <c r="H7" s="1">
        <v>36092</v>
      </c>
      <c r="I7" s="1">
        <v>31750</v>
      </c>
      <c r="J7" s="1">
        <v>20522</v>
      </c>
      <c r="K7" s="1">
        <v>19334</v>
      </c>
      <c r="L7" s="1">
        <v>15890</v>
      </c>
      <c r="M7" s="1">
        <v>14557</v>
      </c>
      <c r="N7" s="1">
        <v>8658</v>
      </c>
      <c r="O7" s="1">
        <v>8084</v>
      </c>
      <c r="P7" s="1">
        <v>5269</v>
      </c>
      <c r="Q7" s="1">
        <v>3777</v>
      </c>
      <c r="R7" s="1">
        <v>3444</v>
      </c>
      <c r="S7" s="1">
        <v>2769</v>
      </c>
      <c r="T7" s="1">
        <v>2539</v>
      </c>
    </row>
    <row r="8" spans="1:20" x14ac:dyDescent="0.25">
      <c r="A8" s="1" t="s">
        <v>73</v>
      </c>
      <c r="B8" s="1">
        <v>36219</v>
      </c>
      <c r="C8" s="1">
        <v>22423</v>
      </c>
      <c r="D8" s="1">
        <v>13393</v>
      </c>
      <c r="E8" s="1">
        <v>16138</v>
      </c>
      <c r="F8" s="1">
        <v>59829</v>
      </c>
      <c r="G8" s="1">
        <v>42274</v>
      </c>
      <c r="H8" s="1">
        <v>18929</v>
      </c>
      <c r="I8" s="1">
        <v>9500</v>
      </c>
      <c r="J8" s="1">
        <v>10464</v>
      </c>
      <c r="K8" s="1">
        <v>6647</v>
      </c>
      <c r="L8" s="1">
        <v>3918</v>
      </c>
      <c r="M8" s="1">
        <v>2859</v>
      </c>
      <c r="N8" s="1">
        <v>3789</v>
      </c>
      <c r="O8" s="1">
        <v>3364</v>
      </c>
      <c r="P8" s="1">
        <v>4307</v>
      </c>
      <c r="Q8" s="1">
        <v>4985</v>
      </c>
      <c r="R8" s="1">
        <v>2922</v>
      </c>
      <c r="S8" s="1">
        <v>958</v>
      </c>
      <c r="T8" s="1">
        <v>573</v>
      </c>
    </row>
    <row r="9" spans="1:20" x14ac:dyDescent="0.25">
      <c r="A9" s="1" t="s">
        <v>72</v>
      </c>
      <c r="B9" s="1">
        <v>123029</v>
      </c>
      <c r="C9" s="1">
        <v>101202</v>
      </c>
      <c r="D9" s="1">
        <v>86780</v>
      </c>
      <c r="E9" s="1">
        <v>70026</v>
      </c>
      <c r="F9" s="1">
        <v>96049</v>
      </c>
      <c r="G9" s="1">
        <v>84396</v>
      </c>
      <c r="H9" s="1">
        <v>55021</v>
      </c>
      <c r="I9" s="1">
        <v>41250</v>
      </c>
      <c r="J9" s="1">
        <v>30986</v>
      </c>
      <c r="K9" s="1">
        <v>25981</v>
      </c>
      <c r="L9" s="1">
        <v>19808</v>
      </c>
      <c r="M9" s="1">
        <v>17416</v>
      </c>
      <c r="N9" s="1">
        <v>12447</v>
      </c>
      <c r="O9" s="1">
        <v>11448</v>
      </c>
      <c r="P9" s="1">
        <v>9576</v>
      </c>
      <c r="Q9" s="1">
        <v>8762</v>
      </c>
      <c r="R9" s="1">
        <v>6366</v>
      </c>
      <c r="S9" s="1">
        <v>3727</v>
      </c>
      <c r="T9" s="1">
        <v>3112</v>
      </c>
    </row>
    <row r="10" spans="1:20" x14ac:dyDescent="0.25">
      <c r="A10" s="1" t="s">
        <v>71</v>
      </c>
      <c r="B10" s="1">
        <v>67729</v>
      </c>
      <c r="C10" s="1">
        <v>55451</v>
      </c>
      <c r="D10" s="1">
        <v>52253</v>
      </c>
      <c r="E10" s="1">
        <v>42360</v>
      </c>
      <c r="F10" s="1">
        <v>32891</v>
      </c>
      <c r="G10" s="1">
        <v>24542</v>
      </c>
      <c r="H10" s="1">
        <v>20816</v>
      </c>
      <c r="I10" s="1">
        <v>16677</v>
      </c>
      <c r="J10" s="1">
        <v>13164</v>
      </c>
      <c r="K10" s="1">
        <v>8339</v>
      </c>
      <c r="L10" s="1">
        <v>5654</v>
      </c>
      <c r="M10" s="1">
        <v>5612</v>
      </c>
      <c r="N10" s="1">
        <v>4767</v>
      </c>
      <c r="O10" s="1">
        <v>3817</v>
      </c>
      <c r="P10" s="1">
        <v>2571</v>
      </c>
      <c r="Q10" s="1">
        <v>1587</v>
      </c>
      <c r="R10" s="1">
        <v>988</v>
      </c>
      <c r="S10" s="1">
        <v>1654</v>
      </c>
      <c r="T10" s="1">
        <v>1410</v>
      </c>
    </row>
    <row r="11" spans="1:20" x14ac:dyDescent="0.25">
      <c r="A11" s="1" t="s">
        <v>70</v>
      </c>
      <c r="B11" s="1">
        <v>38325</v>
      </c>
      <c r="C11" s="1">
        <v>34214</v>
      </c>
      <c r="D11" s="1">
        <v>33318</v>
      </c>
      <c r="E11" s="1">
        <v>34405</v>
      </c>
      <c r="F11" s="1">
        <v>32640</v>
      </c>
      <c r="G11" s="1">
        <v>23795</v>
      </c>
      <c r="H11" s="1">
        <v>20497</v>
      </c>
      <c r="I11" s="1">
        <v>17174</v>
      </c>
      <c r="J11" s="1">
        <v>16047</v>
      </c>
      <c r="K11" s="1">
        <v>11461</v>
      </c>
      <c r="L11" s="1">
        <v>10243</v>
      </c>
      <c r="M11" s="1">
        <v>8299</v>
      </c>
      <c r="N11" s="1">
        <v>7411</v>
      </c>
      <c r="O11" s="1">
        <v>6031</v>
      </c>
      <c r="P11" s="1">
        <v>4992</v>
      </c>
      <c r="Q11" s="1">
        <v>3202</v>
      </c>
      <c r="R11" s="1">
        <v>2171</v>
      </c>
      <c r="S11" s="1">
        <v>1399</v>
      </c>
      <c r="T11" s="1">
        <v>1200</v>
      </c>
    </row>
    <row r="12" spans="1:20" x14ac:dyDescent="0.25">
      <c r="A12" s="1" t="s">
        <v>69</v>
      </c>
      <c r="B12" s="1">
        <v>0</v>
      </c>
      <c r="C12" s="1">
        <v>0</v>
      </c>
      <c r="D12" s="1">
        <v>0</v>
      </c>
      <c r="E12" s="1">
        <v>0</v>
      </c>
      <c r="F12" s="1">
        <v>0</v>
      </c>
      <c r="G12" s="1">
        <v>0</v>
      </c>
      <c r="H12" s="1">
        <v>0</v>
      </c>
      <c r="I12" s="1">
        <v>0</v>
      </c>
      <c r="J12" s="1">
        <v>0</v>
      </c>
      <c r="K12" s="1">
        <v>0</v>
      </c>
      <c r="L12" s="1">
        <v>0</v>
      </c>
      <c r="M12" s="1">
        <v>0</v>
      </c>
      <c r="N12" s="1">
        <v>0</v>
      </c>
      <c r="O12" s="1">
        <v>0</v>
      </c>
      <c r="P12" s="1">
        <v>351</v>
      </c>
      <c r="Q12" s="1">
        <v>196</v>
      </c>
      <c r="R12" s="1">
        <v>272</v>
      </c>
      <c r="S12" s="1">
        <v>-623</v>
      </c>
      <c r="T12" s="1">
        <v>-558</v>
      </c>
    </row>
    <row r="13" spans="1:20" x14ac:dyDescent="0.25">
      <c r="A13" s="6" t="s">
        <v>68</v>
      </c>
      <c r="B13" s="4">
        <v>229083</v>
      </c>
      <c r="C13" s="4">
        <v>190867</v>
      </c>
      <c r="D13" s="4">
        <v>172351</v>
      </c>
      <c r="E13" s="4">
        <v>146791</v>
      </c>
      <c r="F13" s="4">
        <v>161580</v>
      </c>
      <c r="G13" s="4">
        <v>132733</v>
      </c>
      <c r="H13" s="4">
        <v>96334</v>
      </c>
      <c r="I13" s="4">
        <v>75101</v>
      </c>
      <c r="J13" s="4">
        <v>60197</v>
      </c>
      <c r="K13" s="4">
        <v>45781</v>
      </c>
      <c r="L13" s="4">
        <v>35705</v>
      </c>
      <c r="M13" s="4">
        <v>31327</v>
      </c>
      <c r="N13" s="4">
        <v>24625</v>
      </c>
      <c r="O13" s="4">
        <v>21296</v>
      </c>
      <c r="P13" s="4">
        <v>17490</v>
      </c>
      <c r="Q13" s="4">
        <v>13747</v>
      </c>
      <c r="R13" s="4">
        <v>9797</v>
      </c>
      <c r="S13" s="4">
        <v>6157</v>
      </c>
      <c r="T13" s="4">
        <v>5164</v>
      </c>
    </row>
    <row r="15" spans="1:20" x14ac:dyDescent="0.25">
      <c r="A15" s="1" t="s">
        <v>67</v>
      </c>
      <c r="B15" s="1">
        <v>443079</v>
      </c>
      <c r="C15" s="1">
        <v>328806</v>
      </c>
      <c r="D15" s="1">
        <v>276690</v>
      </c>
      <c r="E15" s="1">
        <v>252838</v>
      </c>
      <c r="F15" s="1">
        <v>216363</v>
      </c>
      <c r="G15" s="1">
        <v>150667</v>
      </c>
      <c r="H15" s="1">
        <v>97846</v>
      </c>
      <c r="I15" s="1">
        <v>61797</v>
      </c>
      <c r="J15" s="1">
        <v>48866</v>
      </c>
      <c r="K15" s="1">
        <v>29114</v>
      </c>
      <c r="L15" s="1">
        <v>21838</v>
      </c>
      <c r="M15" s="1">
        <v>16967</v>
      </c>
      <c r="N15" s="1">
        <v>10949</v>
      </c>
      <c r="O15" s="1">
        <v>7060</v>
      </c>
      <c r="P15" s="1">
        <v>4417</v>
      </c>
      <c r="Q15" s="1">
        <v>2414</v>
      </c>
      <c r="R15" s="1">
        <v>1290</v>
      </c>
      <c r="S15" s="1">
        <v>854</v>
      </c>
      <c r="T15" s="1">
        <v>543</v>
      </c>
    </row>
    <row r="16" spans="1:20" x14ac:dyDescent="0.25">
      <c r="A16" s="1" t="s">
        <v>66</v>
      </c>
      <c r="B16" s="1">
        <v>23273</v>
      </c>
      <c r="C16" s="1">
        <v>23074</v>
      </c>
      <c r="D16" s="1">
        <v>22789</v>
      </c>
      <c r="E16" s="1">
        <v>20288</v>
      </c>
      <c r="F16" s="1">
        <v>15371</v>
      </c>
      <c r="G16" s="1">
        <v>15017</v>
      </c>
      <c r="H16" s="1">
        <v>14754</v>
      </c>
      <c r="I16" s="1">
        <v>14548</v>
      </c>
      <c r="J16" s="1">
        <v>13350</v>
      </c>
      <c r="K16" s="1">
        <v>3784</v>
      </c>
      <c r="L16" s="1">
        <v>3759</v>
      </c>
      <c r="M16" s="1">
        <v>3319</v>
      </c>
      <c r="N16" s="1">
        <v>2655</v>
      </c>
      <c r="O16" s="1">
        <v>2552</v>
      </c>
      <c r="P16" s="1">
        <v>1955</v>
      </c>
      <c r="Q16" s="1">
        <v>1349</v>
      </c>
      <c r="R16" s="1">
        <v>1234</v>
      </c>
      <c r="S16" s="1">
        <v>438</v>
      </c>
      <c r="T16" s="1">
        <v>222</v>
      </c>
    </row>
    <row r="17" spans="1:20" x14ac:dyDescent="0.25">
      <c r="A17" s="1" t="s">
        <v>65</v>
      </c>
      <c r="B17" s="1">
        <v>9197</v>
      </c>
      <c r="C17" s="1">
        <v>8602</v>
      </c>
      <c r="D17" s="1">
        <v>7687</v>
      </c>
      <c r="E17" s="1">
        <v>6097</v>
      </c>
      <c r="F17" s="1">
        <v>5107</v>
      </c>
      <c r="G17" s="1">
        <v>4981</v>
      </c>
      <c r="H17" s="1">
        <v>4049</v>
      </c>
      <c r="I17" s="1">
        <v>4110</v>
      </c>
      <c r="J17" s="1">
        <v>3371</v>
      </c>
      <c r="K17" s="1">
        <v>854</v>
      </c>
      <c r="L17" s="1">
        <v>992</v>
      </c>
      <c r="M17" s="1">
        <v>764</v>
      </c>
      <c r="N17" s="1">
        <v>645</v>
      </c>
      <c r="O17" s="1">
        <v>725</v>
      </c>
      <c r="P17" s="1">
        <v>647</v>
      </c>
      <c r="Q17" s="1">
        <v>563</v>
      </c>
      <c r="R17" s="1">
        <v>567</v>
      </c>
      <c r="S17" s="1">
        <v>160</v>
      </c>
      <c r="T17" s="1">
        <v>27</v>
      </c>
    </row>
    <row r="18" spans="1:20" x14ac:dyDescent="0.25">
      <c r="A18" s="1" t="s">
        <v>64</v>
      </c>
      <c r="B18" s="1">
        <v>32470</v>
      </c>
      <c r="C18" s="1">
        <v>31676</v>
      </c>
      <c r="D18" s="1">
        <v>30476</v>
      </c>
      <c r="E18" s="1">
        <v>26385</v>
      </c>
      <c r="F18" s="1">
        <v>20478</v>
      </c>
      <c r="G18" s="1">
        <v>19998</v>
      </c>
      <c r="H18" s="1">
        <v>18803</v>
      </c>
      <c r="I18" s="1">
        <v>18658</v>
      </c>
      <c r="J18" s="1">
        <v>16721</v>
      </c>
      <c r="K18" s="1">
        <v>4638</v>
      </c>
      <c r="L18" s="1">
        <v>4751</v>
      </c>
      <c r="M18" s="1">
        <v>4083</v>
      </c>
      <c r="N18" s="1">
        <v>3300</v>
      </c>
      <c r="O18" s="1">
        <v>3277</v>
      </c>
      <c r="P18" s="1">
        <v>2602</v>
      </c>
      <c r="Q18" s="1">
        <v>1912</v>
      </c>
      <c r="R18" s="1">
        <v>1801</v>
      </c>
      <c r="S18" s="1">
        <v>598</v>
      </c>
      <c r="T18" s="1">
        <v>249</v>
      </c>
    </row>
    <row r="19" spans="1:20" x14ac:dyDescent="0.25">
      <c r="A19" s="1" t="s">
        <v>63</v>
      </c>
      <c r="B19" s="1">
        <v>0</v>
      </c>
      <c r="C19" s="1">
        <v>0</v>
      </c>
      <c r="D19" s="1">
        <v>0</v>
      </c>
      <c r="E19" s="1">
        <v>0</v>
      </c>
      <c r="F19" s="1">
        <v>0</v>
      </c>
      <c r="G19" s="1">
        <v>0</v>
      </c>
      <c r="H19" s="1">
        <v>0</v>
      </c>
      <c r="I19" s="1">
        <v>0</v>
      </c>
      <c r="J19" s="1">
        <v>0</v>
      </c>
      <c r="K19" s="1">
        <v>0</v>
      </c>
      <c r="L19" s="1">
        <v>0</v>
      </c>
      <c r="M19" s="1">
        <v>0</v>
      </c>
      <c r="N19" s="1">
        <v>0</v>
      </c>
      <c r="O19" s="1">
        <v>0</v>
      </c>
      <c r="P19" s="1">
        <v>0</v>
      </c>
      <c r="Q19" s="1">
        <v>0</v>
      </c>
      <c r="R19" s="1">
        <v>0</v>
      </c>
      <c r="S19" s="1">
        <v>0</v>
      </c>
      <c r="T19" s="1">
        <v>0</v>
      </c>
    </row>
    <row r="20" spans="1:20" x14ac:dyDescent="0.25">
      <c r="A20" s="1" t="s">
        <v>62</v>
      </c>
      <c r="B20" s="1">
        <v>0</v>
      </c>
      <c r="C20" s="1">
        <v>0</v>
      </c>
      <c r="D20" s="1">
        <v>0</v>
      </c>
      <c r="E20" s="1">
        <v>0</v>
      </c>
      <c r="F20" s="1">
        <v>0</v>
      </c>
      <c r="G20" s="1">
        <v>0</v>
      </c>
      <c r="H20" s="1">
        <v>0</v>
      </c>
      <c r="I20" s="1">
        <v>0</v>
      </c>
      <c r="J20" s="1">
        <v>0</v>
      </c>
      <c r="K20" s="1">
        <v>0</v>
      </c>
      <c r="L20" s="1">
        <v>0</v>
      </c>
      <c r="M20" s="1">
        <v>0</v>
      </c>
      <c r="N20" s="1">
        <v>0</v>
      </c>
      <c r="O20" s="1">
        <v>123</v>
      </c>
      <c r="P20" s="1">
        <v>28</v>
      </c>
      <c r="Q20" s="1">
        <v>22</v>
      </c>
      <c r="R20" s="1">
        <v>18</v>
      </c>
      <c r="S20" s="1">
        <v>145</v>
      </c>
      <c r="T20" s="1">
        <v>260</v>
      </c>
    </row>
    <row r="21" spans="1:20" x14ac:dyDescent="0.25">
      <c r="A21" s="1" t="s">
        <v>61</v>
      </c>
      <c r="B21" s="1">
        <v>113410</v>
      </c>
      <c r="C21" s="1">
        <v>73545</v>
      </c>
      <c r="D21" s="1">
        <v>48337</v>
      </c>
      <c r="E21" s="1">
        <v>36661</v>
      </c>
      <c r="F21" s="1">
        <v>22128</v>
      </c>
      <c r="G21" s="1">
        <v>17797</v>
      </c>
      <c r="H21" s="1">
        <v>12265</v>
      </c>
      <c r="I21" s="1">
        <v>7092</v>
      </c>
      <c r="J21" s="1">
        <v>5526</v>
      </c>
      <c r="K21" s="1">
        <v>3869</v>
      </c>
      <c r="L21" s="1">
        <v>2453</v>
      </c>
      <c r="M21" s="1">
        <v>2128</v>
      </c>
      <c r="N21" s="1">
        <v>1285</v>
      </c>
      <c r="O21" s="1">
        <v>799</v>
      </c>
      <c r="P21" s="1">
        <v>741</v>
      </c>
      <c r="Q21" s="1">
        <v>702</v>
      </c>
      <c r="R21" s="1">
        <v>907</v>
      </c>
      <c r="S21" s="1">
        <v>720</v>
      </c>
      <c r="T21" s="1">
        <v>296</v>
      </c>
    </row>
    <row r="22" spans="1:20" x14ac:dyDescent="0.25">
      <c r="A22" s="6" t="s">
        <v>60</v>
      </c>
      <c r="B22" s="4">
        <v>588959</v>
      </c>
      <c r="C22" s="4">
        <v>434027</v>
      </c>
      <c r="D22" s="4">
        <v>355503</v>
      </c>
      <c r="E22" s="4">
        <v>315884</v>
      </c>
      <c r="F22" s="4">
        <v>258969</v>
      </c>
      <c r="G22" s="4">
        <v>188462</v>
      </c>
      <c r="H22" s="4">
        <v>128914</v>
      </c>
      <c r="I22" s="4">
        <v>87547</v>
      </c>
      <c r="J22" s="4">
        <v>71113</v>
      </c>
      <c r="K22" s="4">
        <v>37621</v>
      </c>
      <c r="L22" s="4">
        <v>29042</v>
      </c>
      <c r="M22" s="4">
        <v>23178</v>
      </c>
      <c r="N22" s="4">
        <v>15534</v>
      </c>
      <c r="O22" s="4">
        <v>11259</v>
      </c>
      <c r="P22" s="4">
        <v>7788</v>
      </c>
      <c r="Q22" s="4">
        <v>5050</v>
      </c>
      <c r="R22" s="4">
        <v>4016</v>
      </c>
      <c r="S22" s="4">
        <v>2157</v>
      </c>
      <c r="T22" s="4">
        <v>1321</v>
      </c>
    </row>
    <row r="24" spans="1:20" x14ac:dyDescent="0.25">
      <c r="A24" s="1" t="s">
        <v>59</v>
      </c>
      <c r="B24" s="1">
        <v>0</v>
      </c>
      <c r="C24" s="1">
        <v>0</v>
      </c>
      <c r="D24" s="1">
        <v>0</v>
      </c>
      <c r="E24" s="1">
        <v>0</v>
      </c>
      <c r="F24" s="1">
        <v>0</v>
      </c>
      <c r="G24" s="1">
        <v>0</v>
      </c>
      <c r="H24" s="1">
        <v>0</v>
      </c>
      <c r="I24" s="1">
        <v>0</v>
      </c>
      <c r="J24" s="1">
        <v>0</v>
      </c>
      <c r="K24" s="1">
        <v>0</v>
      </c>
      <c r="L24" s="1">
        <v>0</v>
      </c>
      <c r="M24" s="1">
        <v>0</v>
      </c>
      <c r="N24" s="1">
        <v>0</v>
      </c>
      <c r="O24" s="1">
        <v>0</v>
      </c>
      <c r="P24" s="1">
        <v>0</v>
      </c>
      <c r="Q24" s="1">
        <v>0</v>
      </c>
      <c r="R24" s="1">
        <v>0</v>
      </c>
      <c r="S24" s="1">
        <v>0</v>
      </c>
      <c r="T24" s="1">
        <v>0</v>
      </c>
    </row>
    <row r="25" spans="1:20" x14ac:dyDescent="0.25">
      <c r="A25" s="6" t="s">
        <v>58</v>
      </c>
      <c r="B25" s="5">
        <v>818042</v>
      </c>
      <c r="C25" s="5">
        <v>624894</v>
      </c>
      <c r="D25" s="5">
        <v>527854</v>
      </c>
      <c r="E25" s="5">
        <v>462675</v>
      </c>
      <c r="F25" s="5">
        <v>420549</v>
      </c>
      <c r="G25" s="5">
        <v>321195</v>
      </c>
      <c r="H25" s="5">
        <v>225248</v>
      </c>
      <c r="I25" s="5">
        <v>162648</v>
      </c>
      <c r="J25" s="5">
        <v>131310</v>
      </c>
      <c r="K25" s="5">
        <v>83402</v>
      </c>
      <c r="L25" s="5">
        <v>64747</v>
      </c>
      <c r="M25" s="5">
        <v>54505</v>
      </c>
      <c r="N25" s="5">
        <v>40159</v>
      </c>
      <c r="O25" s="5">
        <v>32555</v>
      </c>
      <c r="P25" s="5">
        <v>25278</v>
      </c>
      <c r="Q25" s="5">
        <v>18797</v>
      </c>
      <c r="R25" s="5">
        <v>13813</v>
      </c>
      <c r="S25" s="5">
        <v>8314</v>
      </c>
      <c r="T25" s="5">
        <v>6485</v>
      </c>
    </row>
    <row r="27" spans="1:20" x14ac:dyDescent="0.25">
      <c r="A27" s="1" t="s">
        <v>57</v>
      </c>
      <c r="B27" s="1">
        <v>121909</v>
      </c>
      <c r="C27" s="1">
        <v>94363</v>
      </c>
      <c r="D27" s="1">
        <v>84981</v>
      </c>
      <c r="E27" s="1">
        <v>79600</v>
      </c>
      <c r="F27" s="1">
        <v>78664</v>
      </c>
      <c r="G27" s="1">
        <v>72539</v>
      </c>
      <c r="H27" s="1">
        <v>47183</v>
      </c>
      <c r="I27" s="1">
        <v>38192</v>
      </c>
      <c r="J27" s="1">
        <v>34616</v>
      </c>
      <c r="K27" s="1">
        <v>25309</v>
      </c>
      <c r="L27" s="1">
        <v>20397</v>
      </c>
      <c r="M27" s="1">
        <v>16459</v>
      </c>
      <c r="N27" s="1">
        <v>15133</v>
      </c>
      <c r="O27" s="1">
        <v>13318</v>
      </c>
      <c r="P27" s="1">
        <v>11145</v>
      </c>
      <c r="Q27" s="1">
        <v>8051</v>
      </c>
      <c r="R27" s="1">
        <v>5605</v>
      </c>
      <c r="S27" s="1">
        <v>3594</v>
      </c>
      <c r="T27" s="1">
        <v>2795</v>
      </c>
    </row>
    <row r="28" spans="1:20" x14ac:dyDescent="0.25">
      <c r="A28" s="1" t="s">
        <v>56</v>
      </c>
      <c r="B28" s="1">
        <v>0</v>
      </c>
      <c r="C28" s="1">
        <v>0</v>
      </c>
      <c r="D28" s="1">
        <v>0</v>
      </c>
      <c r="E28" s="1">
        <v>0</v>
      </c>
      <c r="F28" s="1">
        <v>0</v>
      </c>
      <c r="G28" s="1">
        <v>0</v>
      </c>
      <c r="H28" s="1">
        <v>0</v>
      </c>
      <c r="I28" s="1">
        <v>0</v>
      </c>
      <c r="J28" s="1">
        <v>0</v>
      </c>
      <c r="K28" s="1">
        <v>0</v>
      </c>
      <c r="L28" s="1">
        <v>0</v>
      </c>
      <c r="M28" s="1">
        <v>0</v>
      </c>
      <c r="N28" s="1">
        <v>0</v>
      </c>
      <c r="O28" s="1">
        <v>0</v>
      </c>
      <c r="P28" s="1">
        <v>0</v>
      </c>
      <c r="Q28" s="1">
        <v>0</v>
      </c>
      <c r="R28" s="1">
        <v>0</v>
      </c>
      <c r="S28" s="1">
        <v>59</v>
      </c>
      <c r="T28" s="1">
        <v>17</v>
      </c>
    </row>
    <row r="29" spans="1:20" x14ac:dyDescent="0.25">
      <c r="A29" s="1" t="s">
        <v>55</v>
      </c>
      <c r="B29" s="1">
        <v>0</v>
      </c>
      <c r="C29" s="1">
        <v>0</v>
      </c>
      <c r="D29" s="1">
        <v>0</v>
      </c>
      <c r="E29" s="1">
        <v>0</v>
      </c>
      <c r="F29" s="1">
        <v>0</v>
      </c>
      <c r="G29" s="1">
        <v>0</v>
      </c>
      <c r="H29" s="1">
        <v>0</v>
      </c>
      <c r="I29" s="1">
        <v>0</v>
      </c>
      <c r="J29" s="1">
        <v>0</v>
      </c>
      <c r="K29" s="1">
        <v>0</v>
      </c>
      <c r="L29" s="1">
        <v>0</v>
      </c>
      <c r="M29" s="1">
        <v>0</v>
      </c>
      <c r="N29" s="1">
        <v>0</v>
      </c>
      <c r="O29" s="1">
        <v>0</v>
      </c>
      <c r="P29" s="1">
        <v>0</v>
      </c>
      <c r="Q29" s="1">
        <v>0</v>
      </c>
      <c r="R29" s="1">
        <v>0</v>
      </c>
      <c r="S29" s="1">
        <v>0</v>
      </c>
      <c r="T29" s="1">
        <v>0</v>
      </c>
    </row>
    <row r="30" spans="1:20" x14ac:dyDescent="0.25">
      <c r="A30" s="1" t="s">
        <v>54</v>
      </c>
      <c r="B30" s="1">
        <v>20576</v>
      </c>
      <c r="C30" s="1">
        <v>18103</v>
      </c>
      <c r="D30" s="1">
        <v>15227</v>
      </c>
      <c r="E30" s="1">
        <v>13227</v>
      </c>
      <c r="F30" s="1">
        <v>11827</v>
      </c>
      <c r="G30" s="1">
        <v>9708</v>
      </c>
      <c r="H30" s="1">
        <v>8190</v>
      </c>
      <c r="I30" s="1">
        <v>6536</v>
      </c>
      <c r="J30" s="1">
        <v>5097</v>
      </c>
      <c r="K30" s="1">
        <v>4768</v>
      </c>
      <c r="L30" s="1">
        <v>3118</v>
      </c>
      <c r="M30" s="1">
        <v>1823</v>
      </c>
      <c r="N30" s="1">
        <v>1159</v>
      </c>
      <c r="O30" s="1">
        <v>792</v>
      </c>
      <c r="P30" s="1">
        <v>0</v>
      </c>
      <c r="Q30" s="1">
        <v>0</v>
      </c>
      <c r="R30" s="1">
        <v>0</v>
      </c>
      <c r="S30" s="1">
        <v>0</v>
      </c>
      <c r="T30" s="1">
        <v>0</v>
      </c>
    </row>
    <row r="31" spans="1:20" x14ac:dyDescent="0.25">
      <c r="A31" s="1" t="s">
        <v>53</v>
      </c>
      <c r="B31" s="1">
        <v>75520</v>
      </c>
      <c r="C31" s="1">
        <v>66965</v>
      </c>
      <c r="D31" s="1">
        <v>64709</v>
      </c>
      <c r="E31" s="1">
        <v>62566</v>
      </c>
      <c r="F31" s="1">
        <v>51775</v>
      </c>
      <c r="G31" s="1">
        <v>44138</v>
      </c>
      <c r="H31" s="1">
        <v>32439</v>
      </c>
      <c r="I31" s="1">
        <v>23663</v>
      </c>
      <c r="J31" s="1">
        <v>18170</v>
      </c>
      <c r="K31" s="1">
        <v>13739</v>
      </c>
      <c r="L31" s="1">
        <v>10372</v>
      </c>
      <c r="M31" s="1">
        <v>9807</v>
      </c>
      <c r="N31" s="1">
        <v>6688</v>
      </c>
      <c r="O31" s="1">
        <v>4892</v>
      </c>
      <c r="P31" s="1">
        <v>3751</v>
      </c>
      <c r="Q31" s="1">
        <v>2321</v>
      </c>
      <c r="R31" s="1">
        <v>1759</v>
      </c>
      <c r="S31" s="1">
        <v>1093</v>
      </c>
      <c r="T31" s="1">
        <v>902</v>
      </c>
    </row>
    <row r="32" spans="1:20" x14ac:dyDescent="0.25">
      <c r="A32" s="6" t="s">
        <v>52</v>
      </c>
      <c r="B32" s="4">
        <v>218005</v>
      </c>
      <c r="C32" s="4">
        <v>179431</v>
      </c>
      <c r="D32" s="4">
        <v>164917</v>
      </c>
      <c r="E32" s="4">
        <v>155393</v>
      </c>
      <c r="F32" s="4">
        <v>142266</v>
      </c>
      <c r="G32" s="4">
        <v>126385</v>
      </c>
      <c r="H32" s="4">
        <v>87812</v>
      </c>
      <c r="I32" s="4">
        <v>68391</v>
      </c>
      <c r="J32" s="4">
        <v>57883</v>
      </c>
      <c r="K32" s="4">
        <v>43816</v>
      </c>
      <c r="L32" s="4">
        <v>33887</v>
      </c>
      <c r="M32" s="4">
        <v>28089</v>
      </c>
      <c r="N32" s="4">
        <v>22980</v>
      </c>
      <c r="O32" s="4">
        <v>19002</v>
      </c>
      <c r="P32" s="4">
        <v>14896</v>
      </c>
      <c r="Q32" s="4">
        <v>10372</v>
      </c>
      <c r="R32" s="4">
        <v>7364</v>
      </c>
      <c r="S32" s="4">
        <v>4746</v>
      </c>
      <c r="T32" s="4">
        <v>3714</v>
      </c>
    </row>
    <row r="34" spans="1:20" x14ac:dyDescent="0.25">
      <c r="A34" s="1" t="s">
        <v>51</v>
      </c>
      <c r="B34" s="1">
        <v>152987</v>
      </c>
      <c r="C34" s="1">
        <v>130900</v>
      </c>
      <c r="D34" s="1">
        <v>135611</v>
      </c>
      <c r="E34" s="1">
        <v>140118</v>
      </c>
      <c r="F34" s="1">
        <v>116395</v>
      </c>
      <c r="G34" s="1">
        <v>84389</v>
      </c>
      <c r="H34" s="1">
        <v>63205</v>
      </c>
      <c r="I34" s="1">
        <v>33145</v>
      </c>
      <c r="J34" s="1">
        <v>37926</v>
      </c>
      <c r="K34" s="1">
        <v>15213</v>
      </c>
      <c r="L34" s="1">
        <v>14175</v>
      </c>
      <c r="M34" s="1">
        <v>12489</v>
      </c>
      <c r="N34" s="1">
        <v>5181</v>
      </c>
      <c r="O34" s="1">
        <v>3830</v>
      </c>
      <c r="P34" s="1">
        <v>1415</v>
      </c>
      <c r="Q34" s="1">
        <v>641</v>
      </c>
      <c r="R34" s="1">
        <v>252</v>
      </c>
      <c r="S34" s="1">
        <v>533</v>
      </c>
      <c r="T34" s="1">
        <v>1344</v>
      </c>
    </row>
    <row r="35" spans="1:20" x14ac:dyDescent="0.25">
      <c r="A35" s="1" t="s">
        <v>50</v>
      </c>
      <c r="B35" s="1">
        <v>0</v>
      </c>
      <c r="C35" s="1">
        <v>0</v>
      </c>
      <c r="D35" s="1">
        <v>0</v>
      </c>
      <c r="E35" s="1">
        <v>0</v>
      </c>
      <c r="F35" s="1">
        <v>0</v>
      </c>
      <c r="G35" s="1">
        <v>0</v>
      </c>
      <c r="H35" s="1">
        <v>0</v>
      </c>
      <c r="I35" s="1">
        <v>0</v>
      </c>
      <c r="J35" s="1">
        <v>0</v>
      </c>
      <c r="K35" s="1">
        <v>0</v>
      </c>
      <c r="L35" s="1">
        <v>0</v>
      </c>
      <c r="M35" s="1">
        <v>0</v>
      </c>
      <c r="N35" s="1">
        <v>0</v>
      </c>
      <c r="O35" s="1">
        <v>0</v>
      </c>
      <c r="P35" s="1">
        <v>0</v>
      </c>
      <c r="Q35" s="1">
        <v>0</v>
      </c>
      <c r="R35" s="1">
        <v>0</v>
      </c>
      <c r="S35" s="1">
        <v>0</v>
      </c>
      <c r="T35" s="1">
        <v>0</v>
      </c>
    </row>
    <row r="36" spans="1:20" x14ac:dyDescent="0.25">
      <c r="A36" s="1" t="s">
        <v>49</v>
      </c>
      <c r="B36" s="1">
        <v>0</v>
      </c>
      <c r="C36" s="1">
        <v>0</v>
      </c>
      <c r="D36" s="1">
        <v>0</v>
      </c>
      <c r="E36" s="1">
        <v>0</v>
      </c>
      <c r="F36" s="1">
        <v>0</v>
      </c>
      <c r="G36" s="1">
        <v>0</v>
      </c>
      <c r="H36" s="1">
        <v>0</v>
      </c>
      <c r="I36" s="1">
        <v>2386</v>
      </c>
      <c r="J36" s="1">
        <v>1994</v>
      </c>
      <c r="K36" s="1">
        <v>1787</v>
      </c>
      <c r="L36" s="1">
        <v>1339</v>
      </c>
      <c r="M36" s="1">
        <v>1531</v>
      </c>
      <c r="N36" s="1">
        <v>1028</v>
      </c>
      <c r="O36" s="1">
        <v>812</v>
      </c>
      <c r="P36" s="1">
        <v>266</v>
      </c>
      <c r="Q36" s="1">
        <v>243</v>
      </c>
      <c r="R36" s="1">
        <v>202</v>
      </c>
      <c r="S36" s="1">
        <v>268</v>
      </c>
      <c r="T36" s="1">
        <v>98</v>
      </c>
    </row>
    <row r="37" spans="1:20" x14ac:dyDescent="0.25">
      <c r="A37" s="1" t="s">
        <v>48</v>
      </c>
      <c r="B37" s="1">
        <v>35985</v>
      </c>
      <c r="C37" s="1">
        <v>28593</v>
      </c>
      <c r="D37" s="1">
        <v>25451</v>
      </c>
      <c r="E37" s="1">
        <v>21121</v>
      </c>
      <c r="F37" s="1">
        <v>23643</v>
      </c>
      <c r="G37" s="1">
        <v>17017</v>
      </c>
      <c r="H37" s="1">
        <v>12171</v>
      </c>
      <c r="I37" s="1">
        <v>15177</v>
      </c>
      <c r="J37" s="1">
        <v>5798</v>
      </c>
      <c r="K37" s="1">
        <v>3301</v>
      </c>
      <c r="L37" s="1">
        <v>1962</v>
      </c>
      <c r="M37" s="1">
        <v>1655</v>
      </c>
      <c r="N37" s="1">
        <v>1224</v>
      </c>
      <c r="O37" s="1">
        <v>719</v>
      </c>
      <c r="P37" s="1">
        <v>944</v>
      </c>
      <c r="Q37" s="1">
        <v>677</v>
      </c>
      <c r="R37" s="1">
        <v>738</v>
      </c>
      <c r="S37" s="1">
        <v>95</v>
      </c>
      <c r="T37" s="1">
        <v>132</v>
      </c>
    </row>
    <row r="38" spans="1:20" x14ac:dyDescent="0.25">
      <c r="A38" s="6" t="s">
        <v>47</v>
      </c>
      <c r="B38" s="4">
        <v>188972</v>
      </c>
      <c r="C38" s="4">
        <v>159493</v>
      </c>
      <c r="D38" s="4">
        <v>161062</v>
      </c>
      <c r="E38" s="4">
        <v>161239</v>
      </c>
      <c r="F38" s="4">
        <v>140038</v>
      </c>
      <c r="G38" s="4">
        <v>101406</v>
      </c>
      <c r="H38" s="4">
        <v>75376</v>
      </c>
      <c r="I38" s="4">
        <v>50708</v>
      </c>
      <c r="J38" s="4">
        <v>45718</v>
      </c>
      <c r="K38" s="4">
        <v>20301</v>
      </c>
      <c r="L38" s="4">
        <v>17476</v>
      </c>
      <c r="M38" s="4">
        <v>15675</v>
      </c>
      <c r="N38" s="4">
        <v>7433</v>
      </c>
      <c r="O38" s="4">
        <v>5361</v>
      </c>
      <c r="P38" s="4">
        <v>2625</v>
      </c>
      <c r="Q38" s="4">
        <v>1561</v>
      </c>
      <c r="R38" s="4">
        <v>1192</v>
      </c>
      <c r="S38" s="4">
        <v>896</v>
      </c>
      <c r="T38" s="4">
        <v>1574</v>
      </c>
    </row>
    <row r="40" spans="1:20" x14ac:dyDescent="0.25">
      <c r="A40" s="1" t="s">
        <v>46</v>
      </c>
      <c r="B40" s="1">
        <v>0</v>
      </c>
      <c r="C40" s="1">
        <v>0</v>
      </c>
      <c r="D40" s="1">
        <v>0</v>
      </c>
      <c r="E40" s="1">
        <v>0</v>
      </c>
      <c r="F40" s="1">
        <v>0</v>
      </c>
      <c r="G40" s="1">
        <v>0</v>
      </c>
      <c r="H40" s="1">
        <v>0</v>
      </c>
      <c r="I40" s="1">
        <v>0</v>
      </c>
      <c r="J40" s="1">
        <v>0</v>
      </c>
      <c r="K40" s="1">
        <v>0</v>
      </c>
      <c r="L40" s="1">
        <v>0</v>
      </c>
      <c r="M40" s="1">
        <v>0</v>
      </c>
      <c r="N40" s="1">
        <v>0</v>
      </c>
      <c r="O40" s="1">
        <v>0</v>
      </c>
      <c r="P40" s="1">
        <v>0</v>
      </c>
      <c r="Q40" s="1">
        <v>0</v>
      </c>
      <c r="R40" s="1">
        <v>0</v>
      </c>
      <c r="S40" s="1">
        <v>0</v>
      </c>
      <c r="T40" s="1">
        <v>0</v>
      </c>
    </row>
    <row r="41" spans="1:20" x14ac:dyDescent="0.25">
      <c r="A41" s="6" t="s">
        <v>45</v>
      </c>
      <c r="B41" s="5">
        <v>406977</v>
      </c>
      <c r="C41" s="5">
        <v>338924</v>
      </c>
      <c r="D41" s="5">
        <v>325979</v>
      </c>
      <c r="E41" s="5">
        <v>316632</v>
      </c>
      <c r="F41" s="5">
        <v>282304</v>
      </c>
      <c r="G41" s="5">
        <v>227791</v>
      </c>
      <c r="H41" s="5">
        <v>163188</v>
      </c>
      <c r="I41" s="5">
        <v>119099</v>
      </c>
      <c r="J41" s="5">
        <v>103601</v>
      </c>
      <c r="K41" s="5">
        <v>64117</v>
      </c>
      <c r="L41" s="5">
        <v>51363</v>
      </c>
      <c r="M41" s="5">
        <v>43764</v>
      </c>
      <c r="N41" s="5">
        <v>30413</v>
      </c>
      <c r="O41" s="5">
        <v>24363</v>
      </c>
      <c r="P41" s="5">
        <v>17521</v>
      </c>
      <c r="Q41" s="5">
        <v>11933</v>
      </c>
      <c r="R41" s="5">
        <v>8556</v>
      </c>
      <c r="S41" s="5">
        <v>5642</v>
      </c>
      <c r="T41" s="5">
        <v>5288</v>
      </c>
    </row>
    <row r="43" spans="1:20" x14ac:dyDescent="0.25">
      <c r="A43" s="1" t="s">
        <v>44</v>
      </c>
      <c r="B43" s="1">
        <v>112</v>
      </c>
      <c r="C43" s="1">
        <v>111</v>
      </c>
      <c r="D43" s="1">
        <v>109</v>
      </c>
      <c r="E43" s="1">
        <v>108</v>
      </c>
      <c r="F43" s="1">
        <v>106</v>
      </c>
      <c r="G43" s="1">
        <v>5</v>
      </c>
      <c r="H43" s="1">
        <v>5</v>
      </c>
      <c r="I43" s="1">
        <v>5</v>
      </c>
      <c r="J43" s="1">
        <v>5</v>
      </c>
      <c r="K43" s="1">
        <v>5</v>
      </c>
      <c r="L43" s="1">
        <v>5</v>
      </c>
      <c r="M43" s="1">
        <v>5</v>
      </c>
      <c r="N43" s="1">
        <v>5</v>
      </c>
      <c r="O43" s="1">
        <v>5</v>
      </c>
      <c r="P43" s="1">
        <v>5</v>
      </c>
      <c r="Q43" s="1">
        <v>5</v>
      </c>
      <c r="R43" s="1">
        <v>5</v>
      </c>
      <c r="S43" s="1">
        <v>4</v>
      </c>
      <c r="T43" s="1">
        <v>4</v>
      </c>
    </row>
    <row r="44" spans="1:20" x14ac:dyDescent="0.25">
      <c r="A44" s="1" t="s">
        <v>43</v>
      </c>
      <c r="B44" s="1">
        <v>250536</v>
      </c>
      <c r="C44" s="1">
        <v>172866</v>
      </c>
      <c r="D44" s="1">
        <v>113618</v>
      </c>
      <c r="E44" s="1">
        <v>83193</v>
      </c>
      <c r="F44" s="1">
        <v>85915</v>
      </c>
      <c r="G44" s="1">
        <v>52551</v>
      </c>
      <c r="H44" s="1">
        <v>31220</v>
      </c>
      <c r="I44" s="1">
        <v>19625</v>
      </c>
      <c r="J44" s="1">
        <v>8636</v>
      </c>
      <c r="K44" s="1">
        <v>4916</v>
      </c>
      <c r="L44" s="1">
        <v>2545</v>
      </c>
      <c r="M44" s="1">
        <v>1949</v>
      </c>
      <c r="N44" s="1">
        <v>2190</v>
      </c>
      <c r="O44" s="1">
        <v>1916</v>
      </c>
      <c r="P44" s="1">
        <v>1955</v>
      </c>
      <c r="Q44" s="1">
        <v>1324</v>
      </c>
      <c r="R44" s="1">
        <v>172</v>
      </c>
      <c r="S44" s="1">
        <v>-730</v>
      </c>
      <c r="T44" s="1">
        <v>-1375</v>
      </c>
    </row>
    <row r="45" spans="1:20" x14ac:dyDescent="0.25">
      <c r="A45" s="1" t="s">
        <v>42</v>
      </c>
      <c r="B45" s="1">
        <v>28230</v>
      </c>
      <c r="C45" s="1">
        <v>-34</v>
      </c>
      <c r="D45" s="1">
        <v>-3040</v>
      </c>
      <c r="E45" s="1">
        <v>-4487</v>
      </c>
      <c r="F45" s="1">
        <v>-1376</v>
      </c>
      <c r="G45" s="1">
        <v>-180</v>
      </c>
      <c r="H45" s="1">
        <v>-986</v>
      </c>
      <c r="I45" s="1">
        <v>-1035</v>
      </c>
      <c r="J45" s="1">
        <v>-484</v>
      </c>
      <c r="K45" s="1">
        <v>-985</v>
      </c>
      <c r="L45" s="1">
        <v>-723</v>
      </c>
      <c r="M45" s="1">
        <v>-511</v>
      </c>
      <c r="N45" s="1">
        <v>-185</v>
      </c>
      <c r="O45" s="1">
        <v>-239</v>
      </c>
      <c r="P45" s="1">
        <v>-316</v>
      </c>
      <c r="Q45" s="1">
        <v>-190</v>
      </c>
      <c r="R45" s="1">
        <v>-56</v>
      </c>
      <c r="S45" s="1">
        <v>-123</v>
      </c>
      <c r="T45" s="1">
        <v>5</v>
      </c>
    </row>
    <row r="46" spans="1:20" x14ac:dyDescent="0.25">
      <c r="A46" s="1" t="s">
        <v>41</v>
      </c>
      <c r="B46" s="1">
        <v>132187</v>
      </c>
      <c r="C46" s="1">
        <v>113027</v>
      </c>
      <c r="D46" s="1">
        <v>91188</v>
      </c>
      <c r="E46" s="1">
        <v>67229</v>
      </c>
      <c r="F46" s="1">
        <v>53600</v>
      </c>
      <c r="G46" s="1">
        <v>41028</v>
      </c>
      <c r="H46" s="1">
        <v>31821</v>
      </c>
      <c r="I46" s="1">
        <v>24954</v>
      </c>
      <c r="J46" s="1">
        <v>19552</v>
      </c>
      <c r="K46" s="1">
        <v>15349</v>
      </c>
      <c r="L46" s="1">
        <v>11557</v>
      </c>
      <c r="M46" s="1">
        <v>9298</v>
      </c>
      <c r="N46" s="1">
        <v>7736</v>
      </c>
      <c r="O46" s="1">
        <v>6510</v>
      </c>
      <c r="P46" s="1">
        <v>6113</v>
      </c>
      <c r="Q46" s="1">
        <v>5725</v>
      </c>
      <c r="R46" s="1">
        <v>5136</v>
      </c>
      <c r="S46" s="1">
        <v>3521</v>
      </c>
      <c r="T46" s="1">
        <v>2563</v>
      </c>
    </row>
    <row r="47" spans="1:20" x14ac:dyDescent="0.25">
      <c r="A47" s="6" t="s">
        <v>40</v>
      </c>
      <c r="B47" s="5">
        <v>411065</v>
      </c>
      <c r="C47" s="5">
        <v>285970</v>
      </c>
      <c r="D47" s="5">
        <v>201875</v>
      </c>
      <c r="E47" s="5">
        <v>146043</v>
      </c>
      <c r="F47" s="5">
        <v>138245</v>
      </c>
      <c r="G47" s="5">
        <v>93404</v>
      </c>
      <c r="H47" s="5">
        <v>62060</v>
      </c>
      <c r="I47" s="5">
        <v>43549</v>
      </c>
      <c r="J47" s="5">
        <v>27709</v>
      </c>
      <c r="K47" s="5">
        <v>19285</v>
      </c>
      <c r="L47" s="5">
        <v>13384</v>
      </c>
      <c r="M47" s="5">
        <v>10741</v>
      </c>
      <c r="N47" s="5">
        <v>9746</v>
      </c>
      <c r="O47" s="5">
        <v>8192</v>
      </c>
      <c r="P47" s="5">
        <v>7757</v>
      </c>
      <c r="Q47" s="5">
        <v>6864</v>
      </c>
      <c r="R47" s="5">
        <v>5257</v>
      </c>
      <c r="S47" s="5">
        <v>2672</v>
      </c>
      <c r="T47" s="5">
        <v>1197</v>
      </c>
    </row>
    <row r="49" spans="1:20" x14ac:dyDescent="0.25">
      <c r="A49" s="1" t="s">
        <v>39</v>
      </c>
      <c r="B49" s="1">
        <v>818042</v>
      </c>
      <c r="C49" s="1">
        <v>624894</v>
      </c>
      <c r="D49" s="1">
        <v>527854</v>
      </c>
      <c r="E49" s="1">
        <v>462675</v>
      </c>
      <c r="F49" s="1">
        <v>420549</v>
      </c>
      <c r="G49" s="1">
        <v>321195</v>
      </c>
      <c r="H49" s="1">
        <v>225248</v>
      </c>
      <c r="I49" s="1">
        <v>162648</v>
      </c>
      <c r="J49" s="1">
        <v>131310</v>
      </c>
      <c r="K49" s="1">
        <v>83402</v>
      </c>
      <c r="L49" s="1">
        <v>64747</v>
      </c>
      <c r="M49" s="1">
        <v>54505</v>
      </c>
      <c r="N49" s="1">
        <v>40159</v>
      </c>
      <c r="O49" s="1">
        <v>32555</v>
      </c>
      <c r="P49" s="1">
        <v>25278</v>
      </c>
      <c r="Q49" s="1">
        <v>18797</v>
      </c>
      <c r="R49" s="1">
        <v>13813</v>
      </c>
      <c r="S49" s="1">
        <v>8314</v>
      </c>
      <c r="T49" s="1">
        <v>6485</v>
      </c>
    </row>
    <row r="50" spans="1:20" x14ac:dyDescent="0.25">
      <c r="A50" s="1" t="s">
        <v>38</v>
      </c>
      <c r="B50" s="1">
        <v>36219</v>
      </c>
      <c r="C50" s="1">
        <v>22423</v>
      </c>
      <c r="D50" s="1">
        <v>13393</v>
      </c>
      <c r="E50" s="1">
        <v>16138</v>
      </c>
      <c r="F50" s="1">
        <v>59829</v>
      </c>
      <c r="G50" s="1">
        <v>42274</v>
      </c>
      <c r="H50" s="1">
        <v>18929</v>
      </c>
      <c r="I50" s="1">
        <v>9500</v>
      </c>
      <c r="J50" s="1">
        <v>10464</v>
      </c>
      <c r="K50" s="1">
        <v>6647</v>
      </c>
      <c r="L50" s="1">
        <v>3918</v>
      </c>
      <c r="M50" s="1">
        <v>2859</v>
      </c>
      <c r="N50" s="1">
        <v>3789</v>
      </c>
      <c r="O50" s="1">
        <v>3364</v>
      </c>
      <c r="P50" s="1">
        <v>4307</v>
      </c>
      <c r="Q50" s="1">
        <v>4985</v>
      </c>
      <c r="R50" s="1">
        <v>2922</v>
      </c>
      <c r="S50" s="1">
        <v>958</v>
      </c>
      <c r="T50" s="1">
        <v>573</v>
      </c>
    </row>
    <row r="51" spans="1:20" x14ac:dyDescent="0.25">
      <c r="A51" s="1" t="s">
        <v>37</v>
      </c>
      <c r="B51" s="1">
        <v>152987</v>
      </c>
      <c r="C51" s="1">
        <v>130900</v>
      </c>
      <c r="D51" s="1">
        <v>135611</v>
      </c>
      <c r="E51" s="1">
        <v>140118</v>
      </c>
      <c r="F51" s="1">
        <v>116395</v>
      </c>
      <c r="G51" s="1">
        <v>84389</v>
      </c>
      <c r="H51" s="1">
        <v>63205</v>
      </c>
      <c r="I51" s="1">
        <v>33145</v>
      </c>
      <c r="J51" s="1">
        <v>37926</v>
      </c>
      <c r="K51" s="1">
        <v>15213</v>
      </c>
      <c r="L51" s="1">
        <v>14175</v>
      </c>
      <c r="M51" s="1">
        <v>12489</v>
      </c>
      <c r="N51" s="1">
        <v>5181</v>
      </c>
      <c r="O51" s="1">
        <v>3830</v>
      </c>
      <c r="P51" s="1">
        <v>1415</v>
      </c>
      <c r="Q51" s="1">
        <v>641</v>
      </c>
      <c r="R51" s="1">
        <v>252</v>
      </c>
      <c r="S51" s="1">
        <v>592</v>
      </c>
      <c r="T51" s="1">
        <v>1361</v>
      </c>
    </row>
    <row r="52" spans="1:20" x14ac:dyDescent="0.25">
      <c r="A52" s="1" t="s">
        <v>36</v>
      </c>
      <c r="B52" s="1">
        <v>66177</v>
      </c>
      <c r="C52" s="1">
        <v>52121</v>
      </c>
      <c r="D52" s="1">
        <v>62224</v>
      </c>
      <c r="E52" s="1">
        <v>86230</v>
      </c>
      <c r="F52" s="1">
        <v>80175</v>
      </c>
      <c r="G52" s="1">
        <v>42267</v>
      </c>
      <c r="H52" s="1">
        <v>27113</v>
      </c>
      <c r="I52" s="1">
        <v>1395</v>
      </c>
      <c r="J52" s="1">
        <v>17404</v>
      </c>
      <c r="K52" s="1">
        <v>-4121</v>
      </c>
      <c r="L52" s="1">
        <v>-1715</v>
      </c>
      <c r="M52" s="1">
        <v>-2068</v>
      </c>
      <c r="N52" s="1">
        <v>-3477</v>
      </c>
      <c r="O52" s="1">
        <v>-4254</v>
      </c>
      <c r="P52" s="1">
        <v>-3854</v>
      </c>
      <c r="Q52" s="1">
        <v>-3136</v>
      </c>
      <c r="R52" s="1">
        <v>-3192</v>
      </c>
      <c r="S52" s="1">
        <v>-2177</v>
      </c>
      <c r="T52" s="1">
        <v>-1178</v>
      </c>
    </row>
  </sheetData>
  <mergeCells count="1">
    <mergeCell ref="B4:T4"/>
  </mergeCells>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8549AA-4965-4B84-8516-D11E723374FA}">
  <sheetPr>
    <tabColor rgb="FFC6E0B4"/>
  </sheetPr>
  <dimension ref="A1:T39"/>
  <sheetViews>
    <sheetView workbookViewId="0"/>
  </sheetViews>
  <sheetFormatPr defaultRowHeight="15" x14ac:dyDescent="0.25"/>
  <cols>
    <col min="1" max="1" width="44.28515625" bestFit="1" customWidth="1"/>
    <col min="2" max="2" width="19" bestFit="1" customWidth="1"/>
    <col min="3" max="3" width="18.28515625" bestFit="1" customWidth="1"/>
    <col min="4" max="11" width="18" bestFit="1" customWidth="1"/>
    <col min="12" max="13" width="17.28515625" bestFit="1" customWidth="1"/>
    <col min="14" max="19" width="16.85546875" bestFit="1" customWidth="1"/>
    <col min="20" max="20" width="16.140625" bestFit="1" customWidth="1"/>
  </cols>
  <sheetData>
    <row r="1" spans="1:20" x14ac:dyDescent="0.25">
      <c r="A1" s="10" t="s">
        <v>75</v>
      </c>
      <c r="B1" s="10"/>
      <c r="C1" s="10"/>
      <c r="D1" s="10"/>
      <c r="E1" s="10"/>
      <c r="F1" s="10"/>
      <c r="G1" s="10"/>
      <c r="H1" s="10"/>
      <c r="I1" s="10"/>
      <c r="J1" s="10"/>
      <c r="K1" s="10"/>
      <c r="L1" s="10"/>
      <c r="M1" s="10"/>
      <c r="N1" s="10"/>
      <c r="O1" s="10"/>
      <c r="P1" s="10"/>
      <c r="Q1" s="10"/>
      <c r="R1" s="10"/>
      <c r="S1" s="10"/>
      <c r="T1" s="10"/>
    </row>
    <row r="2" spans="1:20" x14ac:dyDescent="0.25">
      <c r="A2" t="s">
        <v>1</v>
      </c>
      <c r="B2" t="s">
        <v>196</v>
      </c>
    </row>
    <row r="3" spans="1:20" x14ac:dyDescent="0.25">
      <c r="A3" t="s">
        <v>3</v>
      </c>
      <c r="B3" t="str">
        <f>'AMZN - Income Statement FY'!B3</f>
        <v>USD</v>
      </c>
    </row>
    <row r="4" spans="1:20" x14ac:dyDescent="0.25">
      <c r="A4" t="s">
        <v>32</v>
      </c>
      <c r="B4" s="236" t="s">
        <v>33</v>
      </c>
      <c r="C4" s="236"/>
      <c r="D4" s="236"/>
      <c r="E4" s="236"/>
      <c r="F4" s="236"/>
      <c r="G4" s="236"/>
      <c r="H4" s="236"/>
      <c r="I4" s="236"/>
      <c r="J4" s="236"/>
      <c r="K4" s="236"/>
      <c r="L4" s="236"/>
      <c r="M4" s="236"/>
      <c r="N4" s="236"/>
      <c r="O4" s="236"/>
      <c r="P4" s="236"/>
      <c r="Q4" s="236"/>
      <c r="R4" s="236"/>
      <c r="S4" s="236"/>
      <c r="T4" s="236"/>
    </row>
    <row r="5" spans="1:20" x14ac:dyDescent="0.25">
      <c r="A5" t="s">
        <v>34</v>
      </c>
      <c r="B5" s="8">
        <v>46022</v>
      </c>
      <c r="C5" s="8">
        <v>45657</v>
      </c>
      <c r="D5" s="8">
        <v>45291</v>
      </c>
      <c r="E5" s="8">
        <v>44926</v>
      </c>
      <c r="F5" s="8">
        <v>44561</v>
      </c>
      <c r="G5" s="8">
        <v>44196</v>
      </c>
      <c r="H5" s="8">
        <v>43830</v>
      </c>
      <c r="I5" s="8">
        <v>43465</v>
      </c>
      <c r="J5" s="8">
        <v>43100</v>
      </c>
      <c r="K5" s="8">
        <v>42735</v>
      </c>
      <c r="L5" s="8">
        <v>42369</v>
      </c>
      <c r="M5" s="8">
        <v>42004</v>
      </c>
      <c r="N5" s="8">
        <v>41639</v>
      </c>
      <c r="O5" s="8">
        <v>41274</v>
      </c>
      <c r="P5" s="8">
        <v>40908</v>
      </c>
      <c r="Q5" s="8">
        <v>40543</v>
      </c>
      <c r="R5" s="8">
        <v>40178</v>
      </c>
      <c r="S5" s="8">
        <v>39813</v>
      </c>
      <c r="T5" s="8">
        <v>39447</v>
      </c>
    </row>
    <row r="7" spans="1:20" x14ac:dyDescent="0.25">
      <c r="A7" s="6" t="s">
        <v>10</v>
      </c>
      <c r="B7" s="5">
        <v>77670</v>
      </c>
      <c r="C7" s="5">
        <v>59248</v>
      </c>
      <c r="D7" s="5">
        <v>30425</v>
      </c>
      <c r="E7" s="5">
        <v>-2722</v>
      </c>
      <c r="F7" s="5">
        <v>33364</v>
      </c>
      <c r="G7" s="5">
        <v>21331</v>
      </c>
      <c r="H7" s="5">
        <v>11588</v>
      </c>
      <c r="I7" s="5">
        <v>10073</v>
      </c>
      <c r="J7" s="5">
        <v>3033</v>
      </c>
      <c r="K7" s="5">
        <v>2371</v>
      </c>
      <c r="L7" s="5">
        <v>596</v>
      </c>
      <c r="M7" s="5">
        <v>-241</v>
      </c>
      <c r="N7" s="5">
        <v>274</v>
      </c>
      <c r="O7" s="5">
        <v>-39</v>
      </c>
      <c r="P7" s="5">
        <v>631</v>
      </c>
      <c r="Q7" s="5">
        <v>1152</v>
      </c>
      <c r="R7" s="5">
        <v>902</v>
      </c>
      <c r="S7" s="5">
        <v>645</v>
      </c>
      <c r="T7" s="5">
        <v>476</v>
      </c>
    </row>
    <row r="8" spans="1:20" x14ac:dyDescent="0.25">
      <c r="A8" s="1" t="s">
        <v>19</v>
      </c>
      <c r="B8" s="1">
        <v>65756</v>
      </c>
      <c r="C8" s="1">
        <v>52795</v>
      </c>
      <c r="D8" s="1">
        <v>48663</v>
      </c>
      <c r="E8" s="1">
        <v>41921</v>
      </c>
      <c r="F8" s="1">
        <v>34296</v>
      </c>
      <c r="G8" s="1">
        <v>25251</v>
      </c>
      <c r="H8" s="1">
        <v>21789</v>
      </c>
      <c r="I8" s="1">
        <v>15341</v>
      </c>
      <c r="J8" s="1">
        <v>11478</v>
      </c>
      <c r="K8" s="1">
        <v>8116</v>
      </c>
      <c r="L8" s="1">
        <v>6281</v>
      </c>
      <c r="M8" s="1">
        <v>4746</v>
      </c>
      <c r="N8" s="1">
        <v>3253</v>
      </c>
      <c r="O8" s="1">
        <v>2159</v>
      </c>
      <c r="P8" s="1">
        <v>1083</v>
      </c>
      <c r="Q8" s="1">
        <v>568</v>
      </c>
      <c r="R8" s="1">
        <v>378</v>
      </c>
      <c r="S8" s="1">
        <v>287</v>
      </c>
      <c r="T8" s="1">
        <v>246</v>
      </c>
    </row>
    <row r="9" spans="1:20" x14ac:dyDescent="0.25">
      <c r="A9" s="1" t="s">
        <v>102</v>
      </c>
      <c r="B9" s="1">
        <v>11470</v>
      </c>
      <c r="C9" s="1">
        <v>-4648</v>
      </c>
      <c r="D9" s="1">
        <v>-5876</v>
      </c>
      <c r="E9" s="1">
        <v>-8148</v>
      </c>
      <c r="F9" s="1">
        <v>-310</v>
      </c>
      <c r="G9" s="1">
        <v>-554</v>
      </c>
      <c r="H9" s="1">
        <v>796</v>
      </c>
      <c r="I9" s="1">
        <v>441</v>
      </c>
      <c r="J9" s="1">
        <v>-29</v>
      </c>
      <c r="K9" s="1">
        <v>-246</v>
      </c>
      <c r="L9" s="1">
        <v>81</v>
      </c>
      <c r="M9" s="1">
        <v>-316</v>
      </c>
      <c r="N9" s="1">
        <v>-156</v>
      </c>
      <c r="O9" s="1">
        <v>-265</v>
      </c>
      <c r="P9" s="1">
        <v>136</v>
      </c>
      <c r="Q9" s="1">
        <v>4</v>
      </c>
      <c r="R9" s="1">
        <v>81</v>
      </c>
      <c r="S9" s="1">
        <v>-5</v>
      </c>
      <c r="T9" s="1">
        <v>-99</v>
      </c>
    </row>
    <row r="10" spans="1:20" x14ac:dyDescent="0.25">
      <c r="A10" s="1" t="s">
        <v>101</v>
      </c>
      <c r="B10" s="1">
        <v>19467</v>
      </c>
      <c r="C10" s="1">
        <v>22011</v>
      </c>
      <c r="D10" s="1">
        <v>24023</v>
      </c>
      <c r="E10" s="1">
        <v>19621</v>
      </c>
      <c r="F10" s="1">
        <v>12757</v>
      </c>
      <c r="G10" s="1">
        <v>9208</v>
      </c>
      <c r="H10" s="1">
        <v>6864</v>
      </c>
      <c r="I10" s="1">
        <v>5418</v>
      </c>
      <c r="J10" s="1">
        <v>4215</v>
      </c>
      <c r="K10" s="1">
        <v>2975</v>
      </c>
      <c r="L10" s="1">
        <v>2119</v>
      </c>
      <c r="M10" s="1">
        <v>1497</v>
      </c>
      <c r="N10" s="1">
        <v>1134</v>
      </c>
      <c r="O10" s="1">
        <v>833</v>
      </c>
      <c r="P10" s="1">
        <v>557</v>
      </c>
      <c r="Q10" s="1">
        <v>424</v>
      </c>
      <c r="R10" s="1">
        <v>341</v>
      </c>
      <c r="S10" s="1">
        <v>275</v>
      </c>
      <c r="T10" s="1">
        <v>185</v>
      </c>
    </row>
    <row r="11" spans="1:20" x14ac:dyDescent="0.25">
      <c r="A11" s="1" t="s">
        <v>100</v>
      </c>
      <c r="B11" s="1">
        <v>-19969</v>
      </c>
      <c r="C11" s="1">
        <v>-15541</v>
      </c>
      <c r="D11" s="1">
        <v>-11541</v>
      </c>
      <c r="E11" s="1">
        <v>-20886</v>
      </c>
      <c r="F11" s="1">
        <v>-19611</v>
      </c>
      <c r="G11" s="1">
        <v>13481</v>
      </c>
      <c r="H11" s="1">
        <v>-2438</v>
      </c>
      <c r="I11" s="1">
        <v>-1043</v>
      </c>
      <c r="J11" s="1">
        <v>-242</v>
      </c>
      <c r="K11" s="1">
        <v>3847</v>
      </c>
      <c r="L11" s="1">
        <v>2557</v>
      </c>
      <c r="M11" s="1">
        <v>4666</v>
      </c>
      <c r="N11" s="1">
        <v>3059</v>
      </c>
      <c r="O11" s="1">
        <v>3044</v>
      </c>
      <c r="P11" s="1">
        <v>2485</v>
      </c>
      <c r="Q11" s="1">
        <v>2486</v>
      </c>
      <c r="R11" s="1">
        <v>2201</v>
      </c>
      <c r="S11" s="1">
        <v>1058</v>
      </c>
      <c r="T11" s="1">
        <v>1043</v>
      </c>
    </row>
    <row r="12" spans="1:20" x14ac:dyDescent="0.25">
      <c r="A12" s="1" t="s">
        <v>99</v>
      </c>
      <c r="B12" s="1">
        <v>-7333</v>
      </c>
      <c r="C12" s="1">
        <v>-3249</v>
      </c>
      <c r="D12" s="1">
        <v>-8348</v>
      </c>
      <c r="E12" s="1">
        <v>-8622</v>
      </c>
      <c r="F12" s="1">
        <v>-9145</v>
      </c>
      <c r="G12" s="1">
        <v>-8169</v>
      </c>
      <c r="H12" s="1">
        <v>-7681</v>
      </c>
      <c r="I12" s="1">
        <v>-4615</v>
      </c>
      <c r="J12" s="1">
        <v>-4780</v>
      </c>
      <c r="K12" s="1">
        <v>-3436</v>
      </c>
      <c r="L12" s="1">
        <v>-1755</v>
      </c>
      <c r="M12" s="1">
        <v>-1039</v>
      </c>
      <c r="N12" s="1">
        <v>-846</v>
      </c>
      <c r="O12" s="1">
        <v>-861</v>
      </c>
      <c r="P12" s="1">
        <v>-866</v>
      </c>
      <c r="Q12" s="1">
        <v>-295</v>
      </c>
      <c r="R12" s="1">
        <v>-481</v>
      </c>
      <c r="S12" s="1">
        <v>-218</v>
      </c>
      <c r="T12" s="1">
        <v>-255</v>
      </c>
    </row>
    <row r="13" spans="1:20" x14ac:dyDescent="0.25">
      <c r="A13" s="1" t="s">
        <v>70</v>
      </c>
      <c r="B13" s="1">
        <v>-3002</v>
      </c>
      <c r="C13" s="1">
        <v>-1884</v>
      </c>
      <c r="D13" s="1">
        <v>1449</v>
      </c>
      <c r="E13" s="1">
        <v>-2592</v>
      </c>
      <c r="F13" s="1">
        <v>-9487</v>
      </c>
      <c r="G13" s="1">
        <v>-2849</v>
      </c>
      <c r="H13" s="1">
        <v>-3278</v>
      </c>
      <c r="I13" s="1">
        <v>-1314</v>
      </c>
      <c r="J13" s="1">
        <v>-3583</v>
      </c>
      <c r="K13" s="1">
        <v>-1426</v>
      </c>
      <c r="L13" s="1">
        <v>-2187</v>
      </c>
      <c r="M13" s="1">
        <v>-1193</v>
      </c>
      <c r="N13" s="1">
        <v>-1410</v>
      </c>
      <c r="O13" s="1">
        <v>-999</v>
      </c>
      <c r="P13" s="1">
        <v>-1777</v>
      </c>
      <c r="Q13" s="1">
        <v>-1019</v>
      </c>
      <c r="R13" s="1">
        <v>-531</v>
      </c>
      <c r="S13" s="1">
        <v>-232</v>
      </c>
      <c r="T13" s="1">
        <v>-303</v>
      </c>
    </row>
    <row r="14" spans="1:20" x14ac:dyDescent="0.25">
      <c r="A14" s="1" t="s">
        <v>98</v>
      </c>
      <c r="B14" s="1">
        <v>11231</v>
      </c>
      <c r="C14" s="1">
        <v>2972</v>
      </c>
      <c r="D14" s="1">
        <v>5473</v>
      </c>
      <c r="E14" s="1">
        <v>2945</v>
      </c>
      <c r="F14" s="1">
        <v>3602</v>
      </c>
      <c r="G14" s="1">
        <v>17480</v>
      </c>
      <c r="H14" s="1">
        <v>8193</v>
      </c>
      <c r="I14" s="1">
        <v>3263</v>
      </c>
      <c r="J14" s="1">
        <v>7100</v>
      </c>
      <c r="K14" s="1">
        <v>5030</v>
      </c>
      <c r="L14" s="1">
        <v>4294</v>
      </c>
      <c r="M14" s="1">
        <v>1759</v>
      </c>
      <c r="N14" s="1">
        <v>1888</v>
      </c>
      <c r="O14" s="1">
        <v>2070</v>
      </c>
      <c r="P14" s="1">
        <v>2997</v>
      </c>
      <c r="Q14" s="1">
        <v>2373</v>
      </c>
      <c r="R14" s="1">
        <v>1859</v>
      </c>
      <c r="S14" s="1">
        <v>812</v>
      </c>
      <c r="T14" s="1">
        <v>928</v>
      </c>
    </row>
    <row r="15" spans="1:20" x14ac:dyDescent="0.25">
      <c r="A15" s="1" t="s">
        <v>97</v>
      </c>
      <c r="B15" s="1">
        <v>-20865</v>
      </c>
      <c r="C15" s="1">
        <v>-13380</v>
      </c>
      <c r="D15" s="1">
        <v>-10115</v>
      </c>
      <c r="E15" s="1">
        <v>-12617</v>
      </c>
      <c r="F15" s="1">
        <v>-4581</v>
      </c>
      <c r="G15" s="1">
        <v>7019</v>
      </c>
      <c r="H15" s="1">
        <v>328</v>
      </c>
      <c r="I15" s="1">
        <v>1623</v>
      </c>
      <c r="J15" s="1">
        <v>1021</v>
      </c>
      <c r="K15" s="1">
        <v>3679</v>
      </c>
      <c r="L15" s="1">
        <v>2205</v>
      </c>
      <c r="M15" s="1">
        <v>5139</v>
      </c>
      <c r="N15" s="1">
        <v>3427</v>
      </c>
      <c r="O15" s="1">
        <v>2834</v>
      </c>
      <c r="P15" s="1">
        <v>2131</v>
      </c>
      <c r="Q15" s="1">
        <v>1427</v>
      </c>
      <c r="R15" s="1">
        <v>1354</v>
      </c>
      <c r="S15" s="1">
        <v>696</v>
      </c>
      <c r="T15" s="1">
        <v>673</v>
      </c>
    </row>
    <row r="16" spans="1:20" x14ac:dyDescent="0.25">
      <c r="A16" s="1" t="s">
        <v>96</v>
      </c>
      <c r="B16" s="1">
        <v>-14880</v>
      </c>
      <c r="C16" s="1">
        <v>2012</v>
      </c>
      <c r="D16" s="1">
        <v>-748</v>
      </c>
      <c r="E16" s="1">
        <v>16966</v>
      </c>
      <c r="F16" s="1">
        <v>-14169</v>
      </c>
      <c r="G16" s="1">
        <v>-2653</v>
      </c>
      <c r="H16" s="1">
        <v>-85</v>
      </c>
      <c r="I16" s="1">
        <v>493</v>
      </c>
      <c r="J16" s="1">
        <v>-90</v>
      </c>
      <c r="K16" s="1">
        <v>-10665</v>
      </c>
      <c r="L16" s="1">
        <v>-5823</v>
      </c>
      <c r="M16" s="1">
        <v>-3510</v>
      </c>
      <c r="N16" s="1">
        <v>-2089</v>
      </c>
      <c r="O16" s="1">
        <v>-1552</v>
      </c>
      <c r="P16" s="1">
        <v>-989</v>
      </c>
      <c r="Q16" s="1">
        <v>-1139</v>
      </c>
      <c r="R16" s="1">
        <v>-610</v>
      </c>
      <c r="S16" s="1">
        <v>-563</v>
      </c>
      <c r="T16" s="1">
        <v>-446</v>
      </c>
    </row>
    <row r="17" spans="1:20" x14ac:dyDescent="0.25">
      <c r="A17" s="6" t="s">
        <v>95</v>
      </c>
      <c r="B17" s="4">
        <v>139514</v>
      </c>
      <c r="C17" s="4">
        <v>115877</v>
      </c>
      <c r="D17" s="4">
        <v>84946</v>
      </c>
      <c r="E17" s="4">
        <v>46752</v>
      </c>
      <c r="F17" s="4">
        <v>46327</v>
      </c>
      <c r="G17" s="4">
        <v>66064</v>
      </c>
      <c r="H17" s="4">
        <v>38514</v>
      </c>
      <c r="I17" s="4">
        <v>30723</v>
      </c>
      <c r="J17" s="4">
        <v>18365</v>
      </c>
      <c r="K17" s="4">
        <v>17203</v>
      </c>
      <c r="L17" s="4">
        <v>12039</v>
      </c>
      <c r="M17" s="4">
        <v>6842</v>
      </c>
      <c r="N17" s="4">
        <v>5475</v>
      </c>
      <c r="O17" s="4">
        <v>4180</v>
      </c>
      <c r="P17" s="4">
        <v>3903</v>
      </c>
      <c r="Q17" s="4">
        <v>3495</v>
      </c>
      <c r="R17" s="4">
        <v>3293</v>
      </c>
      <c r="S17" s="4">
        <v>1697</v>
      </c>
      <c r="T17" s="4">
        <v>1405</v>
      </c>
    </row>
    <row r="19" spans="1:20" x14ac:dyDescent="0.25">
      <c r="A19" s="1" t="s">
        <v>94</v>
      </c>
      <c r="B19" s="1">
        <v>-131819</v>
      </c>
      <c r="C19" s="1">
        <v>-82999</v>
      </c>
      <c r="D19" s="1">
        <v>-52729</v>
      </c>
      <c r="E19" s="1">
        <v>-63645</v>
      </c>
      <c r="F19" s="1">
        <v>-61053</v>
      </c>
      <c r="G19" s="1">
        <v>-40140</v>
      </c>
      <c r="H19" s="1">
        <v>-16861</v>
      </c>
      <c r="I19" s="1">
        <v>-13427</v>
      </c>
      <c r="J19" s="1">
        <v>-11955</v>
      </c>
      <c r="K19" s="1">
        <v>-7804</v>
      </c>
      <c r="L19" s="1">
        <v>-5387</v>
      </c>
      <c r="M19" s="1">
        <v>-4893</v>
      </c>
      <c r="N19" s="1">
        <v>-3444</v>
      </c>
      <c r="O19" s="1">
        <v>-3785</v>
      </c>
      <c r="P19" s="1">
        <v>-1811</v>
      </c>
      <c r="Q19" s="1">
        <v>-979</v>
      </c>
      <c r="R19" s="1">
        <v>-373</v>
      </c>
      <c r="S19" s="1">
        <v>-333</v>
      </c>
      <c r="T19" s="1">
        <v>-224</v>
      </c>
    </row>
    <row r="20" spans="1:20" x14ac:dyDescent="0.25">
      <c r="A20" s="1" t="s">
        <v>93</v>
      </c>
      <c r="B20" s="1">
        <v>-3841</v>
      </c>
      <c r="C20" s="1">
        <v>-7082</v>
      </c>
      <c r="D20" s="1">
        <v>-5839</v>
      </c>
      <c r="E20" s="1">
        <v>-8316</v>
      </c>
      <c r="F20" s="1">
        <v>-1985</v>
      </c>
      <c r="G20" s="1">
        <v>-2325</v>
      </c>
      <c r="H20" s="1">
        <v>-2461</v>
      </c>
      <c r="I20" s="1">
        <v>-2186</v>
      </c>
      <c r="J20" s="1">
        <v>-13972</v>
      </c>
      <c r="K20" s="1">
        <v>-116</v>
      </c>
      <c r="L20" s="1">
        <v>-795</v>
      </c>
      <c r="M20" s="1">
        <v>-979</v>
      </c>
      <c r="N20" s="1">
        <v>-312</v>
      </c>
      <c r="O20" s="1">
        <v>-745</v>
      </c>
      <c r="P20" s="1">
        <v>-705</v>
      </c>
      <c r="Q20" s="1">
        <v>-352</v>
      </c>
      <c r="R20" s="1">
        <v>-40</v>
      </c>
      <c r="S20" s="1">
        <v>-494</v>
      </c>
      <c r="T20" s="1">
        <v>-75</v>
      </c>
    </row>
    <row r="21" spans="1:20" x14ac:dyDescent="0.25">
      <c r="A21" s="1" t="s">
        <v>92</v>
      </c>
      <c r="B21" s="1">
        <v>-54770</v>
      </c>
      <c r="C21" s="1">
        <v>-26005</v>
      </c>
      <c r="D21" s="1">
        <v>-1488</v>
      </c>
      <c r="E21" s="1">
        <v>-2565</v>
      </c>
      <c r="F21" s="1">
        <v>-60157</v>
      </c>
      <c r="G21" s="1">
        <v>-72479</v>
      </c>
      <c r="H21" s="1">
        <v>-31812</v>
      </c>
      <c r="I21" s="1">
        <v>-7100</v>
      </c>
      <c r="J21" s="1">
        <v>-12731</v>
      </c>
      <c r="K21" s="1">
        <v>-7240</v>
      </c>
      <c r="L21" s="1">
        <v>-4091</v>
      </c>
      <c r="M21" s="1">
        <v>-2542</v>
      </c>
      <c r="N21" s="1">
        <v>-2826</v>
      </c>
      <c r="O21" s="1">
        <v>-3302</v>
      </c>
      <c r="P21" s="1">
        <v>-6257</v>
      </c>
      <c r="Q21" s="1">
        <v>-6279</v>
      </c>
      <c r="R21" s="1">
        <v>-3890</v>
      </c>
      <c r="S21" s="1">
        <v>-1677</v>
      </c>
      <c r="T21" s="1">
        <v>-930</v>
      </c>
    </row>
    <row r="22" spans="1:20" x14ac:dyDescent="0.25">
      <c r="A22" s="1" t="s">
        <v>91</v>
      </c>
      <c r="B22" s="1">
        <v>44386</v>
      </c>
      <c r="C22" s="1">
        <v>16403</v>
      </c>
      <c r="D22" s="1">
        <v>5627</v>
      </c>
      <c r="E22" s="1">
        <v>31601</v>
      </c>
      <c r="F22" s="1">
        <v>59384</v>
      </c>
      <c r="G22" s="1">
        <v>50237</v>
      </c>
      <c r="H22" s="1">
        <v>22681</v>
      </c>
      <c r="I22" s="1">
        <v>8240</v>
      </c>
      <c r="J22" s="1">
        <v>9677</v>
      </c>
      <c r="K22" s="1">
        <v>4577</v>
      </c>
      <c r="L22" s="1">
        <v>3025</v>
      </c>
      <c r="M22" s="1">
        <v>3349</v>
      </c>
      <c r="N22" s="1">
        <v>2306</v>
      </c>
      <c r="O22" s="1">
        <v>4237</v>
      </c>
      <c r="P22" s="1">
        <v>6843</v>
      </c>
      <c r="Q22" s="1">
        <v>4250</v>
      </c>
      <c r="R22" s="1">
        <v>1966</v>
      </c>
      <c r="S22" s="1">
        <v>1305</v>
      </c>
      <c r="T22" s="1">
        <v>1271</v>
      </c>
    </row>
    <row r="23" spans="1:20" x14ac:dyDescent="0.25">
      <c r="A23" s="1" t="s">
        <v>90</v>
      </c>
      <c r="B23" s="1">
        <v>3499</v>
      </c>
      <c r="C23" s="1">
        <v>5341</v>
      </c>
      <c r="D23" s="1">
        <v>4596</v>
      </c>
      <c r="E23" s="1">
        <v>5324</v>
      </c>
      <c r="F23" s="1">
        <v>5657</v>
      </c>
      <c r="G23" s="1">
        <v>5096</v>
      </c>
      <c r="H23" s="1">
        <v>4172</v>
      </c>
      <c r="I23" s="1">
        <v>2104</v>
      </c>
      <c r="J23" s="1">
        <v>1897</v>
      </c>
      <c r="K23" s="1">
        <v>1067</v>
      </c>
      <c r="L23" s="1">
        <v>798</v>
      </c>
      <c r="M23" s="1">
        <v>0</v>
      </c>
      <c r="N23" s="1">
        <v>0</v>
      </c>
      <c r="O23" s="1">
        <v>0</v>
      </c>
      <c r="P23" s="1">
        <v>0</v>
      </c>
      <c r="Q23" s="1">
        <v>0</v>
      </c>
      <c r="R23" s="1">
        <v>0</v>
      </c>
      <c r="S23" s="1">
        <v>0</v>
      </c>
      <c r="T23" s="1">
        <v>0</v>
      </c>
    </row>
    <row r="24" spans="1:20" x14ac:dyDescent="0.25">
      <c r="A24" s="6" t="s">
        <v>89</v>
      </c>
      <c r="B24" s="4">
        <v>-142545</v>
      </c>
      <c r="C24" s="4">
        <v>-94342</v>
      </c>
      <c r="D24" s="4">
        <v>-49833</v>
      </c>
      <c r="E24" s="4">
        <v>-37601</v>
      </c>
      <c r="F24" s="4">
        <v>-58154</v>
      </c>
      <c r="G24" s="4">
        <v>-59611</v>
      </c>
      <c r="H24" s="4">
        <v>-24281</v>
      </c>
      <c r="I24" s="4">
        <v>-12369</v>
      </c>
      <c r="J24" s="4">
        <v>-27084</v>
      </c>
      <c r="K24" s="4">
        <v>-9516</v>
      </c>
      <c r="L24" s="4">
        <v>-6450</v>
      </c>
      <c r="M24" s="4">
        <v>-5065</v>
      </c>
      <c r="N24" s="4">
        <v>-4276</v>
      </c>
      <c r="O24" s="4">
        <v>-3595</v>
      </c>
      <c r="P24" s="4">
        <v>-1930</v>
      </c>
      <c r="Q24" s="4">
        <v>-3360</v>
      </c>
      <c r="R24" s="4">
        <v>-2337</v>
      </c>
      <c r="S24" s="4">
        <v>-1199</v>
      </c>
      <c r="T24" s="4">
        <v>42</v>
      </c>
    </row>
    <row r="26" spans="1:20" x14ac:dyDescent="0.25">
      <c r="A26" s="1" t="s">
        <v>88</v>
      </c>
      <c r="B26" s="1">
        <v>10180</v>
      </c>
      <c r="C26" s="1">
        <v>-11812</v>
      </c>
      <c r="D26" s="1">
        <v>-15879</v>
      </c>
      <c r="E26" s="1">
        <v>15718</v>
      </c>
      <c r="F26" s="1">
        <v>6291</v>
      </c>
      <c r="G26" s="1">
        <v>-1104</v>
      </c>
      <c r="H26" s="1">
        <v>-10066</v>
      </c>
      <c r="I26" s="1">
        <v>-7686</v>
      </c>
      <c r="J26" s="1">
        <v>9928</v>
      </c>
      <c r="K26" s="1">
        <v>-3716</v>
      </c>
      <c r="L26" s="1">
        <v>-3882</v>
      </c>
      <c r="M26" s="1">
        <v>4426</v>
      </c>
      <c r="N26" s="1">
        <v>-617</v>
      </c>
      <c r="O26" s="1">
        <v>2790</v>
      </c>
      <c r="P26" s="1">
        <v>-267</v>
      </c>
      <c r="Q26" s="1">
        <v>-78</v>
      </c>
      <c r="R26" s="1">
        <v>-385</v>
      </c>
      <c r="S26" s="1">
        <v>-268</v>
      </c>
      <c r="T26" s="1">
        <v>41</v>
      </c>
    </row>
    <row r="27" spans="1:20" x14ac:dyDescent="0.25">
      <c r="A27" s="1" t="s">
        <v>87</v>
      </c>
      <c r="B27" s="1">
        <v>0</v>
      </c>
      <c r="C27" s="1">
        <v>0</v>
      </c>
      <c r="D27" s="1">
        <v>0</v>
      </c>
      <c r="E27" s="1">
        <v>0</v>
      </c>
      <c r="F27" s="1">
        <v>0</v>
      </c>
      <c r="G27" s="1">
        <v>0</v>
      </c>
      <c r="H27" s="1">
        <v>0</v>
      </c>
      <c r="I27" s="1">
        <v>0</v>
      </c>
      <c r="J27" s="1">
        <v>0</v>
      </c>
      <c r="K27" s="1">
        <v>0</v>
      </c>
      <c r="L27" s="1">
        <v>0</v>
      </c>
      <c r="M27" s="1">
        <v>0</v>
      </c>
      <c r="N27" s="1">
        <v>0</v>
      </c>
      <c r="O27" s="1">
        <v>0</v>
      </c>
      <c r="P27" s="1">
        <v>0</v>
      </c>
      <c r="Q27" s="1">
        <v>0</v>
      </c>
      <c r="R27" s="1">
        <v>0</v>
      </c>
      <c r="S27" s="1">
        <v>0</v>
      </c>
      <c r="T27" s="1">
        <v>0</v>
      </c>
    </row>
    <row r="28" spans="1:20" x14ac:dyDescent="0.25">
      <c r="A28" s="1" t="s">
        <v>86</v>
      </c>
      <c r="B28" s="1">
        <v>0</v>
      </c>
      <c r="C28" s="1">
        <v>0</v>
      </c>
      <c r="D28" s="1">
        <v>0</v>
      </c>
      <c r="E28" s="1">
        <v>-6000</v>
      </c>
      <c r="F28" s="1">
        <v>0</v>
      </c>
      <c r="G28" s="1">
        <v>0</v>
      </c>
      <c r="H28" s="1">
        <v>0</v>
      </c>
      <c r="I28" s="1">
        <v>0</v>
      </c>
      <c r="J28" s="1">
        <v>0</v>
      </c>
      <c r="K28" s="1">
        <v>0</v>
      </c>
      <c r="L28" s="1">
        <v>0</v>
      </c>
      <c r="M28" s="1">
        <v>0</v>
      </c>
      <c r="N28" s="1">
        <v>0</v>
      </c>
      <c r="O28" s="1">
        <v>-960</v>
      </c>
      <c r="P28" s="1">
        <v>-277</v>
      </c>
      <c r="Q28" s="1">
        <v>0</v>
      </c>
      <c r="R28" s="1">
        <v>0</v>
      </c>
      <c r="S28" s="1">
        <v>-100</v>
      </c>
      <c r="T28" s="1">
        <v>-248</v>
      </c>
    </row>
    <row r="29" spans="1:20" x14ac:dyDescent="0.25">
      <c r="A29" s="1" t="s">
        <v>85</v>
      </c>
      <c r="B29" s="1">
        <v>0</v>
      </c>
      <c r="C29" s="1">
        <v>0</v>
      </c>
      <c r="D29" s="1">
        <v>0</v>
      </c>
      <c r="E29" s="1">
        <v>0</v>
      </c>
      <c r="F29" s="1">
        <v>0</v>
      </c>
      <c r="G29" s="1">
        <v>0</v>
      </c>
      <c r="H29" s="1">
        <v>0</v>
      </c>
      <c r="I29" s="1">
        <v>0</v>
      </c>
      <c r="J29" s="1">
        <v>0</v>
      </c>
      <c r="K29" s="1">
        <v>0</v>
      </c>
      <c r="L29" s="1">
        <v>0</v>
      </c>
      <c r="M29" s="1">
        <v>0</v>
      </c>
      <c r="N29" s="1">
        <v>0</v>
      </c>
      <c r="O29" s="1">
        <v>0</v>
      </c>
      <c r="P29" s="1">
        <v>0</v>
      </c>
      <c r="Q29" s="1">
        <v>0</v>
      </c>
      <c r="R29" s="1">
        <v>0</v>
      </c>
      <c r="S29" s="1">
        <v>0</v>
      </c>
      <c r="T29" s="1">
        <v>0</v>
      </c>
    </row>
    <row r="30" spans="1:20" x14ac:dyDescent="0.25">
      <c r="A30" s="1" t="s">
        <v>84</v>
      </c>
      <c r="B30" s="1">
        <v>-519</v>
      </c>
      <c r="C30" s="1">
        <v>0</v>
      </c>
      <c r="D30" s="1">
        <v>0</v>
      </c>
      <c r="E30" s="1">
        <v>0</v>
      </c>
      <c r="F30" s="1">
        <v>0</v>
      </c>
      <c r="G30" s="1">
        <v>0</v>
      </c>
      <c r="H30" s="1">
        <v>0</v>
      </c>
      <c r="I30" s="1">
        <v>0</v>
      </c>
      <c r="J30" s="1">
        <v>0</v>
      </c>
      <c r="K30" s="1">
        <v>0</v>
      </c>
      <c r="L30" s="1">
        <v>0</v>
      </c>
      <c r="M30" s="1">
        <v>6</v>
      </c>
      <c r="N30" s="1">
        <v>78</v>
      </c>
      <c r="O30" s="1">
        <v>429</v>
      </c>
      <c r="P30" s="1">
        <v>62</v>
      </c>
      <c r="Q30" s="1">
        <v>259</v>
      </c>
      <c r="R30" s="1">
        <v>105</v>
      </c>
      <c r="S30" s="1">
        <v>159</v>
      </c>
      <c r="T30" s="1">
        <v>257</v>
      </c>
    </row>
    <row r="31" spans="1:20" x14ac:dyDescent="0.25">
      <c r="A31" s="6" t="s">
        <v>83</v>
      </c>
      <c r="B31" s="4">
        <v>9661</v>
      </c>
      <c r="C31" s="4">
        <v>-11812</v>
      </c>
      <c r="D31" s="4">
        <v>-15879</v>
      </c>
      <c r="E31" s="4">
        <v>9718</v>
      </c>
      <c r="F31" s="4">
        <v>6291</v>
      </c>
      <c r="G31" s="4">
        <v>-1104</v>
      </c>
      <c r="H31" s="4">
        <v>-10066</v>
      </c>
      <c r="I31" s="4">
        <v>-7686</v>
      </c>
      <c r="J31" s="4">
        <v>9928</v>
      </c>
      <c r="K31" s="4">
        <v>-3716</v>
      </c>
      <c r="L31" s="4">
        <v>-3882</v>
      </c>
      <c r="M31" s="4">
        <v>4432</v>
      </c>
      <c r="N31" s="4">
        <v>-539</v>
      </c>
      <c r="O31" s="4">
        <v>2259</v>
      </c>
      <c r="P31" s="4">
        <v>-482</v>
      </c>
      <c r="Q31" s="4">
        <v>181</v>
      </c>
      <c r="R31" s="4">
        <v>-280</v>
      </c>
      <c r="S31" s="4">
        <v>-198</v>
      </c>
      <c r="T31" s="4">
        <v>50</v>
      </c>
    </row>
    <row r="33" spans="1:20" x14ac:dyDescent="0.25">
      <c r="A33" s="1" t="s">
        <v>82</v>
      </c>
      <c r="B33" s="1">
        <v>1164</v>
      </c>
      <c r="C33" s="1">
        <v>-1301</v>
      </c>
      <c r="D33" s="1">
        <v>403</v>
      </c>
      <c r="E33" s="1">
        <v>-1093</v>
      </c>
      <c r="F33" s="1">
        <v>-364</v>
      </c>
      <c r="G33" s="1">
        <v>618</v>
      </c>
      <c r="H33" s="1">
        <v>70</v>
      </c>
      <c r="I33" s="1">
        <v>-351</v>
      </c>
      <c r="J33" s="1">
        <v>713</v>
      </c>
      <c r="K33" s="1">
        <v>-212</v>
      </c>
      <c r="L33" s="1">
        <v>-374</v>
      </c>
      <c r="M33" s="1">
        <v>-310</v>
      </c>
      <c r="N33" s="1">
        <v>-86</v>
      </c>
      <c r="O33" s="1">
        <v>-29</v>
      </c>
      <c r="P33" s="1">
        <v>1</v>
      </c>
      <c r="Q33" s="1">
        <v>17</v>
      </c>
      <c r="R33" s="1">
        <v>-1</v>
      </c>
      <c r="S33" s="1">
        <v>-70</v>
      </c>
      <c r="T33" s="1">
        <v>20</v>
      </c>
    </row>
    <row r="34" spans="1:20" x14ac:dyDescent="0.25">
      <c r="A34" s="1" t="s">
        <v>81</v>
      </c>
      <c r="B34" s="1">
        <v>7794</v>
      </c>
      <c r="C34" s="1">
        <v>8422</v>
      </c>
      <c r="D34" s="1">
        <v>19637</v>
      </c>
      <c r="E34" s="1">
        <v>17776</v>
      </c>
      <c r="F34" s="1">
        <v>-5900</v>
      </c>
      <c r="G34" s="1">
        <v>5967</v>
      </c>
      <c r="H34" s="1">
        <v>4237</v>
      </c>
      <c r="I34" s="1">
        <v>10317</v>
      </c>
      <c r="J34" s="1">
        <v>1922</v>
      </c>
      <c r="K34" s="1">
        <v>3759</v>
      </c>
      <c r="L34" s="1">
        <v>1333</v>
      </c>
      <c r="M34" s="1">
        <v>5899</v>
      </c>
      <c r="N34" s="1">
        <v>574</v>
      </c>
      <c r="O34" s="1">
        <v>2815</v>
      </c>
      <c r="P34" s="1">
        <v>1492</v>
      </c>
      <c r="Q34" s="1">
        <v>333</v>
      </c>
      <c r="R34" s="1">
        <v>675</v>
      </c>
      <c r="S34" s="1">
        <v>230</v>
      </c>
      <c r="T34" s="1">
        <v>1517</v>
      </c>
    </row>
    <row r="35" spans="1:20" x14ac:dyDescent="0.25">
      <c r="A35" s="1" t="s">
        <v>80</v>
      </c>
      <c r="B35" s="1">
        <v>90106</v>
      </c>
      <c r="C35" s="1">
        <v>82312</v>
      </c>
      <c r="D35" s="1">
        <v>73890</v>
      </c>
      <c r="E35" s="1">
        <v>54253</v>
      </c>
      <c r="F35" s="1">
        <v>36477</v>
      </c>
      <c r="G35" s="1">
        <v>42377</v>
      </c>
      <c r="H35" s="1">
        <v>36410</v>
      </c>
      <c r="I35" s="1">
        <v>32173</v>
      </c>
      <c r="J35" s="1">
        <v>21856</v>
      </c>
      <c r="K35" s="1">
        <v>19934</v>
      </c>
      <c r="L35" s="1">
        <v>15890</v>
      </c>
      <c r="M35" s="1">
        <v>14557</v>
      </c>
      <c r="N35" s="1">
        <v>8658</v>
      </c>
      <c r="O35" s="1">
        <v>8084</v>
      </c>
      <c r="P35" s="1">
        <v>5269</v>
      </c>
      <c r="Q35" s="1">
        <v>3777</v>
      </c>
      <c r="R35" s="1">
        <v>3444</v>
      </c>
      <c r="S35" s="1">
        <v>2769</v>
      </c>
      <c r="T35" s="1">
        <v>2539</v>
      </c>
    </row>
    <row r="36" spans="1:20" x14ac:dyDescent="0.25">
      <c r="A36" s="1" t="s">
        <v>79</v>
      </c>
      <c r="B36" s="1">
        <v>82312</v>
      </c>
      <c r="C36" s="1">
        <v>73890</v>
      </c>
      <c r="D36" s="1">
        <v>54253</v>
      </c>
      <c r="E36" s="1">
        <v>36477</v>
      </c>
      <c r="F36" s="1">
        <v>42377</v>
      </c>
      <c r="G36" s="1">
        <v>36410</v>
      </c>
      <c r="H36" s="1">
        <v>32173</v>
      </c>
      <c r="I36" s="1">
        <v>21856</v>
      </c>
      <c r="J36" s="1">
        <v>19934</v>
      </c>
      <c r="K36" s="1">
        <v>16175</v>
      </c>
      <c r="L36" s="1">
        <v>14557</v>
      </c>
      <c r="M36" s="1">
        <v>8658</v>
      </c>
      <c r="N36" s="1">
        <v>8084</v>
      </c>
      <c r="O36" s="1">
        <v>5269</v>
      </c>
      <c r="P36" s="1">
        <v>3777</v>
      </c>
      <c r="Q36" s="1">
        <v>3444</v>
      </c>
      <c r="R36" s="1">
        <v>2769</v>
      </c>
      <c r="S36" s="1">
        <v>2539</v>
      </c>
      <c r="T36" s="1">
        <v>1022</v>
      </c>
    </row>
    <row r="37" spans="1:20" x14ac:dyDescent="0.25">
      <c r="A37" s="1" t="s">
        <v>78</v>
      </c>
      <c r="B37" s="1">
        <v>139514</v>
      </c>
      <c r="C37" s="1">
        <v>115877</v>
      </c>
      <c r="D37" s="1">
        <v>84946</v>
      </c>
      <c r="E37" s="1">
        <v>46752</v>
      </c>
      <c r="F37" s="1">
        <v>46327</v>
      </c>
      <c r="G37" s="1">
        <v>66064</v>
      </c>
      <c r="H37" s="1">
        <v>38514</v>
      </c>
      <c r="I37" s="1">
        <v>30723</v>
      </c>
      <c r="J37" s="1">
        <v>18365</v>
      </c>
      <c r="K37" s="1">
        <v>17203</v>
      </c>
      <c r="L37" s="1">
        <v>12039</v>
      </c>
      <c r="M37" s="1">
        <v>6842</v>
      </c>
      <c r="N37" s="1">
        <v>5475</v>
      </c>
      <c r="O37" s="1">
        <v>4180</v>
      </c>
      <c r="P37" s="1">
        <v>3903</v>
      </c>
      <c r="Q37" s="1">
        <v>3495</v>
      </c>
      <c r="R37" s="1">
        <v>3293</v>
      </c>
      <c r="S37" s="1">
        <v>1697</v>
      </c>
      <c r="T37" s="1">
        <v>1405</v>
      </c>
    </row>
    <row r="38" spans="1:20" x14ac:dyDescent="0.25">
      <c r="A38" s="1" t="s">
        <v>77</v>
      </c>
      <c r="B38" s="1">
        <v>-131819</v>
      </c>
      <c r="C38" s="1">
        <v>-82999</v>
      </c>
      <c r="D38" s="1">
        <v>-52729</v>
      </c>
      <c r="E38" s="1">
        <v>-63645</v>
      </c>
      <c r="F38" s="1">
        <v>-61053</v>
      </c>
      <c r="G38" s="1">
        <v>-40140</v>
      </c>
      <c r="H38" s="1">
        <v>-16861</v>
      </c>
      <c r="I38" s="1">
        <v>-13427</v>
      </c>
      <c r="J38" s="1">
        <v>-11955</v>
      </c>
      <c r="K38" s="1">
        <v>-7804</v>
      </c>
      <c r="L38" s="1">
        <v>-5387</v>
      </c>
      <c r="M38" s="1">
        <v>-4893</v>
      </c>
      <c r="N38" s="1">
        <v>-3444</v>
      </c>
      <c r="O38" s="1">
        <v>-3785</v>
      </c>
      <c r="P38" s="1">
        <v>-1811</v>
      </c>
      <c r="Q38" s="1">
        <v>-979</v>
      </c>
      <c r="R38" s="1">
        <v>-373</v>
      </c>
      <c r="S38" s="1">
        <v>-333</v>
      </c>
      <c r="T38" s="1">
        <v>-224</v>
      </c>
    </row>
    <row r="39" spans="1:20" x14ac:dyDescent="0.25">
      <c r="A39" s="6" t="s">
        <v>76</v>
      </c>
      <c r="B39" s="5">
        <v>7695</v>
      </c>
      <c r="C39" s="5">
        <v>32878</v>
      </c>
      <c r="D39" s="5">
        <v>32217</v>
      </c>
      <c r="E39" s="5">
        <v>-16893</v>
      </c>
      <c r="F39" s="5">
        <v>-14726</v>
      </c>
      <c r="G39" s="5">
        <v>25924</v>
      </c>
      <c r="H39" s="5">
        <v>21653</v>
      </c>
      <c r="I39" s="5">
        <v>17296</v>
      </c>
      <c r="J39" s="5">
        <v>6410</v>
      </c>
      <c r="K39" s="5">
        <v>9399</v>
      </c>
      <c r="L39" s="5">
        <v>6652</v>
      </c>
      <c r="M39" s="5">
        <v>1949</v>
      </c>
      <c r="N39" s="5">
        <v>2031</v>
      </c>
      <c r="O39" s="5">
        <v>395</v>
      </c>
      <c r="P39" s="5">
        <v>2092</v>
      </c>
      <c r="Q39" s="5">
        <v>2516</v>
      </c>
      <c r="R39" s="5">
        <v>2920</v>
      </c>
      <c r="S39" s="5">
        <v>1364</v>
      </c>
      <c r="T39" s="5">
        <v>1181</v>
      </c>
    </row>
  </sheetData>
  <mergeCells count="1">
    <mergeCell ref="B4:T4"/>
  </mergeCells>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3DE84F-9B5F-47DB-9C47-A1B8820685A0}">
  <sheetPr>
    <tabColor rgb="FFC6E0B4"/>
  </sheetPr>
  <dimension ref="A1:T61"/>
  <sheetViews>
    <sheetView workbookViewId="0"/>
  </sheetViews>
  <sheetFormatPr defaultRowHeight="15" x14ac:dyDescent="0.25"/>
  <cols>
    <col min="1" max="1" width="41.28515625" bestFit="1" customWidth="1"/>
    <col min="2" max="4" width="19.85546875" bestFit="1" customWidth="1"/>
    <col min="5" max="5" width="19" bestFit="1" customWidth="1"/>
    <col min="6" max="7" width="19.85546875" bestFit="1" customWidth="1"/>
    <col min="8" max="15" width="18.28515625" bestFit="1" customWidth="1"/>
    <col min="16" max="20" width="17.28515625" bestFit="1" customWidth="1"/>
  </cols>
  <sheetData>
    <row r="1" spans="1:20" x14ac:dyDescent="0.25">
      <c r="A1" s="10" t="s">
        <v>103</v>
      </c>
      <c r="B1" s="10"/>
      <c r="C1" s="10"/>
      <c r="D1" s="10"/>
      <c r="E1" s="10"/>
      <c r="F1" s="10"/>
      <c r="G1" s="10"/>
      <c r="H1" s="10"/>
      <c r="I1" s="10"/>
      <c r="J1" s="10"/>
      <c r="K1" s="10"/>
      <c r="L1" s="10"/>
      <c r="M1" s="10"/>
      <c r="N1" s="10"/>
      <c r="O1" s="10"/>
      <c r="P1" s="10"/>
      <c r="Q1" s="10"/>
      <c r="R1" s="10"/>
      <c r="S1" s="10"/>
      <c r="T1" s="10"/>
    </row>
    <row r="2" spans="1:20" x14ac:dyDescent="0.25">
      <c r="A2" t="s">
        <v>1</v>
      </c>
      <c r="B2" t="s">
        <v>196</v>
      </c>
    </row>
    <row r="3" spans="1:20" x14ac:dyDescent="0.25">
      <c r="A3" t="s">
        <v>3</v>
      </c>
      <c r="B3" t="str">
        <f>'AMZN - Income Statement FY'!B3</f>
        <v>USD</v>
      </c>
    </row>
    <row r="4" spans="1:20" x14ac:dyDescent="0.25">
      <c r="A4" t="s">
        <v>32</v>
      </c>
      <c r="B4" s="236" t="s">
        <v>33</v>
      </c>
      <c r="C4" s="236"/>
      <c r="D4" s="236"/>
      <c r="E4" s="236"/>
      <c r="F4" s="236"/>
      <c r="G4" s="236"/>
      <c r="H4" s="236"/>
      <c r="I4" s="236"/>
      <c r="J4" s="236"/>
      <c r="K4" s="236"/>
      <c r="L4" s="236"/>
      <c r="M4" s="236"/>
      <c r="N4" s="236"/>
      <c r="O4" s="236"/>
      <c r="P4" s="236"/>
      <c r="Q4" s="236"/>
      <c r="R4" s="236"/>
      <c r="S4" s="236"/>
      <c r="T4" s="236"/>
    </row>
    <row r="5" spans="1:20" x14ac:dyDescent="0.25">
      <c r="A5" t="s">
        <v>34</v>
      </c>
      <c r="B5" s="8">
        <v>46022</v>
      </c>
      <c r="C5" s="8">
        <v>45657</v>
      </c>
      <c r="D5" s="8">
        <v>45291</v>
      </c>
      <c r="E5" s="8">
        <v>44926</v>
      </c>
      <c r="F5" s="8">
        <v>44561</v>
      </c>
      <c r="G5" s="8">
        <v>44196</v>
      </c>
      <c r="H5" s="8">
        <v>43830</v>
      </c>
      <c r="I5" s="8">
        <v>43465</v>
      </c>
      <c r="J5" s="8">
        <v>43100</v>
      </c>
      <c r="K5" s="8">
        <v>42735</v>
      </c>
      <c r="L5" s="8">
        <v>42369</v>
      </c>
      <c r="M5" s="8">
        <v>42004</v>
      </c>
      <c r="N5" s="8">
        <v>41639</v>
      </c>
      <c r="O5" s="8">
        <v>41274</v>
      </c>
      <c r="P5" s="8">
        <v>40908</v>
      </c>
      <c r="Q5" s="8">
        <v>40543</v>
      </c>
      <c r="R5" s="8">
        <v>40178</v>
      </c>
      <c r="S5" s="8">
        <v>39813</v>
      </c>
      <c r="T5" s="8">
        <v>39447</v>
      </c>
    </row>
    <row r="6" spans="1:20" x14ac:dyDescent="0.25">
      <c r="A6" s="2" t="s">
        <v>159</v>
      </c>
      <c r="B6" s="2">
        <v>67.27890390390391</v>
      </c>
      <c r="C6" s="2">
        <v>60.914637639644802</v>
      </c>
      <c r="D6" s="2">
        <v>55.782705745341616</v>
      </c>
      <c r="E6" s="2">
        <v>50.444891549710469</v>
      </c>
      <c r="F6" s="2">
        <v>46.425098814229251</v>
      </c>
      <c r="G6" s="2">
        <v>38.606400000000001</v>
      </c>
      <c r="H6" s="2">
        <v>28.392914979757084</v>
      </c>
      <c r="I6" s="2">
        <v>23.910369609856264</v>
      </c>
      <c r="J6" s="2">
        <v>18.527708333333333</v>
      </c>
      <c r="K6" s="2">
        <v>14.344620253164557</v>
      </c>
      <c r="L6" s="2">
        <v>11.456745182012847</v>
      </c>
      <c r="M6" s="2">
        <v>9.6307359307359306</v>
      </c>
      <c r="N6" s="2">
        <v>8.1457330415754932</v>
      </c>
      <c r="O6" s="2">
        <v>7.0491923082345531</v>
      </c>
      <c r="P6" s="2">
        <v>5.3065121412803533</v>
      </c>
      <c r="Q6" s="2">
        <v>3.8259507829977628</v>
      </c>
      <c r="R6" s="2">
        <v>2.8301385681293301</v>
      </c>
      <c r="S6" s="2">
        <v>2.2654846335697401</v>
      </c>
      <c r="T6" s="2">
        <v>1.7960048426150121</v>
      </c>
    </row>
    <row r="7" spans="1:20" x14ac:dyDescent="0.25">
      <c r="A7" s="2" t="s">
        <v>158</v>
      </c>
      <c r="B7" s="2">
        <v>7.2888513513513518</v>
      </c>
      <c r="C7" s="2">
        <v>5.6572137878353859</v>
      </c>
      <c r="D7" s="2">
        <v>2.9527368012422359</v>
      </c>
      <c r="E7" s="2">
        <v>-0.2671508489547551</v>
      </c>
      <c r="F7" s="2">
        <v>3.2968379446640315</v>
      </c>
      <c r="G7" s="2">
        <v>2.1331000000000002</v>
      </c>
      <c r="H7" s="2">
        <v>1.1728744939271256</v>
      </c>
      <c r="I7" s="2">
        <v>1.0341889117043122</v>
      </c>
      <c r="J7" s="2">
        <v>0.31593749999999998</v>
      </c>
      <c r="K7" s="2">
        <v>0.25010548523206749</v>
      </c>
      <c r="L7" s="2">
        <v>6.3811563169164878E-2</v>
      </c>
      <c r="M7" s="2">
        <v>-2.6082251082251082E-2</v>
      </c>
      <c r="N7" s="2">
        <v>2.9978118161925603E-2</v>
      </c>
      <c r="O7" s="2">
        <v>-4.5000000003461542E-3</v>
      </c>
      <c r="P7" s="2">
        <v>6.9646799116997796E-2</v>
      </c>
      <c r="Q7" s="2">
        <v>0.12885906040268458</v>
      </c>
      <c r="R7" s="2">
        <v>0.10415704387990762</v>
      </c>
      <c r="S7" s="2">
        <v>7.6241134751773049E-2</v>
      </c>
      <c r="T7" s="2">
        <v>5.7627118644067797E-2</v>
      </c>
    </row>
    <row r="8" spans="1:20" x14ac:dyDescent="0.25">
      <c r="A8" s="2" t="s">
        <v>157</v>
      </c>
      <c r="B8" s="2">
        <v>13.09253003003003</v>
      </c>
      <c r="C8" s="2">
        <v>11.064355962952353</v>
      </c>
      <c r="D8" s="2">
        <v>8.243982919254659</v>
      </c>
      <c r="E8" s="2">
        <v>4.5884777701442729</v>
      </c>
      <c r="F8" s="2">
        <v>4.5777667984189723</v>
      </c>
      <c r="G8" s="2">
        <v>6.6063999999999998</v>
      </c>
      <c r="H8" s="2">
        <v>3.8981781376518221</v>
      </c>
      <c r="I8" s="2">
        <v>3.1543121149897329</v>
      </c>
      <c r="J8" s="2">
        <v>1.9130208333333334</v>
      </c>
      <c r="K8" s="2">
        <v>1.814662447257384</v>
      </c>
      <c r="L8" s="2">
        <v>1.2889721627408994</v>
      </c>
      <c r="M8" s="2">
        <v>0.74047619047619051</v>
      </c>
      <c r="N8" s="2">
        <v>0.59901531728665203</v>
      </c>
      <c r="O8" s="2">
        <v>0.48230769234479293</v>
      </c>
      <c r="P8" s="2">
        <v>0.43079470198675496</v>
      </c>
      <c r="Q8" s="2">
        <v>0.39093959731543626</v>
      </c>
      <c r="R8" s="2">
        <v>0.38025404157043879</v>
      </c>
      <c r="S8" s="2">
        <v>0.20059101654846337</v>
      </c>
      <c r="T8" s="2">
        <v>0.17009685230024213</v>
      </c>
    </row>
    <row r="9" spans="1:20" x14ac:dyDescent="0.25">
      <c r="A9" s="2" t="s">
        <v>156</v>
      </c>
      <c r="B9" s="2">
        <v>0.7221283783783784</v>
      </c>
      <c r="C9" s="2">
        <v>3.1393106082306885</v>
      </c>
      <c r="D9" s="2">
        <v>3.1266498447204967</v>
      </c>
      <c r="E9" s="2">
        <v>-1.6579644714888606</v>
      </c>
      <c r="F9" s="2">
        <v>-1.4551383399209485</v>
      </c>
      <c r="G9" s="2">
        <v>2.5924</v>
      </c>
      <c r="H9" s="2">
        <v>2.1915991902834007</v>
      </c>
      <c r="I9" s="2">
        <v>1.7757700205338809</v>
      </c>
      <c r="J9" s="2">
        <v>0.66770833333333335</v>
      </c>
      <c r="K9" s="2">
        <v>0.9914556962025316</v>
      </c>
      <c r="L9" s="2">
        <v>0.71220556745182018</v>
      </c>
      <c r="M9" s="2">
        <v>0.21093073593073594</v>
      </c>
      <c r="N9" s="2">
        <v>0.22221006564551421</v>
      </c>
      <c r="O9" s="2">
        <v>4.5576923080428995E-2</v>
      </c>
      <c r="P9" s="2">
        <v>0.23090507726269316</v>
      </c>
      <c r="Q9" s="2">
        <v>0.28143176733780761</v>
      </c>
      <c r="R9" s="2">
        <v>0.33718244803695152</v>
      </c>
      <c r="S9" s="2">
        <v>0.16122931442080379</v>
      </c>
      <c r="T9" s="2">
        <v>0.14297820823244553</v>
      </c>
    </row>
    <row r="10" spans="1:20" x14ac:dyDescent="0.25">
      <c r="A10" s="2" t="s">
        <v>155</v>
      </c>
      <c r="B10" s="2">
        <v>11.545514264264265</v>
      </c>
      <c r="C10" s="2">
        <v>9.6631337725580071</v>
      </c>
      <c r="D10" s="2">
        <v>8.4219720496894404</v>
      </c>
      <c r="E10" s="2">
        <v>6.8727058592599866</v>
      </c>
      <c r="F10" s="2">
        <v>9.4910079051383391</v>
      </c>
      <c r="G10" s="2">
        <v>8.4396000000000004</v>
      </c>
      <c r="H10" s="2">
        <v>5.5689271255060726</v>
      </c>
      <c r="I10" s="2">
        <v>4.2351129363449695</v>
      </c>
      <c r="J10" s="2">
        <v>3.2277083333333332</v>
      </c>
      <c r="K10" s="2">
        <v>2.7406118143459914</v>
      </c>
      <c r="L10" s="2">
        <v>2.1207708779443255</v>
      </c>
      <c r="M10" s="2">
        <v>1.8848484848484848</v>
      </c>
      <c r="N10" s="2">
        <v>1.3618161925601751</v>
      </c>
      <c r="O10" s="2">
        <v>1.3209230770246865</v>
      </c>
      <c r="P10" s="2">
        <v>1.0569536423841059</v>
      </c>
      <c r="Q10" s="2">
        <v>0.98008948545861296</v>
      </c>
      <c r="R10" s="2">
        <v>0.73510392609699771</v>
      </c>
      <c r="S10" s="2">
        <v>0.44054373522458629</v>
      </c>
      <c r="T10" s="2">
        <v>0.37675544794188864</v>
      </c>
    </row>
    <row r="11" spans="1:20" x14ac:dyDescent="0.25">
      <c r="A11" s="2" t="s">
        <v>154</v>
      </c>
      <c r="B11" s="2">
        <v>38.575919669669666</v>
      </c>
      <c r="C11" s="2">
        <v>27.305452114962282</v>
      </c>
      <c r="D11" s="2">
        <v>19.591906055900623</v>
      </c>
      <c r="E11" s="2">
        <v>14.333398763372264</v>
      </c>
      <c r="F11" s="2">
        <v>13.660573122529645</v>
      </c>
      <c r="G11" s="2">
        <v>9.3404000000000007</v>
      </c>
      <c r="H11" s="2">
        <v>6.2813765182186234</v>
      </c>
      <c r="I11" s="2">
        <v>4.4711498973305952</v>
      </c>
      <c r="J11" s="2">
        <v>2.8863541666666666</v>
      </c>
      <c r="K11" s="2">
        <v>2.034282700421941</v>
      </c>
      <c r="L11" s="2">
        <v>1.4329764453961455</v>
      </c>
      <c r="M11" s="2">
        <v>1.1624458874458874</v>
      </c>
      <c r="N11" s="2">
        <v>1.0663019693654268</v>
      </c>
      <c r="O11" s="2">
        <v>0.94523076930347927</v>
      </c>
      <c r="P11" s="2">
        <v>0.85618101545253866</v>
      </c>
      <c r="Q11" s="2">
        <v>0.76778523489932882</v>
      </c>
      <c r="R11" s="2">
        <v>0.60704387990762121</v>
      </c>
      <c r="S11" s="2">
        <v>0.31583924349881798</v>
      </c>
      <c r="T11" s="2">
        <v>0.14491525423728813</v>
      </c>
    </row>
    <row r="12" spans="1:20" x14ac:dyDescent="0.25">
      <c r="A12" s="2" t="s">
        <v>153</v>
      </c>
      <c r="B12" s="2">
        <v>35.52881006006006</v>
      </c>
      <c r="C12" s="2">
        <v>24.280912823450777</v>
      </c>
      <c r="D12" s="2">
        <v>16.634219720496894</v>
      </c>
      <c r="E12" s="2">
        <v>11.743841397585632</v>
      </c>
      <c r="F12" s="2">
        <v>11.637055335968379</v>
      </c>
      <c r="G12" s="2">
        <v>7.3406000000000002</v>
      </c>
      <c r="H12" s="2">
        <v>4.3782388663967611</v>
      </c>
      <c r="I12" s="2">
        <v>2.5555441478439427</v>
      </c>
      <c r="J12" s="2">
        <v>1.1445833333333333</v>
      </c>
      <c r="K12" s="2">
        <v>1.5450421940928269</v>
      </c>
      <c r="L12" s="2">
        <v>0.92430406852248392</v>
      </c>
      <c r="M12" s="2">
        <v>0.72056277056277052</v>
      </c>
      <c r="N12" s="2">
        <v>0.70525164113785554</v>
      </c>
      <c r="O12" s="2">
        <v>0.5671153846590089</v>
      </c>
      <c r="P12" s="2">
        <v>0.56898454746136862</v>
      </c>
      <c r="Q12" s="2">
        <v>0.55391498881431767</v>
      </c>
      <c r="R12" s="2">
        <v>0.39907621247113162</v>
      </c>
      <c r="S12" s="2">
        <v>0.24515366430260047</v>
      </c>
      <c r="T12" s="2">
        <v>0.11476997578692494</v>
      </c>
    </row>
    <row r="13" spans="1:20" x14ac:dyDescent="0.25">
      <c r="A13" s="2" t="s">
        <v>152</v>
      </c>
      <c r="B13" s="2">
        <v>38.575919669669666</v>
      </c>
      <c r="C13" s="2">
        <v>27.305452114962282</v>
      </c>
      <c r="D13" s="2">
        <v>19.591906055900623</v>
      </c>
      <c r="E13" s="2">
        <v>14.333398763372264</v>
      </c>
      <c r="F13" s="2">
        <v>13.660573122529645</v>
      </c>
      <c r="G13" s="2">
        <v>9.3404000000000007</v>
      </c>
      <c r="H13" s="2">
        <v>6.2813765182186234</v>
      </c>
      <c r="I13" s="2">
        <v>4.4711498973305952</v>
      </c>
      <c r="J13" s="2">
        <v>2.8863541666666666</v>
      </c>
      <c r="K13" s="2">
        <v>2.034282700421941</v>
      </c>
      <c r="L13" s="2">
        <v>1.4329764453961455</v>
      </c>
      <c r="M13" s="2">
        <v>1.1624458874458874</v>
      </c>
      <c r="N13" s="2">
        <v>1.0663019693654268</v>
      </c>
      <c r="O13" s="2">
        <v>0.94523076930347927</v>
      </c>
      <c r="P13" s="2">
        <v>0.85618101545253866</v>
      </c>
      <c r="Q13" s="2">
        <v>0.76778523489932882</v>
      </c>
      <c r="R13" s="2">
        <v>0.60704387990762121</v>
      </c>
      <c r="S13" s="2">
        <v>0.31583924349881798</v>
      </c>
      <c r="T13" s="2">
        <v>0.14491525423728813</v>
      </c>
    </row>
    <row r="14" spans="1:20" x14ac:dyDescent="0.25">
      <c r="A14" s="2" t="s">
        <v>151</v>
      </c>
      <c r="B14" s="2">
        <v>14.570289039039039</v>
      </c>
      <c r="C14" s="2">
        <v>12.728540055380503</v>
      </c>
      <c r="D14" s="2">
        <v>13.469817546583851</v>
      </c>
      <c r="E14" s="2">
        <v>13.984198645598195</v>
      </c>
      <c r="F14" s="2">
        <v>11.680237154150198</v>
      </c>
      <c r="G14" s="2">
        <v>8.6036000000000001</v>
      </c>
      <c r="H14" s="2">
        <v>6.5592105263157894</v>
      </c>
      <c r="I14" s="2">
        <v>3.5484599589322383</v>
      </c>
      <c r="J14" s="2">
        <v>4.0389583333333334</v>
      </c>
      <c r="K14" s="2">
        <v>1.6558016877637132</v>
      </c>
      <c r="L14" s="2">
        <v>1.5668094218415418</v>
      </c>
      <c r="M14" s="2">
        <v>1.3743506493506494</v>
      </c>
      <c r="N14" s="2">
        <v>0.58227571115973742</v>
      </c>
      <c r="O14" s="2">
        <v>0.45253846157327221</v>
      </c>
      <c r="P14" s="2">
        <v>0.16335540838852097</v>
      </c>
      <c r="Q14" s="2">
        <v>7.6062639821029079E-2</v>
      </c>
      <c r="R14" s="2">
        <v>3.3025404157043879E-2</v>
      </c>
      <c r="S14" s="2">
        <v>7.8368794326241137E-2</v>
      </c>
      <c r="T14" s="2">
        <v>0.17409200968523003</v>
      </c>
    </row>
    <row r="15" spans="1:20" x14ac:dyDescent="0.25">
      <c r="A15" s="1" t="s">
        <v>150</v>
      </c>
      <c r="B15" s="1">
        <v>2459617.92</v>
      </c>
      <c r="C15" s="1">
        <v>2297671.4700000002</v>
      </c>
      <c r="D15" s="1">
        <v>1565589.76</v>
      </c>
      <c r="E15" s="1">
        <v>855876</v>
      </c>
      <c r="F15" s="1">
        <v>1687206.4</v>
      </c>
      <c r="G15" s="1">
        <v>1628500</v>
      </c>
      <c r="H15" s="1">
        <v>912813.2</v>
      </c>
      <c r="I15" s="1">
        <v>731474</v>
      </c>
      <c r="J15" s="1">
        <v>561312</v>
      </c>
      <c r="K15" s="1">
        <v>355405.2</v>
      </c>
      <c r="L15" s="1">
        <v>315598.59999999998</v>
      </c>
      <c r="M15" s="1">
        <v>143404.79999999999</v>
      </c>
      <c r="N15" s="1">
        <v>182251.6</v>
      </c>
      <c r="O15" s="1">
        <v>108679.99999164</v>
      </c>
      <c r="P15" s="1">
        <v>78369</v>
      </c>
      <c r="Q15" s="1">
        <v>80460</v>
      </c>
      <c r="R15" s="1">
        <v>58281.8</v>
      </c>
      <c r="S15" s="1">
        <v>21657.599999999999</v>
      </c>
      <c r="T15" s="1">
        <v>38243.800000000003</v>
      </c>
    </row>
    <row r="16" spans="1:20" x14ac:dyDescent="0.25">
      <c r="A16" s="1" t="s">
        <v>149</v>
      </c>
      <c r="B16" s="1">
        <v>2525794.92</v>
      </c>
      <c r="C16" s="1">
        <v>2349792.4700000002</v>
      </c>
      <c r="D16" s="1">
        <v>1627813.76</v>
      </c>
      <c r="E16" s="1">
        <v>942106</v>
      </c>
      <c r="F16" s="1">
        <v>1767381.4</v>
      </c>
      <c r="G16" s="1">
        <v>1670767</v>
      </c>
      <c r="H16" s="1">
        <v>939926.2</v>
      </c>
      <c r="I16" s="1">
        <v>732869</v>
      </c>
      <c r="J16" s="1">
        <v>578716</v>
      </c>
      <c r="K16" s="1">
        <v>351284.2</v>
      </c>
      <c r="L16" s="1">
        <v>313883.59999999998</v>
      </c>
      <c r="M16" s="1">
        <v>141336.79999999999</v>
      </c>
      <c r="N16" s="1">
        <v>178774.6</v>
      </c>
      <c r="O16" s="1">
        <v>104425.99999164</v>
      </c>
      <c r="P16" s="1">
        <v>74515</v>
      </c>
      <c r="Q16" s="1">
        <v>77324</v>
      </c>
      <c r="R16" s="1">
        <v>55089.8</v>
      </c>
      <c r="S16" s="1">
        <v>19480.599999999999</v>
      </c>
      <c r="T16" s="1">
        <v>37065.800000000003</v>
      </c>
    </row>
    <row r="17" spans="1:20" x14ac:dyDescent="0.25">
      <c r="A17" s="2" t="s">
        <v>148</v>
      </c>
      <c r="B17" s="2">
        <v>31.662551440329199</v>
      </c>
      <c r="C17" s="2">
        <v>38.761484098939903</v>
      </c>
      <c r="D17" s="2">
        <v>51.505084745762701</v>
      </c>
      <c r="E17" s="2">
        <v>-311.11111111111097</v>
      </c>
      <c r="F17" s="2">
        <v>50.521212121212102</v>
      </c>
      <c r="G17" s="2">
        <v>76.455399061032907</v>
      </c>
      <c r="H17" s="2">
        <v>78.965811965811994</v>
      </c>
      <c r="I17" s="2">
        <v>72.912621359223294</v>
      </c>
      <c r="J17" s="2">
        <v>182.71875</v>
      </c>
      <c r="K17" s="2">
        <v>149.96</v>
      </c>
      <c r="L17" s="2">
        <v>527.96875</v>
      </c>
      <c r="M17" s="2">
        <v>-596.92307692307702</v>
      </c>
      <c r="N17" s="2">
        <v>664.66666666666697</v>
      </c>
      <c r="O17" s="2">
        <v>-2786.6666666666702</v>
      </c>
      <c r="P17" s="2">
        <v>124.460431654676</v>
      </c>
      <c r="Q17" s="2">
        <v>69.230769230769198</v>
      </c>
      <c r="R17" s="2">
        <v>67.3</v>
      </c>
      <c r="S17" s="2">
        <v>33.684210526315802</v>
      </c>
      <c r="T17" s="2">
        <v>80.521739130434796</v>
      </c>
    </row>
    <row r="18" spans="1:20" x14ac:dyDescent="0.25">
      <c r="A18" s="2" t="s">
        <v>147</v>
      </c>
      <c r="B18" s="2">
        <v>3.4307931105668099</v>
      </c>
      <c r="C18" s="2">
        <v>3.6015973910549102</v>
      </c>
      <c r="D18" s="2">
        <v>2.7237832580878099</v>
      </c>
      <c r="E18" s="2">
        <v>1.66518347883101</v>
      </c>
      <c r="F18" s="2">
        <v>3.5911609077480402</v>
      </c>
      <c r="G18" s="2">
        <v>4.2182125243482904</v>
      </c>
      <c r="H18" s="2">
        <v>3.2539807929502902</v>
      </c>
      <c r="I18" s="2">
        <v>3.1408966580358699</v>
      </c>
      <c r="J18" s="2">
        <v>3.1558139273385599</v>
      </c>
      <c r="K18" s="2">
        <v>2.6135233514968301</v>
      </c>
      <c r="L18" s="2">
        <v>2.9493542418182201</v>
      </c>
      <c r="M18" s="2">
        <v>1.6115071695059999</v>
      </c>
      <c r="N18" s="2">
        <v>2.4479073765647699</v>
      </c>
      <c r="O18" s="2">
        <v>1.7789272091997399</v>
      </c>
      <c r="P18" s="2">
        <v>1.6300725918838499</v>
      </c>
      <c r="Q18" s="2">
        <v>2.3523564495380702</v>
      </c>
      <c r="R18" s="2">
        <v>2.3779754375943498</v>
      </c>
      <c r="S18" s="2">
        <v>1.13000104351456</v>
      </c>
      <c r="T18" s="2">
        <v>2.5779440512302001</v>
      </c>
    </row>
    <row r="19" spans="1:20" x14ac:dyDescent="0.25">
      <c r="A19" s="2" t="s">
        <v>146</v>
      </c>
      <c r="B19" s="2">
        <v>17.629900368421801</v>
      </c>
      <c r="C19" s="2">
        <v>19.828537759866101</v>
      </c>
      <c r="D19" s="2">
        <v>18.430411791020202</v>
      </c>
      <c r="E19" s="2">
        <v>18.306724845995902</v>
      </c>
      <c r="F19" s="2">
        <v>36.419504824400498</v>
      </c>
      <c r="G19" s="2">
        <v>24.650339065148898</v>
      </c>
      <c r="H19" s="2">
        <v>23.700815287947201</v>
      </c>
      <c r="I19" s="2">
        <v>23.808677538000801</v>
      </c>
      <c r="J19" s="2">
        <v>30.5642254288048</v>
      </c>
      <c r="K19" s="2">
        <v>20.6594896239028</v>
      </c>
      <c r="L19" s="2">
        <v>26.214685605116699</v>
      </c>
      <c r="M19" s="2">
        <v>20.959485530546601</v>
      </c>
      <c r="N19" s="2">
        <v>33.287963470319603</v>
      </c>
      <c r="O19" s="2">
        <v>25.999999998</v>
      </c>
      <c r="P19" s="2">
        <v>20.079169869331299</v>
      </c>
      <c r="Q19" s="2">
        <v>23.021459227467801</v>
      </c>
      <c r="R19" s="2">
        <v>17.698694199817801</v>
      </c>
      <c r="S19" s="2">
        <v>12.762286387743099</v>
      </c>
      <c r="T19" s="2">
        <v>27.2197864768683</v>
      </c>
    </row>
    <row r="20" spans="1:20" x14ac:dyDescent="0.25">
      <c r="A20" s="2" t="s">
        <v>145</v>
      </c>
      <c r="B20" s="2">
        <v>319.63845614035102</v>
      </c>
      <c r="C20" s="2">
        <v>69.884770059006001</v>
      </c>
      <c r="D20" s="2">
        <v>48.5951441785393</v>
      </c>
      <c r="E20" s="2">
        <v>-50.664535606464199</v>
      </c>
      <c r="F20" s="2">
        <v>-114.573298927068</v>
      </c>
      <c r="G20" s="2">
        <v>62.818237926245899</v>
      </c>
      <c r="H20" s="2">
        <v>42.1564309795409</v>
      </c>
      <c r="I20" s="2">
        <v>42.291512488436602</v>
      </c>
      <c r="J20" s="2">
        <v>87.568174726989099</v>
      </c>
      <c r="K20" s="2">
        <v>37.813086498563699</v>
      </c>
      <c r="L20" s="2">
        <v>47.444167167769102</v>
      </c>
      <c r="M20" s="2">
        <v>73.578655720882495</v>
      </c>
      <c r="N20" s="2">
        <v>89.7349089118661</v>
      </c>
      <c r="O20" s="2">
        <v>275.13924048516498</v>
      </c>
      <c r="P20" s="2">
        <v>37.461281070745699</v>
      </c>
      <c r="Q20" s="2">
        <v>31.979332273449899</v>
      </c>
      <c r="R20" s="2">
        <v>19.9595205479452</v>
      </c>
      <c r="S20" s="2">
        <v>15.878005865102599</v>
      </c>
      <c r="T20" s="2">
        <v>32.382557154953403</v>
      </c>
    </row>
    <row r="21" spans="1:20" x14ac:dyDescent="0.25">
      <c r="A21" s="2" t="s">
        <v>144</v>
      </c>
      <c r="B21" s="2">
        <v>5.9835255251602604</v>
      </c>
      <c r="C21" s="2">
        <v>8.0346591250830492</v>
      </c>
      <c r="D21" s="2">
        <v>7.7552433931888496</v>
      </c>
      <c r="E21" s="2">
        <v>5.8604383640434703</v>
      </c>
      <c r="F21" s="2">
        <v>12.2044659843032</v>
      </c>
      <c r="G21" s="2">
        <v>17.4350134897863</v>
      </c>
      <c r="H21" s="2">
        <v>14.7085594585885</v>
      </c>
      <c r="I21" s="2">
        <v>16.796573974144099</v>
      </c>
      <c r="J21" s="2">
        <v>20.257389295896601</v>
      </c>
      <c r="K21" s="2">
        <v>18.429100337049501</v>
      </c>
      <c r="L21" s="2">
        <v>23.580289898386098</v>
      </c>
      <c r="M21" s="2">
        <v>13.3511591099525</v>
      </c>
      <c r="N21" s="2">
        <v>18.700143648676399</v>
      </c>
      <c r="O21" s="2">
        <v>13.266601561479501</v>
      </c>
      <c r="P21" s="2">
        <v>10.1030037385587</v>
      </c>
      <c r="Q21" s="2">
        <v>11.722027972028</v>
      </c>
      <c r="R21" s="2">
        <v>11.0865132204679</v>
      </c>
      <c r="S21" s="2">
        <v>8.1053892215568908</v>
      </c>
      <c r="T21" s="2">
        <v>31.949707602339199</v>
      </c>
    </row>
    <row r="22" spans="1:20" x14ac:dyDescent="0.25">
      <c r="A22" s="2" t="s">
        <v>143</v>
      </c>
      <c r="B22" s="2">
        <v>5.9835255251602604</v>
      </c>
      <c r="C22" s="2">
        <v>8.0346591250830492</v>
      </c>
      <c r="D22" s="2">
        <v>7.7552433931888496</v>
      </c>
      <c r="E22" s="2">
        <v>5.8604383640434703</v>
      </c>
      <c r="F22" s="2">
        <v>12.2044659843032</v>
      </c>
      <c r="G22" s="2">
        <v>17.4350134897863</v>
      </c>
      <c r="H22" s="2">
        <v>14.7085594585885</v>
      </c>
      <c r="I22" s="2">
        <v>16.796573974144099</v>
      </c>
      <c r="J22" s="2">
        <v>20.257389295896601</v>
      </c>
      <c r="K22" s="2">
        <v>18.429100337049501</v>
      </c>
      <c r="L22" s="2">
        <v>23.580289898386098</v>
      </c>
      <c r="M22" s="2">
        <v>13.3511591099525</v>
      </c>
      <c r="N22" s="2">
        <v>18.700143648676399</v>
      </c>
      <c r="O22" s="2">
        <v>13.266601561479501</v>
      </c>
      <c r="P22" s="2">
        <v>10.1030037385587</v>
      </c>
      <c r="Q22" s="2">
        <v>11.722027972028</v>
      </c>
      <c r="R22" s="2">
        <v>11.0865132204679</v>
      </c>
      <c r="S22" s="2">
        <v>8.1053892215568908</v>
      </c>
      <c r="T22" s="2">
        <v>31.949707602339199</v>
      </c>
    </row>
    <row r="23" spans="1:20" x14ac:dyDescent="0.25">
      <c r="A23" s="2" t="s">
        <v>142</v>
      </c>
      <c r="B23" s="2">
        <v>3.5230999659657098</v>
      </c>
      <c r="C23" s="2">
        <v>3.6832969987099502</v>
      </c>
      <c r="D23" s="2">
        <v>2.83203938864097</v>
      </c>
      <c r="E23" s="2">
        <v>1.83295167349893</v>
      </c>
      <c r="F23" s="2">
        <v>3.7618106431797602</v>
      </c>
      <c r="G23" s="2">
        <v>4.3276943719176098</v>
      </c>
      <c r="H23" s="2">
        <v>3.3506327489466101</v>
      </c>
      <c r="I23" s="2">
        <v>3.1468866875351602</v>
      </c>
      <c r="J23" s="2">
        <v>3.2536628698008601</v>
      </c>
      <c r="K23" s="2">
        <v>2.5832189841675999</v>
      </c>
      <c r="L23" s="2">
        <v>2.9333271031530899</v>
      </c>
      <c r="M23" s="2">
        <v>1.5882680810895899</v>
      </c>
      <c r="N23" s="2">
        <v>2.4012061462418699</v>
      </c>
      <c r="O23" s="2">
        <v>1.7092956638508501</v>
      </c>
      <c r="P23" s="2">
        <v>1.5499095201447699</v>
      </c>
      <c r="Q23" s="2">
        <v>2.26067126651854</v>
      </c>
      <c r="R23" s="2">
        <v>2.2477375657921601</v>
      </c>
      <c r="S23" s="2">
        <v>1.0164144839820499</v>
      </c>
      <c r="T23" s="2">
        <v>2.4985372430064001</v>
      </c>
    </row>
    <row r="24" spans="1:20" x14ac:dyDescent="0.25">
      <c r="A24" s="2" t="s">
        <v>141</v>
      </c>
      <c r="B24" s="2">
        <v>15.2762770274765</v>
      </c>
      <c r="C24" s="2">
        <v>18.978253604167499</v>
      </c>
      <c r="D24" s="2">
        <v>18.207800272924501</v>
      </c>
      <c r="E24" s="2">
        <v>24.564716312056699</v>
      </c>
      <c r="F24" s="2">
        <v>23.757361579718498</v>
      </c>
      <c r="G24" s="2">
        <v>32.756925791589097</v>
      </c>
      <c r="H24" s="2">
        <v>25.1552575940051</v>
      </c>
      <c r="I24" s="2">
        <v>26.1561440451122</v>
      </c>
      <c r="J24" s="2">
        <v>35.8737912224151</v>
      </c>
      <c r="K24" s="2">
        <v>28.120733269292302</v>
      </c>
      <c r="L24" s="2">
        <v>37.780885893115098</v>
      </c>
      <c r="M24" s="2">
        <v>29.1716821465428</v>
      </c>
      <c r="N24" s="2">
        <v>45.839641025641001</v>
      </c>
      <c r="O24" s="2">
        <v>37.361717349423998</v>
      </c>
      <c r="P24" s="2">
        <v>35.790105667627302</v>
      </c>
      <c r="Q24" s="2">
        <v>36.750950570342198</v>
      </c>
      <c r="R24" s="2">
        <v>35.022123331214203</v>
      </c>
      <c r="S24" s="2">
        <v>15.473073868149299</v>
      </c>
      <c r="T24" s="2">
        <v>37.706815869786404</v>
      </c>
    </row>
    <row r="25" spans="1:20" x14ac:dyDescent="0.25">
      <c r="A25" s="2" t="s">
        <v>140</v>
      </c>
      <c r="B25" s="2">
        <v>18.1042398612326</v>
      </c>
      <c r="C25" s="2">
        <v>20.278333664143901</v>
      </c>
      <c r="D25" s="2">
        <v>19.162924210675001</v>
      </c>
      <c r="E25" s="2">
        <v>20.151137919233399</v>
      </c>
      <c r="F25" s="2">
        <v>38.150137069095798</v>
      </c>
      <c r="G25" s="2">
        <v>25.290127754904301</v>
      </c>
      <c r="H25" s="2">
        <v>24.404793062263099</v>
      </c>
      <c r="I25" s="2">
        <v>23.854083260098299</v>
      </c>
      <c r="J25" s="2">
        <v>31.511897631364</v>
      </c>
      <c r="K25" s="2">
        <v>20.419938382840201</v>
      </c>
      <c r="L25" s="2">
        <v>26.072231912949601</v>
      </c>
      <c r="M25" s="2">
        <v>20.657234726688099</v>
      </c>
      <c r="N25" s="2">
        <v>32.652894977168899</v>
      </c>
      <c r="O25" s="2">
        <v>24.9822966487177</v>
      </c>
      <c r="P25" s="2">
        <v>19.091724314629801</v>
      </c>
      <c r="Q25" s="2">
        <v>22.124177396280398</v>
      </c>
      <c r="R25" s="2">
        <v>16.729365320376601</v>
      </c>
      <c r="S25" s="2">
        <v>11.4794342958161</v>
      </c>
      <c r="T25" s="2">
        <v>26.381352313167302</v>
      </c>
    </row>
    <row r="26" spans="1:20" x14ac:dyDescent="0.25">
      <c r="A26" s="2" t="s">
        <v>139</v>
      </c>
      <c r="B26" s="2">
        <v>328.23845614035099</v>
      </c>
      <c r="C26" s="2">
        <v>71.470055052010494</v>
      </c>
      <c r="D26" s="2">
        <v>50.526546854145302</v>
      </c>
      <c r="E26" s="2">
        <v>-55.769016752501003</v>
      </c>
      <c r="F26" s="2">
        <v>-120.017750916746</v>
      </c>
      <c r="G26" s="2">
        <v>64.448657614565604</v>
      </c>
      <c r="H26" s="2">
        <v>43.408590033713601</v>
      </c>
      <c r="I26" s="2">
        <v>42.372166975023099</v>
      </c>
      <c r="J26" s="2">
        <v>90.283307332293305</v>
      </c>
      <c r="K26" s="2">
        <v>37.374635599531899</v>
      </c>
      <c r="L26" s="2">
        <v>47.1863499699339</v>
      </c>
      <c r="M26" s="2">
        <v>72.517598768599299</v>
      </c>
      <c r="N26" s="2">
        <v>88.0229443623831</v>
      </c>
      <c r="O26" s="2">
        <v>264.36962023199999</v>
      </c>
      <c r="P26" s="2">
        <v>35.619024856596603</v>
      </c>
      <c r="Q26" s="2">
        <v>30.732909379968198</v>
      </c>
      <c r="R26" s="2">
        <v>18.866369863013698</v>
      </c>
      <c r="S26" s="2">
        <v>14.281964809384201</v>
      </c>
      <c r="T26" s="2">
        <v>31.385097375105801</v>
      </c>
    </row>
    <row r="27" spans="1:20" x14ac:dyDescent="0.25">
      <c r="A27" s="3" t="s">
        <v>138</v>
      </c>
      <c r="B27" s="3">
        <v>3.1578075345946401E-2</v>
      </c>
      <c r="C27" s="3">
        <v>2.57861059657933E-2</v>
      </c>
      <c r="D27" s="3">
        <v>1.9433571154681001E-2</v>
      </c>
      <c r="E27" s="3">
        <v>-3.1803672494613699E-3</v>
      </c>
      <c r="F27" s="3">
        <v>1.9774699764059701E-2</v>
      </c>
      <c r="G27" s="3">
        <v>1.30985569542524E-2</v>
      </c>
      <c r="H27" s="3">
        <v>1.26948208023285E-2</v>
      </c>
      <c r="I27" s="3">
        <v>1.37708243902039E-2</v>
      </c>
      <c r="J27" s="3">
        <v>5.4034120061570001E-3</v>
      </c>
      <c r="K27" s="3">
        <v>6.6712586084840602E-3</v>
      </c>
      <c r="L27" s="3">
        <v>1.8884747904458401E-3</v>
      </c>
      <c r="M27" s="3">
        <v>-1.6805574150935E-3</v>
      </c>
      <c r="N27" s="3">
        <v>1.5034161565659801E-3</v>
      </c>
      <c r="O27" s="3">
        <v>-3.58851674668752E-4</v>
      </c>
      <c r="P27" s="3">
        <v>8.0516530771095694E-3</v>
      </c>
      <c r="Q27" s="3">
        <v>1.4317673378076099E-2</v>
      </c>
      <c r="R27" s="3">
        <v>1.5476529551249301E-2</v>
      </c>
      <c r="S27" s="3">
        <v>2.9781693262411299E-2</v>
      </c>
      <c r="T27" s="3">
        <v>1.2446461910165799E-2</v>
      </c>
    </row>
    <row r="28" spans="1:20" x14ac:dyDescent="0.25">
      <c r="A28" s="3" t="s">
        <v>137</v>
      </c>
      <c r="B28" s="3">
        <v>3.1285346953400001E-3</v>
      </c>
      <c r="C28" s="3">
        <v>1.43092693752253E-2</v>
      </c>
      <c r="D28" s="3">
        <v>2.0578187736741499E-2</v>
      </c>
      <c r="E28" s="3">
        <v>-1.97376722796293E-2</v>
      </c>
      <c r="F28" s="3">
        <v>-8.7280370676640403E-3</v>
      </c>
      <c r="G28" s="3">
        <v>1.59189438133251E-2</v>
      </c>
      <c r="H28" s="3">
        <v>2.3721173181982899E-2</v>
      </c>
      <c r="I28" s="3">
        <v>2.3645406398587001E-2</v>
      </c>
      <c r="J28" s="3">
        <v>1.1419673906846801E-2</v>
      </c>
      <c r="K28" s="3">
        <v>2.6445870797613499E-2</v>
      </c>
      <c r="L28" s="3">
        <v>2.1077406553768E-2</v>
      </c>
      <c r="M28" s="3">
        <v>1.3590897933681401E-2</v>
      </c>
      <c r="N28" s="3">
        <v>1.11439350875383E-2</v>
      </c>
      <c r="O28" s="3">
        <v>3.63452337164506E-3</v>
      </c>
      <c r="P28" s="3">
        <v>2.6694228585282399E-2</v>
      </c>
      <c r="Q28" s="3">
        <v>3.1270196370867497E-2</v>
      </c>
      <c r="R28" s="3">
        <v>5.0101403868789203E-2</v>
      </c>
      <c r="S28" s="3">
        <v>6.2980200945626494E-2</v>
      </c>
      <c r="T28" s="3">
        <v>3.0880822512407199E-2</v>
      </c>
    </row>
    <row r="29" spans="1:20" x14ac:dyDescent="0.25">
      <c r="A29" s="2" t="s">
        <v>136</v>
      </c>
      <c r="B29" s="2">
        <v>0.37217228418863202</v>
      </c>
      <c r="C29" s="2">
        <v>0.45774032241144202</v>
      </c>
      <c r="D29" s="2">
        <v>0.67175727554179598</v>
      </c>
      <c r="E29" s="2">
        <v>0.95942975698938004</v>
      </c>
      <c r="F29" s="2">
        <v>0.84194726753228</v>
      </c>
      <c r="G29" s="2">
        <v>0.90348379084407504</v>
      </c>
      <c r="H29" s="2">
        <v>1.01844988720593</v>
      </c>
      <c r="I29" s="2">
        <v>0.76109669567613503</v>
      </c>
      <c r="J29" s="2">
        <v>1.36872496300841</v>
      </c>
      <c r="K29" s="2">
        <v>0.78885143894218301</v>
      </c>
      <c r="L29" s="2">
        <v>1.0591004184100401</v>
      </c>
      <c r="M29" s="2">
        <v>1.1627408993576001</v>
      </c>
      <c r="N29" s="2">
        <v>0.53160270880361205</v>
      </c>
      <c r="O29" s="2">
        <v>0.467529296875</v>
      </c>
      <c r="P29" s="2">
        <v>0.18241588242877399</v>
      </c>
      <c r="Q29" s="2">
        <v>9.3385780885780895E-2</v>
      </c>
      <c r="R29" s="2">
        <v>4.7936085219707103E-2</v>
      </c>
      <c r="S29" s="2">
        <v>0.22155688622754499</v>
      </c>
      <c r="T29" s="2">
        <v>1.1370091896407699</v>
      </c>
    </row>
    <row r="30" spans="1:20" x14ac:dyDescent="0.25">
      <c r="A30" s="3" t="s">
        <v>135</v>
      </c>
      <c r="B30" s="3">
        <v>0.187016070079531</v>
      </c>
      <c r="C30" s="3">
        <v>0.20947552704938799</v>
      </c>
      <c r="D30" s="3">
        <v>0.25691005467420902</v>
      </c>
      <c r="E30" s="3">
        <v>0.30284324850056699</v>
      </c>
      <c r="F30" s="3">
        <v>0.27676917553008101</v>
      </c>
      <c r="G30" s="3">
        <v>0.26273447594140598</v>
      </c>
      <c r="H30" s="3">
        <v>0.28060182554340102</v>
      </c>
      <c r="I30" s="3">
        <v>0.20378363090846499</v>
      </c>
      <c r="J30" s="3">
        <v>0.28882796435914998</v>
      </c>
      <c r="K30" s="3">
        <v>0.18240569770509099</v>
      </c>
      <c r="L30" s="3">
        <v>0.21892906235037901</v>
      </c>
      <c r="M30" s="3">
        <v>0.22913494174846299</v>
      </c>
      <c r="N30" s="3">
        <v>0.129012176598023</v>
      </c>
      <c r="O30" s="3">
        <v>0.11764705882352899</v>
      </c>
      <c r="P30" s="3">
        <v>5.5977529867869302E-2</v>
      </c>
      <c r="Q30" s="3">
        <v>3.4101186359525498E-2</v>
      </c>
      <c r="R30" s="3">
        <v>1.82436834865706E-2</v>
      </c>
      <c r="S30" s="3">
        <v>7.1205196054847306E-2</v>
      </c>
      <c r="T30" s="3">
        <v>0.20986892829606801</v>
      </c>
    </row>
    <row r="31" spans="1:20" x14ac:dyDescent="0.25">
      <c r="A31" s="3" t="s">
        <v>134</v>
      </c>
      <c r="B31" s="3">
        <v>0.40024555312959298</v>
      </c>
      <c r="C31" s="3">
        <v>0.42095868836570699</v>
      </c>
      <c r="D31" s="3">
        <v>0.69600232656987504</v>
      </c>
      <c r="E31" s="3">
        <v>2.24838339591156</v>
      </c>
      <c r="F31" s="3">
        <v>1.07772236635167</v>
      </c>
      <c r="G31" s="3">
        <v>0.82868346240564605</v>
      </c>
      <c r="H31" s="3">
        <v>0.72562558544092104</v>
      </c>
      <c r="I31" s="3">
        <v>4.9787644098647298E-2</v>
      </c>
      <c r="J31" s="3">
        <v>1.0788494916935301</v>
      </c>
      <c r="K31" s="3">
        <v>-0.329891130323407</v>
      </c>
      <c r="L31" s="3">
        <v>-0.20642753972075101</v>
      </c>
      <c r="M31" s="3">
        <v>-0.42683178534571697</v>
      </c>
      <c r="N31" s="3">
        <v>-0.89153846153846195</v>
      </c>
      <c r="O31" s="3">
        <v>-1.52200357781753</v>
      </c>
      <c r="P31" s="3">
        <v>-1.85110470701249</v>
      </c>
      <c r="Q31" s="3">
        <v>-1.49049429657795</v>
      </c>
      <c r="R31" s="3">
        <v>-2.0292434837889401</v>
      </c>
      <c r="S31" s="3">
        <v>-1.7291501191421801</v>
      </c>
      <c r="T31" s="3">
        <v>-1.19837232960326</v>
      </c>
    </row>
    <row r="32" spans="1:20" x14ac:dyDescent="0.25">
      <c r="A32" s="2" t="s">
        <v>133</v>
      </c>
      <c r="B32" s="2">
        <v>1.0508153482718301</v>
      </c>
      <c r="C32" s="2">
        <v>1.0637348061371801</v>
      </c>
      <c r="D32" s="2">
        <v>1.0450772206625201</v>
      </c>
      <c r="E32" s="2">
        <v>0.94464358111369195</v>
      </c>
      <c r="F32" s="2">
        <v>1.1357597739445799</v>
      </c>
      <c r="G32" s="2">
        <v>1.05022747952684</v>
      </c>
      <c r="H32" s="2">
        <v>1.0970482394205801</v>
      </c>
      <c r="I32" s="2">
        <v>1.09811232472109</v>
      </c>
      <c r="J32" s="2">
        <v>1.0399771953768799</v>
      </c>
      <c r="K32" s="2">
        <v>1.04484663136754</v>
      </c>
      <c r="L32" s="2">
        <v>1.0536488919054501</v>
      </c>
      <c r="M32" s="2">
        <v>1.1152764427355899</v>
      </c>
      <c r="N32" s="2">
        <v>1.0715839860748499</v>
      </c>
      <c r="O32" s="2">
        <v>1.1207241343016501</v>
      </c>
      <c r="P32" s="2">
        <v>1.1741407089151401</v>
      </c>
      <c r="Q32" s="2">
        <v>1.32539529502507</v>
      </c>
      <c r="R32" s="2">
        <v>1.33039109179794</v>
      </c>
      <c r="S32" s="2">
        <v>1.2973029919932599</v>
      </c>
      <c r="T32" s="2">
        <v>1.3904146472805601</v>
      </c>
    </row>
    <row r="33" spans="1:20" x14ac:dyDescent="0.25">
      <c r="A33" s="2" t="s">
        <v>132</v>
      </c>
      <c r="B33" s="2">
        <v>35.169305189094104</v>
      </c>
      <c r="C33" s="2">
        <v>28.509143807148799</v>
      </c>
      <c r="D33" s="2">
        <v>11.5813953488372</v>
      </c>
      <c r="E33" s="2">
        <v>5.1744824672581302</v>
      </c>
      <c r="F33" s="2">
        <v>13.752902155887201</v>
      </c>
      <c r="G33" s="2">
        <v>13.903460837887099</v>
      </c>
      <c r="H33" s="2">
        <v>9.0881249999999998</v>
      </c>
      <c r="I33" s="2">
        <v>8.7657021877205406</v>
      </c>
      <c r="J33" s="2">
        <v>4.8419811320754702</v>
      </c>
      <c r="K33" s="2">
        <v>8.9938016528925608</v>
      </c>
      <c r="L33" s="2">
        <v>4.8649237472766904</v>
      </c>
      <c r="M33" s="2">
        <v>0.84761904761904805</v>
      </c>
      <c r="N33" s="2">
        <v>5.28368794326241</v>
      </c>
      <c r="O33" s="2">
        <v>7.3478260869565197</v>
      </c>
      <c r="P33" s="2">
        <v>13.2615384615385</v>
      </c>
      <c r="Q33" s="2">
        <v>36.051282051282101</v>
      </c>
      <c r="R33" s="2">
        <v>33.205882352941202</v>
      </c>
      <c r="S33" s="2">
        <v>11.8591549295775</v>
      </c>
      <c r="T33" s="2">
        <v>8.5064935064935092</v>
      </c>
    </row>
    <row r="34" spans="1:20" x14ac:dyDescent="0.25">
      <c r="A34" s="2" t="s">
        <v>131</v>
      </c>
      <c r="B34" s="2">
        <v>1.7962405046993699</v>
      </c>
      <c r="C34" s="2">
        <v>1.95579597623548</v>
      </c>
      <c r="D34" s="2">
        <v>2.79198027937551</v>
      </c>
      <c r="E34" s="2">
        <v>-17.175606171932401</v>
      </c>
      <c r="F34" s="2">
        <v>1.38853255005395</v>
      </c>
      <c r="G34" s="2">
        <v>3.0970887440813799</v>
      </c>
      <c r="H34" s="2">
        <v>3.3236106316879499</v>
      </c>
      <c r="I34" s="2">
        <v>3.05003474635163</v>
      </c>
      <c r="J34" s="2">
        <v>6.0550609957138102</v>
      </c>
      <c r="K34" s="2">
        <v>7.2555883593420498</v>
      </c>
      <c r="L34" s="2">
        <v>20.199664429530198</v>
      </c>
      <c r="M34" s="2">
        <v>-28.3900414937759</v>
      </c>
      <c r="N34" s="2">
        <v>19.981751824817501</v>
      </c>
      <c r="O34" s="2">
        <v>-107.179487179487</v>
      </c>
      <c r="P34" s="2">
        <v>6.1854199683042799</v>
      </c>
      <c r="Q34" s="2">
        <v>3.0338541666666701</v>
      </c>
      <c r="R34" s="2">
        <v>3.6507760532150799</v>
      </c>
      <c r="S34" s="2">
        <v>2.6310077519379802</v>
      </c>
      <c r="T34" s="2">
        <v>2.95168067226891</v>
      </c>
    </row>
    <row r="35" spans="1:20" x14ac:dyDescent="0.25">
      <c r="A35" s="3" t="s">
        <v>130</v>
      </c>
      <c r="B35" s="3">
        <v>0</v>
      </c>
      <c r="C35" s="3">
        <v>0</v>
      </c>
      <c r="D35" s="3">
        <v>0</v>
      </c>
      <c r="E35" s="3">
        <v>0</v>
      </c>
      <c r="F35" s="3">
        <v>0</v>
      </c>
      <c r="G35" s="3">
        <v>0</v>
      </c>
      <c r="H35" s="3">
        <v>0</v>
      </c>
      <c r="I35" s="3">
        <v>0</v>
      </c>
      <c r="J35" s="3">
        <v>0</v>
      </c>
      <c r="K35" s="3">
        <v>0</v>
      </c>
      <c r="L35" s="3">
        <v>0</v>
      </c>
      <c r="M35" s="3">
        <v>0</v>
      </c>
      <c r="N35" s="3">
        <v>0</v>
      </c>
      <c r="O35" s="3">
        <v>0</v>
      </c>
      <c r="P35" s="3">
        <v>0</v>
      </c>
      <c r="Q35" s="3">
        <v>0</v>
      </c>
      <c r="R35" s="3">
        <v>0</v>
      </c>
      <c r="S35" s="3">
        <v>0</v>
      </c>
      <c r="T35" s="3">
        <v>0</v>
      </c>
    </row>
    <row r="36" spans="1:20" x14ac:dyDescent="0.25">
      <c r="A36" s="3" t="s">
        <v>129</v>
      </c>
      <c r="B36" s="3">
        <v>0</v>
      </c>
      <c r="C36" s="3">
        <v>0</v>
      </c>
      <c r="D36" s="3">
        <v>0</v>
      </c>
      <c r="E36" s="3">
        <v>0</v>
      </c>
      <c r="F36" s="3">
        <v>0</v>
      </c>
      <c r="G36" s="3">
        <v>0</v>
      </c>
      <c r="H36" s="3">
        <v>0</v>
      </c>
      <c r="I36" s="3">
        <v>0</v>
      </c>
      <c r="J36" s="3">
        <v>0</v>
      </c>
      <c r="K36" s="3">
        <v>0</v>
      </c>
      <c r="L36" s="3">
        <v>0</v>
      </c>
      <c r="M36" s="3">
        <v>0</v>
      </c>
      <c r="N36" s="3">
        <v>0</v>
      </c>
      <c r="O36" s="3">
        <v>0</v>
      </c>
      <c r="P36" s="3">
        <v>0</v>
      </c>
      <c r="Q36" s="3">
        <v>0</v>
      </c>
      <c r="R36" s="3">
        <v>0</v>
      </c>
      <c r="S36" s="3">
        <v>0</v>
      </c>
      <c r="T36" s="3">
        <v>0</v>
      </c>
    </row>
    <row r="37" spans="1:20" x14ac:dyDescent="0.25">
      <c r="A37" s="3" t="s">
        <v>128</v>
      </c>
      <c r="B37" s="3">
        <v>8.1321032633863602E-2</v>
      </c>
      <c r="C37" s="3">
        <v>8.6629391543970702E-2</v>
      </c>
      <c r="D37" s="3">
        <v>9.7751333107161803E-2</v>
      </c>
      <c r="E37" s="3">
        <v>0.105312821630287</v>
      </c>
      <c r="F37" s="3">
        <v>8.8063138805760499E-2</v>
      </c>
      <c r="G37" s="3">
        <v>7.4277839943636306E-2</v>
      </c>
      <c r="H37" s="3">
        <v>8.5843534553439696E-2</v>
      </c>
      <c r="I37" s="3">
        <v>7.7934792410052897E-2</v>
      </c>
      <c r="J37" s="3">
        <v>7.7266031731753101E-2</v>
      </c>
      <c r="K37" s="3">
        <v>7.1072970210387804E-2</v>
      </c>
      <c r="L37" s="3">
        <v>6.5426237781058993E-2</v>
      </c>
      <c r="M37" s="3">
        <v>6.61212747786218E-2</v>
      </c>
      <c r="N37" s="3">
        <v>5.72449363348198E-2</v>
      </c>
      <c r="O37" s="3">
        <v>5.4081482330217902E-2</v>
      </c>
      <c r="P37" s="3">
        <v>4.75903238554818E-2</v>
      </c>
      <c r="Q37" s="3">
        <v>4.3825283592562297E-2</v>
      </c>
      <c r="R37" s="3">
        <v>4.1127748990166899E-2</v>
      </c>
      <c r="S37" s="3">
        <v>3.9705728894918101E-2</v>
      </c>
      <c r="T37" s="3">
        <v>3.9029322548028302E-2</v>
      </c>
    </row>
    <row r="38" spans="1:20" x14ac:dyDescent="0.25">
      <c r="A38" s="3" t="s">
        <v>127</v>
      </c>
      <c r="B38" s="3">
        <v>0.15137029866485099</v>
      </c>
      <c r="C38" s="3">
        <v>0.13879261833440701</v>
      </c>
      <c r="D38" s="3">
        <v>0.14896352549214101</v>
      </c>
      <c r="E38" s="3">
        <v>0.142442454322419</v>
      </c>
      <c r="F38" s="3">
        <v>0.119304757972168</v>
      </c>
      <c r="G38" s="3">
        <v>0.110707033030793</v>
      </c>
      <c r="H38" s="3">
        <v>0.12808621070718201</v>
      </c>
      <c r="I38" s="3">
        <v>0.12382400048092</v>
      </c>
      <c r="J38" s="3">
        <v>0.12717438970910699</v>
      </c>
      <c r="K38" s="3">
        <v>0.118283365321685</v>
      </c>
      <c r="L38" s="3">
        <v>0.11718969029774</v>
      </c>
      <c r="M38" s="3">
        <v>0.10422753629702899</v>
      </c>
      <c r="N38" s="3">
        <v>8.8177617794014895E-2</v>
      </c>
      <c r="O38" s="3">
        <v>7.4705776439199206E-2</v>
      </c>
      <c r="P38" s="3">
        <v>6.0507103188634899E-2</v>
      </c>
      <c r="Q38" s="3">
        <v>5.0695825049701798E-2</v>
      </c>
      <c r="R38" s="3">
        <v>5.0593659472030698E-2</v>
      </c>
      <c r="S38" s="3">
        <v>5.3897526870499798E-2</v>
      </c>
      <c r="T38" s="3">
        <v>5.5139871924502898E-2</v>
      </c>
    </row>
    <row r="39" spans="1:20" x14ac:dyDescent="0.25">
      <c r="A39" s="3" t="s">
        <v>126</v>
      </c>
      <c r="B39" s="3">
        <v>3.9692338535185202E-2</v>
      </c>
      <c r="C39" s="3">
        <v>5.0690197057420901E-2</v>
      </c>
      <c r="D39" s="3">
        <v>5.7735661754955002E-2</v>
      </c>
      <c r="E39" s="3">
        <v>5.70270708380613E-2</v>
      </c>
      <c r="F39" s="3">
        <v>4.8693493504918597E-2</v>
      </c>
      <c r="G39" s="3">
        <v>6.2261243170036902E-2</v>
      </c>
      <c r="H39" s="3">
        <v>8.3476878818013897E-2</v>
      </c>
      <c r="I39" s="3">
        <v>0.114713983571885</v>
      </c>
      <c r="J39" s="3">
        <v>0.12733988272027999</v>
      </c>
      <c r="K39" s="3">
        <v>5.5610177213975702E-2</v>
      </c>
      <c r="L39" s="3">
        <v>7.3377917123573305E-2</v>
      </c>
      <c r="M39" s="3">
        <v>7.4910558664342694E-2</v>
      </c>
      <c r="N39" s="3">
        <v>8.2173360890460401E-2</v>
      </c>
      <c r="O39" s="3">
        <v>0.10066042082629401</v>
      </c>
      <c r="P39" s="3">
        <v>0.102935358810032</v>
      </c>
      <c r="Q39" s="3">
        <v>0.10171835931265601</v>
      </c>
      <c r="R39" s="3">
        <v>0.13038442047346699</v>
      </c>
      <c r="S39" s="3">
        <v>7.1926870339186905E-2</v>
      </c>
      <c r="T39" s="3">
        <v>3.8396299151889003E-2</v>
      </c>
    </row>
    <row r="40" spans="1:20" x14ac:dyDescent="0.25">
      <c r="A40" s="2" t="s">
        <v>125</v>
      </c>
      <c r="B40" s="2">
        <v>0.94484424502200504</v>
      </c>
      <c r="C40" s="2">
        <v>0.71626811187724904</v>
      </c>
      <c r="D40" s="2">
        <v>0.62073552609893301</v>
      </c>
      <c r="E40" s="2">
        <v>1.3613321355236101</v>
      </c>
      <c r="F40" s="2">
        <v>1.31787078809334</v>
      </c>
      <c r="G40" s="2">
        <v>0.60759263744248004</v>
      </c>
      <c r="H40" s="2">
        <v>0.43778885600041501</v>
      </c>
      <c r="I40" s="2">
        <v>0.43703414380106098</v>
      </c>
      <c r="J40" s="2">
        <v>0.65096651238769399</v>
      </c>
      <c r="K40" s="2">
        <v>0.45364180666162901</v>
      </c>
      <c r="L40" s="2">
        <v>0.44746241382174601</v>
      </c>
      <c r="M40" s="2">
        <v>0.71514177141186797</v>
      </c>
      <c r="N40" s="2">
        <v>0.62904109589041102</v>
      </c>
      <c r="O40" s="2">
        <v>0.90550239234449803</v>
      </c>
      <c r="P40" s="2">
        <v>0.46400204970535502</v>
      </c>
      <c r="Q40" s="2">
        <v>0.28011444921316198</v>
      </c>
      <c r="R40" s="2">
        <v>0.113270573944731</v>
      </c>
      <c r="S40" s="2">
        <v>0.19622863877430799</v>
      </c>
      <c r="T40" s="2">
        <v>0.15943060498220599</v>
      </c>
    </row>
    <row r="41" spans="1:20" x14ac:dyDescent="0.25">
      <c r="A41" s="2" t="s">
        <v>124</v>
      </c>
      <c r="B41" s="2">
        <v>0.18386746712343299</v>
      </c>
      <c r="C41" s="2">
        <v>0.13010083720113699</v>
      </c>
      <c r="D41" s="2">
        <v>9.1736910322990306E-2</v>
      </c>
      <c r="E41" s="2">
        <v>0.12382705264571001</v>
      </c>
      <c r="F41" s="2">
        <v>0.129949214809013</v>
      </c>
      <c r="G41" s="2">
        <v>0.10397239835882099</v>
      </c>
      <c r="H41" s="2">
        <v>6.0105802753438201E-2</v>
      </c>
      <c r="I41" s="2">
        <v>5.7654570671613302E-2</v>
      </c>
      <c r="J41" s="2">
        <v>6.72135202905558E-2</v>
      </c>
      <c r="K41" s="2">
        <v>5.7387838543390197E-2</v>
      </c>
      <c r="L41" s="2">
        <v>5.03429714221632E-2</v>
      </c>
      <c r="M41" s="2">
        <v>5.4984941789904297E-2</v>
      </c>
      <c r="N41" s="2">
        <v>4.6257991726212901E-2</v>
      </c>
      <c r="O41" s="2">
        <v>6.1954724763884597E-2</v>
      </c>
      <c r="P41" s="2">
        <v>3.7668739730016401E-2</v>
      </c>
      <c r="Q41" s="2">
        <v>2.8622383346977E-2</v>
      </c>
      <c r="R41" s="2">
        <v>1.52188991798931E-2</v>
      </c>
      <c r="S41" s="2">
        <v>1.7374517374517399E-2</v>
      </c>
      <c r="T41" s="2">
        <v>1.5099427030670701E-2</v>
      </c>
    </row>
    <row r="42" spans="1:20" x14ac:dyDescent="0.25">
      <c r="A42" s="2" t="s">
        <v>123</v>
      </c>
      <c r="B42" s="2">
        <v>2.0046687754729602</v>
      </c>
      <c r="C42" s="2">
        <v>1.57209963064684</v>
      </c>
      <c r="D42" s="2">
        <v>1.0835542403879701</v>
      </c>
      <c r="E42" s="2">
        <v>1.5182128288924399</v>
      </c>
      <c r="F42" s="2">
        <v>1.7801784464660599</v>
      </c>
      <c r="G42" s="2">
        <v>1.5896400142568601</v>
      </c>
      <c r="H42" s="2">
        <v>0.77383083207122905</v>
      </c>
      <c r="I42" s="2">
        <v>0.87523629489603005</v>
      </c>
      <c r="J42" s="2">
        <v>1.0415577626764201</v>
      </c>
      <c r="K42" s="2">
        <v>0.96155741744701795</v>
      </c>
      <c r="L42" s="2">
        <v>0.85766597675529399</v>
      </c>
      <c r="M42" s="2">
        <v>1.03097345132743</v>
      </c>
      <c r="N42" s="2">
        <v>1.0587150322779</v>
      </c>
      <c r="O42" s="2">
        <v>1.75312644742937</v>
      </c>
      <c r="P42" s="2">
        <v>1.67220683287165</v>
      </c>
      <c r="Q42" s="2">
        <v>1.7235915492957701</v>
      </c>
      <c r="R42" s="2">
        <v>0.98677248677248697</v>
      </c>
      <c r="S42" s="2">
        <v>1.1602787456446</v>
      </c>
      <c r="T42" s="2">
        <v>0.91056910569105698</v>
      </c>
    </row>
    <row r="43" spans="1:20" x14ac:dyDescent="0.25">
      <c r="A43" s="3" t="s">
        <v>122</v>
      </c>
      <c r="B43" s="3">
        <v>2.7153505810936701E-2</v>
      </c>
      <c r="C43" s="3">
        <v>3.4502217227125903E-2</v>
      </c>
      <c r="D43" s="3">
        <v>4.1794758039962798E-2</v>
      </c>
      <c r="E43" s="3">
        <v>3.8174414328878602E-2</v>
      </c>
      <c r="F43" s="3">
        <v>2.71528366062041E-2</v>
      </c>
      <c r="G43" s="3">
        <v>2.3850967715197499E-2</v>
      </c>
      <c r="H43" s="3">
        <v>2.4468669123990299E-2</v>
      </c>
      <c r="I43" s="3">
        <v>2.3264501668190999E-2</v>
      </c>
      <c r="J43" s="3">
        <v>2.3697615058527199E-2</v>
      </c>
      <c r="K43" s="3">
        <v>2.1877091192540499E-2</v>
      </c>
      <c r="L43" s="3">
        <v>1.9802627890024901E-2</v>
      </c>
      <c r="M43" s="3">
        <v>1.6822492920393801E-2</v>
      </c>
      <c r="N43" s="3">
        <v>1.52312899586311E-2</v>
      </c>
      <c r="O43" s="3">
        <v>1.3634949994270999E-2</v>
      </c>
      <c r="P43" s="3">
        <v>1.15855814630697E-2</v>
      </c>
      <c r="Q43" s="3">
        <v>1.23962109694773E-2</v>
      </c>
      <c r="R43" s="3">
        <v>1.39132563548084E-2</v>
      </c>
      <c r="S43" s="3">
        <v>1.4348325159136E-2</v>
      </c>
      <c r="T43" s="3">
        <v>1.24705089315807E-2</v>
      </c>
    </row>
    <row r="44" spans="1:20" x14ac:dyDescent="0.25">
      <c r="A44" s="2" t="s">
        <v>121</v>
      </c>
      <c r="B44" s="2">
        <v>79.538784531903602</v>
      </c>
      <c r="C44" s="2">
        <v>58.954538029116001</v>
      </c>
      <c r="D44" s="2">
        <v>36.0779599672586</v>
      </c>
      <c r="E44" s="2"/>
      <c r="F44" s="2">
        <v>31.832776439776701</v>
      </c>
      <c r="G44" s="2">
        <v>21.172863833218202</v>
      </c>
      <c r="H44" s="2">
        <v>12.874917159417199</v>
      </c>
      <c r="I44" s="2">
        <v>10.200015051151199</v>
      </c>
      <c r="J44" s="2">
        <v>4.5296709802648101</v>
      </c>
      <c r="K44" s="2">
        <v>3.3834403190370002</v>
      </c>
      <c r="L44" s="2">
        <v>1.43436763304243</v>
      </c>
      <c r="M44" s="2"/>
      <c r="N44" s="2">
        <v>0.84807360810453303</v>
      </c>
      <c r="O44" s="2"/>
      <c r="P44" s="2">
        <v>1.1583095492128701</v>
      </c>
      <c r="Q44" s="2">
        <v>1.49199929259504</v>
      </c>
      <c r="R44" s="2">
        <v>1.1927395611879299</v>
      </c>
      <c r="S44" s="2">
        <v>0.73606976726296602</v>
      </c>
      <c r="T44" s="2">
        <v>0.433472712357442</v>
      </c>
    </row>
    <row r="45" spans="1:20" x14ac:dyDescent="0.25">
      <c r="A45" s="3" t="s">
        <v>120</v>
      </c>
      <c r="B45" s="3">
        <v>0.10699097087482599</v>
      </c>
      <c r="C45" s="3">
        <v>0.13315849265857799</v>
      </c>
      <c r="D45" s="3">
        <v>8.2282654830245106E-2</v>
      </c>
      <c r="E45" s="3">
        <v>1.82684984395373E-2</v>
      </c>
      <c r="F45" s="3">
        <v>7.8175901512028301E-2</v>
      </c>
      <c r="G45" s="3">
        <v>0.10363556278482799</v>
      </c>
      <c r="H45" s="3">
        <v>8.78121520121104E-2</v>
      </c>
      <c r="I45" s="3">
        <v>0.117781713100109</v>
      </c>
      <c r="J45" s="3">
        <v>4.4609099676069901E-2</v>
      </c>
      <c r="K45" s="3">
        <v>6.8683496688087306E-2</v>
      </c>
      <c r="L45" s="3">
        <v>2.78952059084175E-2</v>
      </c>
      <c r="M45" s="3">
        <v>6.7383403997577198E-3</v>
      </c>
      <c r="N45" s="3">
        <v>2.7316163211833801E-2</v>
      </c>
      <c r="O45" s="3">
        <v>-5.0006477473849703E-3</v>
      </c>
      <c r="P45" s="3">
        <v>5.6823068125167402E-2</v>
      </c>
      <c r="Q45" s="3">
        <v>0.12782625165730199</v>
      </c>
      <c r="R45" s="3">
        <v>0.13671813274852501</v>
      </c>
      <c r="S45" s="3">
        <v>0.16786470677690099</v>
      </c>
      <c r="T45" s="3">
        <v>0.16943828529194399</v>
      </c>
    </row>
    <row r="46" spans="1:20" x14ac:dyDescent="0.25">
      <c r="A46" s="3" t="s">
        <v>119</v>
      </c>
      <c r="B46" s="3">
        <v>9.8870631845330501E-2</v>
      </c>
      <c r="C46" s="3">
        <v>9.9875593795198406E-2</v>
      </c>
      <c r="D46" s="3">
        <v>6.1170779568054903E-2</v>
      </c>
      <c r="E46" s="3">
        <v>-6.2389694927685703E-3</v>
      </c>
      <c r="F46" s="3">
        <v>8.3395197352469905E-2</v>
      </c>
      <c r="G46" s="3">
        <v>7.0820758506890805E-2</v>
      </c>
      <c r="H46" s="3">
        <v>5.6131172951633598E-2</v>
      </c>
      <c r="I46" s="3">
        <v>6.9956246961594595E-2</v>
      </c>
      <c r="J46" s="3">
        <v>2.6468509193727102E-2</v>
      </c>
      <c r="K46" s="3">
        <v>3.0102584937281001E-2</v>
      </c>
      <c r="L46" s="3">
        <v>9.9339955997066499E-3</v>
      </c>
      <c r="M46" s="3">
        <v>-4.7796596723652402E-3</v>
      </c>
      <c r="N46" s="3">
        <v>7.4337339591415896E-3</v>
      </c>
      <c r="O46" s="3">
        <v>-1.3320582006967701E-3</v>
      </c>
      <c r="P46" s="3">
        <v>2.7826777209384399E-2</v>
      </c>
      <c r="Q46" s="3">
        <v>6.8226236304412199E-2</v>
      </c>
      <c r="R46" s="3">
        <v>7.5091575091575102E-2</v>
      </c>
      <c r="S46" s="3">
        <v>8.3592534992223994E-2</v>
      </c>
      <c r="T46" s="3">
        <v>7.6330981398332304E-2</v>
      </c>
    </row>
    <row r="47" spans="1:20" x14ac:dyDescent="0.25">
      <c r="A47" s="2" t="s">
        <v>118</v>
      </c>
      <c r="B47" s="2">
        <v>-20.0815268393393</v>
      </c>
      <c r="C47" s="2">
        <v>-17.094122982908399</v>
      </c>
      <c r="D47" s="2">
        <v>-17.794084821428601</v>
      </c>
      <c r="E47" s="2">
        <v>-19.396751398567101</v>
      </c>
      <c r="F47" s="2">
        <v>-14.3544219367589</v>
      </c>
      <c r="G47" s="2">
        <v>-11.309100000000001</v>
      </c>
      <c r="H47" s="2">
        <v>-8.3306174089068801</v>
      </c>
      <c r="I47" s="2">
        <v>-5.8269250513347002</v>
      </c>
      <c r="J47" s="2">
        <v>-5.6998437500000003</v>
      </c>
      <c r="K47" s="2">
        <v>-2.7585706751054899</v>
      </c>
      <c r="L47" s="2">
        <v>-2.3761241970021398</v>
      </c>
      <c r="M47" s="2">
        <v>-1.9469155844155801</v>
      </c>
      <c r="N47" s="2">
        <v>-1.1690645514223199</v>
      </c>
      <c r="O47" s="2">
        <v>-0.81193269237014898</v>
      </c>
      <c r="P47" s="2">
        <v>-0.38860375275938203</v>
      </c>
      <c r="Q47" s="2">
        <v>-4.2477628635346799E-2</v>
      </c>
      <c r="R47" s="2">
        <v>-4.1974595842956097E-2</v>
      </c>
      <c r="S47" s="2">
        <v>2.95508274231678E-3</v>
      </c>
      <c r="T47" s="2">
        <v>-6.2772397094430998E-2</v>
      </c>
    </row>
    <row r="48" spans="1:20" x14ac:dyDescent="0.25">
      <c r="A48" s="1" t="s">
        <v>117</v>
      </c>
      <c r="B48" s="1">
        <v>11078</v>
      </c>
      <c r="C48" s="1">
        <v>11436</v>
      </c>
      <c r="D48" s="1">
        <v>7434</v>
      </c>
      <c r="E48" s="1">
        <v>-8602</v>
      </c>
      <c r="F48" s="1">
        <v>19314</v>
      </c>
      <c r="G48" s="1">
        <v>6348</v>
      </c>
      <c r="H48" s="1">
        <v>8522</v>
      </c>
      <c r="I48" s="1">
        <v>6710</v>
      </c>
      <c r="J48" s="1">
        <v>2314</v>
      </c>
      <c r="K48" s="1">
        <v>1965</v>
      </c>
      <c r="L48" s="1">
        <v>1818</v>
      </c>
      <c r="M48" s="1">
        <v>3238</v>
      </c>
      <c r="N48" s="1">
        <v>1645</v>
      </c>
      <c r="O48" s="1">
        <v>2294</v>
      </c>
      <c r="P48" s="1">
        <v>2594</v>
      </c>
      <c r="Q48" s="1">
        <v>3375</v>
      </c>
      <c r="R48" s="1">
        <v>2433</v>
      </c>
      <c r="S48" s="1">
        <v>1411</v>
      </c>
      <c r="T48" s="1">
        <v>1450</v>
      </c>
    </row>
    <row r="49" spans="1:20" x14ac:dyDescent="0.25">
      <c r="A49" s="1" t="s">
        <v>116</v>
      </c>
      <c r="B49" s="1">
        <v>378595</v>
      </c>
      <c r="C49" s="1">
        <v>254294</v>
      </c>
      <c r="D49" s="1">
        <v>171399</v>
      </c>
      <c r="E49" s="1">
        <v>119658</v>
      </c>
      <c r="F49" s="1">
        <v>117767</v>
      </c>
      <c r="G49" s="1">
        <v>73406</v>
      </c>
      <c r="H49" s="1">
        <v>43257</v>
      </c>
      <c r="I49" s="1">
        <v>24891</v>
      </c>
      <c r="J49" s="1">
        <v>10988</v>
      </c>
      <c r="K49" s="1">
        <v>14647</v>
      </c>
      <c r="L49" s="1">
        <v>8633</v>
      </c>
      <c r="M49" s="1">
        <v>6658</v>
      </c>
      <c r="N49" s="1">
        <v>6446</v>
      </c>
      <c r="O49" s="1">
        <v>4915</v>
      </c>
      <c r="P49" s="1">
        <v>5155</v>
      </c>
      <c r="Q49" s="1">
        <v>4952</v>
      </c>
      <c r="R49" s="1">
        <v>3456</v>
      </c>
      <c r="S49" s="1">
        <v>2074</v>
      </c>
      <c r="T49" s="1">
        <v>948</v>
      </c>
    </row>
    <row r="50" spans="1:20" x14ac:dyDescent="0.25">
      <c r="A50" s="1" t="s">
        <v>115</v>
      </c>
      <c r="B50" s="1">
        <v>-177894</v>
      </c>
      <c r="C50" s="1">
        <v>-148057</v>
      </c>
      <c r="D50" s="1">
        <v>-153628</v>
      </c>
      <c r="E50" s="1">
        <v>-169841</v>
      </c>
      <c r="F50" s="1">
        <v>-120724</v>
      </c>
      <c r="G50" s="1">
        <v>-95058</v>
      </c>
      <c r="H50" s="1">
        <v>-66854</v>
      </c>
      <c r="I50" s="1">
        <v>-43998</v>
      </c>
      <c r="J50" s="1">
        <v>-43404</v>
      </c>
      <c r="K50" s="1">
        <v>-18336</v>
      </c>
      <c r="L50" s="1">
        <v>-15658</v>
      </c>
      <c r="M50" s="1">
        <v>-12437</v>
      </c>
      <c r="N50" s="1">
        <v>-5788</v>
      </c>
      <c r="O50" s="1">
        <v>-3067</v>
      </c>
      <c r="P50" s="1">
        <v>-31</v>
      </c>
      <c r="Q50" s="1">
        <v>1814</v>
      </c>
      <c r="R50" s="1">
        <v>1241</v>
      </c>
      <c r="S50" s="1">
        <v>515</v>
      </c>
      <c r="T50" s="1">
        <v>-124</v>
      </c>
    </row>
    <row r="51" spans="1:20" x14ac:dyDescent="0.25">
      <c r="A51" s="1" t="s">
        <v>114</v>
      </c>
      <c r="B51" s="1">
        <v>61590</v>
      </c>
      <c r="C51" s="1">
        <v>53852</v>
      </c>
      <c r="D51" s="1">
        <v>47306.5</v>
      </c>
      <c r="E51" s="1">
        <v>37625.5</v>
      </c>
      <c r="F51" s="1">
        <v>28716.5</v>
      </c>
      <c r="G51" s="1">
        <v>22679</v>
      </c>
      <c r="H51" s="1">
        <v>18746.5</v>
      </c>
      <c r="I51" s="1">
        <v>14920.5</v>
      </c>
      <c r="J51" s="1">
        <v>10751.5</v>
      </c>
      <c r="K51" s="1">
        <v>6996.5</v>
      </c>
      <c r="L51" s="1">
        <v>5633</v>
      </c>
      <c r="M51" s="1">
        <v>5189.5</v>
      </c>
      <c r="N51" s="1">
        <v>4292</v>
      </c>
      <c r="O51" s="1">
        <v>3194</v>
      </c>
      <c r="P51" s="1">
        <v>2079</v>
      </c>
      <c r="Q51" s="1">
        <v>1287.5</v>
      </c>
      <c r="R51" s="1">
        <v>1321</v>
      </c>
      <c r="S51" s="1">
        <v>1532</v>
      </c>
      <c r="T51" s="1">
        <v>904.5</v>
      </c>
    </row>
    <row r="52" spans="1:20" x14ac:dyDescent="0.25">
      <c r="A52" s="1" t="s">
        <v>113</v>
      </c>
      <c r="B52" s="1">
        <v>108136</v>
      </c>
      <c r="C52" s="1">
        <v>89672</v>
      </c>
      <c r="D52" s="1">
        <v>82290.5</v>
      </c>
      <c r="E52" s="1">
        <v>79132</v>
      </c>
      <c r="F52" s="1">
        <v>75601.5</v>
      </c>
      <c r="G52" s="1">
        <v>59861</v>
      </c>
      <c r="H52" s="1">
        <v>42687.5</v>
      </c>
      <c r="I52" s="1">
        <v>36404</v>
      </c>
      <c r="J52" s="1">
        <v>29962.5</v>
      </c>
      <c r="K52" s="1">
        <v>22853</v>
      </c>
      <c r="L52" s="1">
        <v>18428</v>
      </c>
      <c r="M52" s="1">
        <v>15796</v>
      </c>
      <c r="N52" s="1">
        <v>14225.5</v>
      </c>
      <c r="O52" s="1">
        <v>12231.5</v>
      </c>
      <c r="P52" s="1">
        <v>9598</v>
      </c>
      <c r="Q52" s="1">
        <v>6828</v>
      </c>
      <c r="R52" s="1">
        <v>4599.5</v>
      </c>
      <c r="S52" s="1">
        <v>3194.5</v>
      </c>
      <c r="T52" s="1">
        <v>2305.5</v>
      </c>
    </row>
    <row r="53" spans="1:20" x14ac:dyDescent="0.25">
      <c r="A53" s="1" t="s">
        <v>112</v>
      </c>
      <c r="B53" s="1">
        <v>36269.5</v>
      </c>
      <c r="C53" s="1">
        <v>33766</v>
      </c>
      <c r="D53" s="1">
        <v>33861.5</v>
      </c>
      <c r="E53" s="1">
        <v>33522.5</v>
      </c>
      <c r="F53" s="1">
        <v>28217.5</v>
      </c>
      <c r="G53" s="1">
        <v>22146</v>
      </c>
      <c r="H53" s="1">
        <v>18835.5</v>
      </c>
      <c r="I53" s="1">
        <v>16610.5</v>
      </c>
      <c r="J53" s="1">
        <v>13754</v>
      </c>
      <c r="K53" s="1">
        <v>10852</v>
      </c>
      <c r="L53" s="1">
        <v>9271</v>
      </c>
      <c r="M53" s="1">
        <v>7855</v>
      </c>
      <c r="N53" s="1">
        <v>6721</v>
      </c>
      <c r="O53" s="1">
        <v>5511.5</v>
      </c>
      <c r="P53" s="1">
        <v>4097</v>
      </c>
      <c r="Q53" s="1">
        <v>2686.5</v>
      </c>
      <c r="R53" s="1">
        <v>1785</v>
      </c>
      <c r="S53" s="1">
        <v>1299.5</v>
      </c>
      <c r="T53" s="1">
        <v>1038.5</v>
      </c>
    </row>
    <row r="54" spans="1:20" x14ac:dyDescent="0.25">
      <c r="A54" s="2" t="s">
        <v>111</v>
      </c>
      <c r="B54" s="2">
        <v>34.482155709670764</v>
      </c>
      <c r="C54" s="2">
        <v>31.725573273517579</v>
      </c>
      <c r="D54" s="2">
        <v>33.18170272362709</v>
      </c>
      <c r="E54" s="2">
        <v>30.081539661817608</v>
      </c>
      <c r="F54" s="2">
        <v>25.552688039299991</v>
      </c>
      <c r="G54" s="2">
        <v>23.202966347548593</v>
      </c>
      <c r="H54" s="2">
        <v>27.084649332316182</v>
      </c>
      <c r="I54" s="2">
        <v>26.137590333509383</v>
      </c>
      <c r="J54" s="2">
        <v>27.013931836326222</v>
      </c>
      <c r="K54" s="2">
        <v>22.382543919639378</v>
      </c>
      <c r="L54" s="2">
        <v>19.285927891893913</v>
      </c>
      <c r="M54" s="2">
        <v>23.018609250685486</v>
      </c>
      <c r="N54" s="2">
        <v>23.370157954118088</v>
      </c>
      <c r="O54" s="2">
        <v>22.804658471510646</v>
      </c>
      <c r="P54" s="2">
        <v>19.519000769598769</v>
      </c>
      <c r="Q54" s="2">
        <v>16.935299964916382</v>
      </c>
      <c r="R54" s="2">
        <v>14.713778611938471</v>
      </c>
      <c r="S54" s="2">
        <v>31.499008661170823</v>
      </c>
      <c r="T54" s="2">
        <v>34.691607684529828</v>
      </c>
    </row>
    <row r="55" spans="1:20" x14ac:dyDescent="0.25">
      <c r="A55" s="2" t="s">
        <v>110</v>
      </c>
      <c r="B55" s="2">
        <v>124.8457832745066</v>
      </c>
      <c r="C55" s="2">
        <v>105.5585709557201</v>
      </c>
      <c r="D55" s="2">
        <v>101.78567561093263</v>
      </c>
      <c r="E55" s="2">
        <v>100.59169548975007</v>
      </c>
      <c r="F55" s="2">
        <v>105.42681314807743</v>
      </c>
      <c r="G55" s="2">
        <v>113.48452896826927</v>
      </c>
      <c r="H55" s="2">
        <v>104.03655398221535</v>
      </c>
      <c r="I55" s="2">
        <v>100.1759176751272</v>
      </c>
      <c r="J55" s="2">
        <v>112.87758857898403</v>
      </c>
      <c r="K55" s="2">
        <v>104.65966124738006</v>
      </c>
      <c r="L55" s="2">
        <v>103.9051094890511</v>
      </c>
      <c r="M55" s="2">
        <v>95.73455826109128</v>
      </c>
      <c r="N55" s="2">
        <v>101.946161938687</v>
      </c>
      <c r="O55" s="2">
        <v>105.74209827935002</v>
      </c>
      <c r="P55" s="2">
        <v>109.09474898090538</v>
      </c>
      <c r="Q55" s="2">
        <v>110.63645947065245</v>
      </c>
      <c r="R55" s="2">
        <v>107.79982084518916</v>
      </c>
      <c r="S55" s="2">
        <v>88.064581095596125</v>
      </c>
      <c r="T55" s="2">
        <v>88.849939035011332</v>
      </c>
    </row>
    <row r="56" spans="1:20" x14ac:dyDescent="0.25">
      <c r="A56" s="2" t="s">
        <v>109</v>
      </c>
      <c r="B56" s="2">
        <v>39.248247824159542</v>
      </c>
      <c r="C56" s="2">
        <v>38.273273917520719</v>
      </c>
      <c r="D56" s="2">
        <v>39.906510161154294</v>
      </c>
      <c r="E56" s="2">
        <v>43.4781065744328</v>
      </c>
      <c r="F56" s="2">
        <v>43.74467585112945</v>
      </c>
      <c r="G56" s="2">
        <v>37.226379834295585</v>
      </c>
      <c r="H56" s="2">
        <v>45.195033104581483</v>
      </c>
      <c r="I56" s="2">
        <v>45.046638305211417</v>
      </c>
      <c r="J56" s="2">
        <v>52.326862258116385</v>
      </c>
      <c r="K56" s="2">
        <v>47.394380558545294</v>
      </c>
      <c r="L56" s="2">
        <v>52.179243834698752</v>
      </c>
      <c r="M56" s="2">
        <v>48.271529194288625</v>
      </c>
      <c r="N56" s="2">
        <v>49.925527398903675</v>
      </c>
      <c r="O56" s="2">
        <v>47.88486219573209</v>
      </c>
      <c r="P56" s="2">
        <v>48.865050418365158</v>
      </c>
      <c r="Q56" s="2">
        <v>44.001731862505174</v>
      </c>
      <c r="R56" s="2">
        <v>41.754399831383708</v>
      </c>
      <c r="S56" s="2">
        <v>34.280008055853919</v>
      </c>
      <c r="T56" s="2">
        <v>38.14666434419091</v>
      </c>
    </row>
    <row r="57" spans="1:20" x14ac:dyDescent="0.25">
      <c r="A57" s="2" t="s">
        <v>108</v>
      </c>
      <c r="B57" s="2">
        <v>10.585185075816858</v>
      </c>
      <c r="C57" s="2">
        <v>11.504914248615895</v>
      </c>
      <c r="D57" s="2">
        <v>11.000038275314337</v>
      </c>
      <c r="E57" s="2">
        <v>12.133687440982058</v>
      </c>
      <c r="F57" s="2">
        <v>14.284211486424859</v>
      </c>
      <c r="G57" s="2">
        <v>15.730747290359384</v>
      </c>
      <c r="H57" s="2">
        <v>13.476268255188316</v>
      </c>
      <c r="I57" s="2">
        <v>13.964561971577622</v>
      </c>
      <c r="J57" s="2">
        <v>13.511546642357946</v>
      </c>
      <c r="K57" s="2">
        <v>16.307351001319102</v>
      </c>
      <c r="L57" s="2">
        <v>18.925716307039263</v>
      </c>
      <c r="M57" s="2">
        <v>15.856735566642907</v>
      </c>
      <c r="N57" s="2">
        <v>15.618208516886931</v>
      </c>
      <c r="O57" s="2">
        <v>16.005501702908042</v>
      </c>
      <c r="P57" s="2">
        <v>18.699727732399843</v>
      </c>
      <c r="Q57" s="2">
        <v>21.5526149968494</v>
      </c>
      <c r="R57" s="2">
        <v>24.806680161943319</v>
      </c>
      <c r="S57" s="2">
        <v>11.587666263603385</v>
      </c>
      <c r="T57" s="2">
        <v>10.521276595744681</v>
      </c>
    </row>
    <row r="58" spans="1:20" x14ac:dyDescent="0.25">
      <c r="A58" s="2" t="s">
        <v>107</v>
      </c>
      <c r="B58" s="2">
        <v>2.9236069527270341</v>
      </c>
      <c r="C58" s="2">
        <v>3.4577959581615674</v>
      </c>
      <c r="D58" s="2">
        <v>3.5859662748143704</v>
      </c>
      <c r="E58" s="2">
        <v>3.6285301507537691</v>
      </c>
      <c r="F58" s="2">
        <v>3.4621173599105055</v>
      </c>
      <c r="G58" s="2">
        <v>3.2162974399977942</v>
      </c>
      <c r="H58" s="2">
        <v>3.5083822563211324</v>
      </c>
      <c r="I58" s="2">
        <v>3.643590280687055</v>
      </c>
      <c r="J58" s="2">
        <v>3.2335914028195054</v>
      </c>
      <c r="K58" s="2">
        <v>3.4874945671500255</v>
      </c>
      <c r="L58" s="2">
        <v>3.5128205128205128</v>
      </c>
      <c r="M58" s="2">
        <v>3.8126253113797923</v>
      </c>
      <c r="N58" s="2">
        <v>3.5803211524482919</v>
      </c>
      <c r="O58" s="2">
        <v>3.4517945637483107</v>
      </c>
      <c r="P58" s="2">
        <v>3.3457155675190666</v>
      </c>
      <c r="Q58" s="2">
        <v>3.2990932803378463</v>
      </c>
      <c r="R58" s="2">
        <v>3.3859054415700269</v>
      </c>
      <c r="S58" s="2">
        <v>4.1446855870895938</v>
      </c>
      <c r="T58" s="2">
        <v>4.1080500894454381</v>
      </c>
    </row>
    <row r="59" spans="1:20" x14ac:dyDescent="0.25">
      <c r="A59" s="2" t="s">
        <v>106</v>
      </c>
      <c r="B59" s="2">
        <v>9.2997782126549247</v>
      </c>
      <c r="C59" s="2">
        <v>9.5366808908633889</v>
      </c>
      <c r="D59" s="2">
        <v>9.1463773335734437</v>
      </c>
      <c r="E59" s="2">
        <v>8.3950297921813686</v>
      </c>
      <c r="F59" s="2">
        <v>8.3438725490196077</v>
      </c>
      <c r="G59" s="2">
        <v>9.8048749737339769</v>
      </c>
      <c r="H59" s="2">
        <v>8.0761086988339752</v>
      </c>
      <c r="I59" s="2">
        <v>8.1027134039827651</v>
      </c>
      <c r="J59" s="2">
        <v>6.9753848071290587</v>
      </c>
      <c r="K59" s="2">
        <v>7.7013349620451965</v>
      </c>
      <c r="L59" s="2">
        <v>6.9951186175925022</v>
      </c>
      <c r="M59" s="2">
        <v>7.5613929389083019</v>
      </c>
      <c r="N59" s="2">
        <v>7.3108892187289163</v>
      </c>
      <c r="O59" s="2">
        <v>7.6224506715304265</v>
      </c>
      <c r="P59" s="2">
        <v>7.4695512820512819</v>
      </c>
      <c r="Q59" s="2">
        <v>8.2951280449718929</v>
      </c>
      <c r="R59" s="2">
        <v>8.7415937356057114</v>
      </c>
      <c r="S59" s="2">
        <v>10.647605432451751</v>
      </c>
      <c r="T59" s="2">
        <v>9.5683333333333334</v>
      </c>
    </row>
    <row r="60" spans="1:20" x14ac:dyDescent="0.25">
      <c r="A60" s="3" t="s">
        <v>105</v>
      </c>
      <c r="B60" s="3">
        <v>0.18894821986790411</v>
      </c>
      <c r="C60" s="3">
        <v>0.20718257159841941</v>
      </c>
      <c r="D60" s="3">
        <v>0.15071207430340558</v>
      </c>
      <c r="E60" s="3">
        <v>-1.8638346240490815E-2</v>
      </c>
      <c r="F60" s="3">
        <v>0.2413396506202756</v>
      </c>
      <c r="G60" s="3">
        <v>0.22837351719412444</v>
      </c>
      <c r="H60" s="3">
        <v>0.1867225265871737</v>
      </c>
      <c r="I60" s="3">
        <v>0.231302670555007</v>
      </c>
      <c r="J60" s="3">
        <v>0.10945902053484427</v>
      </c>
      <c r="K60" s="3">
        <v>0.12294529427015816</v>
      </c>
      <c r="L60" s="3">
        <v>4.4530783024506873E-2</v>
      </c>
      <c r="M60" s="3">
        <v>-2.2437389442323805E-2</v>
      </c>
      <c r="N60" s="3">
        <v>2.8114098091524729E-2</v>
      </c>
      <c r="O60" s="3">
        <v>-4.7607421875E-3</v>
      </c>
      <c r="P60" s="3">
        <v>8.1345881139615828E-2</v>
      </c>
      <c r="Q60" s="3">
        <v>0.16783216783216784</v>
      </c>
      <c r="R60" s="3">
        <v>0.17158074947688795</v>
      </c>
      <c r="S60" s="3">
        <v>0.24139221556886228</v>
      </c>
      <c r="T60" s="3">
        <v>0.39766081871345027</v>
      </c>
    </row>
    <row r="61" spans="1:20" x14ac:dyDescent="0.25">
      <c r="A61" s="2" t="s">
        <v>104</v>
      </c>
      <c r="B61" s="2">
        <v>12.370401651651651</v>
      </c>
      <c r="C61" s="2">
        <v>7.9250453547216653</v>
      </c>
      <c r="D61" s="2">
        <v>5.1173330745341614</v>
      </c>
      <c r="E61" s="2">
        <v>6.246442241633134</v>
      </c>
      <c r="F61" s="2">
        <v>6.0329051383399213</v>
      </c>
      <c r="G61" s="2">
        <v>4.0140000000000002</v>
      </c>
      <c r="H61" s="2">
        <v>1.706578947368421</v>
      </c>
      <c r="I61" s="2">
        <v>1.3785420944558522</v>
      </c>
      <c r="J61" s="2">
        <v>1.2453125</v>
      </c>
      <c r="K61" s="2">
        <v>0.8232067510548523</v>
      </c>
      <c r="L61" s="2">
        <v>0.57676659528907925</v>
      </c>
      <c r="M61" s="2">
        <v>0.52954545454545454</v>
      </c>
      <c r="N61" s="2">
        <v>0.37680525164113787</v>
      </c>
      <c r="O61" s="2">
        <v>0.43673076926436388</v>
      </c>
      <c r="P61" s="2">
        <v>0.1998896247240618</v>
      </c>
      <c r="Q61" s="2">
        <v>0.10950782997762863</v>
      </c>
      <c r="R61" s="2">
        <v>4.3071593533487301E-2</v>
      </c>
      <c r="S61" s="2">
        <v>3.9361702127659576E-2</v>
      </c>
      <c r="T61" s="2">
        <v>2.7118644067796609E-2</v>
      </c>
    </row>
  </sheetData>
  <mergeCells count="1">
    <mergeCell ref="B4:T4"/>
  </mergeCells>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2D268A-2FE6-46BB-BF2D-AF547205D2FC}">
  <sheetPr>
    <tabColor rgb="FFC6E0B4"/>
  </sheetPr>
  <dimension ref="A1:T40"/>
  <sheetViews>
    <sheetView workbookViewId="0"/>
  </sheetViews>
  <sheetFormatPr defaultRowHeight="15" x14ac:dyDescent="0.25"/>
  <cols>
    <col min="1" max="1" width="41.140625" bestFit="1" customWidth="1"/>
    <col min="2" max="2" width="15.5703125" bestFit="1" customWidth="1"/>
    <col min="3" max="19" width="10.42578125" bestFit="1" customWidth="1"/>
    <col min="20" max="20" width="11.140625" bestFit="1" customWidth="1"/>
  </cols>
  <sheetData>
    <row r="1" spans="1:20" x14ac:dyDescent="0.25">
      <c r="A1" s="10" t="s">
        <v>160</v>
      </c>
      <c r="B1" s="10"/>
      <c r="C1" s="10"/>
      <c r="D1" s="10"/>
      <c r="E1" s="10"/>
      <c r="F1" s="10"/>
      <c r="G1" s="10"/>
      <c r="H1" s="10"/>
      <c r="I1" s="10"/>
      <c r="J1" s="10"/>
      <c r="K1" s="10"/>
      <c r="L1" s="10"/>
      <c r="M1" s="10"/>
      <c r="N1" s="10"/>
      <c r="O1" s="10"/>
      <c r="P1" s="10"/>
      <c r="Q1" s="10"/>
      <c r="R1" s="10"/>
      <c r="S1" s="10"/>
      <c r="T1" s="10"/>
    </row>
    <row r="2" spans="1:20" x14ac:dyDescent="0.25">
      <c r="A2" t="s">
        <v>1</v>
      </c>
      <c r="B2" t="s">
        <v>196</v>
      </c>
    </row>
    <row r="3" spans="1:20" x14ac:dyDescent="0.25">
      <c r="A3" t="s">
        <v>3</v>
      </c>
      <c r="B3" t="str">
        <f>'AMZN - Income Statement FY'!B3</f>
        <v>USD</v>
      </c>
    </row>
    <row r="4" spans="1:20" x14ac:dyDescent="0.25">
      <c r="A4" t="s">
        <v>32</v>
      </c>
      <c r="B4" s="236" t="s">
        <v>33</v>
      </c>
      <c r="C4" s="236"/>
      <c r="D4" s="236"/>
      <c r="E4" s="236"/>
      <c r="F4" s="236"/>
      <c r="G4" s="236"/>
      <c r="H4" s="236"/>
      <c r="I4" s="236"/>
      <c r="J4" s="236"/>
      <c r="K4" s="236"/>
      <c r="L4" s="236"/>
      <c r="M4" s="236"/>
      <c r="N4" s="236"/>
      <c r="O4" s="236"/>
      <c r="P4" s="236"/>
      <c r="Q4" s="236"/>
      <c r="R4" s="236"/>
      <c r="S4" s="236"/>
      <c r="T4" s="236"/>
    </row>
    <row r="5" spans="1:20" x14ac:dyDescent="0.25">
      <c r="A5" t="s">
        <v>34</v>
      </c>
      <c r="B5" s="8">
        <v>46022</v>
      </c>
      <c r="C5" s="8">
        <v>45657</v>
      </c>
      <c r="D5" s="8">
        <v>45291</v>
      </c>
      <c r="E5" s="8">
        <v>44926</v>
      </c>
      <c r="F5" s="8">
        <v>44561</v>
      </c>
      <c r="G5" s="8">
        <v>44196</v>
      </c>
      <c r="H5" s="8">
        <v>43830</v>
      </c>
      <c r="I5" s="8">
        <v>43465</v>
      </c>
      <c r="J5" s="8">
        <v>43100</v>
      </c>
      <c r="K5" s="8">
        <v>42735</v>
      </c>
      <c r="L5" s="8">
        <v>42369</v>
      </c>
      <c r="M5" s="8">
        <v>42004</v>
      </c>
      <c r="N5" s="8">
        <v>41639</v>
      </c>
      <c r="O5" s="8">
        <v>41274</v>
      </c>
      <c r="P5" s="8">
        <v>40908</v>
      </c>
      <c r="Q5" s="8">
        <v>40543</v>
      </c>
      <c r="R5" s="8">
        <v>40178</v>
      </c>
      <c r="S5" s="8">
        <v>39813</v>
      </c>
      <c r="T5" s="8">
        <v>39447</v>
      </c>
    </row>
    <row r="7" spans="1:20" x14ac:dyDescent="0.25">
      <c r="A7" s="3" t="s">
        <v>194</v>
      </c>
      <c r="B7" s="3">
        <v>0.12377754683294695</v>
      </c>
      <c r="C7" s="3">
        <v>0.10990892246666145</v>
      </c>
      <c r="D7" s="3">
        <v>0.11829574129883673</v>
      </c>
      <c r="E7" s="3">
        <v>9.3995172639850841E-2</v>
      </c>
      <c r="F7" s="3">
        <v>0.21695366571345684</v>
      </c>
      <c r="G7" s="3">
        <v>0.37623430604373276</v>
      </c>
      <c r="H7" s="3">
        <v>0.2045412582067698</v>
      </c>
      <c r="I7" s="3">
        <v>0.3093396152159491</v>
      </c>
      <c r="J7" s="3">
        <v>0.30796326119408474</v>
      </c>
      <c r="K7" s="3">
        <v>0.27083528026465803</v>
      </c>
      <c r="L7" s="3">
        <v>0.20247673843664316</v>
      </c>
      <c r="M7" s="3">
        <v>0.19523988610111212</v>
      </c>
      <c r="N7" s="3">
        <v>0.21866662301736697</v>
      </c>
      <c r="O7" s="3">
        <v>0.27073236682821306</v>
      </c>
      <c r="P7" s="3">
        <v>0.40559583674424043</v>
      </c>
      <c r="Q7" s="3">
        <v>0.3955689746623689</v>
      </c>
      <c r="R7" s="3">
        <v>0.27877491391004905</v>
      </c>
      <c r="S7" s="3">
        <v>0.29194472531176274</v>
      </c>
      <c r="T7" s="3">
        <v>0.38502474092054895</v>
      </c>
    </row>
    <row r="8" spans="1:20" x14ac:dyDescent="0.25">
      <c r="A8" s="3" t="s">
        <v>193</v>
      </c>
      <c r="B8" s="3">
        <v>0.15670049507333053</v>
      </c>
      <c r="C8" s="3">
        <v>0.15414040570865703</v>
      </c>
      <c r="D8" s="3">
        <v>0.19939418703808984</v>
      </c>
      <c r="E8" s="3">
        <v>0.14013712919920193</v>
      </c>
      <c r="F8" s="3">
        <v>0.29275908796323574</v>
      </c>
      <c r="G8" s="3">
        <v>0.32848346755257163</v>
      </c>
      <c r="H8" s="3">
        <v>0.22676595790080123</v>
      </c>
      <c r="I8" s="3">
        <v>0.42163137778317056</v>
      </c>
      <c r="J8" s="3">
        <v>0.38158501320145843</v>
      </c>
      <c r="K8" s="3">
        <v>0.34979493706689296</v>
      </c>
      <c r="L8" s="3">
        <v>0.34757584997713065</v>
      </c>
      <c r="M8" s="3">
        <v>0.29426273987469787</v>
      </c>
      <c r="N8" s="3">
        <v>0.3404972887184235</v>
      </c>
      <c r="O8" s="3">
        <v>0.40161275373065158</v>
      </c>
      <c r="P8" s="3">
        <v>0.41161847442103888</v>
      </c>
      <c r="Q8" s="3">
        <v>0.38184776713071777</v>
      </c>
      <c r="R8" s="3">
        <v>0.29531615925058546</v>
      </c>
      <c r="S8" s="3">
        <v>0.27348643006263046</v>
      </c>
      <c r="T8" s="3">
        <v>0.36522801302931596</v>
      </c>
    </row>
    <row r="9" spans="1:20" x14ac:dyDescent="0.25">
      <c r="A9" s="3" t="s">
        <v>192</v>
      </c>
      <c r="B9" s="3">
        <v>0.40221064488876374</v>
      </c>
      <c r="C9" s="3">
        <v>0.74329266795944915</v>
      </c>
      <c r="D9" s="3">
        <v>12.414681983748949</v>
      </c>
      <c r="E9" s="3">
        <v>-1.0893143143143142</v>
      </c>
      <c r="F9" s="3">
        <v>0.54733785091965148</v>
      </c>
      <c r="G9" s="3">
        <v>0.65799948638931693</v>
      </c>
      <c r="H9" s="3">
        <v>0.22858495030761949</v>
      </c>
      <c r="I9" s="3">
        <v>1.7241082939406962</v>
      </c>
      <c r="J9" s="3">
        <v>6.3528336380255943E-2</v>
      </c>
      <c r="K9" s="3">
        <v>1.1588554514060188</v>
      </c>
      <c r="L9" s="3">
        <v>19.474747474747474</v>
      </c>
      <c r="M9" s="3">
        <v>-0.84698608964451316</v>
      </c>
      <c r="N9" s="3">
        <v>1.7295597484276729E-2</v>
      </c>
      <c r="O9" s="3">
        <v>-0.36336336336336339</v>
      </c>
      <c r="P9" s="3">
        <v>-0.349609375</v>
      </c>
      <c r="Q9" s="3">
        <v>0.28535564853556483</v>
      </c>
      <c r="R9" s="3">
        <v>0.22942386831275721</v>
      </c>
      <c r="S9" s="3">
        <v>0.31886024423337855</v>
      </c>
      <c r="T9" s="3">
        <v>0.6197802197802198</v>
      </c>
    </row>
    <row r="10" spans="1:20" x14ac:dyDescent="0.25">
      <c r="A10" s="3" t="s">
        <v>191</v>
      </c>
      <c r="B10" s="3">
        <v>0.16593529952035921</v>
      </c>
      <c r="C10" s="3">
        <v>0.86131010528600893</v>
      </c>
      <c r="D10" s="3">
        <v>2.0088177661659046</v>
      </c>
      <c r="E10" s="3">
        <v>-0.50769725471281002</v>
      </c>
      <c r="F10" s="3">
        <v>8.6466657932660812E-2</v>
      </c>
      <c r="G10" s="3">
        <v>0.57478852898700228</v>
      </c>
      <c r="H10" s="3">
        <v>0.17067868931648014</v>
      </c>
      <c r="I10" s="3">
        <v>2.02508524111057</v>
      </c>
      <c r="J10" s="3">
        <v>-5.6742476453020906E-2</v>
      </c>
      <c r="K10" s="3">
        <v>0.94939543215405287</v>
      </c>
      <c r="L10" s="3">
        <v>11.544943820224718</v>
      </c>
      <c r="M10" s="3">
        <v>-0.76107382550335567</v>
      </c>
      <c r="N10" s="3">
        <v>0.10207100591715976</v>
      </c>
      <c r="O10" s="3">
        <v>-0.21577726218097448</v>
      </c>
      <c r="P10" s="3">
        <v>-0.38691322901849218</v>
      </c>
      <c r="Q10" s="3">
        <v>0.24534986713906112</v>
      </c>
      <c r="R10" s="3">
        <v>0.34085510688836107</v>
      </c>
      <c r="S10" s="3">
        <v>0.28549618320610687</v>
      </c>
      <c r="T10" s="3">
        <v>0.68380462724935731</v>
      </c>
    </row>
    <row r="11" spans="1:20" x14ac:dyDescent="0.25">
      <c r="A11" s="3" t="s">
        <v>190</v>
      </c>
      <c r="B11" s="3">
        <v>0.31093032676208482</v>
      </c>
      <c r="C11" s="3">
        <v>0.9473459326211997</v>
      </c>
      <c r="D11" s="3">
        <v>12.177443056576047</v>
      </c>
      <c r="E11" s="3">
        <v>-1.0815849418534949</v>
      </c>
      <c r="F11" s="3">
        <v>0.56410857437532225</v>
      </c>
      <c r="G11" s="3">
        <v>0.84078356920952713</v>
      </c>
      <c r="H11" s="3">
        <v>0.15040206492603991</v>
      </c>
      <c r="I11" s="3">
        <v>2.3211341905703922</v>
      </c>
      <c r="J11" s="3">
        <v>0.27920708561788277</v>
      </c>
      <c r="K11" s="3">
        <v>2.9781879194630871</v>
      </c>
      <c r="L11" s="3">
        <v>3.4730290456431536</v>
      </c>
      <c r="M11" s="3">
        <v>-1.8795620437956204</v>
      </c>
      <c r="N11" s="3">
        <v>8.0256410256410255</v>
      </c>
      <c r="O11" s="3">
        <v>-1.0618066561014263</v>
      </c>
      <c r="P11" s="3">
        <v>-0.45225694444444442</v>
      </c>
      <c r="Q11" s="3">
        <v>0.27716186252771619</v>
      </c>
      <c r="R11" s="3">
        <v>0.39844961240310078</v>
      </c>
      <c r="S11" s="3">
        <v>0.3550420168067227</v>
      </c>
      <c r="T11" s="3">
        <v>1.5052631578947369</v>
      </c>
    </row>
    <row r="12" spans="1:20" x14ac:dyDescent="0.25">
      <c r="A12" s="3" t="s">
        <v>189</v>
      </c>
      <c r="B12" s="3">
        <v>0.28798586572438162</v>
      </c>
      <c r="C12" s="3">
        <v>0.91864406779661012</v>
      </c>
      <c r="D12" s="3">
        <v>11.925925925925926</v>
      </c>
      <c r="E12" s="3">
        <v>-1.0818181818181818</v>
      </c>
      <c r="F12" s="3">
        <v>0.54929577464788737</v>
      </c>
      <c r="G12" s="3">
        <v>0.82051282051282048</v>
      </c>
      <c r="H12" s="3">
        <v>0.13592233009708729</v>
      </c>
      <c r="I12" s="3">
        <v>2.21875</v>
      </c>
      <c r="J12" s="3">
        <v>0.28000000000000003</v>
      </c>
      <c r="K12" s="3">
        <v>2.90625</v>
      </c>
      <c r="L12" s="3">
        <v>3.4615384615384617</v>
      </c>
      <c r="M12" s="3">
        <v>-1.8666666666666665</v>
      </c>
      <c r="N12" s="3">
        <v>7.6666666666666661</v>
      </c>
      <c r="O12" s="3">
        <v>-1.064748201438849</v>
      </c>
      <c r="P12" s="3">
        <v>-0.46538461538461534</v>
      </c>
      <c r="Q12" s="3">
        <v>0.3</v>
      </c>
      <c r="R12" s="3">
        <v>0.31578947368421062</v>
      </c>
      <c r="S12" s="3">
        <v>0.32173913043478253</v>
      </c>
      <c r="T12" s="3">
        <v>1.5000000000000002</v>
      </c>
    </row>
    <row r="13" spans="1:20" x14ac:dyDescent="0.25">
      <c r="A13" s="3" t="s">
        <v>188</v>
      </c>
      <c r="B13" s="3">
        <v>0.29656419529837247</v>
      </c>
      <c r="C13" s="3">
        <v>0.90689655172413808</v>
      </c>
      <c r="D13" s="3">
        <v>11.74074074074074</v>
      </c>
      <c r="E13" s="3">
        <v>-1.0833333333333333</v>
      </c>
      <c r="F13" s="3">
        <v>0.55023923444976097</v>
      </c>
      <c r="G13" s="3">
        <v>0.81739130434782614</v>
      </c>
      <c r="H13" s="3">
        <v>0.13861386138613851</v>
      </c>
      <c r="I13" s="3">
        <v>2.258064516129032</v>
      </c>
      <c r="J13" s="3">
        <v>0.24</v>
      </c>
      <c r="K13" s="3">
        <v>3</v>
      </c>
      <c r="L13" s="3">
        <v>3.4038461538461537</v>
      </c>
      <c r="M13" s="3">
        <v>-1.8813559322033897</v>
      </c>
      <c r="N13" s="3">
        <v>7.5555555555555554</v>
      </c>
      <c r="O13" s="3">
        <v>-1.0656934306569343</v>
      </c>
      <c r="P13" s="3">
        <v>-0.47307692307692306</v>
      </c>
      <c r="Q13" s="3">
        <v>0.3</v>
      </c>
      <c r="R13" s="3">
        <v>0.34228187919463099</v>
      </c>
      <c r="S13" s="3">
        <v>0.33035714285714279</v>
      </c>
      <c r="T13" s="3">
        <v>1.4888888888888889</v>
      </c>
    </row>
    <row r="14" spans="1:20" x14ac:dyDescent="0.25">
      <c r="A14" s="3" t="s">
        <v>187</v>
      </c>
      <c r="B14" s="3">
        <v>1.7473503294185046E-2</v>
      </c>
      <c r="C14" s="3">
        <v>1.6401397515527952E-2</v>
      </c>
      <c r="D14" s="3">
        <v>1.1286681715575621E-2</v>
      </c>
      <c r="E14" s="3">
        <v>6.8181818181818179E-3</v>
      </c>
      <c r="F14" s="3">
        <v>1.2E-2</v>
      </c>
      <c r="G14" s="3">
        <v>1.2145748987854251E-2</v>
      </c>
      <c r="H14" s="3">
        <v>1.4373716632443531E-2</v>
      </c>
      <c r="I14" s="3">
        <v>1.4583333333333334E-2</v>
      </c>
      <c r="J14" s="3">
        <v>1.2658227848101266E-2</v>
      </c>
      <c r="K14" s="3">
        <v>1.4989293361884369E-2</v>
      </c>
      <c r="L14" s="3">
        <v>1.0822510822510822E-2</v>
      </c>
      <c r="M14" s="3">
        <v>1.0940919037199124E-2</v>
      </c>
      <c r="N14" s="3">
        <v>5.4615384696508874E-2</v>
      </c>
      <c r="O14" s="3">
        <v>-4.3414275275938191E-2</v>
      </c>
      <c r="P14" s="3">
        <v>1.3422818791946308E-2</v>
      </c>
      <c r="Q14" s="3">
        <v>3.2332563510392612E-2</v>
      </c>
      <c r="R14" s="3">
        <v>2.3640661938534278E-2</v>
      </c>
      <c r="S14" s="3">
        <v>2.4213075060532687E-2</v>
      </c>
      <c r="T14" s="3">
        <v>-7.2115384615384619E-3</v>
      </c>
    </row>
    <row r="15" spans="1:20" x14ac:dyDescent="0.25">
      <c r="A15" s="3" t="s">
        <v>186</v>
      </c>
      <c r="B15" s="3">
        <v>9.8871373938998232E-3</v>
      </c>
      <c r="C15" s="3">
        <v>2.182615325962638E-2</v>
      </c>
      <c r="D15" s="3">
        <v>2.9737952694081853E-2</v>
      </c>
      <c r="E15" s="3">
        <v>-1.0776699029126214E-2</v>
      </c>
      <c r="F15" s="3">
        <v>9.8039215686274508E-3</v>
      </c>
      <c r="G15" s="3">
        <v>1.1904761904761904E-2</v>
      </c>
      <c r="H15" s="3">
        <v>8.0000000000000002E-3</v>
      </c>
      <c r="I15" s="3">
        <v>1.4198782961460446E-2</v>
      </c>
      <c r="J15" s="3">
        <v>1.859504132231405E-2</v>
      </c>
      <c r="K15" s="3">
        <v>1.4675052410901468E-2</v>
      </c>
      <c r="L15" s="3">
        <v>3.2467532467532464E-2</v>
      </c>
      <c r="M15" s="3">
        <v>-6.4516129032258064E-3</v>
      </c>
      <c r="N15" s="3">
        <v>2.6490066225165563E-2</v>
      </c>
      <c r="O15" s="3">
        <v>-1.735357917570499E-2</v>
      </c>
      <c r="P15" s="3">
        <v>1.0964912280701754E-2</v>
      </c>
      <c r="Q15" s="3">
        <v>3.1674208144796379E-2</v>
      </c>
      <c r="R15" s="3">
        <v>2.3148148148148147E-2</v>
      </c>
      <c r="S15" s="3">
        <v>1.8867924528301886E-2</v>
      </c>
      <c r="T15" s="3">
        <v>0</v>
      </c>
    </row>
    <row r="16" spans="1:20" x14ac:dyDescent="0.25">
      <c r="A16" s="3" t="s">
        <v>185</v>
      </c>
      <c r="B16" s="3">
        <v>0</v>
      </c>
      <c r="C16" s="3">
        <v>0</v>
      </c>
      <c r="D16" s="3">
        <v>0</v>
      </c>
      <c r="E16" s="3">
        <v>0</v>
      </c>
      <c r="F16" s="3">
        <v>0</v>
      </c>
      <c r="G16" s="3">
        <v>0</v>
      </c>
      <c r="H16" s="3">
        <v>0</v>
      </c>
      <c r="I16" s="3">
        <v>0</v>
      </c>
      <c r="J16" s="3">
        <v>0</v>
      </c>
      <c r="K16" s="3">
        <v>0</v>
      </c>
      <c r="L16" s="3">
        <v>0</v>
      </c>
      <c r="M16" s="3">
        <v>0</v>
      </c>
      <c r="N16" s="3">
        <v>0</v>
      </c>
      <c r="O16" s="3">
        <v>0</v>
      </c>
      <c r="P16" s="3">
        <v>0</v>
      </c>
      <c r="Q16" s="3">
        <v>0</v>
      </c>
      <c r="R16" s="3">
        <v>0</v>
      </c>
      <c r="S16" s="3">
        <v>0</v>
      </c>
      <c r="T16" s="3">
        <v>0</v>
      </c>
    </row>
    <row r="17" spans="1:20" x14ac:dyDescent="0.25">
      <c r="A17" s="3" t="s">
        <v>184</v>
      </c>
      <c r="B17" s="3">
        <v>0.20398353426478075</v>
      </c>
      <c r="C17" s="3">
        <v>0.36412544439997174</v>
      </c>
      <c r="D17" s="3">
        <v>0.81694900752908961</v>
      </c>
      <c r="E17" s="3">
        <v>9.1739158590023098E-3</v>
      </c>
      <c r="F17" s="3">
        <v>-0.29875575199806248</v>
      </c>
      <c r="G17" s="3">
        <v>0.71532429765799455</v>
      </c>
      <c r="H17" s="3">
        <v>0.25358851674641147</v>
      </c>
      <c r="I17" s="3">
        <v>0.67291042744350671</v>
      </c>
      <c r="J17" s="3">
        <v>6.7546358193338374E-2</v>
      </c>
      <c r="K17" s="3">
        <v>0.42893928067115211</v>
      </c>
      <c r="L17" s="3">
        <v>0.7595732242034493</v>
      </c>
      <c r="M17" s="3">
        <v>0.24968036529680365</v>
      </c>
      <c r="N17" s="3">
        <v>0.30980861244019137</v>
      </c>
      <c r="O17" s="3">
        <v>7.0971047911862664E-2</v>
      </c>
      <c r="P17" s="3">
        <v>0.11673819742489271</v>
      </c>
      <c r="Q17" s="3">
        <v>6.1342241117522019E-2</v>
      </c>
      <c r="R17" s="3">
        <v>0.9404832056570418</v>
      </c>
      <c r="S17" s="3">
        <v>0.20782918149466192</v>
      </c>
      <c r="T17" s="3">
        <v>1.0014245014245013</v>
      </c>
    </row>
    <row r="18" spans="1:20" x14ac:dyDescent="0.25">
      <c r="A18" s="3" t="s">
        <v>183</v>
      </c>
      <c r="B18" s="3">
        <v>-0.76595291684409028</v>
      </c>
      <c r="C18" s="3">
        <v>2.0517118291585187E-2</v>
      </c>
      <c r="D18" s="3">
        <v>2.9071212928431893</v>
      </c>
      <c r="E18" s="3">
        <v>-0.14715469238082304</v>
      </c>
      <c r="F18" s="3">
        <v>-1.5680450547754976</v>
      </c>
      <c r="G18" s="3">
        <v>0.19724749457350021</v>
      </c>
      <c r="H18" s="3">
        <v>0.25190795559666973</v>
      </c>
      <c r="I18" s="3">
        <v>1.6982839313572542</v>
      </c>
      <c r="J18" s="3">
        <v>-0.31801255452707733</v>
      </c>
      <c r="K18" s="3">
        <v>0.41295850871918222</v>
      </c>
      <c r="L18" s="3">
        <v>2.4130323242688556</v>
      </c>
      <c r="M18" s="3">
        <v>-4.0374199901526339E-2</v>
      </c>
      <c r="N18" s="3">
        <v>4.141772151898734</v>
      </c>
      <c r="O18" s="3">
        <v>-0.81118546845124284</v>
      </c>
      <c r="P18" s="3">
        <v>-0.16852146263910969</v>
      </c>
      <c r="Q18" s="3">
        <v>-0.13835616438356163</v>
      </c>
      <c r="R18" s="3">
        <v>1.1407624633431086</v>
      </c>
      <c r="S18" s="3">
        <v>0.15495342929720576</v>
      </c>
      <c r="T18" s="3">
        <v>1.4300411522633745</v>
      </c>
    </row>
    <row r="19" spans="1:20" x14ac:dyDescent="0.25">
      <c r="A19" s="3" t="s">
        <v>182</v>
      </c>
      <c r="B19" s="3">
        <v>4.8724273635353397</v>
      </c>
      <c r="C19" s="3">
        <v>5.3250241806796197</v>
      </c>
      <c r="D19" s="3">
        <v>5.8480891112719915</v>
      </c>
      <c r="E19" s="3">
        <v>6.15612361586206</v>
      </c>
      <c r="F19" s="3">
        <v>7.7487030234190364</v>
      </c>
      <c r="G19" s="3">
        <v>9.0906682259384866</v>
      </c>
      <c r="H19" s="3">
        <v>9.032340924749942</v>
      </c>
      <c r="I19" s="3">
        <v>9.5541963320141914</v>
      </c>
      <c r="J19" s="3">
        <v>9.3160681384114135</v>
      </c>
      <c r="K19" s="3">
        <v>10.142492811719645</v>
      </c>
      <c r="L19" s="3">
        <v>10.119385194321069</v>
      </c>
      <c r="M19" s="3">
        <v>10.29917291685822</v>
      </c>
      <c r="N19" s="3">
        <v>11.224789329112157</v>
      </c>
      <c r="O19" s="3">
        <v>12.563167818243421</v>
      </c>
      <c r="P19" s="3">
        <v>11.379385520764473</v>
      </c>
      <c r="Q19" s="3">
        <v>8.7207175357905822</v>
      </c>
      <c r="R19" s="3">
        <v>10.278622688592758</v>
      </c>
      <c r="S19" s="3">
        <v>21.018427705617274</v>
      </c>
      <c r="T19" s="3">
        <v>62.35958296501947</v>
      </c>
    </row>
    <row r="20" spans="1:20" x14ac:dyDescent="0.25">
      <c r="A20" s="3" t="s">
        <v>181</v>
      </c>
      <c r="B20" s="3">
        <v>0.74268784201334259</v>
      </c>
      <c r="C20" s="3">
        <v>1.1454168296236682</v>
      </c>
      <c r="D20" s="3">
        <v>1.3329921977595456</v>
      </c>
      <c r="E20" s="3">
        <v>1.7226730171995801</v>
      </c>
      <c r="F20" s="3">
        <v>2.2364118390647145</v>
      </c>
      <c r="G20" s="3">
        <v>2.3697528736706359</v>
      </c>
      <c r="H20" s="3">
        <v>1.9481563178513446</v>
      </c>
      <c r="I20" s="3">
        <v>1.9353244806598378</v>
      </c>
      <c r="J20" s="3">
        <v>1.6283448547275534</v>
      </c>
      <c r="K20" s="3">
        <v>1.7032106723312785</v>
      </c>
      <c r="L20" s="3">
        <v>1.9944831577357869</v>
      </c>
      <c r="M20" s="3">
        <v>2.4029202807202727</v>
      </c>
      <c r="N20" s="3">
        <v>2.5955807957700445</v>
      </c>
      <c r="O20" s="3">
        <v>2.9249294550736371</v>
      </c>
      <c r="P20" s="3">
        <v>3.1219476253806864</v>
      </c>
      <c r="Q20" s="3">
        <v>2.7132902770202083</v>
      </c>
      <c r="R20" s="3">
        <v>2.320434210838052</v>
      </c>
      <c r="S20" s="3">
        <v>2.3999484432372622</v>
      </c>
      <c r="T20" s="3">
        <v>2.4556462666381749</v>
      </c>
    </row>
    <row r="21" spans="1:20" x14ac:dyDescent="0.25">
      <c r="A21" s="3" t="s">
        <v>180</v>
      </c>
      <c r="B21" s="3">
        <v>0.33371094350761987</v>
      </c>
      <c r="C21" s="3">
        <v>0.31210571857683411</v>
      </c>
      <c r="D21" s="3">
        <v>0.44490824695754111</v>
      </c>
      <c r="E21" s="3">
        <v>0.77667180652904033</v>
      </c>
      <c r="F21" s="3">
        <v>0.94163032908918431</v>
      </c>
      <c r="G21" s="3">
        <v>1.0837115581392736</v>
      </c>
      <c r="H21" s="3">
        <v>0.97934239308240612</v>
      </c>
      <c r="I21" s="3">
        <v>1.0870124306679767</v>
      </c>
      <c r="J21" s="3">
        <v>0.92381023284038299</v>
      </c>
      <c r="K21" s="3">
        <v>0.76099808082958198</v>
      </c>
      <c r="L21" s="3">
        <v>0.62525643805029785</v>
      </c>
      <c r="M21" s="3">
        <v>0.81489002085129125</v>
      </c>
      <c r="N21" s="3">
        <v>1.1290741840628262</v>
      </c>
      <c r="O21" s="3">
        <v>1.4907587167698084</v>
      </c>
      <c r="P21" s="3">
        <v>1.34232978791776</v>
      </c>
      <c r="Q21" s="3">
        <v>1.1302563847361997</v>
      </c>
      <c r="R21" s="3">
        <v>1.1983711032430235</v>
      </c>
      <c r="S21" s="3">
        <v>1.1987742497779339</v>
      </c>
      <c r="T21" s="3">
        <v>1.1071462681742374</v>
      </c>
    </row>
    <row r="22" spans="1:20" x14ac:dyDescent="0.25">
      <c r="A22" s="3" t="s">
        <v>179</v>
      </c>
      <c r="B22" s="3">
        <v>9.1573411812011365</v>
      </c>
      <c r="C22" s="3">
        <v>13.942217056077132</v>
      </c>
      <c r="D22" s="3">
        <v>12.7625577866644</v>
      </c>
      <c r="E22" s="3">
        <v>8.5135902722945893</v>
      </c>
      <c r="F22" s="3">
        <v>9.6263303083976162</v>
      </c>
      <c r="G22" s="3">
        <v>15.898774248927037</v>
      </c>
      <c r="H22" s="3">
        <v>9.2515100735088911</v>
      </c>
      <c r="I22" s="3">
        <v>14.725091628057243</v>
      </c>
      <c r="J22" s="3">
        <v>10.246656287069989</v>
      </c>
      <c r="K22" s="3">
        <v>20.507110486013438</v>
      </c>
      <c r="L22" s="3">
        <v>13.489946276923616</v>
      </c>
      <c r="M22" s="3">
        <v>9.6230859835100109</v>
      </c>
      <c r="N22" s="3">
        <v>11.041274825863997</v>
      </c>
      <c r="O22" s="3">
        <v>19.940540291656241</v>
      </c>
      <c r="P22" s="3">
        <v>27.197620544872855</v>
      </c>
      <c r="Q22" s="3">
        <v>22.031592482307701</v>
      </c>
      <c r="R22" s="3">
        <v>28.345067146138234</v>
      </c>
      <c r="S22" s="3">
        <v>37.307681139383163</v>
      </c>
      <c r="T22" s="3">
        <v>1289.8642693255231</v>
      </c>
    </row>
    <row r="23" spans="1:20" x14ac:dyDescent="0.25">
      <c r="A23" s="3" t="s">
        <v>178</v>
      </c>
      <c r="B23" s="3">
        <v>0.98179493067783219</v>
      </c>
      <c r="C23" s="3">
        <v>1.8383402636435906</v>
      </c>
      <c r="D23" s="3">
        <v>1.6135596664889622</v>
      </c>
      <c r="E23" s="3">
        <v>1.3985508626945287</v>
      </c>
      <c r="F23" s="3">
        <v>1.5226547258624574</v>
      </c>
      <c r="G23" s="3">
        <v>4.1253240302350696</v>
      </c>
      <c r="H23" s="3">
        <v>4.2644206360571228</v>
      </c>
      <c r="I23" s="3">
        <v>4.2658288093161936</v>
      </c>
      <c r="J23" s="3">
        <v>2.9663908822041964</v>
      </c>
      <c r="K23" s="3">
        <v>3.2123601773384323</v>
      </c>
      <c r="L23" s="3">
        <v>2.2971133433200688</v>
      </c>
      <c r="M23" s="3">
        <v>0.94731971136465531</v>
      </c>
      <c r="N23" s="3">
        <v>1.9862519647879058</v>
      </c>
      <c r="O23" s="3">
        <v>1.8354886396925192</v>
      </c>
      <c r="P23" s="3">
        <v>4.105714986509688</v>
      </c>
      <c r="Q23" s="3">
        <v>3.394737083054836</v>
      </c>
      <c r="R23" s="3">
        <v>4.4552346599857993</v>
      </c>
      <c r="S23" s="3">
        <v>3.0322367194220368</v>
      </c>
      <c r="T23" s="3">
        <v>6.3851610613142986</v>
      </c>
    </row>
    <row r="24" spans="1:20" x14ac:dyDescent="0.25">
      <c r="A24" s="3" t="s">
        <v>177</v>
      </c>
      <c r="B24" s="3">
        <v>1.8533493428297396</v>
      </c>
      <c r="C24" s="3">
        <v>1.41697675966667</v>
      </c>
      <c r="D24" s="3">
        <v>0.24787825733450278</v>
      </c>
      <c r="E24" s="3">
        <v>0.17708262888885637</v>
      </c>
      <c r="F24" s="3">
        <v>0.45127261714678885</v>
      </c>
      <c r="G24" s="3">
        <v>2.4533863326980669</v>
      </c>
      <c r="H24" s="3">
        <v>1.1481560626018295</v>
      </c>
      <c r="I24" s="3">
        <v>1.4471530155331924</v>
      </c>
      <c r="J24" s="3">
        <v>1.5835008038585208</v>
      </c>
      <c r="K24" s="3">
        <v>2.0294090900333321</v>
      </c>
      <c r="L24" s="3">
        <v>1.6725100660833685</v>
      </c>
      <c r="M24" s="3">
        <v>0.71886094945280199</v>
      </c>
      <c r="N24" s="3">
        <v>0.53224518928259479</v>
      </c>
      <c r="O24" s="3">
        <v>0.26838281679499143</v>
      </c>
      <c r="P24" s="3">
        <v>1.1476270941708584</v>
      </c>
      <c r="Q24" s="3">
        <v>1.2983352838615683</v>
      </c>
      <c r="R24" s="3">
        <v>3.5067145667607553</v>
      </c>
      <c r="S24" s="3">
        <v>1.254938576206464</v>
      </c>
      <c r="T24" s="3">
        <v>1.440258729113014</v>
      </c>
    </row>
    <row r="25" spans="1:20" x14ac:dyDescent="0.25">
      <c r="A25" s="3" t="s">
        <v>176</v>
      </c>
      <c r="B25" s="3">
        <v>113.22461681480139</v>
      </c>
      <c r="C25" s="3">
        <v>217.89898506057662</v>
      </c>
      <c r="D25" s="3">
        <v>97.496402785963639</v>
      </c>
      <c r="E25" s="3">
        <v>-58.366855318712226</v>
      </c>
      <c r="F25" s="3">
        <v>46.33653213733141</v>
      </c>
      <c r="G25" s="3">
        <v>15.553744791666668</v>
      </c>
      <c r="H25" s="3">
        <v>10.260635385154</v>
      </c>
      <c r="I25" s="3">
        <v>12.564710376772839</v>
      </c>
      <c r="J25" s="3">
        <v>4.4824448529411764</v>
      </c>
      <c r="K25" s="3">
        <v>9.9519875638463251</v>
      </c>
      <c r="L25" s="3">
        <v>0.57900084238413996</v>
      </c>
      <c r="M25" s="3">
        <v>-1.3601834673263244</v>
      </c>
      <c r="N25" s="3">
        <v>5.7664895279774928</v>
      </c>
      <c r="O25" s="3">
        <v>0.77288075338571605</v>
      </c>
      <c r="P25" s="3">
        <v>1.9112150196747895</v>
      </c>
      <c r="Q25" s="3">
        <v>1.6407430043750735</v>
      </c>
      <c r="R25" s="3">
        <v>1.945420534215172</v>
      </c>
      <c r="S25" s="3">
        <v>4.6281539088978256</v>
      </c>
      <c r="T25" s="3">
        <v>10.685591581155952</v>
      </c>
    </row>
    <row r="26" spans="1:20" x14ac:dyDescent="0.25">
      <c r="A26" s="3" t="s">
        <v>175</v>
      </c>
      <c r="B26" s="3">
        <v>2.4170228078155507</v>
      </c>
      <c r="C26" s="3">
        <v>3.8233752350546775</v>
      </c>
      <c r="D26" s="3">
        <v>1.8551232447234565</v>
      </c>
      <c r="E26" s="3">
        <v>-1.8455813221119848</v>
      </c>
      <c r="F26" s="3">
        <v>12.181789842013927</v>
      </c>
      <c r="G26" s="3">
        <v>32.428110738255036</v>
      </c>
      <c r="H26" s="3">
        <v>45.968300099114693</v>
      </c>
      <c r="I26" s="3">
        <v>33.498126470720486</v>
      </c>
      <c r="J26" s="3">
        <v>71.208333327932692</v>
      </c>
      <c r="K26" s="3">
        <v>2.5910549860578946</v>
      </c>
      <c r="L26" s="3">
        <v>-0.50479568165596012</v>
      </c>
      <c r="M26" s="3">
        <v>-1.2504127432065346</v>
      </c>
      <c r="N26" s="3">
        <v>-0.60679863620172003</v>
      </c>
      <c r="O26" s="3">
        <v>-1.0780882353001244</v>
      </c>
      <c r="P26" s="3">
        <v>2.0497966771232718</v>
      </c>
      <c r="Q26" s="3">
        <v>2.1885845577120748</v>
      </c>
      <c r="R26" s="3">
        <v>0.43835917738920038</v>
      </c>
      <c r="S26" s="3">
        <v>16.208713272543061</v>
      </c>
      <c r="T26" s="3">
        <v>3.9084950599968549</v>
      </c>
    </row>
    <row r="27" spans="1:20" x14ac:dyDescent="0.25">
      <c r="A27" s="3" t="s">
        <v>174</v>
      </c>
      <c r="B27" s="3">
        <v>28.283654084834289</v>
      </c>
      <c r="C27" s="3">
        <v>0.71595143067060629</v>
      </c>
      <c r="D27" s="3">
        <v>0.38424677757359504</v>
      </c>
      <c r="E27" s="3">
        <v>-1.2277744552703642</v>
      </c>
      <c r="F27" s="3">
        <v>2.1878488614144409</v>
      </c>
      <c r="G27" s="3">
        <v>5.7516518298714159</v>
      </c>
      <c r="H27" s="3">
        <v>3.6895192755922195</v>
      </c>
      <c r="I27" s="3">
        <v>15.20692019348704</v>
      </c>
      <c r="J27" s="3">
        <v>13.113122406639004</v>
      </c>
      <c r="K27" s="3">
        <v>7.3429347993470682</v>
      </c>
      <c r="L27" s="3">
        <v>15.180347369834733</v>
      </c>
      <c r="M27" s="3">
        <v>-1.3744931771873135</v>
      </c>
      <c r="N27" s="3">
        <v>-0.76735731218088987</v>
      </c>
      <c r="O27" s="3">
        <v>-1.0432039911341437</v>
      </c>
      <c r="P27" s="3">
        <v>-8.6493146465424248E-2</v>
      </c>
      <c r="Q27" s="3">
        <v>1.2360836952230558</v>
      </c>
      <c r="R27" s="3">
        <v>3.560982132004376</v>
      </c>
      <c r="S27" s="3">
        <v>0.88656741848231213</v>
      </c>
      <c r="T27" s="3">
        <v>-0.20419693301049238</v>
      </c>
    </row>
    <row r="28" spans="1:20" x14ac:dyDescent="0.25">
      <c r="A28" s="3" t="s">
        <v>173</v>
      </c>
      <c r="B28" s="3">
        <v>25.920135214787411</v>
      </c>
      <c r="C28" s="3">
        <v>22.489654365724931</v>
      </c>
      <c r="D28" s="3">
        <v>17.373693961720878</v>
      </c>
      <c r="E28" s="3">
        <v>14.163914706177248</v>
      </c>
      <c r="F28" s="3">
        <v>14.95523945985801</v>
      </c>
      <c r="G28" s="3">
        <v>11.165381118881122</v>
      </c>
      <c r="H28" s="3">
        <v>9.3474834787470567</v>
      </c>
      <c r="I28" s="3">
        <v>13.156410228823665</v>
      </c>
      <c r="J28" s="3">
        <v>18.917531676413255</v>
      </c>
      <c r="K28" s="3">
        <v>38.269679971022157</v>
      </c>
      <c r="L28" s="3">
        <v>46.998885813269268</v>
      </c>
      <c r="M28" s="3">
        <v>42.581764784407959</v>
      </c>
      <c r="N28" s="3">
        <v>9.1302274359567814</v>
      </c>
      <c r="O28" s="3">
        <v>6.2873543527191815</v>
      </c>
      <c r="P28" s="3">
        <v>5.3309797752636747</v>
      </c>
      <c r="Q28" s="3">
        <v>6.5703247393868223</v>
      </c>
      <c r="R28" s="3">
        <v>13.89821982225005</v>
      </c>
      <c r="S28" s="3">
        <v>12.491954993032357</v>
      </c>
      <c r="T28" s="3">
        <v>25.42565723835105</v>
      </c>
    </row>
    <row r="29" spans="1:20" x14ac:dyDescent="0.25">
      <c r="A29" s="3" t="s">
        <v>172</v>
      </c>
      <c r="B29" s="3">
        <v>3.1300072448363734</v>
      </c>
      <c r="C29" s="3">
        <v>3.3470490959688579</v>
      </c>
      <c r="D29" s="3">
        <v>3.3818495254649266</v>
      </c>
      <c r="E29" s="3">
        <v>3.9659182261494004</v>
      </c>
      <c r="F29" s="3">
        <v>5.7151793207975645</v>
      </c>
      <c r="G29" s="3">
        <v>5.5181811117752551</v>
      </c>
      <c r="H29" s="3">
        <v>4.4035861678000261</v>
      </c>
      <c r="I29" s="3">
        <v>3.1931366777756658</v>
      </c>
      <c r="J29" s="3">
        <v>2.0535973440576427</v>
      </c>
      <c r="K29" s="3">
        <v>1.3759960378784046</v>
      </c>
      <c r="L29" s="3">
        <v>0.86637666402120361</v>
      </c>
      <c r="M29" s="3">
        <v>0.91492893005162368</v>
      </c>
      <c r="N29" s="3">
        <v>2.3760908161794574</v>
      </c>
      <c r="O29" s="3">
        <v>5.522645074725764</v>
      </c>
      <c r="P29" s="3">
        <v>15.527670646322786</v>
      </c>
      <c r="Q29" s="3">
        <v>24.717684290936866</v>
      </c>
      <c r="R29" s="3">
        <v>22.714521166739576</v>
      </c>
      <c r="S29" s="3">
        <v>3.4081779426648624</v>
      </c>
      <c r="T29" s="3">
        <v>1.8106150636966063</v>
      </c>
    </row>
    <row r="30" spans="1:20" x14ac:dyDescent="0.25">
      <c r="A30" s="3" t="s">
        <v>171</v>
      </c>
      <c r="B30" s="3">
        <v>1.6913309471475129</v>
      </c>
      <c r="C30" s="3">
        <v>0.99885113677469917</v>
      </c>
      <c r="D30" s="3">
        <v>1.0975446507537816</v>
      </c>
      <c r="E30" s="3">
        <v>1.2818881692252331</v>
      </c>
      <c r="F30" s="3">
        <v>2.055270665536264</v>
      </c>
      <c r="G30" s="3">
        <v>2.2360547114655889</v>
      </c>
      <c r="H30" s="3">
        <v>2.0877598855438189</v>
      </c>
      <c r="I30" s="3">
        <v>2.1201838046225165</v>
      </c>
      <c r="J30" s="3">
        <v>1.4830008844614095</v>
      </c>
      <c r="K30" s="3">
        <v>0.90779231293418228</v>
      </c>
      <c r="L30" s="3">
        <v>0.51600698150365532</v>
      </c>
      <c r="M30" s="3">
        <v>0.35771042158820926</v>
      </c>
      <c r="N30" s="3">
        <v>0.38880239017000523</v>
      </c>
      <c r="O30" s="3">
        <v>0.55710452010046241</v>
      </c>
      <c r="P30" s="3">
        <v>1.7108126462307174</v>
      </c>
      <c r="Q30" s="3">
        <v>4.2981671180187604</v>
      </c>
      <c r="R30" s="3">
        <v>10.718341254829253</v>
      </c>
      <c r="S30" s="3">
        <v>9.5793307578465861</v>
      </c>
      <c r="T30" s="3">
        <v>6.1837527066377955</v>
      </c>
    </row>
    <row r="31" spans="1:20" x14ac:dyDescent="0.25">
      <c r="A31" s="3" t="s">
        <v>170</v>
      </c>
      <c r="B31" s="3">
        <v>0</v>
      </c>
      <c r="C31" s="3">
        <v>0</v>
      </c>
      <c r="D31" s="3">
        <v>0</v>
      </c>
      <c r="E31" s="3">
        <v>0</v>
      </c>
      <c r="F31" s="3">
        <v>0</v>
      </c>
      <c r="G31" s="3">
        <v>0</v>
      </c>
      <c r="H31" s="3">
        <v>0</v>
      </c>
      <c r="I31" s="3">
        <v>0</v>
      </c>
      <c r="J31" s="3">
        <v>0</v>
      </c>
      <c r="K31" s="3">
        <v>0</v>
      </c>
      <c r="L31" s="3">
        <v>0</v>
      </c>
      <c r="M31" s="3">
        <v>0</v>
      </c>
      <c r="N31" s="3">
        <v>0</v>
      </c>
      <c r="O31" s="3">
        <v>0</v>
      </c>
      <c r="P31" s="3">
        <v>0</v>
      </c>
      <c r="Q31" s="3">
        <v>0</v>
      </c>
      <c r="R31" s="3">
        <v>0</v>
      </c>
      <c r="S31" s="3">
        <v>0</v>
      </c>
      <c r="T31" s="3">
        <v>0</v>
      </c>
    </row>
    <row r="32" spans="1:20" x14ac:dyDescent="0.25">
      <c r="A32" s="3" t="s">
        <v>169</v>
      </c>
      <c r="B32" s="3">
        <v>0</v>
      </c>
      <c r="C32" s="3">
        <v>0</v>
      </c>
      <c r="D32" s="3">
        <v>0</v>
      </c>
      <c r="E32" s="3">
        <v>0</v>
      </c>
      <c r="F32" s="3">
        <v>0</v>
      </c>
      <c r="G32" s="3">
        <v>0</v>
      </c>
      <c r="H32" s="3">
        <v>0</v>
      </c>
      <c r="I32" s="3">
        <v>0</v>
      </c>
      <c r="J32" s="3">
        <v>0</v>
      </c>
      <c r="K32" s="3">
        <v>0</v>
      </c>
      <c r="L32" s="3">
        <v>0</v>
      </c>
      <c r="M32" s="3">
        <v>0</v>
      </c>
      <c r="N32" s="3">
        <v>0</v>
      </c>
      <c r="O32" s="3">
        <v>0</v>
      </c>
      <c r="P32" s="3">
        <v>0</v>
      </c>
      <c r="Q32" s="3">
        <v>0</v>
      </c>
      <c r="R32" s="3">
        <v>0</v>
      </c>
      <c r="S32" s="3">
        <v>0</v>
      </c>
      <c r="T32" s="3">
        <v>0</v>
      </c>
    </row>
    <row r="33" spans="1:20" x14ac:dyDescent="0.25">
      <c r="A33" s="3" t="s">
        <v>168</v>
      </c>
      <c r="B33" s="3">
        <v>0</v>
      </c>
      <c r="C33" s="3">
        <v>0</v>
      </c>
      <c r="D33" s="3">
        <v>0</v>
      </c>
      <c r="E33" s="3">
        <v>0</v>
      </c>
      <c r="F33" s="3">
        <v>0</v>
      </c>
      <c r="G33" s="3">
        <v>0</v>
      </c>
      <c r="H33" s="3">
        <v>0</v>
      </c>
      <c r="I33" s="3">
        <v>0</v>
      </c>
      <c r="J33" s="3">
        <v>0</v>
      </c>
      <c r="K33" s="3">
        <v>0</v>
      </c>
      <c r="L33" s="3">
        <v>0</v>
      </c>
      <c r="M33" s="3">
        <v>0</v>
      </c>
      <c r="N33" s="3">
        <v>0</v>
      </c>
      <c r="O33" s="3">
        <v>0</v>
      </c>
      <c r="P33" s="3">
        <v>0</v>
      </c>
      <c r="Q33" s="3">
        <v>0</v>
      </c>
      <c r="R33" s="3">
        <v>0</v>
      </c>
      <c r="S33" s="3">
        <v>0</v>
      </c>
      <c r="T33" s="3">
        <v>0</v>
      </c>
    </row>
    <row r="34" spans="1:20" x14ac:dyDescent="0.25">
      <c r="A34" s="3" t="s">
        <v>167</v>
      </c>
      <c r="B34" s="3">
        <v>0.22142071378334025</v>
      </c>
      <c r="C34" s="3">
        <v>6.1202227623294359E-2</v>
      </c>
      <c r="D34" s="3">
        <v>0.23354579792256847</v>
      </c>
      <c r="E34" s="3">
        <v>0.28789030433857288</v>
      </c>
      <c r="F34" s="3">
        <v>0.34019232336402899</v>
      </c>
      <c r="G34" s="3">
        <v>0.17899692544196771</v>
      </c>
      <c r="H34" s="3">
        <v>0.24818612460274631</v>
      </c>
      <c r="I34" s="3">
        <v>0.26686417502278942</v>
      </c>
      <c r="J34" s="3">
        <v>0.5786065475476676</v>
      </c>
      <c r="K34" s="3">
        <v>0.47488503714184649</v>
      </c>
      <c r="L34" s="3">
        <v>7.483962936564505E-3</v>
      </c>
      <c r="M34" s="3">
        <v>0.17726033144535347</v>
      </c>
      <c r="N34" s="3">
        <v>0.24888656012575322</v>
      </c>
      <c r="O34" s="3">
        <v>0.48463632827693504</v>
      </c>
      <c r="P34" s="3">
        <v>0.62003780718336488</v>
      </c>
      <c r="Q34" s="3">
        <v>0.60627530364372473</v>
      </c>
      <c r="R34" s="3">
        <v>-0.4026602176541717</v>
      </c>
      <c r="S34" s="3">
        <v>0.17304964539007092</v>
      </c>
      <c r="T34" s="3">
        <v>2.5338345864661656</v>
      </c>
    </row>
    <row r="35" spans="1:20" x14ac:dyDescent="0.25">
      <c r="A35" s="3" t="s">
        <v>165</v>
      </c>
      <c r="B35" s="3">
        <v>0.30908922153197183</v>
      </c>
      <c r="C35" s="3">
        <v>0.18383871297745211</v>
      </c>
      <c r="D35" s="3">
        <v>0.14087426379207868</v>
      </c>
      <c r="E35" s="3">
        <v>0.10016906472254125</v>
      </c>
      <c r="F35" s="3">
        <v>0.30932611030682294</v>
      </c>
      <c r="G35" s="3">
        <v>0.4259616067623242</v>
      </c>
      <c r="H35" s="3">
        <v>0.3848802321577886</v>
      </c>
      <c r="I35" s="3">
        <v>0.23865661411925976</v>
      </c>
      <c r="J35" s="3">
        <v>0.57442267571521066</v>
      </c>
      <c r="K35" s="3">
        <v>0.28812145736481998</v>
      </c>
      <c r="L35" s="3">
        <v>0.18790936611320064</v>
      </c>
      <c r="M35" s="3">
        <v>0.35723001070743793</v>
      </c>
      <c r="N35" s="3">
        <v>0.23357395177392107</v>
      </c>
      <c r="O35" s="3">
        <v>0.2878787878787879</v>
      </c>
      <c r="P35" s="3">
        <v>0.34478906208437515</v>
      </c>
      <c r="Q35" s="3">
        <v>0.36081951784550786</v>
      </c>
      <c r="R35" s="3">
        <v>0.66141448159730576</v>
      </c>
      <c r="S35" s="3">
        <v>0.28203546646106398</v>
      </c>
      <c r="T35" s="3">
        <v>0.48636259454503783</v>
      </c>
    </row>
    <row r="36" spans="1:20" x14ac:dyDescent="0.25">
      <c r="A36" s="3" t="s">
        <v>166</v>
      </c>
      <c r="B36" s="3">
        <v>0.12015549190389899</v>
      </c>
      <c r="C36" s="3">
        <v>2.6892370490425595E-2</v>
      </c>
      <c r="D36" s="3">
        <v>-3.1594245022525794E-2</v>
      </c>
      <c r="E36" s="3">
        <v>5.4074754901960786E-2</v>
      </c>
      <c r="F36" s="3">
        <v>0.37171674721580161</v>
      </c>
      <c r="G36" s="3">
        <v>0.16090159535541787</v>
      </c>
      <c r="H36" s="3">
        <v>0.19349015954349599</v>
      </c>
      <c r="I36" s="3">
        <v>7.0231195862154913E-2</v>
      </c>
      <c r="J36" s="3">
        <v>0.40013960387400749</v>
      </c>
      <c r="K36" s="3">
        <v>0.11891047544664649</v>
      </c>
      <c r="L36" s="3">
        <v>0.23424508976985178</v>
      </c>
      <c r="M36" s="3">
        <v>0.11982188638510323</v>
      </c>
      <c r="N36" s="3">
        <v>0.22881777483004476</v>
      </c>
      <c r="O36" s="3">
        <v>0.20813301282051283</v>
      </c>
      <c r="P36" s="3">
        <v>0.55902560899437848</v>
      </c>
      <c r="Q36" s="3">
        <v>0.47489636112390604</v>
      </c>
      <c r="R36" s="3">
        <v>0.55182273052180131</v>
      </c>
      <c r="S36" s="3">
        <v>0.16583333333333333</v>
      </c>
      <c r="T36" s="3">
        <v>0.36830102622576966</v>
      </c>
    </row>
    <row r="37" spans="1:20" x14ac:dyDescent="0.25">
      <c r="A37" s="3" t="s">
        <v>164</v>
      </c>
      <c r="B37" s="3">
        <v>0.41275520754082751</v>
      </c>
      <c r="C37" s="3">
        <v>0.39371085370933168</v>
      </c>
      <c r="D37" s="3">
        <v>0.36687092708018493</v>
      </c>
      <c r="E37" s="3">
        <v>4.9253104888620267E-2</v>
      </c>
      <c r="F37" s="3">
        <v>0.46252549382570807</v>
      </c>
      <c r="G37" s="3">
        <v>0.48699890428617482</v>
      </c>
      <c r="H37" s="3">
        <v>0.4048682469735102</v>
      </c>
      <c r="I37" s="3">
        <v>0.54906488918307106</v>
      </c>
      <c r="J37" s="3">
        <v>0.41885597614726461</v>
      </c>
      <c r="K37" s="3">
        <v>0.41962047384495893</v>
      </c>
      <c r="L37" s="3">
        <v>0.23272529144962159</v>
      </c>
      <c r="M37" s="3">
        <v>9.0165751206177938E-2</v>
      </c>
      <c r="N37" s="3">
        <v>0.12808639328485077</v>
      </c>
      <c r="O37" s="3">
        <v>0.10400809203165165</v>
      </c>
      <c r="P37" s="3">
        <v>0.11513086802821912</v>
      </c>
      <c r="Q37" s="3">
        <v>0.26479363405520029</v>
      </c>
      <c r="R37" s="3">
        <v>0.9220027035997288</v>
      </c>
      <c r="S37" s="3">
        <v>1.1794754814538317</v>
      </c>
      <c r="T37" s="3">
        <v>1.7974359982696917</v>
      </c>
    </row>
    <row r="38" spans="1:20" x14ac:dyDescent="0.25">
      <c r="A38" s="3" t="s">
        <v>163</v>
      </c>
      <c r="B38" s="3">
        <v>0.16873185637891519</v>
      </c>
      <c r="C38" s="3">
        <v>-3.4739069839467299E-2</v>
      </c>
      <c r="D38" s="3">
        <v>-3.2165746014073855E-2</v>
      </c>
      <c r="E38" s="3">
        <v>0.20381459684694359</v>
      </c>
      <c r="F38" s="3">
        <v>0.37926744006920332</v>
      </c>
      <c r="G38" s="3">
        <v>0.33516335732932523</v>
      </c>
      <c r="H38" s="3">
        <v>0.90692412128526168</v>
      </c>
      <c r="I38" s="3">
        <v>-0.12606127722406793</v>
      </c>
      <c r="J38" s="3">
        <v>1.4929994084007099</v>
      </c>
      <c r="K38" s="3">
        <v>7.3227513227513225E-2</v>
      </c>
      <c r="L38" s="3">
        <v>0.1349987989430699</v>
      </c>
      <c r="M38" s="3">
        <v>1.4105385060799074</v>
      </c>
      <c r="N38" s="3">
        <v>0.35274151436031331</v>
      </c>
      <c r="O38" s="3">
        <v>1.7067137809187278</v>
      </c>
      <c r="P38" s="3">
        <v>1.2074882995319813</v>
      </c>
      <c r="Q38" s="3">
        <v>1.5436507936507937</v>
      </c>
      <c r="R38" s="3">
        <v>-0.57432432432432434</v>
      </c>
      <c r="S38" s="3">
        <v>-0.56502571638501098</v>
      </c>
      <c r="T38" s="3">
        <v>7.4191002367797951E-2</v>
      </c>
    </row>
    <row r="39" spans="1:20" x14ac:dyDescent="0.25">
      <c r="A39" s="3" t="s">
        <v>162</v>
      </c>
      <c r="B39" s="3">
        <v>0.22561664257318395</v>
      </c>
      <c r="C39" s="3">
        <v>3.4126743126766487E-2</v>
      </c>
      <c r="D39" s="3">
        <v>0.16949175692841434</v>
      </c>
      <c r="E39" s="3">
        <v>0.3061621351602084</v>
      </c>
      <c r="F39" s="3">
        <v>0.31146467009826861</v>
      </c>
      <c r="G39" s="3">
        <v>0.18950210124961733</v>
      </c>
      <c r="H39" s="3">
        <v>0.24600339841176266</v>
      </c>
      <c r="I39" s="3">
        <v>0.27484526967285589</v>
      </c>
      <c r="J39" s="3">
        <v>0.40627914205781784</v>
      </c>
      <c r="K39" s="3">
        <v>0.28269537480063794</v>
      </c>
      <c r="L39" s="3">
        <v>0.35202156334231804</v>
      </c>
      <c r="M39" s="3">
        <v>0.4127951256664128</v>
      </c>
      <c r="N39" s="3">
        <v>0.43843120070113933</v>
      </c>
      <c r="O39" s="3">
        <v>0.56892402887590232</v>
      </c>
      <c r="P39" s="3">
        <v>0.67762399077277968</v>
      </c>
      <c r="Q39" s="3">
        <v>0.39838709677419354</v>
      </c>
      <c r="R39" s="3">
        <v>0.20038722168441434</v>
      </c>
      <c r="S39" s="3">
        <v>0.26283618581907092</v>
      </c>
      <c r="T39" s="3">
        <v>0.23564954682779457</v>
      </c>
    </row>
    <row r="40" spans="1:20" x14ac:dyDescent="0.25">
      <c r="A40" s="3" t="s">
        <v>161</v>
      </c>
      <c r="B40" s="3">
        <v>5.4916223356132159E-2</v>
      </c>
      <c r="C40" s="3">
        <v>-1.6374185740219982E-2</v>
      </c>
      <c r="D40" s="3">
        <v>3.8001810489755955E-2</v>
      </c>
      <c r="E40" s="3">
        <v>0.30828539662590032</v>
      </c>
      <c r="F40" s="3">
        <v>0.4428093178964988</v>
      </c>
      <c r="G40" s="3">
        <v>0.1908143349528674</v>
      </c>
      <c r="H40" s="3">
        <v>0.32677685950413221</v>
      </c>
      <c r="I40" s="3">
        <v>0.32067234228334424</v>
      </c>
      <c r="J40" s="3">
        <v>0.42193481634764612</v>
      </c>
      <c r="K40" s="3">
        <v>0.38051706899014426</v>
      </c>
      <c r="L40" s="3">
        <v>0.18983684568320869</v>
      </c>
      <c r="M40" s="3">
        <v>0.38057250117315816</v>
      </c>
      <c r="N40" s="3">
        <v>0.28995157384987891</v>
      </c>
      <c r="O40" s="3">
        <v>0.44405594405594406</v>
      </c>
      <c r="P40" s="3">
        <v>0.52635090060040024</v>
      </c>
      <c r="Q40" s="3">
        <v>0.48710317460317459</v>
      </c>
      <c r="R40" s="3">
        <v>0.32457293035479634</v>
      </c>
      <c r="S40" s="3">
        <v>0.31433506044905007</v>
      </c>
      <c r="T40" s="3">
        <v>0.26419213973799127</v>
      </c>
    </row>
  </sheetData>
  <mergeCells count="1">
    <mergeCell ref="B4:T4"/>
  </mergeCells>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6D09F7-A139-4961-9AB2-F075873E7B65}">
  <sheetPr>
    <tabColor rgb="FFC6E0B4"/>
  </sheetPr>
  <dimension ref="A1:T38"/>
  <sheetViews>
    <sheetView topLeftCell="A4" workbookViewId="0"/>
  </sheetViews>
  <sheetFormatPr defaultRowHeight="15" x14ac:dyDescent="0.25"/>
  <cols>
    <col min="1" max="1" width="40.7109375" bestFit="1" customWidth="1"/>
    <col min="2" max="12" width="18.28515625" bestFit="1" customWidth="1"/>
    <col min="13" max="20" width="17.28515625" bestFit="1" customWidth="1"/>
  </cols>
  <sheetData>
    <row r="1" spans="1:20" x14ac:dyDescent="0.25">
      <c r="A1" s="10" t="s">
        <v>209</v>
      </c>
      <c r="B1" s="10"/>
      <c r="C1" s="10"/>
      <c r="D1" s="10"/>
      <c r="E1" s="10"/>
      <c r="F1" s="10"/>
      <c r="G1" s="10"/>
      <c r="H1" s="10"/>
      <c r="I1" s="10"/>
      <c r="J1" s="10"/>
      <c r="K1" s="10"/>
      <c r="L1" s="10"/>
      <c r="M1" s="10"/>
      <c r="N1" s="10"/>
      <c r="O1" s="10"/>
      <c r="P1" s="10"/>
      <c r="Q1" s="10"/>
      <c r="R1" s="10"/>
      <c r="S1" s="10"/>
      <c r="T1" s="10"/>
    </row>
    <row r="2" spans="1:20" x14ac:dyDescent="0.25">
      <c r="A2" t="s">
        <v>1</v>
      </c>
      <c r="B2" t="s">
        <v>210</v>
      </c>
    </row>
    <row r="3" spans="1:20" x14ac:dyDescent="0.25">
      <c r="A3" t="s">
        <v>3</v>
      </c>
      <c r="B3" t="s">
        <v>4</v>
      </c>
    </row>
    <row r="4" spans="1:20" x14ac:dyDescent="0.25">
      <c r="A4" t="s">
        <v>32</v>
      </c>
      <c r="B4" s="236" t="s">
        <v>33</v>
      </c>
      <c r="C4" s="236"/>
      <c r="D4" s="236"/>
      <c r="E4" s="236"/>
      <c r="F4" s="236"/>
      <c r="G4" s="236"/>
      <c r="H4" s="236"/>
      <c r="I4" s="236"/>
      <c r="J4" s="236"/>
      <c r="K4" s="236"/>
      <c r="L4" s="236"/>
      <c r="M4" s="236"/>
      <c r="N4" s="236"/>
      <c r="O4" s="236"/>
      <c r="P4" s="236"/>
      <c r="Q4" s="236"/>
      <c r="R4" s="236"/>
      <c r="S4" s="236"/>
      <c r="T4" s="236"/>
    </row>
    <row r="5" spans="1:20" x14ac:dyDescent="0.25">
      <c r="A5" t="s">
        <v>34</v>
      </c>
      <c r="B5" s="8">
        <v>46047</v>
      </c>
      <c r="C5" s="8">
        <v>45683</v>
      </c>
      <c r="D5" s="8">
        <v>45319</v>
      </c>
      <c r="E5" s="8">
        <v>44955</v>
      </c>
      <c r="F5" s="8">
        <v>44591</v>
      </c>
      <c r="G5" s="8">
        <v>44227</v>
      </c>
      <c r="H5" s="8">
        <v>43856</v>
      </c>
      <c r="I5" s="8"/>
      <c r="J5" s="8"/>
      <c r="K5" s="8"/>
      <c r="L5" s="8"/>
      <c r="M5" s="8"/>
      <c r="N5" s="8"/>
      <c r="O5" s="8"/>
      <c r="P5" s="8"/>
      <c r="Q5" s="8"/>
      <c r="R5" s="8"/>
      <c r="S5" s="8"/>
      <c r="T5" s="8"/>
    </row>
    <row r="7" spans="1:20" x14ac:dyDescent="0.25">
      <c r="A7" s="1" t="s">
        <v>31</v>
      </c>
      <c r="B7" s="1">
        <v>215938</v>
      </c>
      <c r="C7" s="1">
        <v>130497</v>
      </c>
      <c r="D7" s="1">
        <v>60922</v>
      </c>
      <c r="E7" s="1">
        <v>26974</v>
      </c>
      <c r="F7" s="1">
        <v>26914</v>
      </c>
      <c r="G7" s="1">
        <v>16675</v>
      </c>
      <c r="H7" s="1">
        <v>10918</v>
      </c>
      <c r="I7" s="1"/>
      <c r="J7" s="1"/>
      <c r="K7" s="1"/>
      <c r="L7" s="1"/>
      <c r="M7" s="1"/>
      <c r="N7" s="1"/>
      <c r="O7" s="1"/>
      <c r="P7" s="1"/>
      <c r="Q7" s="1"/>
      <c r="R7" s="1"/>
      <c r="S7" s="1"/>
      <c r="T7" s="1"/>
    </row>
    <row r="9" spans="1:20" x14ac:dyDescent="0.25">
      <c r="A9" s="1" t="s">
        <v>30</v>
      </c>
      <c r="B9" s="1">
        <v>62475</v>
      </c>
      <c r="C9" s="1">
        <v>32639</v>
      </c>
      <c r="D9" s="1">
        <v>16621</v>
      </c>
      <c r="E9" s="1">
        <v>11618</v>
      </c>
      <c r="F9" s="1">
        <v>9439</v>
      </c>
      <c r="G9" s="1">
        <v>6279</v>
      </c>
      <c r="H9" s="1">
        <v>4150</v>
      </c>
      <c r="I9" s="1"/>
      <c r="J9" s="1"/>
      <c r="K9" s="1"/>
      <c r="L9" s="1"/>
      <c r="M9" s="1"/>
      <c r="N9" s="1"/>
      <c r="O9" s="1"/>
      <c r="P9" s="1"/>
      <c r="Q9" s="1"/>
      <c r="R9" s="1"/>
      <c r="S9" s="1"/>
      <c r="T9" s="1"/>
    </row>
    <row r="10" spans="1:20" x14ac:dyDescent="0.25">
      <c r="A10" s="6" t="s">
        <v>29</v>
      </c>
      <c r="B10" s="4">
        <f t="shared" ref="B10:H10" si="0">B7-B9</f>
        <v>153463</v>
      </c>
      <c r="C10" s="4">
        <f t="shared" si="0"/>
        <v>97858</v>
      </c>
      <c r="D10" s="4">
        <f t="shared" si="0"/>
        <v>44301</v>
      </c>
      <c r="E10" s="4">
        <f t="shared" si="0"/>
        <v>15356</v>
      </c>
      <c r="F10" s="4">
        <f t="shared" si="0"/>
        <v>17475</v>
      </c>
      <c r="G10" s="4">
        <f t="shared" si="0"/>
        <v>10396</v>
      </c>
      <c r="H10" s="4">
        <f t="shared" si="0"/>
        <v>6768</v>
      </c>
      <c r="I10" s="4"/>
      <c r="J10" s="4"/>
      <c r="K10" s="4"/>
      <c r="L10" s="4"/>
      <c r="M10" s="4"/>
      <c r="N10" s="4"/>
      <c r="O10" s="4"/>
      <c r="P10" s="4"/>
      <c r="Q10" s="4"/>
      <c r="R10" s="4"/>
      <c r="S10" s="4"/>
      <c r="T10" s="4"/>
    </row>
    <row r="11" spans="1:20" x14ac:dyDescent="0.25">
      <c r="A11" s="3" t="s">
        <v>28</v>
      </c>
      <c r="B11" s="3">
        <f t="shared" ref="B11:H11" si="1">B10/B7</f>
        <v>0.71068084357547079</v>
      </c>
      <c r="C11" s="3">
        <f t="shared" si="1"/>
        <v>0.74988697058169917</v>
      </c>
      <c r="D11" s="3">
        <f t="shared" si="1"/>
        <v>0.72717573290436954</v>
      </c>
      <c r="E11" s="3">
        <f t="shared" si="1"/>
        <v>0.56928894490991322</v>
      </c>
      <c r="F11" s="3">
        <f t="shared" si="1"/>
        <v>0.64929033216913135</v>
      </c>
      <c r="G11" s="3">
        <f t="shared" si="1"/>
        <v>0.62344827586206897</v>
      </c>
      <c r="H11" s="3">
        <f t="shared" si="1"/>
        <v>0.61989375343469499</v>
      </c>
      <c r="I11" s="3"/>
      <c r="J11" s="3"/>
      <c r="K11" s="3"/>
      <c r="L11" s="3"/>
      <c r="M11" s="3"/>
      <c r="N11" s="3"/>
      <c r="O11" s="3"/>
      <c r="P11" s="3"/>
      <c r="Q11" s="3"/>
      <c r="R11" s="3"/>
      <c r="S11" s="3"/>
      <c r="T11" s="3"/>
    </row>
    <row r="13" spans="1:20" x14ac:dyDescent="0.25">
      <c r="A13" s="1" t="s">
        <v>27</v>
      </c>
      <c r="B13" s="1">
        <v>18497</v>
      </c>
      <c r="C13" s="1">
        <v>12914</v>
      </c>
      <c r="D13" s="1">
        <v>8675</v>
      </c>
      <c r="E13" s="1">
        <v>7339</v>
      </c>
      <c r="F13" s="1">
        <v>5268</v>
      </c>
      <c r="G13" s="1">
        <v>3924</v>
      </c>
      <c r="H13" s="1">
        <v>2829</v>
      </c>
      <c r="I13" s="1"/>
      <c r="J13" s="1"/>
      <c r="K13" s="1"/>
      <c r="L13" s="1"/>
      <c r="M13" s="1"/>
      <c r="N13" s="1"/>
      <c r="O13" s="1"/>
      <c r="P13" s="1"/>
      <c r="Q13" s="1"/>
      <c r="R13" s="1"/>
      <c r="S13" s="1"/>
      <c r="T13" s="1"/>
    </row>
    <row r="14" spans="1:20" x14ac:dyDescent="0.25">
      <c r="A14" s="1" t="s">
        <v>24</v>
      </c>
      <c r="B14" s="1">
        <v>4579</v>
      </c>
      <c r="C14" s="1">
        <v>3491</v>
      </c>
      <c r="D14" s="1">
        <v>2654</v>
      </c>
      <c r="E14" s="1">
        <v>2440</v>
      </c>
      <c r="F14" s="1">
        <v>2166</v>
      </c>
      <c r="G14" s="1">
        <v>1940</v>
      </c>
      <c r="H14" s="1">
        <v>1093</v>
      </c>
      <c r="I14" s="1"/>
      <c r="J14" s="1"/>
      <c r="K14" s="1"/>
      <c r="L14" s="1"/>
      <c r="M14" s="1"/>
      <c r="N14" s="1"/>
      <c r="O14" s="1"/>
      <c r="P14" s="1"/>
      <c r="Q14" s="1"/>
      <c r="R14" s="1"/>
      <c r="S14" s="1"/>
      <c r="T14" s="1"/>
    </row>
    <row r="15" spans="1:20" x14ac:dyDescent="0.25">
      <c r="A15" s="1" t="s">
        <v>26</v>
      </c>
      <c r="B15" s="1">
        <v>0</v>
      </c>
      <c r="C15" s="1">
        <v>0</v>
      </c>
      <c r="D15" s="1">
        <v>0</v>
      </c>
      <c r="E15" s="1">
        <v>0</v>
      </c>
      <c r="F15" s="1">
        <v>0</v>
      </c>
      <c r="G15" s="1">
        <v>0</v>
      </c>
      <c r="H15" s="1">
        <v>0</v>
      </c>
      <c r="I15" s="1"/>
      <c r="J15" s="1"/>
      <c r="K15" s="1"/>
      <c r="L15" s="1"/>
      <c r="M15" s="1"/>
      <c r="N15" s="1"/>
      <c r="O15" s="1"/>
      <c r="P15" s="1"/>
      <c r="Q15" s="1"/>
      <c r="R15" s="1"/>
      <c r="S15" s="1"/>
      <c r="T15" s="1"/>
    </row>
    <row r="16" spans="1:20" x14ac:dyDescent="0.25">
      <c r="A16" s="1" t="s">
        <v>25</v>
      </c>
      <c r="B16" s="1">
        <v>0</v>
      </c>
      <c r="C16" s="1">
        <v>0</v>
      </c>
      <c r="D16" s="1">
        <v>0</v>
      </c>
      <c r="E16" s="1">
        <v>0</v>
      </c>
      <c r="F16" s="1">
        <v>0</v>
      </c>
      <c r="G16" s="1">
        <v>0</v>
      </c>
      <c r="H16" s="1">
        <v>0</v>
      </c>
      <c r="I16" s="1"/>
      <c r="J16" s="1"/>
      <c r="K16" s="1"/>
      <c r="L16" s="1"/>
      <c r="M16" s="1"/>
      <c r="N16" s="1"/>
      <c r="O16" s="1"/>
      <c r="P16" s="1"/>
      <c r="Q16" s="1"/>
      <c r="R16" s="1"/>
      <c r="S16" s="1"/>
      <c r="T16" s="1"/>
    </row>
    <row r="17" spans="1:20" x14ac:dyDescent="0.25">
      <c r="A17" s="1" t="s">
        <v>23</v>
      </c>
      <c r="B17" s="1">
        <v>0</v>
      </c>
      <c r="C17" s="1">
        <v>0</v>
      </c>
      <c r="D17" s="1">
        <v>0</v>
      </c>
      <c r="E17" s="1">
        <v>0</v>
      </c>
      <c r="F17" s="1">
        <v>0</v>
      </c>
      <c r="G17" s="1">
        <v>0</v>
      </c>
      <c r="H17" s="1">
        <v>0</v>
      </c>
      <c r="I17" s="1"/>
      <c r="J17" s="1"/>
      <c r="K17" s="1"/>
      <c r="L17" s="1"/>
      <c r="M17" s="1"/>
      <c r="N17" s="1"/>
      <c r="O17" s="1"/>
      <c r="P17" s="1"/>
      <c r="Q17" s="1"/>
      <c r="R17" s="1"/>
      <c r="S17" s="1"/>
      <c r="T17" s="1"/>
    </row>
    <row r="18" spans="1:20" x14ac:dyDescent="0.25">
      <c r="A18" s="6" t="s">
        <v>22</v>
      </c>
      <c r="B18" s="4">
        <f t="shared" ref="B18:H18" si="2">B13+B14+B17</f>
        <v>23076</v>
      </c>
      <c r="C18" s="4">
        <f t="shared" si="2"/>
        <v>16405</v>
      </c>
      <c r="D18" s="4">
        <f t="shared" si="2"/>
        <v>11329</v>
      </c>
      <c r="E18" s="4">
        <f t="shared" si="2"/>
        <v>9779</v>
      </c>
      <c r="F18" s="4">
        <f t="shared" si="2"/>
        <v>7434</v>
      </c>
      <c r="G18" s="4">
        <f t="shared" si="2"/>
        <v>5864</v>
      </c>
      <c r="H18" s="4">
        <f t="shared" si="2"/>
        <v>3922</v>
      </c>
      <c r="I18" s="4"/>
      <c r="J18" s="4"/>
      <c r="K18" s="4"/>
      <c r="L18" s="4"/>
      <c r="M18" s="4"/>
      <c r="N18" s="4"/>
      <c r="O18" s="4"/>
      <c r="P18" s="4"/>
      <c r="Q18" s="4"/>
      <c r="R18" s="4"/>
      <c r="S18" s="4"/>
      <c r="T18" s="4"/>
    </row>
    <row r="20" spans="1:20" x14ac:dyDescent="0.25">
      <c r="A20" s="1" t="s">
        <v>21</v>
      </c>
      <c r="B20" s="1">
        <f t="shared" ref="B20:H20" si="3">B9+B18</f>
        <v>85551</v>
      </c>
      <c r="C20" s="1">
        <f t="shared" si="3"/>
        <v>49044</v>
      </c>
      <c r="D20" s="1">
        <f t="shared" si="3"/>
        <v>27950</v>
      </c>
      <c r="E20" s="1">
        <f t="shared" si="3"/>
        <v>21397</v>
      </c>
      <c r="F20" s="1">
        <f t="shared" si="3"/>
        <v>16873</v>
      </c>
      <c r="G20" s="1">
        <f t="shared" si="3"/>
        <v>12143</v>
      </c>
      <c r="H20" s="1">
        <f t="shared" si="3"/>
        <v>8072</v>
      </c>
      <c r="I20" s="1"/>
      <c r="J20" s="1"/>
      <c r="K20" s="1"/>
      <c r="L20" s="1"/>
      <c r="M20" s="1"/>
      <c r="N20" s="1"/>
      <c r="O20" s="1"/>
      <c r="P20" s="1"/>
      <c r="Q20" s="1"/>
      <c r="R20" s="1"/>
      <c r="S20" s="1"/>
      <c r="T20" s="1"/>
    </row>
    <row r="21" spans="1:20" x14ac:dyDescent="0.25">
      <c r="A21" s="1" t="s">
        <v>18</v>
      </c>
      <c r="B21" s="1">
        <f t="shared" ref="B21:H21" si="4">B25+B24</f>
        <v>133230</v>
      </c>
      <c r="C21" s="1">
        <f t="shared" si="4"/>
        <v>83317</v>
      </c>
      <c r="D21" s="1">
        <f t="shared" si="4"/>
        <v>34480</v>
      </c>
      <c r="E21" s="1">
        <f t="shared" si="4"/>
        <v>5768</v>
      </c>
      <c r="F21" s="1">
        <f t="shared" si="4"/>
        <v>11215</v>
      </c>
      <c r="G21" s="1">
        <f t="shared" si="4"/>
        <v>5630</v>
      </c>
      <c r="H21" s="1">
        <f t="shared" si="4"/>
        <v>3227</v>
      </c>
      <c r="I21" s="1"/>
      <c r="J21" s="1"/>
      <c r="K21" s="1"/>
      <c r="L21" s="1"/>
      <c r="M21" s="1"/>
      <c r="N21" s="1"/>
      <c r="O21" s="1"/>
      <c r="P21" s="1"/>
      <c r="Q21" s="1"/>
      <c r="R21" s="1"/>
      <c r="S21" s="1"/>
      <c r="T21" s="1"/>
    </row>
    <row r="22" spans="1:20" x14ac:dyDescent="0.25">
      <c r="A22" s="3" t="s">
        <v>17</v>
      </c>
      <c r="B22" s="3">
        <f t="shared" ref="B22:H22" si="5">B21/B7</f>
        <v>0.61698265242801176</v>
      </c>
      <c r="C22" s="3">
        <f t="shared" si="5"/>
        <v>0.63845912166563212</v>
      </c>
      <c r="D22" s="3">
        <f t="shared" si="5"/>
        <v>0.56596960047273559</v>
      </c>
      <c r="E22" s="3">
        <f t="shared" si="5"/>
        <v>0.21383554533995699</v>
      </c>
      <c r="F22" s="3">
        <f t="shared" si="5"/>
        <v>0.41669762948651262</v>
      </c>
      <c r="G22" s="3">
        <f t="shared" si="5"/>
        <v>0.3376311844077961</v>
      </c>
      <c r="H22" s="3">
        <f t="shared" si="5"/>
        <v>0.29556695365451546</v>
      </c>
      <c r="I22" s="3"/>
      <c r="J22" s="3"/>
      <c r="K22" s="3"/>
      <c r="L22" s="3"/>
      <c r="M22" s="3"/>
      <c r="N22" s="3"/>
      <c r="O22" s="3"/>
      <c r="P22" s="3"/>
      <c r="Q22" s="3"/>
      <c r="R22" s="3"/>
      <c r="S22" s="3"/>
      <c r="T22" s="3"/>
    </row>
    <row r="23" spans="1:20" x14ac:dyDescent="0.25">
      <c r="A23" s="1" t="s">
        <v>20</v>
      </c>
      <c r="B23" s="1">
        <v>259</v>
      </c>
      <c r="C23" s="1">
        <v>247</v>
      </c>
      <c r="D23" s="1">
        <v>257</v>
      </c>
      <c r="E23" s="1">
        <v>262</v>
      </c>
      <c r="F23" s="1">
        <v>236</v>
      </c>
      <c r="G23" s="1">
        <v>184</v>
      </c>
      <c r="H23" s="1">
        <v>52</v>
      </c>
      <c r="I23" s="1"/>
      <c r="J23" s="1"/>
      <c r="K23" s="1"/>
      <c r="L23" s="1"/>
      <c r="M23" s="1"/>
      <c r="N23" s="1"/>
      <c r="O23" s="1"/>
      <c r="P23" s="1"/>
      <c r="Q23" s="1"/>
      <c r="R23" s="1"/>
      <c r="S23" s="1"/>
      <c r="T23" s="1"/>
    </row>
    <row r="24" spans="1:20" x14ac:dyDescent="0.25">
      <c r="A24" s="1" t="s">
        <v>19</v>
      </c>
      <c r="B24" s="1">
        <v>2843</v>
      </c>
      <c r="C24" s="1">
        <v>1864</v>
      </c>
      <c r="D24" s="1">
        <v>1508</v>
      </c>
      <c r="E24" s="1">
        <v>1544</v>
      </c>
      <c r="F24" s="1">
        <v>1174</v>
      </c>
      <c r="G24" s="1">
        <v>1098</v>
      </c>
      <c r="H24" s="1">
        <v>381</v>
      </c>
      <c r="I24" s="1"/>
      <c r="J24" s="1"/>
      <c r="K24" s="1"/>
      <c r="L24" s="1"/>
      <c r="M24" s="1"/>
      <c r="N24" s="1"/>
      <c r="O24" s="1"/>
      <c r="P24" s="1"/>
      <c r="Q24" s="1"/>
      <c r="R24" s="1"/>
      <c r="S24" s="1"/>
      <c r="T24" s="1"/>
    </row>
    <row r="25" spans="1:20" x14ac:dyDescent="0.25">
      <c r="A25" s="6" t="s">
        <v>16</v>
      </c>
      <c r="B25" s="5">
        <v>130387</v>
      </c>
      <c r="C25" s="5">
        <v>81453</v>
      </c>
      <c r="D25" s="5">
        <v>32972</v>
      </c>
      <c r="E25" s="5">
        <v>4224</v>
      </c>
      <c r="F25" s="5">
        <v>10041</v>
      </c>
      <c r="G25" s="5">
        <v>4532</v>
      </c>
      <c r="H25" s="5">
        <v>2846</v>
      </c>
      <c r="I25" s="5"/>
      <c r="J25" s="5"/>
      <c r="K25" s="5"/>
      <c r="L25" s="5"/>
      <c r="M25" s="5"/>
      <c r="N25" s="5"/>
      <c r="O25" s="5"/>
      <c r="P25" s="5"/>
      <c r="Q25" s="5"/>
      <c r="R25" s="5"/>
      <c r="S25" s="5"/>
      <c r="T25" s="5"/>
    </row>
    <row r="26" spans="1:20" x14ac:dyDescent="0.25">
      <c r="A26" s="3" t="s">
        <v>15</v>
      </c>
      <c r="B26" s="7">
        <f t="shared" ref="B26:H26" si="6">B25/B7</f>
        <v>0.60381683631412719</v>
      </c>
      <c r="C26" s="7">
        <f t="shared" si="6"/>
        <v>0.62417526839697468</v>
      </c>
      <c r="D26" s="7">
        <f t="shared" si="6"/>
        <v>0.54121663766783756</v>
      </c>
      <c r="E26" s="7">
        <f t="shared" si="6"/>
        <v>0.1565952398606065</v>
      </c>
      <c r="F26" s="7">
        <f t="shared" si="6"/>
        <v>0.37307720888756779</v>
      </c>
      <c r="G26" s="7">
        <f t="shared" si="6"/>
        <v>0.27178410794602698</v>
      </c>
      <c r="H26" s="7">
        <f t="shared" si="6"/>
        <v>0.2606704524638212</v>
      </c>
      <c r="I26" s="7"/>
      <c r="J26" s="7"/>
      <c r="K26" s="7"/>
      <c r="L26" s="7"/>
      <c r="M26" s="7"/>
      <c r="N26" s="7"/>
      <c r="O26" s="7"/>
      <c r="P26" s="7"/>
      <c r="Q26" s="7"/>
      <c r="R26" s="7"/>
      <c r="S26" s="7"/>
      <c r="T26" s="7"/>
    </row>
    <row r="28" spans="1:20" x14ac:dyDescent="0.25">
      <c r="A28" s="1" t="s">
        <v>14</v>
      </c>
      <c r="B28" s="1">
        <f t="shared" ref="B28:H28" si="7">B29-B25</f>
        <v>11063</v>
      </c>
      <c r="C28" s="1">
        <f t="shared" si="7"/>
        <v>2573</v>
      </c>
      <c r="D28" s="1">
        <f t="shared" si="7"/>
        <v>846</v>
      </c>
      <c r="E28" s="1">
        <f t="shared" si="7"/>
        <v>-43</v>
      </c>
      <c r="F28" s="1">
        <f t="shared" si="7"/>
        <v>-100</v>
      </c>
      <c r="G28" s="1">
        <f t="shared" si="7"/>
        <v>-123</v>
      </c>
      <c r="H28" s="1">
        <f t="shared" si="7"/>
        <v>124</v>
      </c>
      <c r="I28" s="1"/>
      <c r="J28" s="1"/>
      <c r="K28" s="1"/>
      <c r="L28" s="1"/>
      <c r="M28" s="1"/>
      <c r="N28" s="1"/>
      <c r="O28" s="1"/>
      <c r="P28" s="1"/>
      <c r="Q28" s="1"/>
      <c r="R28" s="1"/>
      <c r="S28" s="1"/>
      <c r="T28" s="1"/>
    </row>
    <row r="29" spans="1:20" x14ac:dyDescent="0.25">
      <c r="A29" s="1" t="s">
        <v>13</v>
      </c>
      <c r="B29" s="1">
        <v>141450</v>
      </c>
      <c r="C29" s="1">
        <v>84026</v>
      </c>
      <c r="D29" s="1">
        <v>33818</v>
      </c>
      <c r="E29" s="1">
        <v>4181</v>
      </c>
      <c r="F29" s="1">
        <v>9941</v>
      </c>
      <c r="G29" s="1">
        <v>4409</v>
      </c>
      <c r="H29" s="1">
        <v>2970</v>
      </c>
      <c r="I29" s="1"/>
      <c r="J29" s="1"/>
      <c r="K29" s="1"/>
      <c r="L29" s="1"/>
      <c r="M29" s="1"/>
      <c r="N29" s="1"/>
      <c r="O29" s="1"/>
      <c r="P29" s="1"/>
      <c r="Q29" s="1"/>
      <c r="R29" s="1"/>
      <c r="S29" s="1"/>
      <c r="T29" s="1"/>
    </row>
    <row r="30" spans="1:20" x14ac:dyDescent="0.25">
      <c r="A30" s="2" t="s">
        <v>12</v>
      </c>
      <c r="B30" s="2">
        <f t="shared" ref="B30:H30" si="8">B29/B7</f>
        <v>0.6550491344737841</v>
      </c>
      <c r="C30" s="2">
        <f t="shared" si="8"/>
        <v>0.64389219675548093</v>
      </c>
      <c r="D30" s="2">
        <f t="shared" si="8"/>
        <v>0.55510324677456424</v>
      </c>
      <c r="E30" s="2">
        <f t="shared" si="8"/>
        <v>0.15500111218210127</v>
      </c>
      <c r="F30" s="2">
        <f t="shared" si="8"/>
        <v>0.36936167050605634</v>
      </c>
      <c r="G30" s="2">
        <f t="shared" si="8"/>
        <v>0.26440779610194903</v>
      </c>
      <c r="H30" s="2">
        <f t="shared" si="8"/>
        <v>0.27202784392745927</v>
      </c>
      <c r="I30" s="2"/>
      <c r="J30" s="2"/>
      <c r="K30" s="2"/>
      <c r="L30" s="2"/>
      <c r="M30" s="2"/>
      <c r="N30" s="2"/>
      <c r="O30" s="2"/>
      <c r="P30" s="2"/>
      <c r="Q30" s="2"/>
      <c r="R30" s="2"/>
      <c r="S30" s="2"/>
      <c r="T30" s="2"/>
    </row>
    <row r="31" spans="1:20" x14ac:dyDescent="0.25">
      <c r="A31" s="1" t="s">
        <v>11</v>
      </c>
      <c r="B31" s="1">
        <v>21383</v>
      </c>
      <c r="C31" s="1">
        <v>11146</v>
      </c>
      <c r="D31" s="1">
        <v>4058</v>
      </c>
      <c r="E31" s="1">
        <v>-187</v>
      </c>
      <c r="F31" s="1">
        <v>189</v>
      </c>
      <c r="G31" s="1">
        <v>77</v>
      </c>
      <c r="H31" s="1">
        <v>174</v>
      </c>
      <c r="I31" s="1"/>
      <c r="J31" s="1"/>
      <c r="K31" s="1"/>
      <c r="L31" s="1"/>
      <c r="M31" s="1"/>
      <c r="N31" s="1"/>
      <c r="O31" s="1"/>
      <c r="P31" s="1"/>
      <c r="Q31" s="1"/>
      <c r="R31" s="1"/>
      <c r="S31" s="1"/>
      <c r="T31" s="1"/>
    </row>
    <row r="32" spans="1:20" x14ac:dyDescent="0.25">
      <c r="A32" s="6" t="s">
        <v>10</v>
      </c>
      <c r="B32" s="5">
        <f t="shared" ref="B32:H32" si="9">B29-B31</f>
        <v>120067</v>
      </c>
      <c r="C32" s="5">
        <f t="shared" si="9"/>
        <v>72880</v>
      </c>
      <c r="D32" s="5">
        <f t="shared" si="9"/>
        <v>29760</v>
      </c>
      <c r="E32" s="5">
        <f t="shared" si="9"/>
        <v>4368</v>
      </c>
      <c r="F32" s="5">
        <f t="shared" si="9"/>
        <v>9752</v>
      </c>
      <c r="G32" s="5">
        <f t="shared" si="9"/>
        <v>4332</v>
      </c>
      <c r="H32" s="5">
        <f t="shared" si="9"/>
        <v>2796</v>
      </c>
      <c r="I32" s="5"/>
      <c r="J32" s="5"/>
      <c r="K32" s="5"/>
      <c r="L32" s="5"/>
      <c r="M32" s="5"/>
      <c r="N32" s="5"/>
      <c r="O32" s="5"/>
      <c r="P32" s="5"/>
      <c r="Q32" s="5"/>
      <c r="R32" s="5"/>
      <c r="S32" s="5"/>
      <c r="T32" s="5"/>
    </row>
    <row r="34" spans="1:20" x14ac:dyDescent="0.25">
      <c r="A34" s="3" t="s">
        <v>9</v>
      </c>
      <c r="B34" s="3">
        <f t="shared" ref="B34:H34" si="10">B32/B7</f>
        <v>0.55602534060702613</v>
      </c>
      <c r="C34" s="3">
        <f t="shared" si="10"/>
        <v>0.55848027157712443</v>
      </c>
      <c r="D34" s="3">
        <f t="shared" si="10"/>
        <v>0.4884934834706674</v>
      </c>
      <c r="E34" s="3">
        <f t="shared" si="10"/>
        <v>0.16193371394676356</v>
      </c>
      <c r="F34" s="3">
        <f t="shared" si="10"/>
        <v>0.36233930296499961</v>
      </c>
      <c r="G34" s="3">
        <f t="shared" si="10"/>
        <v>0.25979010494752625</v>
      </c>
      <c r="H34" s="3">
        <f t="shared" si="10"/>
        <v>0.25609085913170909</v>
      </c>
      <c r="I34" s="3"/>
      <c r="J34" s="3"/>
      <c r="K34" s="3"/>
      <c r="L34" s="3"/>
      <c r="M34" s="3"/>
      <c r="N34" s="3"/>
      <c r="O34" s="3"/>
      <c r="P34" s="3"/>
      <c r="Q34" s="3"/>
      <c r="R34" s="3"/>
      <c r="S34" s="3"/>
      <c r="T34" s="3"/>
    </row>
    <row r="35" spans="1:20" x14ac:dyDescent="0.25">
      <c r="A35" s="2" t="s">
        <v>8</v>
      </c>
      <c r="B35" s="2">
        <v>4.93</v>
      </c>
      <c r="C35" s="2">
        <v>2.97</v>
      </c>
      <c r="D35" s="2">
        <v>1.21</v>
      </c>
      <c r="E35" s="2">
        <v>0.17599999999999999</v>
      </c>
      <c r="F35" s="2">
        <v>0.39100000000000001</v>
      </c>
      <c r="G35" s="2">
        <v>0.17599999999999999</v>
      </c>
      <c r="H35" s="2">
        <v>0.115</v>
      </c>
      <c r="I35" s="2"/>
      <c r="J35" s="2"/>
      <c r="K35" s="2"/>
      <c r="L35" s="2"/>
      <c r="M35" s="2"/>
      <c r="N35" s="2"/>
      <c r="O35" s="2"/>
      <c r="P35" s="2"/>
      <c r="Q35" s="2"/>
      <c r="R35" s="2"/>
      <c r="S35" s="2"/>
      <c r="T35" s="2"/>
    </row>
    <row r="36" spans="1:20" x14ac:dyDescent="0.25">
      <c r="A36" s="2" t="s">
        <v>7</v>
      </c>
      <c r="B36" s="2">
        <v>4.9000000000000004</v>
      </c>
      <c r="C36" s="2">
        <v>2.94</v>
      </c>
      <c r="D36" s="2">
        <v>1.19</v>
      </c>
      <c r="E36" s="2">
        <v>0.17399999999999999</v>
      </c>
      <c r="F36" s="2">
        <v>0.38500000000000001</v>
      </c>
      <c r="G36" s="2">
        <v>0.17299999999999999</v>
      </c>
      <c r="H36" s="2">
        <v>0.113</v>
      </c>
      <c r="I36" s="2"/>
      <c r="J36" s="2"/>
      <c r="K36" s="2"/>
      <c r="L36" s="2"/>
      <c r="M36" s="2"/>
      <c r="N36" s="2"/>
      <c r="O36" s="2"/>
      <c r="P36" s="2"/>
      <c r="Q36" s="2"/>
      <c r="R36" s="2"/>
      <c r="S36" s="2"/>
      <c r="T36" s="2"/>
    </row>
    <row r="37" spans="1:20" x14ac:dyDescent="0.25">
      <c r="A37" s="1" t="s">
        <v>6</v>
      </c>
      <c r="B37" s="1">
        <v>24359</v>
      </c>
      <c r="C37" s="1">
        <v>24555</v>
      </c>
      <c r="D37" s="1">
        <v>24690</v>
      </c>
      <c r="E37" s="1">
        <v>24870</v>
      </c>
      <c r="F37" s="1">
        <v>24960</v>
      </c>
      <c r="G37" s="1">
        <v>24670</v>
      </c>
      <c r="H37" s="1">
        <v>24390</v>
      </c>
      <c r="I37" s="1"/>
      <c r="J37" s="1"/>
      <c r="K37" s="1"/>
      <c r="L37" s="1"/>
      <c r="M37" s="1"/>
      <c r="N37" s="1"/>
      <c r="O37" s="1"/>
      <c r="P37" s="1"/>
      <c r="Q37" s="1"/>
      <c r="R37" s="1"/>
      <c r="S37" s="1"/>
      <c r="T37" s="1"/>
    </row>
    <row r="38" spans="1:20" x14ac:dyDescent="0.25">
      <c r="A38" s="1" t="s">
        <v>5</v>
      </c>
      <c r="B38" s="1">
        <v>24514</v>
      </c>
      <c r="C38" s="1">
        <v>24804</v>
      </c>
      <c r="D38" s="1">
        <v>24940</v>
      </c>
      <c r="E38" s="1">
        <v>25070</v>
      </c>
      <c r="F38" s="1">
        <v>25350</v>
      </c>
      <c r="G38" s="1">
        <v>25100</v>
      </c>
      <c r="H38" s="1">
        <v>24720</v>
      </c>
      <c r="I38" s="1"/>
      <c r="J38" s="1"/>
      <c r="K38" s="1"/>
      <c r="L38" s="1"/>
      <c r="M38" s="1"/>
      <c r="N38" s="1"/>
      <c r="O38" s="1"/>
      <c r="P38" s="1"/>
      <c r="Q38" s="1"/>
      <c r="R38" s="1"/>
      <c r="S38" s="1"/>
      <c r="T38" s="1"/>
    </row>
  </sheetData>
  <mergeCells count="1">
    <mergeCell ref="B4:T4"/>
  </mergeCells>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09AF7D-4A67-470D-970B-8C6D67A180D1}">
  <sheetPr>
    <tabColor rgb="FFC6E0B4"/>
  </sheetPr>
  <dimension ref="A1:T52"/>
  <sheetViews>
    <sheetView workbookViewId="0"/>
  </sheetViews>
  <sheetFormatPr defaultRowHeight="15" x14ac:dyDescent="0.25"/>
  <cols>
    <col min="1" max="1" width="44.42578125" bestFit="1" customWidth="1"/>
    <col min="2" max="10" width="18.28515625" bestFit="1" customWidth="1"/>
    <col min="11" max="18" width="17.28515625" bestFit="1" customWidth="1"/>
    <col min="19" max="20" width="16.85546875" bestFit="1" customWidth="1"/>
  </cols>
  <sheetData>
    <row r="1" spans="1:20" x14ac:dyDescent="0.25">
      <c r="A1" s="10" t="s">
        <v>211</v>
      </c>
      <c r="B1" s="10"/>
      <c r="C1" s="10"/>
      <c r="D1" s="10"/>
      <c r="E1" s="10"/>
      <c r="F1" s="10"/>
      <c r="G1" s="10"/>
      <c r="H1" s="10"/>
      <c r="I1" s="10"/>
      <c r="J1" s="10"/>
      <c r="K1" s="10"/>
      <c r="L1" s="10"/>
      <c r="M1" s="10"/>
      <c r="N1" s="10"/>
      <c r="O1" s="10"/>
      <c r="P1" s="10"/>
      <c r="Q1" s="10"/>
      <c r="R1" s="10"/>
      <c r="S1" s="10"/>
      <c r="T1" s="10"/>
    </row>
    <row r="2" spans="1:20" x14ac:dyDescent="0.25">
      <c r="A2" t="s">
        <v>1</v>
      </c>
      <c r="B2" t="s">
        <v>210</v>
      </c>
    </row>
    <row r="3" spans="1:20" x14ac:dyDescent="0.25">
      <c r="A3" t="s">
        <v>3</v>
      </c>
      <c r="B3" t="str">
        <f>'NVDA - Income Statement FY'!B3</f>
        <v>USD</v>
      </c>
    </row>
    <row r="4" spans="1:20" x14ac:dyDescent="0.25">
      <c r="A4" t="s">
        <v>32</v>
      </c>
      <c r="B4" s="236" t="s">
        <v>33</v>
      </c>
      <c r="C4" s="236"/>
      <c r="D4" s="236"/>
      <c r="E4" s="236"/>
      <c r="F4" s="236"/>
      <c r="G4" s="236"/>
      <c r="H4" s="236"/>
      <c r="I4" s="236"/>
      <c r="J4" s="236"/>
      <c r="K4" s="236"/>
      <c r="L4" s="236"/>
      <c r="M4" s="236"/>
      <c r="N4" s="236"/>
      <c r="O4" s="236"/>
      <c r="P4" s="236"/>
      <c r="Q4" s="236"/>
      <c r="R4" s="236"/>
      <c r="S4" s="236"/>
      <c r="T4" s="236"/>
    </row>
    <row r="5" spans="1:20" x14ac:dyDescent="0.25">
      <c r="A5" t="s">
        <v>34</v>
      </c>
      <c r="B5" s="8">
        <v>46047</v>
      </c>
      <c r="C5" s="8">
        <v>45683</v>
      </c>
      <c r="D5" s="8">
        <v>45319</v>
      </c>
      <c r="E5" s="8">
        <v>44955</v>
      </c>
      <c r="F5" s="8">
        <v>44591</v>
      </c>
      <c r="G5" s="8">
        <v>44227</v>
      </c>
      <c r="H5" s="8">
        <v>43856</v>
      </c>
      <c r="I5" s="8"/>
      <c r="J5" s="8"/>
      <c r="K5" s="8"/>
      <c r="L5" s="8"/>
      <c r="M5" s="8"/>
      <c r="N5" s="8"/>
      <c r="O5" s="8"/>
      <c r="P5" s="8"/>
      <c r="Q5" s="8"/>
      <c r="R5" s="8"/>
      <c r="S5" s="8"/>
      <c r="T5" s="8"/>
    </row>
    <row r="7" spans="1:20" x14ac:dyDescent="0.25">
      <c r="A7" s="1" t="s">
        <v>74</v>
      </c>
      <c r="B7" s="1">
        <v>10605</v>
      </c>
      <c r="C7" s="1">
        <v>8589</v>
      </c>
      <c r="D7" s="1">
        <v>7280</v>
      </c>
      <c r="E7" s="1">
        <v>3389</v>
      </c>
      <c r="F7" s="1">
        <v>1990</v>
      </c>
      <c r="G7" s="1">
        <v>847</v>
      </c>
      <c r="H7" s="1">
        <v>10896</v>
      </c>
      <c r="I7" s="1"/>
      <c r="J7" s="1"/>
      <c r="K7" s="1"/>
      <c r="L7" s="1"/>
      <c r="M7" s="1"/>
      <c r="N7" s="1"/>
      <c r="O7" s="1"/>
      <c r="P7" s="1"/>
      <c r="Q7" s="1"/>
      <c r="R7" s="1"/>
      <c r="S7" s="1"/>
      <c r="T7" s="1"/>
    </row>
    <row r="8" spans="1:20" x14ac:dyDescent="0.25">
      <c r="A8" s="1" t="s">
        <v>73</v>
      </c>
      <c r="B8" s="1">
        <v>51951</v>
      </c>
      <c r="C8" s="1">
        <v>34621</v>
      </c>
      <c r="D8" s="1">
        <v>18704</v>
      </c>
      <c r="E8" s="1">
        <v>9907</v>
      </c>
      <c r="F8" s="1">
        <v>19218</v>
      </c>
      <c r="G8" s="1">
        <v>10714</v>
      </c>
      <c r="H8" s="1">
        <v>1</v>
      </c>
      <c r="I8" s="1"/>
      <c r="J8" s="1"/>
      <c r="K8" s="1"/>
      <c r="L8" s="1"/>
      <c r="M8" s="1"/>
      <c r="N8" s="1"/>
      <c r="O8" s="1"/>
      <c r="P8" s="1"/>
      <c r="Q8" s="1"/>
      <c r="R8" s="1"/>
      <c r="S8" s="1"/>
      <c r="T8" s="1"/>
    </row>
    <row r="9" spans="1:20" x14ac:dyDescent="0.25">
      <c r="A9" s="1" t="s">
        <v>72</v>
      </c>
      <c r="B9" s="1">
        <f t="shared" ref="B9:H9" si="0">B7+B8</f>
        <v>62556</v>
      </c>
      <c r="C9" s="1">
        <f t="shared" si="0"/>
        <v>43210</v>
      </c>
      <c r="D9" s="1">
        <f t="shared" si="0"/>
        <v>25984</v>
      </c>
      <c r="E9" s="1">
        <f t="shared" si="0"/>
        <v>13296</v>
      </c>
      <c r="F9" s="1">
        <f t="shared" si="0"/>
        <v>21208</v>
      </c>
      <c r="G9" s="1">
        <f t="shared" si="0"/>
        <v>11561</v>
      </c>
      <c r="H9" s="1">
        <f t="shared" si="0"/>
        <v>10897</v>
      </c>
      <c r="I9" s="1"/>
      <c r="J9" s="1"/>
      <c r="K9" s="1"/>
      <c r="L9" s="1"/>
      <c r="M9" s="1"/>
      <c r="N9" s="1"/>
      <c r="O9" s="1"/>
      <c r="P9" s="1"/>
      <c r="Q9" s="1"/>
      <c r="R9" s="1"/>
      <c r="S9" s="1"/>
      <c r="T9" s="1"/>
    </row>
    <row r="10" spans="1:20" x14ac:dyDescent="0.25">
      <c r="A10" s="1" t="s">
        <v>71</v>
      </c>
      <c r="B10" s="1">
        <v>38466</v>
      </c>
      <c r="C10" s="1">
        <v>23065</v>
      </c>
      <c r="D10" s="1">
        <v>9999</v>
      </c>
      <c r="E10" s="1">
        <v>3827</v>
      </c>
      <c r="F10" s="1">
        <v>4650</v>
      </c>
      <c r="G10" s="1">
        <v>2429</v>
      </c>
      <c r="H10" s="1">
        <v>1657</v>
      </c>
      <c r="I10" s="1"/>
      <c r="J10" s="1"/>
      <c r="K10" s="1"/>
      <c r="L10" s="1"/>
      <c r="M10" s="1"/>
      <c r="N10" s="1"/>
      <c r="O10" s="1"/>
      <c r="P10" s="1"/>
      <c r="Q10" s="1"/>
      <c r="R10" s="1"/>
      <c r="S10" s="1"/>
      <c r="T10" s="1"/>
    </row>
    <row r="11" spans="1:20" x14ac:dyDescent="0.25">
      <c r="A11" s="1" t="s">
        <v>70</v>
      </c>
      <c r="B11" s="1">
        <v>21403</v>
      </c>
      <c r="C11" s="1">
        <v>10080</v>
      </c>
      <c r="D11" s="1">
        <v>5282</v>
      </c>
      <c r="E11" s="1">
        <v>5159</v>
      </c>
      <c r="F11" s="1">
        <v>2605</v>
      </c>
      <c r="G11" s="1">
        <v>1826</v>
      </c>
      <c r="H11" s="1">
        <v>979</v>
      </c>
      <c r="I11" s="1"/>
      <c r="J11" s="1"/>
      <c r="K11" s="1"/>
      <c r="L11" s="1"/>
      <c r="M11" s="1"/>
      <c r="N11" s="1"/>
      <c r="O11" s="1"/>
      <c r="P11" s="1"/>
      <c r="Q11" s="1"/>
      <c r="R11" s="1"/>
      <c r="S11" s="1"/>
      <c r="T11" s="1"/>
    </row>
    <row r="12" spans="1:20" x14ac:dyDescent="0.25">
      <c r="A12" s="1" t="s">
        <v>69</v>
      </c>
      <c r="B12" s="1">
        <v>3180</v>
      </c>
      <c r="C12" s="1">
        <v>3771</v>
      </c>
      <c r="D12" s="1">
        <v>3080</v>
      </c>
      <c r="E12" s="1">
        <v>791</v>
      </c>
      <c r="F12" s="1">
        <v>366</v>
      </c>
      <c r="G12" s="1">
        <v>239</v>
      </c>
      <c r="H12" s="1">
        <v>157</v>
      </c>
      <c r="I12" s="1"/>
      <c r="J12" s="1"/>
      <c r="K12" s="1"/>
      <c r="L12" s="1"/>
      <c r="M12" s="1"/>
      <c r="N12" s="1"/>
      <c r="O12" s="1"/>
      <c r="P12" s="1"/>
      <c r="Q12" s="1"/>
      <c r="R12" s="1"/>
      <c r="S12" s="1"/>
      <c r="T12" s="1"/>
    </row>
    <row r="13" spans="1:20" x14ac:dyDescent="0.25">
      <c r="A13" s="6" t="s">
        <v>68</v>
      </c>
      <c r="B13" s="4">
        <v>125605</v>
      </c>
      <c r="C13" s="4">
        <v>80126</v>
      </c>
      <c r="D13" s="4">
        <v>44345</v>
      </c>
      <c r="E13" s="4">
        <v>23073</v>
      </c>
      <c r="F13" s="4">
        <v>28829</v>
      </c>
      <c r="G13" s="4">
        <v>16055</v>
      </c>
      <c r="H13" s="4">
        <v>13690</v>
      </c>
      <c r="I13" s="4"/>
      <c r="J13" s="4"/>
      <c r="K13" s="4"/>
      <c r="L13" s="4"/>
      <c r="M13" s="4"/>
      <c r="N13" s="4"/>
      <c r="O13" s="4"/>
      <c r="P13" s="4"/>
      <c r="Q13" s="4"/>
      <c r="R13" s="4"/>
      <c r="S13" s="4"/>
      <c r="T13" s="4"/>
    </row>
    <row r="15" spans="1:20" x14ac:dyDescent="0.25">
      <c r="A15" s="1" t="s">
        <v>67</v>
      </c>
      <c r="B15" s="1">
        <v>10383</v>
      </c>
      <c r="C15" s="1">
        <v>6283</v>
      </c>
      <c r="D15" s="1">
        <v>3914</v>
      </c>
      <c r="E15" s="1">
        <v>3807</v>
      </c>
      <c r="F15" s="1">
        <v>2778</v>
      </c>
      <c r="G15" s="1">
        <v>2149</v>
      </c>
      <c r="H15" s="1">
        <v>1674</v>
      </c>
      <c r="I15" s="1"/>
      <c r="J15" s="1"/>
      <c r="K15" s="1"/>
      <c r="L15" s="1"/>
      <c r="M15" s="1"/>
      <c r="N15" s="1"/>
      <c r="O15" s="1"/>
      <c r="P15" s="1"/>
      <c r="Q15" s="1"/>
      <c r="R15" s="1"/>
      <c r="S15" s="1"/>
      <c r="T15" s="1"/>
    </row>
    <row r="16" spans="1:20" x14ac:dyDescent="0.25">
      <c r="A16" s="1" t="s">
        <v>66</v>
      </c>
      <c r="B16" s="1">
        <v>20832</v>
      </c>
      <c r="C16" s="1">
        <v>5188</v>
      </c>
      <c r="D16" s="1">
        <v>4430</v>
      </c>
      <c r="E16" s="1">
        <v>4372</v>
      </c>
      <c r="F16" s="1">
        <v>4349</v>
      </c>
      <c r="G16" s="1">
        <v>4193</v>
      </c>
      <c r="H16" s="1">
        <v>618</v>
      </c>
      <c r="I16" s="1"/>
      <c r="J16" s="1"/>
      <c r="K16" s="1"/>
      <c r="L16" s="1"/>
      <c r="M16" s="1"/>
      <c r="N16" s="1"/>
      <c r="O16" s="1"/>
      <c r="P16" s="1"/>
      <c r="Q16" s="1"/>
      <c r="R16" s="1"/>
      <c r="S16" s="1"/>
      <c r="T16" s="1"/>
    </row>
    <row r="17" spans="1:20" x14ac:dyDescent="0.25">
      <c r="A17" s="1" t="s">
        <v>65</v>
      </c>
      <c r="B17" s="1">
        <v>3306</v>
      </c>
      <c r="C17" s="1">
        <v>807</v>
      </c>
      <c r="D17" s="1">
        <v>1112</v>
      </c>
      <c r="E17" s="1">
        <v>1676</v>
      </c>
      <c r="F17" s="1">
        <v>2339</v>
      </c>
      <c r="G17" s="1">
        <v>2737</v>
      </c>
      <c r="H17" s="1">
        <v>49</v>
      </c>
      <c r="I17" s="1"/>
      <c r="J17" s="1"/>
      <c r="K17" s="1"/>
      <c r="L17" s="1"/>
      <c r="M17" s="1"/>
      <c r="N17" s="1"/>
      <c r="O17" s="1"/>
      <c r="P17" s="1"/>
      <c r="Q17" s="1"/>
      <c r="R17" s="1"/>
      <c r="S17" s="1"/>
      <c r="T17" s="1"/>
    </row>
    <row r="18" spans="1:20" x14ac:dyDescent="0.25">
      <c r="A18" s="1" t="s">
        <v>64</v>
      </c>
      <c r="B18" s="1">
        <f t="shared" ref="B18:H18" si="1">B16+B17</f>
        <v>24138</v>
      </c>
      <c r="C18" s="1">
        <f t="shared" si="1"/>
        <v>5995</v>
      </c>
      <c r="D18" s="1">
        <f t="shared" si="1"/>
        <v>5542</v>
      </c>
      <c r="E18" s="1">
        <f t="shared" si="1"/>
        <v>6048</v>
      </c>
      <c r="F18" s="1">
        <f t="shared" si="1"/>
        <v>6688</v>
      </c>
      <c r="G18" s="1">
        <f t="shared" si="1"/>
        <v>6930</v>
      </c>
      <c r="H18" s="1">
        <f t="shared" si="1"/>
        <v>667</v>
      </c>
      <c r="I18" s="1"/>
      <c r="J18" s="1"/>
      <c r="K18" s="1"/>
      <c r="L18" s="1"/>
      <c r="M18" s="1"/>
      <c r="N18" s="1"/>
      <c r="O18" s="1"/>
      <c r="P18" s="1"/>
      <c r="Q18" s="1"/>
      <c r="R18" s="1"/>
      <c r="S18" s="1"/>
      <c r="T18" s="1"/>
    </row>
    <row r="19" spans="1:20" x14ac:dyDescent="0.25">
      <c r="A19" s="1" t="s">
        <v>63</v>
      </c>
      <c r="B19" s="1">
        <v>22251</v>
      </c>
      <c r="C19" s="1">
        <v>3387</v>
      </c>
      <c r="D19" s="1">
        <v>0</v>
      </c>
      <c r="E19" s="1">
        <v>0</v>
      </c>
      <c r="F19" s="1">
        <v>0</v>
      </c>
      <c r="G19" s="1">
        <v>0</v>
      </c>
      <c r="H19" s="1">
        <v>0</v>
      </c>
      <c r="I19" s="1"/>
      <c r="J19" s="1"/>
      <c r="K19" s="1"/>
      <c r="L19" s="1"/>
      <c r="M19" s="1"/>
      <c r="N19" s="1"/>
      <c r="O19" s="1"/>
      <c r="P19" s="1"/>
      <c r="Q19" s="1"/>
      <c r="R19" s="1"/>
      <c r="S19" s="1"/>
      <c r="T19" s="1"/>
    </row>
    <row r="20" spans="1:20" x14ac:dyDescent="0.25">
      <c r="A20" s="1" t="s">
        <v>62</v>
      </c>
      <c r="B20" s="1">
        <v>0</v>
      </c>
      <c r="C20" s="1">
        <v>0</v>
      </c>
      <c r="D20" s="1">
        <v>0</v>
      </c>
      <c r="E20" s="1">
        <v>0</v>
      </c>
      <c r="F20" s="1">
        <v>0</v>
      </c>
      <c r="G20" s="1">
        <v>0</v>
      </c>
      <c r="H20" s="1">
        <v>0</v>
      </c>
      <c r="I20" s="1"/>
      <c r="J20" s="1"/>
      <c r="K20" s="1"/>
      <c r="L20" s="1"/>
      <c r="M20" s="1"/>
      <c r="N20" s="1"/>
      <c r="O20" s="1"/>
      <c r="P20" s="1"/>
      <c r="Q20" s="1"/>
      <c r="R20" s="1"/>
      <c r="S20" s="1"/>
      <c r="T20" s="1"/>
    </row>
    <row r="21" spans="1:20" x14ac:dyDescent="0.25">
      <c r="A21" s="1" t="s">
        <v>61</v>
      </c>
      <c r="B21" s="1">
        <f t="shared" ref="B21:H21" si="2">B22-B15-B18-B19-B20</f>
        <v>24426</v>
      </c>
      <c r="C21" s="1">
        <f t="shared" si="2"/>
        <v>15810</v>
      </c>
      <c r="D21" s="1">
        <f t="shared" si="2"/>
        <v>11927</v>
      </c>
      <c r="E21" s="1">
        <f t="shared" si="2"/>
        <v>8254</v>
      </c>
      <c r="F21" s="1">
        <f t="shared" si="2"/>
        <v>5892</v>
      </c>
      <c r="G21" s="1">
        <f t="shared" si="2"/>
        <v>3657</v>
      </c>
      <c r="H21" s="1">
        <f t="shared" si="2"/>
        <v>1284</v>
      </c>
      <c r="I21" s="1"/>
      <c r="J21" s="1"/>
      <c r="K21" s="1"/>
      <c r="L21" s="1"/>
      <c r="M21" s="1"/>
      <c r="N21" s="1"/>
      <c r="O21" s="1"/>
      <c r="P21" s="1"/>
      <c r="Q21" s="1"/>
      <c r="R21" s="1"/>
      <c r="S21" s="1"/>
      <c r="T21" s="1"/>
    </row>
    <row r="22" spans="1:20" x14ac:dyDescent="0.25">
      <c r="A22" s="6" t="s">
        <v>60</v>
      </c>
      <c r="B22" s="4">
        <f t="shared" ref="B22:H22" si="3">B25-B13</f>
        <v>81198</v>
      </c>
      <c r="C22" s="4">
        <f t="shared" si="3"/>
        <v>31475</v>
      </c>
      <c r="D22" s="4">
        <f t="shared" si="3"/>
        <v>21383</v>
      </c>
      <c r="E22" s="4">
        <f t="shared" si="3"/>
        <v>18109</v>
      </c>
      <c r="F22" s="4">
        <f t="shared" si="3"/>
        <v>15358</v>
      </c>
      <c r="G22" s="4">
        <f t="shared" si="3"/>
        <v>12736</v>
      </c>
      <c r="H22" s="4">
        <f t="shared" si="3"/>
        <v>3625</v>
      </c>
      <c r="I22" s="4"/>
      <c r="J22" s="4"/>
      <c r="K22" s="4"/>
      <c r="L22" s="4"/>
      <c r="M22" s="4"/>
      <c r="N22" s="4"/>
      <c r="O22" s="4"/>
      <c r="P22" s="4"/>
      <c r="Q22" s="4"/>
      <c r="R22" s="4"/>
      <c r="S22" s="4"/>
      <c r="T22" s="4"/>
    </row>
    <row r="24" spans="1:20" x14ac:dyDescent="0.25">
      <c r="A24" s="1" t="s">
        <v>59</v>
      </c>
      <c r="B24" s="1">
        <v>0</v>
      </c>
      <c r="C24" s="1">
        <v>0</v>
      </c>
      <c r="D24" s="1">
        <v>0</v>
      </c>
      <c r="E24" s="1">
        <v>0</v>
      </c>
      <c r="F24" s="1">
        <v>0</v>
      </c>
      <c r="G24" s="1">
        <v>0</v>
      </c>
      <c r="H24" s="1">
        <v>0</v>
      </c>
      <c r="I24" s="1"/>
      <c r="J24" s="1"/>
      <c r="K24" s="1"/>
      <c r="L24" s="1"/>
      <c r="M24" s="1"/>
      <c r="N24" s="1"/>
      <c r="O24" s="1"/>
      <c r="P24" s="1"/>
      <c r="Q24" s="1"/>
      <c r="R24" s="1"/>
      <c r="S24" s="1"/>
      <c r="T24" s="1"/>
    </row>
    <row r="25" spans="1:20" x14ac:dyDescent="0.25">
      <c r="A25" s="6" t="s">
        <v>58</v>
      </c>
      <c r="B25" s="5">
        <v>206803</v>
      </c>
      <c r="C25" s="5">
        <v>111601</v>
      </c>
      <c r="D25" s="5">
        <v>65728</v>
      </c>
      <c r="E25" s="5">
        <v>41182</v>
      </c>
      <c r="F25" s="5">
        <v>44187</v>
      </c>
      <c r="G25" s="5">
        <v>28791</v>
      </c>
      <c r="H25" s="5">
        <v>17315</v>
      </c>
      <c r="I25" s="5"/>
      <c r="J25" s="5"/>
      <c r="K25" s="5"/>
      <c r="L25" s="5"/>
      <c r="M25" s="5"/>
      <c r="N25" s="5"/>
      <c r="O25" s="5"/>
      <c r="P25" s="5"/>
      <c r="Q25" s="5"/>
      <c r="R25" s="5"/>
      <c r="S25" s="5"/>
      <c r="T25" s="5"/>
    </row>
    <row r="27" spans="1:20" x14ac:dyDescent="0.25">
      <c r="A27" s="1" t="s">
        <v>57</v>
      </c>
      <c r="B27" s="1">
        <v>9812</v>
      </c>
      <c r="C27" s="1">
        <v>6310</v>
      </c>
      <c r="D27" s="1">
        <v>2699</v>
      </c>
      <c r="E27" s="1">
        <v>1193</v>
      </c>
      <c r="F27" s="1">
        <v>1783</v>
      </c>
      <c r="G27" s="1">
        <v>1149</v>
      </c>
      <c r="H27" s="1">
        <v>687</v>
      </c>
      <c r="I27" s="1"/>
      <c r="J27" s="1"/>
      <c r="K27" s="1"/>
      <c r="L27" s="1"/>
      <c r="M27" s="1"/>
      <c r="N27" s="1"/>
      <c r="O27" s="1"/>
      <c r="P27" s="1"/>
      <c r="Q27" s="1"/>
      <c r="R27" s="1"/>
      <c r="S27" s="1"/>
      <c r="T27" s="1"/>
    </row>
    <row r="28" spans="1:20" x14ac:dyDescent="0.25">
      <c r="A28" s="1" t="s">
        <v>56</v>
      </c>
      <c r="B28" s="1">
        <v>999</v>
      </c>
      <c r="C28" s="1">
        <v>0</v>
      </c>
      <c r="D28" s="1">
        <v>1250</v>
      </c>
      <c r="E28" s="1">
        <v>1250</v>
      </c>
      <c r="F28" s="1">
        <v>0</v>
      </c>
      <c r="G28" s="1">
        <v>0</v>
      </c>
      <c r="H28" s="1">
        <v>0</v>
      </c>
      <c r="I28" s="1"/>
      <c r="J28" s="1"/>
      <c r="K28" s="1"/>
      <c r="L28" s="1"/>
      <c r="M28" s="1"/>
      <c r="N28" s="1"/>
      <c r="O28" s="1"/>
      <c r="P28" s="1"/>
      <c r="Q28" s="1"/>
      <c r="R28" s="1"/>
      <c r="S28" s="1"/>
      <c r="T28" s="1"/>
    </row>
    <row r="29" spans="1:20" x14ac:dyDescent="0.25">
      <c r="A29" s="1" t="s">
        <v>55</v>
      </c>
      <c r="B29" s="1">
        <v>0</v>
      </c>
      <c r="C29" s="1">
        <v>0</v>
      </c>
      <c r="D29" s="1">
        <v>0</v>
      </c>
      <c r="E29" s="1">
        <v>0</v>
      </c>
      <c r="F29" s="1">
        <v>0</v>
      </c>
      <c r="G29" s="1">
        <v>0</v>
      </c>
      <c r="H29" s="1">
        <v>0</v>
      </c>
      <c r="I29" s="1"/>
      <c r="J29" s="1"/>
      <c r="K29" s="1"/>
      <c r="L29" s="1"/>
      <c r="M29" s="1"/>
      <c r="N29" s="1"/>
      <c r="O29" s="1"/>
      <c r="P29" s="1"/>
      <c r="Q29" s="1"/>
      <c r="R29" s="1"/>
      <c r="S29" s="1"/>
      <c r="T29" s="1"/>
    </row>
    <row r="30" spans="1:20" x14ac:dyDescent="0.25">
      <c r="A30" s="1" t="s">
        <v>54</v>
      </c>
      <c r="B30" s="1">
        <v>0</v>
      </c>
      <c r="C30" s="1">
        <v>0</v>
      </c>
      <c r="D30" s="1">
        <v>0</v>
      </c>
      <c r="E30" s="1">
        <v>0</v>
      </c>
      <c r="F30" s="1">
        <v>0</v>
      </c>
      <c r="G30" s="1">
        <v>0</v>
      </c>
      <c r="H30" s="1">
        <v>0</v>
      </c>
      <c r="I30" s="1"/>
      <c r="J30" s="1"/>
      <c r="K30" s="1"/>
      <c r="L30" s="1"/>
      <c r="M30" s="1"/>
      <c r="N30" s="1"/>
      <c r="O30" s="1"/>
      <c r="P30" s="1"/>
      <c r="Q30" s="1"/>
      <c r="R30" s="1"/>
      <c r="S30" s="1"/>
      <c r="T30" s="1"/>
    </row>
    <row r="31" spans="1:20" x14ac:dyDescent="0.25">
      <c r="A31" s="1" t="s">
        <v>53</v>
      </c>
      <c r="B31" s="1">
        <f t="shared" ref="B31:H31" si="4">B32-B27-B28-B29-B30</f>
        <v>21352</v>
      </c>
      <c r="C31" s="1">
        <f t="shared" si="4"/>
        <v>11737</v>
      </c>
      <c r="D31" s="1">
        <f t="shared" si="4"/>
        <v>6682</v>
      </c>
      <c r="E31" s="1">
        <f t="shared" si="4"/>
        <v>4120</v>
      </c>
      <c r="F31" s="1">
        <f t="shared" si="4"/>
        <v>2552</v>
      </c>
      <c r="G31" s="1">
        <f t="shared" si="4"/>
        <v>2776</v>
      </c>
      <c r="H31" s="1">
        <f t="shared" si="4"/>
        <v>1097</v>
      </c>
      <c r="I31" s="1"/>
      <c r="J31" s="1"/>
      <c r="K31" s="1"/>
      <c r="L31" s="1"/>
      <c r="M31" s="1"/>
      <c r="N31" s="1"/>
      <c r="O31" s="1"/>
      <c r="P31" s="1"/>
      <c r="Q31" s="1"/>
      <c r="R31" s="1"/>
      <c r="S31" s="1"/>
      <c r="T31" s="1"/>
    </row>
    <row r="32" spans="1:20" x14ac:dyDescent="0.25">
      <c r="A32" s="6" t="s">
        <v>52</v>
      </c>
      <c r="B32" s="4">
        <v>32163</v>
      </c>
      <c r="C32" s="4">
        <v>18047</v>
      </c>
      <c r="D32" s="4">
        <v>10631</v>
      </c>
      <c r="E32" s="4">
        <v>6563</v>
      </c>
      <c r="F32" s="4">
        <v>4335</v>
      </c>
      <c r="G32" s="4">
        <v>3925</v>
      </c>
      <c r="H32" s="4">
        <v>1784</v>
      </c>
      <c r="I32" s="4"/>
      <c r="J32" s="4"/>
      <c r="K32" s="4"/>
      <c r="L32" s="4"/>
      <c r="M32" s="4"/>
      <c r="N32" s="4"/>
      <c r="O32" s="4"/>
      <c r="P32" s="4"/>
      <c r="Q32" s="4"/>
      <c r="R32" s="4"/>
      <c r="S32" s="4"/>
      <c r="T32" s="4"/>
    </row>
    <row r="34" spans="1:20" x14ac:dyDescent="0.25">
      <c r="A34" s="1" t="s">
        <v>51</v>
      </c>
      <c r="B34" s="1">
        <v>7469</v>
      </c>
      <c r="C34" s="1">
        <v>8463</v>
      </c>
      <c r="D34" s="1">
        <v>8459</v>
      </c>
      <c r="E34" s="1">
        <v>9703</v>
      </c>
      <c r="F34" s="1">
        <v>10946</v>
      </c>
      <c r="G34" s="1">
        <v>5964</v>
      </c>
      <c r="H34" s="1">
        <v>1991</v>
      </c>
      <c r="I34" s="1"/>
      <c r="J34" s="1"/>
      <c r="K34" s="1"/>
      <c r="L34" s="1"/>
      <c r="M34" s="1"/>
      <c r="N34" s="1"/>
      <c r="O34" s="1"/>
      <c r="P34" s="1"/>
      <c r="Q34" s="1"/>
      <c r="R34" s="1"/>
      <c r="S34" s="1"/>
      <c r="T34" s="1"/>
    </row>
    <row r="35" spans="1:20" x14ac:dyDescent="0.25">
      <c r="A35" s="1" t="s">
        <v>50</v>
      </c>
      <c r="B35" s="1">
        <v>0</v>
      </c>
      <c r="C35" s="1">
        <v>0</v>
      </c>
      <c r="D35" s="1">
        <v>0</v>
      </c>
      <c r="E35" s="1">
        <v>0</v>
      </c>
      <c r="F35" s="1">
        <v>0</v>
      </c>
      <c r="G35" s="1">
        <v>0</v>
      </c>
      <c r="H35" s="1">
        <v>0</v>
      </c>
      <c r="I35" s="1"/>
      <c r="J35" s="1"/>
      <c r="K35" s="1"/>
      <c r="L35" s="1"/>
      <c r="M35" s="1"/>
      <c r="N35" s="1"/>
      <c r="O35" s="1"/>
      <c r="P35" s="1"/>
      <c r="Q35" s="1"/>
      <c r="R35" s="1"/>
      <c r="S35" s="1"/>
      <c r="T35" s="1"/>
    </row>
    <row r="36" spans="1:20" x14ac:dyDescent="0.25">
      <c r="A36" s="1" t="s">
        <v>49</v>
      </c>
      <c r="B36" s="1">
        <v>0</v>
      </c>
      <c r="C36" s="1">
        <v>0</v>
      </c>
      <c r="D36" s="1">
        <v>0</v>
      </c>
      <c r="E36" s="1">
        <v>0</v>
      </c>
      <c r="F36" s="1">
        <v>0</v>
      </c>
      <c r="G36" s="1">
        <v>0</v>
      </c>
      <c r="H36" s="1">
        <v>0</v>
      </c>
      <c r="I36" s="1"/>
      <c r="J36" s="1"/>
      <c r="K36" s="1"/>
      <c r="L36" s="1"/>
      <c r="M36" s="1"/>
      <c r="N36" s="1"/>
      <c r="O36" s="1"/>
      <c r="P36" s="1"/>
      <c r="Q36" s="1"/>
      <c r="R36" s="1"/>
      <c r="S36" s="1"/>
      <c r="T36" s="1"/>
    </row>
    <row r="37" spans="1:20" x14ac:dyDescent="0.25">
      <c r="A37" s="1" t="s">
        <v>48</v>
      </c>
      <c r="B37" s="1">
        <f t="shared" ref="B37:H37" si="5">B38-B34-B35-B36</f>
        <v>9878</v>
      </c>
      <c r="C37" s="1">
        <f t="shared" si="5"/>
        <v>5764</v>
      </c>
      <c r="D37" s="1">
        <f t="shared" si="5"/>
        <v>3660</v>
      </c>
      <c r="E37" s="1">
        <f t="shared" si="5"/>
        <v>2815</v>
      </c>
      <c r="F37" s="1">
        <f t="shared" si="5"/>
        <v>2294</v>
      </c>
      <c r="G37" s="1">
        <f t="shared" si="5"/>
        <v>2009</v>
      </c>
      <c r="H37" s="1">
        <f t="shared" si="5"/>
        <v>1336</v>
      </c>
      <c r="I37" s="1"/>
      <c r="J37" s="1"/>
      <c r="K37" s="1"/>
      <c r="L37" s="1"/>
      <c r="M37" s="1"/>
      <c r="N37" s="1"/>
      <c r="O37" s="1"/>
      <c r="P37" s="1"/>
      <c r="Q37" s="1"/>
      <c r="R37" s="1"/>
      <c r="S37" s="1"/>
      <c r="T37" s="1"/>
    </row>
    <row r="38" spans="1:20" x14ac:dyDescent="0.25">
      <c r="A38" s="6" t="s">
        <v>47</v>
      </c>
      <c r="B38" s="4">
        <f t="shared" ref="B38:H38" si="6">B41-B32</f>
        <v>17347</v>
      </c>
      <c r="C38" s="4">
        <f t="shared" si="6"/>
        <v>14227</v>
      </c>
      <c r="D38" s="4">
        <f t="shared" si="6"/>
        <v>12119</v>
      </c>
      <c r="E38" s="4">
        <f t="shared" si="6"/>
        <v>12518</v>
      </c>
      <c r="F38" s="4">
        <f t="shared" si="6"/>
        <v>13240</v>
      </c>
      <c r="G38" s="4">
        <f t="shared" si="6"/>
        <v>7973</v>
      </c>
      <c r="H38" s="4">
        <f t="shared" si="6"/>
        <v>3327</v>
      </c>
      <c r="I38" s="4"/>
      <c r="J38" s="4"/>
      <c r="K38" s="4"/>
      <c r="L38" s="4"/>
      <c r="M38" s="4"/>
      <c r="N38" s="4"/>
      <c r="O38" s="4"/>
      <c r="P38" s="4"/>
      <c r="Q38" s="4"/>
      <c r="R38" s="4"/>
      <c r="S38" s="4"/>
      <c r="T38" s="4"/>
    </row>
    <row r="40" spans="1:20" x14ac:dyDescent="0.25">
      <c r="A40" s="1" t="s">
        <v>46</v>
      </c>
      <c r="B40" s="1">
        <v>0</v>
      </c>
      <c r="C40" s="1">
        <v>0</v>
      </c>
      <c r="D40" s="1">
        <v>0</v>
      </c>
      <c r="E40" s="1">
        <v>0</v>
      </c>
      <c r="F40" s="1">
        <v>0</v>
      </c>
      <c r="G40" s="1">
        <v>0</v>
      </c>
      <c r="H40" s="1">
        <v>0</v>
      </c>
      <c r="I40" s="1"/>
      <c r="J40" s="1"/>
      <c r="K40" s="1"/>
      <c r="L40" s="1"/>
      <c r="M40" s="1"/>
      <c r="N40" s="1"/>
      <c r="O40" s="1"/>
      <c r="P40" s="1"/>
      <c r="Q40" s="1"/>
      <c r="R40" s="1"/>
      <c r="S40" s="1"/>
      <c r="T40" s="1"/>
    </row>
    <row r="41" spans="1:20" x14ac:dyDescent="0.25">
      <c r="A41" s="6" t="s">
        <v>45</v>
      </c>
      <c r="B41" s="5">
        <v>49510</v>
      </c>
      <c r="C41" s="5">
        <v>32274</v>
      </c>
      <c r="D41" s="5">
        <v>22750</v>
      </c>
      <c r="E41" s="5">
        <v>19081</v>
      </c>
      <c r="F41" s="5">
        <v>17575</v>
      </c>
      <c r="G41" s="5">
        <v>11898</v>
      </c>
      <c r="H41" s="5">
        <v>5111</v>
      </c>
      <c r="I41" s="5"/>
      <c r="J41" s="5"/>
      <c r="K41" s="5"/>
      <c r="L41" s="5"/>
      <c r="M41" s="5"/>
      <c r="N41" s="5"/>
      <c r="O41" s="5"/>
      <c r="P41" s="5"/>
      <c r="Q41" s="5"/>
      <c r="R41" s="5"/>
      <c r="S41" s="5"/>
      <c r="T41" s="5"/>
    </row>
    <row r="43" spans="1:20" x14ac:dyDescent="0.25">
      <c r="A43" s="1" t="s">
        <v>44</v>
      </c>
      <c r="B43" s="1">
        <v>10118</v>
      </c>
      <c r="C43" s="1">
        <v>11237</v>
      </c>
      <c r="D43" s="1">
        <v>13132</v>
      </c>
      <c r="E43" s="1">
        <v>11971</v>
      </c>
      <c r="F43" s="1">
        <v>10385</v>
      </c>
      <c r="G43" s="1">
        <v>8719</v>
      </c>
      <c r="H43" s="1">
        <v>7045</v>
      </c>
      <c r="I43" s="1"/>
      <c r="J43" s="1"/>
      <c r="K43" s="1"/>
      <c r="L43" s="1"/>
      <c r="M43" s="1"/>
      <c r="N43" s="1"/>
      <c r="O43" s="1"/>
      <c r="P43" s="1"/>
      <c r="Q43" s="1"/>
      <c r="R43" s="1"/>
      <c r="S43" s="1"/>
      <c r="T43" s="1"/>
    </row>
    <row r="44" spans="1:20" x14ac:dyDescent="0.25">
      <c r="A44" s="1" t="s">
        <v>43</v>
      </c>
      <c r="B44" s="1">
        <v>146973</v>
      </c>
      <c r="C44" s="1">
        <v>68038</v>
      </c>
      <c r="D44" s="1">
        <v>29817</v>
      </c>
      <c r="E44" s="1">
        <v>10171</v>
      </c>
      <c r="F44" s="1">
        <v>16235</v>
      </c>
      <c r="G44" s="1">
        <v>18908</v>
      </c>
      <c r="H44" s="1">
        <v>14971</v>
      </c>
      <c r="I44" s="1"/>
      <c r="J44" s="1"/>
      <c r="K44" s="1"/>
      <c r="L44" s="1"/>
      <c r="M44" s="1"/>
      <c r="N44" s="1"/>
      <c r="O44" s="1"/>
      <c r="P44" s="1"/>
      <c r="Q44" s="1"/>
      <c r="R44" s="1"/>
      <c r="S44" s="1"/>
      <c r="T44" s="1"/>
    </row>
    <row r="45" spans="1:20" x14ac:dyDescent="0.25">
      <c r="A45" s="1" t="s">
        <v>42</v>
      </c>
      <c r="B45" s="1">
        <f t="shared" ref="B45:H45" si="7">B47-B43-B44</f>
        <v>202</v>
      </c>
      <c r="C45" s="1">
        <f t="shared" si="7"/>
        <v>52</v>
      </c>
      <c r="D45" s="1">
        <f t="shared" si="7"/>
        <v>29</v>
      </c>
      <c r="E45" s="1">
        <f t="shared" si="7"/>
        <v>-41</v>
      </c>
      <c r="F45" s="1">
        <f t="shared" si="7"/>
        <v>-8</v>
      </c>
      <c r="G45" s="1">
        <f t="shared" si="7"/>
        <v>-10734</v>
      </c>
      <c r="H45" s="1">
        <f t="shared" si="7"/>
        <v>-9812</v>
      </c>
      <c r="I45" s="1"/>
      <c r="J45" s="1"/>
      <c r="K45" s="1"/>
      <c r="L45" s="1"/>
      <c r="M45" s="1"/>
      <c r="N45" s="1"/>
      <c r="O45" s="1"/>
      <c r="P45" s="1"/>
      <c r="Q45" s="1"/>
      <c r="R45" s="1"/>
      <c r="S45" s="1"/>
      <c r="T45" s="1"/>
    </row>
    <row r="46" spans="1:20" x14ac:dyDescent="0.25">
      <c r="A46" s="1" t="s">
        <v>41</v>
      </c>
      <c r="B46" s="1">
        <v>0</v>
      </c>
      <c r="C46" s="1">
        <v>0</v>
      </c>
      <c r="D46" s="1">
        <v>0</v>
      </c>
      <c r="E46" s="1">
        <v>0</v>
      </c>
      <c r="F46" s="1">
        <v>0</v>
      </c>
      <c r="G46" s="1">
        <v>0</v>
      </c>
      <c r="H46" s="1">
        <v>0</v>
      </c>
      <c r="I46" s="1"/>
      <c r="J46" s="1"/>
      <c r="K46" s="1"/>
      <c r="L46" s="1"/>
      <c r="M46" s="1"/>
      <c r="N46" s="1"/>
      <c r="O46" s="1"/>
      <c r="P46" s="1"/>
      <c r="Q46" s="1"/>
      <c r="R46" s="1"/>
      <c r="S46" s="1"/>
      <c r="T46" s="1"/>
    </row>
    <row r="47" spans="1:20" x14ac:dyDescent="0.25">
      <c r="A47" s="6" t="s">
        <v>40</v>
      </c>
      <c r="B47" s="5">
        <v>157293</v>
      </c>
      <c r="C47" s="5">
        <v>79327</v>
      </c>
      <c r="D47" s="5">
        <v>42978</v>
      </c>
      <c r="E47" s="5">
        <v>22101</v>
      </c>
      <c r="F47" s="5">
        <v>26612</v>
      </c>
      <c r="G47" s="5">
        <v>16893</v>
      </c>
      <c r="H47" s="5">
        <v>12204</v>
      </c>
      <c r="I47" s="5"/>
      <c r="J47" s="5"/>
      <c r="K47" s="5"/>
      <c r="L47" s="5"/>
      <c r="M47" s="5"/>
      <c r="N47" s="5"/>
      <c r="O47" s="5"/>
      <c r="P47" s="5"/>
      <c r="Q47" s="5"/>
      <c r="R47" s="5"/>
      <c r="S47" s="5"/>
      <c r="T47" s="5"/>
    </row>
    <row r="49" spans="1:20" x14ac:dyDescent="0.25">
      <c r="A49" s="1" t="s">
        <v>39</v>
      </c>
      <c r="B49" s="1">
        <v>206803</v>
      </c>
      <c r="C49" s="1">
        <v>111601</v>
      </c>
      <c r="D49" s="1">
        <v>65728</v>
      </c>
      <c r="E49" s="1">
        <v>41182</v>
      </c>
      <c r="F49" s="1">
        <v>44187</v>
      </c>
      <c r="G49" s="1">
        <v>28791</v>
      </c>
      <c r="H49" s="1">
        <v>17315</v>
      </c>
      <c r="I49" s="1"/>
      <c r="J49" s="1"/>
      <c r="K49" s="1"/>
      <c r="L49" s="1"/>
      <c r="M49" s="1"/>
      <c r="N49" s="1"/>
      <c r="O49" s="1"/>
      <c r="P49" s="1"/>
      <c r="Q49" s="1"/>
      <c r="R49" s="1"/>
      <c r="S49" s="1"/>
      <c r="T49" s="1"/>
    </row>
    <row r="50" spans="1:20" x14ac:dyDescent="0.25">
      <c r="A50" s="1" t="s">
        <v>38</v>
      </c>
      <c r="B50" s="1">
        <f t="shared" ref="B50:H50" si="8">B8+B19</f>
        <v>74202</v>
      </c>
      <c r="C50" s="1">
        <f t="shared" si="8"/>
        <v>38008</v>
      </c>
      <c r="D50" s="1">
        <f t="shared" si="8"/>
        <v>18704</v>
      </c>
      <c r="E50" s="1">
        <f t="shared" si="8"/>
        <v>9907</v>
      </c>
      <c r="F50" s="1">
        <f t="shared" si="8"/>
        <v>19218</v>
      </c>
      <c r="G50" s="1">
        <f t="shared" si="8"/>
        <v>10714</v>
      </c>
      <c r="H50" s="1">
        <f t="shared" si="8"/>
        <v>1</v>
      </c>
      <c r="I50" s="1"/>
      <c r="J50" s="1"/>
      <c r="K50" s="1"/>
      <c r="L50" s="1"/>
      <c r="M50" s="1"/>
      <c r="N50" s="1"/>
      <c r="O50" s="1"/>
      <c r="P50" s="1"/>
      <c r="Q50" s="1"/>
      <c r="R50" s="1"/>
      <c r="S50" s="1"/>
      <c r="T50" s="1"/>
    </row>
    <row r="51" spans="1:20" x14ac:dyDescent="0.25">
      <c r="A51" s="1" t="s">
        <v>37</v>
      </c>
      <c r="B51" s="1">
        <f t="shared" ref="B51:H51" si="9">B28+B34</f>
        <v>8468</v>
      </c>
      <c r="C51" s="1">
        <f t="shared" si="9"/>
        <v>8463</v>
      </c>
      <c r="D51" s="1">
        <f t="shared" si="9"/>
        <v>9709</v>
      </c>
      <c r="E51" s="1">
        <f t="shared" si="9"/>
        <v>10953</v>
      </c>
      <c r="F51" s="1">
        <f t="shared" si="9"/>
        <v>10946</v>
      </c>
      <c r="G51" s="1">
        <f t="shared" si="9"/>
        <v>5964</v>
      </c>
      <c r="H51" s="1">
        <f t="shared" si="9"/>
        <v>1991</v>
      </c>
      <c r="I51" s="1"/>
      <c r="J51" s="1"/>
      <c r="K51" s="1"/>
      <c r="L51" s="1"/>
      <c r="M51" s="1"/>
      <c r="N51" s="1"/>
      <c r="O51" s="1"/>
      <c r="P51" s="1"/>
      <c r="Q51" s="1"/>
      <c r="R51" s="1"/>
      <c r="S51" s="1"/>
      <c r="T51" s="1"/>
    </row>
    <row r="52" spans="1:20" x14ac:dyDescent="0.25">
      <c r="A52" s="1" t="s">
        <v>36</v>
      </c>
      <c r="B52" s="1">
        <f t="shared" ref="B52:H52" si="10">B51-B7</f>
        <v>-2137</v>
      </c>
      <c r="C52" s="1">
        <f t="shared" si="10"/>
        <v>-126</v>
      </c>
      <c r="D52" s="1">
        <f t="shared" si="10"/>
        <v>2429</v>
      </c>
      <c r="E52" s="1">
        <f t="shared" si="10"/>
        <v>7564</v>
      </c>
      <c r="F52" s="1">
        <f t="shared" si="10"/>
        <v>8956</v>
      </c>
      <c r="G52" s="1">
        <f t="shared" si="10"/>
        <v>5117</v>
      </c>
      <c r="H52" s="1">
        <f t="shared" si="10"/>
        <v>-8905</v>
      </c>
      <c r="I52" s="1"/>
      <c r="J52" s="1"/>
      <c r="K52" s="1"/>
      <c r="L52" s="1"/>
      <c r="M52" s="1"/>
      <c r="N52" s="1"/>
      <c r="O52" s="1"/>
      <c r="P52" s="1"/>
      <c r="Q52" s="1"/>
      <c r="R52" s="1"/>
      <c r="S52" s="1"/>
      <c r="T52" s="1"/>
    </row>
  </sheetData>
  <mergeCells count="1">
    <mergeCell ref="B4:T4"/>
  </mergeCells>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812AFA-CB7F-400A-AFC4-CFB4F1E20458}">
  <sheetPr>
    <tabColor rgb="FFC6E0B4"/>
  </sheetPr>
  <dimension ref="A1:T39"/>
  <sheetViews>
    <sheetView workbookViewId="0"/>
  </sheetViews>
  <sheetFormatPr defaultRowHeight="15" x14ac:dyDescent="0.25"/>
  <cols>
    <col min="1" max="1" width="44.28515625" bestFit="1" customWidth="1"/>
    <col min="2" max="2" width="19" bestFit="1" customWidth="1"/>
    <col min="3" max="3" width="18.28515625" bestFit="1" customWidth="1"/>
    <col min="4" max="11" width="18" bestFit="1" customWidth="1"/>
    <col min="12" max="13" width="17.28515625" bestFit="1" customWidth="1"/>
    <col min="14" max="19" width="16.85546875" bestFit="1" customWidth="1"/>
    <col min="20" max="20" width="16.140625" bestFit="1" customWidth="1"/>
  </cols>
  <sheetData>
    <row r="1" spans="1:20" x14ac:dyDescent="0.25">
      <c r="A1" s="10" t="s">
        <v>212</v>
      </c>
      <c r="B1" s="10"/>
      <c r="C1" s="10"/>
      <c r="D1" s="10"/>
      <c r="E1" s="10"/>
      <c r="F1" s="10"/>
      <c r="G1" s="10"/>
      <c r="H1" s="10"/>
      <c r="I1" s="10"/>
      <c r="J1" s="10"/>
      <c r="K1" s="10"/>
      <c r="L1" s="10"/>
      <c r="M1" s="10"/>
      <c r="N1" s="10"/>
      <c r="O1" s="10"/>
      <c r="P1" s="10"/>
      <c r="Q1" s="10"/>
      <c r="R1" s="10"/>
      <c r="S1" s="10"/>
      <c r="T1" s="10"/>
    </row>
    <row r="2" spans="1:20" x14ac:dyDescent="0.25">
      <c r="A2" t="s">
        <v>1</v>
      </c>
      <c r="B2" t="s">
        <v>210</v>
      </c>
    </row>
    <row r="3" spans="1:20" x14ac:dyDescent="0.25">
      <c r="A3" t="s">
        <v>3</v>
      </c>
      <c r="B3" t="str">
        <f>'NVDA - Income Statement FY'!B3</f>
        <v>USD</v>
      </c>
    </row>
    <row r="4" spans="1:20" x14ac:dyDescent="0.25">
      <c r="A4" t="s">
        <v>32</v>
      </c>
      <c r="B4" s="236" t="s">
        <v>33</v>
      </c>
      <c r="C4" s="236"/>
      <c r="D4" s="236"/>
      <c r="E4" s="236"/>
      <c r="F4" s="236"/>
      <c r="G4" s="236"/>
      <c r="H4" s="236"/>
      <c r="I4" s="236"/>
      <c r="J4" s="236"/>
      <c r="K4" s="236"/>
      <c r="L4" s="236"/>
      <c r="M4" s="236"/>
      <c r="N4" s="236"/>
      <c r="O4" s="236"/>
      <c r="P4" s="236"/>
      <c r="Q4" s="236"/>
      <c r="R4" s="236"/>
      <c r="S4" s="236"/>
      <c r="T4" s="236"/>
    </row>
    <row r="5" spans="1:20" x14ac:dyDescent="0.25">
      <c r="A5" t="s">
        <v>34</v>
      </c>
      <c r="B5" s="8">
        <v>46047</v>
      </c>
      <c r="C5" s="8">
        <v>45683</v>
      </c>
      <c r="D5" s="8">
        <v>45319</v>
      </c>
      <c r="E5" s="8">
        <v>44955</v>
      </c>
      <c r="F5" s="8">
        <v>44591</v>
      </c>
      <c r="G5" s="8">
        <v>44227</v>
      </c>
      <c r="H5" s="8">
        <v>43856</v>
      </c>
      <c r="I5" s="8"/>
      <c r="J5" s="8"/>
      <c r="K5" s="8"/>
      <c r="L5" s="8"/>
      <c r="M5" s="8"/>
      <c r="N5" s="8"/>
      <c r="O5" s="8"/>
      <c r="P5" s="8"/>
      <c r="Q5" s="8"/>
      <c r="R5" s="8"/>
      <c r="S5" s="8"/>
      <c r="T5" s="8"/>
    </row>
    <row r="7" spans="1:20" x14ac:dyDescent="0.25">
      <c r="A7" s="6" t="s">
        <v>10</v>
      </c>
      <c r="B7" s="5">
        <v>120067</v>
      </c>
      <c r="C7" s="5">
        <v>72880</v>
      </c>
      <c r="D7" s="5">
        <v>29760</v>
      </c>
      <c r="E7" s="5">
        <v>4368</v>
      </c>
      <c r="F7" s="5">
        <v>9752</v>
      </c>
      <c r="G7" s="5">
        <v>4332</v>
      </c>
      <c r="H7" s="5">
        <v>2796</v>
      </c>
      <c r="I7" s="5"/>
      <c r="J7" s="5"/>
      <c r="K7" s="5"/>
      <c r="L7" s="5"/>
      <c r="M7" s="5"/>
      <c r="N7" s="5"/>
      <c r="O7" s="5"/>
      <c r="P7" s="5"/>
      <c r="Q7" s="5"/>
      <c r="R7" s="5"/>
      <c r="S7" s="5"/>
      <c r="T7" s="5"/>
    </row>
    <row r="8" spans="1:20" x14ac:dyDescent="0.25">
      <c r="A8" s="1" t="s">
        <v>19</v>
      </c>
      <c r="B8" s="1">
        <v>2843</v>
      </c>
      <c r="C8" s="1">
        <v>1864</v>
      </c>
      <c r="D8" s="1">
        <v>1508</v>
      </c>
      <c r="E8" s="1">
        <v>1544</v>
      </c>
      <c r="F8" s="1">
        <v>1174</v>
      </c>
      <c r="G8" s="1">
        <v>1098</v>
      </c>
      <c r="H8" s="1">
        <v>381</v>
      </c>
      <c r="I8" s="1"/>
      <c r="J8" s="1"/>
      <c r="K8" s="1"/>
      <c r="L8" s="1"/>
      <c r="M8" s="1"/>
      <c r="N8" s="1"/>
      <c r="O8" s="1"/>
      <c r="P8" s="1"/>
      <c r="Q8" s="1"/>
      <c r="R8" s="1"/>
      <c r="S8" s="1"/>
      <c r="T8" s="1"/>
    </row>
    <row r="9" spans="1:20" x14ac:dyDescent="0.25">
      <c r="A9" s="1" t="s">
        <v>102</v>
      </c>
      <c r="B9" s="1">
        <v>1424</v>
      </c>
      <c r="C9" s="1">
        <v>4477</v>
      </c>
      <c r="D9" s="1">
        <v>2489</v>
      </c>
      <c r="E9" s="1">
        <v>2164</v>
      </c>
      <c r="F9" s="1">
        <v>406</v>
      </c>
      <c r="G9" s="1">
        <v>282</v>
      </c>
      <c r="H9" s="1">
        <v>18</v>
      </c>
      <c r="I9" s="1"/>
      <c r="J9" s="1"/>
      <c r="K9" s="1"/>
      <c r="L9" s="1"/>
      <c r="M9" s="1"/>
      <c r="N9" s="1"/>
      <c r="O9" s="1"/>
      <c r="P9" s="1"/>
      <c r="Q9" s="1"/>
      <c r="R9" s="1"/>
      <c r="S9" s="1"/>
      <c r="T9" s="1"/>
    </row>
    <row r="10" spans="1:20" x14ac:dyDescent="0.25">
      <c r="A10" s="1" t="s">
        <v>101</v>
      </c>
      <c r="B10" s="1">
        <v>6386</v>
      </c>
      <c r="C10" s="1">
        <v>4737</v>
      </c>
      <c r="D10" s="1">
        <v>3549</v>
      </c>
      <c r="E10" s="1">
        <v>2709</v>
      </c>
      <c r="F10" s="1">
        <v>2004</v>
      </c>
      <c r="G10" s="1">
        <v>1397</v>
      </c>
      <c r="H10" s="1">
        <v>844</v>
      </c>
      <c r="I10" s="1"/>
      <c r="J10" s="1"/>
      <c r="K10" s="1"/>
      <c r="L10" s="1"/>
      <c r="M10" s="1"/>
      <c r="N10" s="1"/>
      <c r="O10" s="1"/>
      <c r="P10" s="1"/>
      <c r="Q10" s="1"/>
      <c r="R10" s="1"/>
      <c r="S10" s="1"/>
      <c r="T10" s="1"/>
    </row>
    <row r="11" spans="1:20" x14ac:dyDescent="0.25">
      <c r="A11" s="1" t="s">
        <v>100</v>
      </c>
      <c r="B11" s="1">
        <f t="shared" ref="B11:H11" si="0">SUM(B12:B15)</f>
        <v>-37207</v>
      </c>
      <c r="C11" s="1">
        <f t="shared" si="0"/>
        <v>-21401</v>
      </c>
      <c r="D11" s="1">
        <f t="shared" si="0"/>
        <v>-9732</v>
      </c>
      <c r="E11" s="1">
        <f t="shared" si="0"/>
        <v>-5198</v>
      </c>
      <c r="F11" s="1">
        <f t="shared" si="0"/>
        <v>-4382</v>
      </c>
      <c r="G11" s="1">
        <f t="shared" si="0"/>
        <v>-1311</v>
      </c>
      <c r="H11" s="1">
        <f t="shared" si="0"/>
        <v>718</v>
      </c>
      <c r="I11" s="1"/>
      <c r="J11" s="1"/>
      <c r="K11" s="1"/>
      <c r="L11" s="1"/>
      <c r="M11" s="1"/>
      <c r="N11" s="1"/>
      <c r="O11" s="1"/>
      <c r="P11" s="1"/>
      <c r="Q11" s="1"/>
      <c r="R11" s="1"/>
      <c r="S11" s="1"/>
      <c r="T11" s="1"/>
    </row>
    <row r="12" spans="1:20" x14ac:dyDescent="0.25">
      <c r="A12" s="1" t="s">
        <v>99</v>
      </c>
      <c r="B12" s="1">
        <v>-15399</v>
      </c>
      <c r="C12" s="1">
        <v>-13063</v>
      </c>
      <c r="D12" s="1">
        <v>-6172</v>
      </c>
      <c r="E12" s="1">
        <v>-822</v>
      </c>
      <c r="F12" s="1">
        <v>-2215</v>
      </c>
      <c r="G12" s="1">
        <v>-550</v>
      </c>
      <c r="H12" s="1">
        <v>-233</v>
      </c>
      <c r="I12" s="1"/>
      <c r="J12" s="1"/>
      <c r="K12" s="1"/>
      <c r="L12" s="1"/>
      <c r="M12" s="1"/>
      <c r="N12" s="1"/>
      <c r="O12" s="1"/>
      <c r="P12" s="1"/>
      <c r="Q12" s="1"/>
      <c r="R12" s="1"/>
      <c r="S12" s="1"/>
      <c r="T12" s="1"/>
    </row>
    <row r="13" spans="1:20" x14ac:dyDescent="0.25">
      <c r="A13" s="1" t="s">
        <v>70</v>
      </c>
      <c r="B13" s="1">
        <v>-11324</v>
      </c>
      <c r="C13" s="1">
        <v>-4781</v>
      </c>
      <c r="D13" s="1">
        <v>-98</v>
      </c>
      <c r="E13" s="1">
        <v>-2554</v>
      </c>
      <c r="F13" s="1">
        <v>-774</v>
      </c>
      <c r="G13" s="1">
        <v>-524</v>
      </c>
      <c r="H13" s="1">
        <v>-597</v>
      </c>
      <c r="I13" s="1"/>
      <c r="J13" s="1"/>
      <c r="K13" s="1"/>
      <c r="L13" s="1"/>
      <c r="M13" s="1"/>
      <c r="N13" s="1"/>
      <c r="O13" s="1"/>
      <c r="P13" s="1"/>
      <c r="Q13" s="1"/>
      <c r="R13" s="1"/>
      <c r="S13" s="1"/>
      <c r="T13" s="1"/>
    </row>
    <row r="14" spans="1:20" x14ac:dyDescent="0.25">
      <c r="A14" s="1" t="s">
        <v>98</v>
      </c>
      <c r="B14" s="1">
        <v>3096</v>
      </c>
      <c r="C14" s="1">
        <v>3357</v>
      </c>
      <c r="D14" s="1">
        <v>1531</v>
      </c>
      <c r="E14" s="1">
        <v>551</v>
      </c>
      <c r="F14" s="1">
        <v>568</v>
      </c>
      <c r="G14" s="1">
        <v>312</v>
      </c>
      <c r="H14" s="1">
        <v>194</v>
      </c>
      <c r="I14" s="1"/>
      <c r="J14" s="1"/>
      <c r="K14" s="1"/>
      <c r="L14" s="1"/>
      <c r="M14" s="1"/>
      <c r="N14" s="1"/>
      <c r="O14" s="1"/>
      <c r="P14" s="1"/>
      <c r="Q14" s="1"/>
      <c r="R14" s="1"/>
      <c r="S14" s="1"/>
      <c r="T14" s="1"/>
    </row>
    <row r="15" spans="1:20" x14ac:dyDescent="0.25">
      <c r="A15" s="1" t="s">
        <v>97</v>
      </c>
      <c r="B15" s="1">
        <f t="shared" ref="B15:H15" si="1">B17-B7-B8-B9-B10-B16-B12-B13-B14</f>
        <v>-13580</v>
      </c>
      <c r="C15" s="1">
        <f t="shared" si="1"/>
        <v>-6914</v>
      </c>
      <c r="D15" s="1">
        <f t="shared" si="1"/>
        <v>-4993</v>
      </c>
      <c r="E15" s="1">
        <f t="shared" si="1"/>
        <v>-2373</v>
      </c>
      <c r="F15" s="1">
        <f t="shared" si="1"/>
        <v>-1961</v>
      </c>
      <c r="G15" s="1">
        <f t="shared" si="1"/>
        <v>-549</v>
      </c>
      <c r="H15" s="1">
        <f t="shared" si="1"/>
        <v>1354</v>
      </c>
      <c r="I15" s="1"/>
      <c r="J15" s="1"/>
      <c r="K15" s="1"/>
      <c r="L15" s="1"/>
      <c r="M15" s="1"/>
      <c r="N15" s="1"/>
      <c r="O15" s="1"/>
      <c r="P15" s="1"/>
      <c r="Q15" s="1"/>
      <c r="R15" s="1"/>
      <c r="S15" s="1"/>
      <c r="T15" s="1"/>
    </row>
    <row r="16" spans="1:20" x14ac:dyDescent="0.25">
      <c r="A16" s="1" t="s">
        <v>96</v>
      </c>
      <c r="B16" s="1">
        <v>9205</v>
      </c>
      <c r="C16" s="1">
        <v>1532</v>
      </c>
      <c r="D16" s="1">
        <v>516</v>
      </c>
      <c r="E16" s="1">
        <v>54</v>
      </c>
      <c r="F16" s="1">
        <v>154</v>
      </c>
      <c r="G16" s="1">
        <v>24</v>
      </c>
      <c r="H16" s="1">
        <v>4</v>
      </c>
      <c r="I16" s="1"/>
      <c r="J16" s="1"/>
      <c r="K16" s="1"/>
      <c r="L16" s="1"/>
      <c r="M16" s="1"/>
      <c r="N16" s="1"/>
      <c r="O16" s="1"/>
      <c r="P16" s="1"/>
      <c r="Q16" s="1"/>
      <c r="R16" s="1"/>
      <c r="S16" s="1"/>
      <c r="T16" s="1"/>
    </row>
    <row r="17" spans="1:20" x14ac:dyDescent="0.25">
      <c r="A17" s="6" t="s">
        <v>95</v>
      </c>
      <c r="B17" s="4">
        <v>102718</v>
      </c>
      <c r="C17" s="4">
        <v>64089</v>
      </c>
      <c r="D17" s="4">
        <v>28090</v>
      </c>
      <c r="E17" s="4">
        <v>5641</v>
      </c>
      <c r="F17" s="4">
        <v>9108</v>
      </c>
      <c r="G17" s="4">
        <v>5822</v>
      </c>
      <c r="H17" s="4">
        <v>4761</v>
      </c>
      <c r="I17" s="4"/>
      <c r="J17" s="4"/>
      <c r="K17" s="4"/>
      <c r="L17" s="4"/>
      <c r="M17" s="4"/>
      <c r="N17" s="4"/>
      <c r="O17" s="4"/>
      <c r="P17" s="4"/>
      <c r="Q17" s="4"/>
      <c r="R17" s="4"/>
      <c r="S17" s="4"/>
      <c r="T17" s="4"/>
    </row>
    <row r="19" spans="1:20" x14ac:dyDescent="0.25">
      <c r="A19" s="1" t="s">
        <v>94</v>
      </c>
      <c r="B19" s="1">
        <v>-6042</v>
      </c>
      <c r="C19" s="1">
        <v>-3236</v>
      </c>
      <c r="D19" s="1">
        <v>-1069</v>
      </c>
      <c r="E19" s="1">
        <v>-1833</v>
      </c>
      <c r="F19" s="1">
        <v>-976</v>
      </c>
      <c r="G19" s="1">
        <v>-1128</v>
      </c>
      <c r="H19" s="1">
        <v>-489</v>
      </c>
      <c r="I19" s="1"/>
      <c r="J19" s="1"/>
      <c r="K19" s="1"/>
      <c r="L19" s="1"/>
      <c r="M19" s="1"/>
      <c r="N19" s="1"/>
      <c r="O19" s="1"/>
      <c r="P19" s="1"/>
      <c r="Q19" s="1"/>
      <c r="R19" s="1"/>
      <c r="S19" s="1"/>
      <c r="T19" s="1"/>
    </row>
    <row r="20" spans="1:20" x14ac:dyDescent="0.25">
      <c r="A20" s="1" t="s">
        <v>93</v>
      </c>
      <c r="B20" s="1">
        <v>-14535</v>
      </c>
      <c r="C20" s="1">
        <v>-1007</v>
      </c>
      <c r="D20" s="1">
        <v>-83</v>
      </c>
      <c r="E20" s="1">
        <v>-49</v>
      </c>
      <c r="F20" s="1">
        <v>-263</v>
      </c>
      <c r="G20" s="1">
        <v>-8524</v>
      </c>
      <c r="H20" s="1">
        <v>-4</v>
      </c>
      <c r="I20" s="1"/>
      <c r="J20" s="1"/>
      <c r="K20" s="1"/>
      <c r="L20" s="1"/>
      <c r="M20" s="1"/>
      <c r="N20" s="1"/>
      <c r="O20" s="1"/>
      <c r="P20" s="1"/>
      <c r="Q20" s="1"/>
      <c r="R20" s="1"/>
      <c r="S20" s="1"/>
      <c r="T20" s="1"/>
    </row>
    <row r="21" spans="1:20" x14ac:dyDescent="0.25">
      <c r="A21" s="1" t="s">
        <v>92</v>
      </c>
      <c r="B21" s="1">
        <v>-58118</v>
      </c>
      <c r="C21" s="1">
        <v>-28061</v>
      </c>
      <c r="D21" s="1">
        <v>-19073</v>
      </c>
      <c r="E21" s="1">
        <v>-11897</v>
      </c>
      <c r="F21" s="1">
        <v>-24787</v>
      </c>
      <c r="G21" s="1">
        <v>-19308</v>
      </c>
      <c r="H21" s="1">
        <v>-1461</v>
      </c>
      <c r="I21" s="1"/>
      <c r="J21" s="1"/>
      <c r="K21" s="1"/>
      <c r="L21" s="1"/>
      <c r="M21" s="1"/>
      <c r="N21" s="1"/>
      <c r="O21" s="1"/>
      <c r="P21" s="1"/>
      <c r="Q21" s="1"/>
      <c r="R21" s="1"/>
      <c r="S21" s="1"/>
      <c r="T21" s="1"/>
    </row>
    <row r="22" spans="1:20" x14ac:dyDescent="0.25">
      <c r="A22" s="1" t="s">
        <v>91</v>
      </c>
      <c r="B22" s="1">
        <v>26467</v>
      </c>
      <c r="C22" s="1">
        <v>11861</v>
      </c>
      <c r="D22" s="1">
        <v>9783</v>
      </c>
      <c r="E22" s="1">
        <v>21231</v>
      </c>
      <c r="F22" s="1">
        <v>16220</v>
      </c>
      <c r="G22" s="1">
        <v>9319</v>
      </c>
      <c r="H22" s="1">
        <v>8109</v>
      </c>
      <c r="I22" s="1"/>
      <c r="J22" s="1"/>
      <c r="K22" s="1"/>
      <c r="L22" s="1"/>
      <c r="M22" s="1"/>
      <c r="N22" s="1"/>
      <c r="O22" s="1"/>
      <c r="P22" s="1"/>
      <c r="Q22" s="1"/>
      <c r="R22" s="1"/>
      <c r="S22" s="1"/>
      <c r="T22" s="1"/>
    </row>
    <row r="23" spans="1:20" x14ac:dyDescent="0.25">
      <c r="A23" s="1" t="s">
        <v>90</v>
      </c>
      <c r="B23" s="1">
        <f t="shared" ref="B23:H23" si="2">B24-SUM(B19:B22)</f>
        <v>0</v>
      </c>
      <c r="C23" s="1">
        <f t="shared" si="2"/>
        <v>22</v>
      </c>
      <c r="D23" s="1">
        <f t="shared" si="2"/>
        <v>-124</v>
      </c>
      <c r="E23" s="1">
        <f t="shared" si="2"/>
        <v>-77</v>
      </c>
      <c r="F23" s="1">
        <f t="shared" si="2"/>
        <v>-24</v>
      </c>
      <c r="G23" s="1">
        <f t="shared" si="2"/>
        <v>-34</v>
      </c>
      <c r="H23" s="1">
        <f t="shared" si="2"/>
        <v>-10</v>
      </c>
      <c r="I23" s="1"/>
      <c r="J23" s="1"/>
      <c r="K23" s="1"/>
      <c r="L23" s="1"/>
      <c r="M23" s="1"/>
      <c r="N23" s="1"/>
      <c r="O23" s="1"/>
      <c r="P23" s="1"/>
      <c r="Q23" s="1"/>
      <c r="R23" s="1"/>
      <c r="S23" s="1"/>
      <c r="T23" s="1"/>
    </row>
    <row r="24" spans="1:20" x14ac:dyDescent="0.25">
      <c r="A24" s="6" t="s">
        <v>89</v>
      </c>
      <c r="B24" s="4">
        <v>-52228</v>
      </c>
      <c r="C24" s="4">
        <v>-20421</v>
      </c>
      <c r="D24" s="4">
        <v>-10566</v>
      </c>
      <c r="E24" s="4">
        <v>7375</v>
      </c>
      <c r="F24" s="4">
        <v>-9830</v>
      </c>
      <c r="G24" s="4">
        <v>-19675</v>
      </c>
      <c r="H24" s="4">
        <v>6145</v>
      </c>
      <c r="I24" s="4"/>
      <c r="J24" s="4"/>
      <c r="K24" s="4"/>
      <c r="L24" s="4"/>
      <c r="M24" s="4"/>
      <c r="N24" s="4"/>
      <c r="O24" s="4"/>
      <c r="P24" s="4"/>
      <c r="Q24" s="4"/>
      <c r="R24" s="4"/>
      <c r="S24" s="4"/>
      <c r="T24" s="4"/>
    </row>
    <row r="26" spans="1:20" x14ac:dyDescent="0.25">
      <c r="A26" s="1" t="s">
        <v>88</v>
      </c>
      <c r="B26" s="1">
        <v>0</v>
      </c>
      <c r="C26" s="1">
        <v>-1250</v>
      </c>
      <c r="D26" s="1">
        <v>-1250</v>
      </c>
      <c r="E26" s="1">
        <v>0</v>
      </c>
      <c r="F26" s="1">
        <v>-1000</v>
      </c>
      <c r="G26" s="1">
        <v>0</v>
      </c>
      <c r="H26" s="1">
        <v>0</v>
      </c>
      <c r="I26" s="1"/>
      <c r="J26" s="1"/>
      <c r="K26" s="1"/>
      <c r="L26" s="1"/>
      <c r="M26" s="1"/>
      <c r="N26" s="1"/>
      <c r="O26" s="1"/>
      <c r="P26" s="1"/>
      <c r="Q26" s="1"/>
      <c r="R26" s="1"/>
      <c r="S26" s="1"/>
      <c r="T26" s="1"/>
    </row>
    <row r="27" spans="1:20" x14ac:dyDescent="0.25">
      <c r="A27" s="1" t="s">
        <v>87</v>
      </c>
      <c r="B27" s="1">
        <v>644</v>
      </c>
      <c r="C27" s="1">
        <v>490</v>
      </c>
      <c r="D27" s="1">
        <v>403</v>
      </c>
      <c r="E27" s="1">
        <v>355</v>
      </c>
      <c r="F27" s="1">
        <v>281</v>
      </c>
      <c r="G27" s="1">
        <v>194</v>
      </c>
      <c r="H27" s="1">
        <v>149</v>
      </c>
      <c r="I27" s="1"/>
      <c r="J27" s="1"/>
      <c r="K27" s="1"/>
      <c r="L27" s="1"/>
      <c r="M27" s="1"/>
      <c r="N27" s="1"/>
      <c r="O27" s="1"/>
      <c r="P27" s="1"/>
      <c r="Q27" s="1"/>
      <c r="R27" s="1"/>
      <c r="S27" s="1"/>
      <c r="T27" s="1"/>
    </row>
    <row r="28" spans="1:20" x14ac:dyDescent="0.25">
      <c r="A28" s="1" t="s">
        <v>86</v>
      </c>
      <c r="B28" s="1">
        <v>-40086</v>
      </c>
      <c r="C28" s="1">
        <v>-33706</v>
      </c>
      <c r="D28" s="1">
        <v>-9533</v>
      </c>
      <c r="E28" s="1">
        <v>-10039</v>
      </c>
      <c r="F28" s="1">
        <v>0</v>
      </c>
      <c r="G28" s="1">
        <v>0</v>
      </c>
      <c r="H28" s="1">
        <v>0</v>
      </c>
      <c r="I28" s="1"/>
      <c r="J28" s="1"/>
      <c r="K28" s="1"/>
      <c r="L28" s="1"/>
      <c r="M28" s="1"/>
      <c r="N28" s="1"/>
      <c r="O28" s="1"/>
      <c r="P28" s="1"/>
      <c r="Q28" s="1"/>
      <c r="R28" s="1"/>
      <c r="S28" s="1"/>
      <c r="T28" s="1"/>
    </row>
    <row r="29" spans="1:20" x14ac:dyDescent="0.25">
      <c r="A29" s="1" t="s">
        <v>85</v>
      </c>
      <c r="B29" s="1">
        <v>-974</v>
      </c>
      <c r="C29" s="1">
        <v>-834</v>
      </c>
      <c r="D29" s="1">
        <v>-395</v>
      </c>
      <c r="E29" s="1">
        <v>-398</v>
      </c>
      <c r="F29" s="1">
        <v>-399</v>
      </c>
      <c r="G29" s="1">
        <v>-395</v>
      </c>
      <c r="H29" s="1">
        <v>-390</v>
      </c>
      <c r="I29" s="1"/>
      <c r="J29" s="1"/>
      <c r="K29" s="1"/>
      <c r="L29" s="1"/>
      <c r="M29" s="1"/>
      <c r="N29" s="1"/>
      <c r="O29" s="1"/>
      <c r="P29" s="1"/>
      <c r="Q29" s="1"/>
      <c r="R29" s="1"/>
      <c r="S29" s="1"/>
      <c r="T29" s="1"/>
    </row>
    <row r="30" spans="1:20" x14ac:dyDescent="0.25">
      <c r="A30" s="1" t="s">
        <v>84</v>
      </c>
      <c r="B30" s="1">
        <f t="shared" ref="B30:H30" si="3">B31-SUM(B26:B29)</f>
        <v>-8058</v>
      </c>
      <c r="C30" s="1">
        <f t="shared" si="3"/>
        <v>-7059</v>
      </c>
      <c r="D30" s="1">
        <f t="shared" si="3"/>
        <v>-2858</v>
      </c>
      <c r="E30" s="1">
        <f t="shared" si="3"/>
        <v>-1535</v>
      </c>
      <c r="F30" s="1">
        <f t="shared" si="3"/>
        <v>2983</v>
      </c>
      <c r="G30" s="1">
        <f t="shared" si="3"/>
        <v>4005</v>
      </c>
      <c r="H30" s="1">
        <f t="shared" si="3"/>
        <v>-551</v>
      </c>
      <c r="I30" s="1"/>
      <c r="J30" s="1"/>
      <c r="K30" s="1"/>
      <c r="L30" s="1"/>
      <c r="M30" s="1"/>
      <c r="N30" s="1"/>
      <c r="O30" s="1"/>
      <c r="P30" s="1"/>
      <c r="Q30" s="1"/>
      <c r="R30" s="1"/>
      <c r="S30" s="1"/>
      <c r="T30" s="1"/>
    </row>
    <row r="31" spans="1:20" x14ac:dyDescent="0.25">
      <c r="A31" s="6" t="s">
        <v>83</v>
      </c>
      <c r="B31" s="4">
        <v>-48474</v>
      </c>
      <c r="C31" s="4">
        <v>-42359</v>
      </c>
      <c r="D31" s="4">
        <v>-13633</v>
      </c>
      <c r="E31" s="4">
        <v>-11617</v>
      </c>
      <c r="F31" s="4">
        <v>1865</v>
      </c>
      <c r="G31" s="4">
        <v>3804</v>
      </c>
      <c r="H31" s="4">
        <v>-792</v>
      </c>
      <c r="I31" s="4"/>
      <c r="J31" s="4"/>
      <c r="K31" s="4"/>
      <c r="L31" s="4"/>
      <c r="M31" s="4"/>
      <c r="N31" s="4"/>
      <c r="O31" s="4"/>
      <c r="P31" s="4"/>
      <c r="Q31" s="4"/>
      <c r="R31" s="4"/>
      <c r="S31" s="4"/>
      <c r="T31" s="4"/>
    </row>
    <row r="33" spans="1:20" x14ac:dyDescent="0.25">
      <c r="A33" s="1" t="s">
        <v>82</v>
      </c>
      <c r="B33" s="1">
        <f t="shared" ref="B33:H33" si="4">B34-B17-B24-B31</f>
        <v>0</v>
      </c>
      <c r="C33" s="1">
        <f t="shared" si="4"/>
        <v>0</v>
      </c>
      <c r="D33" s="1">
        <f t="shared" si="4"/>
        <v>0</v>
      </c>
      <c r="E33" s="1">
        <f t="shared" si="4"/>
        <v>0</v>
      </c>
      <c r="F33" s="1">
        <f t="shared" si="4"/>
        <v>0</v>
      </c>
      <c r="G33" s="1">
        <f t="shared" si="4"/>
        <v>0</v>
      </c>
      <c r="H33" s="1">
        <f t="shared" si="4"/>
        <v>0</v>
      </c>
      <c r="I33" s="1"/>
      <c r="J33" s="1"/>
      <c r="K33" s="1"/>
      <c r="L33" s="1"/>
      <c r="M33" s="1"/>
      <c r="N33" s="1"/>
      <c r="O33" s="1"/>
      <c r="P33" s="1"/>
      <c r="Q33" s="1"/>
      <c r="R33" s="1"/>
      <c r="S33" s="1"/>
      <c r="T33" s="1"/>
    </row>
    <row r="34" spans="1:20" x14ac:dyDescent="0.25">
      <c r="A34" s="1" t="s">
        <v>81</v>
      </c>
      <c r="B34" s="1">
        <f t="shared" ref="B34:H34" si="5">B35-B36</f>
        <v>2016</v>
      </c>
      <c r="C34" s="1">
        <f t="shared" si="5"/>
        <v>1309</v>
      </c>
      <c r="D34" s="1">
        <f t="shared" si="5"/>
        <v>3891</v>
      </c>
      <c r="E34" s="1">
        <f t="shared" si="5"/>
        <v>1399</v>
      </c>
      <c r="F34" s="1">
        <f t="shared" si="5"/>
        <v>1143</v>
      </c>
      <c r="G34" s="1">
        <f t="shared" si="5"/>
        <v>-10049</v>
      </c>
      <c r="H34" s="1">
        <f t="shared" si="5"/>
        <v>10114</v>
      </c>
      <c r="I34" s="1"/>
      <c r="J34" s="1"/>
      <c r="K34" s="1"/>
      <c r="L34" s="1"/>
      <c r="M34" s="1"/>
      <c r="N34" s="1"/>
      <c r="O34" s="1"/>
      <c r="P34" s="1"/>
      <c r="Q34" s="1"/>
      <c r="R34" s="1"/>
      <c r="S34" s="1"/>
      <c r="T34" s="1"/>
    </row>
    <row r="35" spans="1:20" x14ac:dyDescent="0.25">
      <c r="A35" s="1" t="s">
        <v>80</v>
      </c>
      <c r="B35" s="1">
        <v>10605</v>
      </c>
      <c r="C35" s="1">
        <v>8589</v>
      </c>
      <c r="D35" s="1">
        <v>7280</v>
      </c>
      <c r="E35" s="1">
        <v>3389</v>
      </c>
      <c r="F35" s="1">
        <v>1990</v>
      </c>
      <c r="G35" s="1">
        <v>847</v>
      </c>
      <c r="H35" s="1">
        <v>10896</v>
      </c>
      <c r="I35" s="1"/>
      <c r="J35" s="1"/>
      <c r="K35" s="1"/>
      <c r="L35" s="1"/>
      <c r="M35" s="1"/>
      <c r="N35" s="1"/>
      <c r="O35" s="1"/>
      <c r="P35" s="1"/>
      <c r="Q35" s="1"/>
      <c r="R35" s="1"/>
      <c r="S35" s="1"/>
      <c r="T35" s="1"/>
    </row>
    <row r="36" spans="1:20" x14ac:dyDescent="0.25">
      <c r="A36" s="1" t="s">
        <v>79</v>
      </c>
      <c r="B36" s="1">
        <v>8589</v>
      </c>
      <c r="C36" s="1">
        <v>7280</v>
      </c>
      <c r="D36" s="1">
        <v>3389</v>
      </c>
      <c r="E36" s="1">
        <v>1990</v>
      </c>
      <c r="F36" s="1">
        <v>847</v>
      </c>
      <c r="G36" s="1">
        <v>10896</v>
      </c>
      <c r="H36" s="1">
        <v>782</v>
      </c>
      <c r="I36" s="1"/>
      <c r="J36" s="1"/>
      <c r="K36" s="1"/>
      <c r="L36" s="1"/>
      <c r="M36" s="1"/>
      <c r="N36" s="1"/>
      <c r="O36" s="1"/>
      <c r="P36" s="1"/>
      <c r="Q36" s="1"/>
      <c r="R36" s="1"/>
      <c r="S36" s="1"/>
      <c r="T36" s="1"/>
    </row>
    <row r="37" spans="1:20" x14ac:dyDescent="0.25">
      <c r="A37" s="1" t="s">
        <v>78</v>
      </c>
      <c r="B37" s="1">
        <f t="shared" ref="B37:H37" si="6">B17</f>
        <v>102718</v>
      </c>
      <c r="C37" s="1">
        <f t="shared" si="6"/>
        <v>64089</v>
      </c>
      <c r="D37" s="1">
        <f t="shared" si="6"/>
        <v>28090</v>
      </c>
      <c r="E37" s="1">
        <f t="shared" si="6"/>
        <v>5641</v>
      </c>
      <c r="F37" s="1">
        <f t="shared" si="6"/>
        <v>9108</v>
      </c>
      <c r="G37" s="1">
        <f t="shared" si="6"/>
        <v>5822</v>
      </c>
      <c r="H37" s="1">
        <f t="shared" si="6"/>
        <v>4761</v>
      </c>
      <c r="I37" s="1"/>
      <c r="J37" s="1"/>
      <c r="K37" s="1"/>
      <c r="L37" s="1"/>
      <c r="M37" s="1"/>
      <c r="N37" s="1"/>
      <c r="O37" s="1"/>
      <c r="P37" s="1"/>
      <c r="Q37" s="1"/>
      <c r="R37" s="1"/>
      <c r="S37" s="1"/>
      <c r="T37" s="1"/>
    </row>
    <row r="38" spans="1:20" x14ac:dyDescent="0.25">
      <c r="A38" s="1" t="s">
        <v>77</v>
      </c>
      <c r="B38" s="1">
        <f t="shared" ref="B38:H38" si="7">B19</f>
        <v>-6042</v>
      </c>
      <c r="C38" s="1">
        <f t="shared" si="7"/>
        <v>-3236</v>
      </c>
      <c r="D38" s="1">
        <f t="shared" si="7"/>
        <v>-1069</v>
      </c>
      <c r="E38" s="1">
        <f t="shared" si="7"/>
        <v>-1833</v>
      </c>
      <c r="F38" s="1">
        <f t="shared" si="7"/>
        <v>-976</v>
      </c>
      <c r="G38" s="1">
        <f t="shared" si="7"/>
        <v>-1128</v>
      </c>
      <c r="H38" s="1">
        <f t="shared" si="7"/>
        <v>-489</v>
      </c>
      <c r="I38" s="1"/>
      <c r="J38" s="1"/>
      <c r="K38" s="1"/>
      <c r="L38" s="1"/>
      <c r="M38" s="1"/>
      <c r="N38" s="1"/>
      <c r="O38" s="1"/>
      <c r="P38" s="1"/>
      <c r="Q38" s="1"/>
      <c r="R38" s="1"/>
      <c r="S38" s="1"/>
      <c r="T38" s="1"/>
    </row>
    <row r="39" spans="1:20" x14ac:dyDescent="0.25">
      <c r="A39" s="6" t="s">
        <v>76</v>
      </c>
      <c r="B39" s="5">
        <f t="shared" ref="B39:H39" si="8">B37+B38</f>
        <v>96676</v>
      </c>
      <c r="C39" s="5">
        <f t="shared" si="8"/>
        <v>60853</v>
      </c>
      <c r="D39" s="5">
        <f t="shared" si="8"/>
        <v>27021</v>
      </c>
      <c r="E39" s="5">
        <f t="shared" si="8"/>
        <v>3808</v>
      </c>
      <c r="F39" s="5">
        <f t="shared" si="8"/>
        <v>8132</v>
      </c>
      <c r="G39" s="5">
        <f t="shared" si="8"/>
        <v>4694</v>
      </c>
      <c r="H39" s="5">
        <f t="shared" si="8"/>
        <v>4272</v>
      </c>
      <c r="I39" s="5"/>
      <c r="J39" s="5"/>
      <c r="K39" s="5"/>
      <c r="L39" s="5"/>
      <c r="M39" s="5"/>
      <c r="N39" s="5"/>
      <c r="O39" s="5"/>
      <c r="P39" s="5"/>
      <c r="Q39" s="5"/>
      <c r="R39" s="5"/>
      <c r="S39" s="5"/>
      <c r="T39" s="5"/>
    </row>
  </sheetData>
  <mergeCells count="1">
    <mergeCell ref="B4:T4"/>
  </mergeCells>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DCC68E-6605-43EF-8982-A6DFD7150D7B}">
  <sheetPr>
    <tabColor rgb="FFC6E0B4"/>
  </sheetPr>
  <dimension ref="A1:T61"/>
  <sheetViews>
    <sheetView workbookViewId="0"/>
  </sheetViews>
  <sheetFormatPr defaultRowHeight="15" x14ac:dyDescent="0.25"/>
  <cols>
    <col min="1" max="1" width="41.28515625" bestFit="1" customWidth="1"/>
    <col min="2" max="4" width="19.85546875" bestFit="1" customWidth="1"/>
    <col min="5" max="5" width="19" bestFit="1" customWidth="1"/>
    <col min="6" max="7" width="19.85546875" bestFit="1" customWidth="1"/>
    <col min="8" max="15" width="18.28515625" bestFit="1" customWidth="1"/>
    <col min="16" max="20" width="17.28515625" bestFit="1" customWidth="1"/>
  </cols>
  <sheetData>
    <row r="1" spans="1:20" x14ac:dyDescent="0.25">
      <c r="A1" s="10" t="s">
        <v>213</v>
      </c>
      <c r="B1" s="10"/>
      <c r="C1" s="10"/>
      <c r="D1" s="10"/>
      <c r="E1" s="10"/>
      <c r="F1" s="10"/>
      <c r="G1" s="10"/>
      <c r="H1" s="10"/>
      <c r="I1" s="10"/>
      <c r="J1" s="10"/>
      <c r="K1" s="10"/>
      <c r="L1" s="10"/>
      <c r="M1" s="10"/>
      <c r="N1" s="10"/>
      <c r="O1" s="10"/>
      <c r="P1" s="10"/>
      <c r="Q1" s="10"/>
      <c r="R1" s="10"/>
      <c r="S1" s="10"/>
      <c r="T1" s="10"/>
    </row>
    <row r="2" spans="1:20" x14ac:dyDescent="0.25">
      <c r="A2" t="s">
        <v>1</v>
      </c>
      <c r="B2" t="s">
        <v>210</v>
      </c>
    </row>
    <row r="3" spans="1:20" x14ac:dyDescent="0.25">
      <c r="A3" t="s">
        <v>3</v>
      </c>
      <c r="B3" t="str">
        <f>'NVDA - Income Statement FY'!B3</f>
        <v>USD</v>
      </c>
    </row>
    <row r="4" spans="1:20" x14ac:dyDescent="0.25">
      <c r="A4" t="s">
        <v>32</v>
      </c>
      <c r="B4" s="236" t="s">
        <v>33</v>
      </c>
      <c r="C4" s="236"/>
      <c r="D4" s="236"/>
      <c r="E4" s="236"/>
      <c r="F4" s="236"/>
      <c r="G4" s="236"/>
      <c r="H4" s="236"/>
      <c r="I4" s="236"/>
      <c r="J4" s="236"/>
      <c r="K4" s="236"/>
      <c r="L4" s="236"/>
      <c r="M4" s="236"/>
      <c r="N4" s="236"/>
      <c r="O4" s="236"/>
      <c r="P4" s="236"/>
      <c r="Q4" s="236"/>
      <c r="R4" s="236"/>
      <c r="S4" s="236"/>
      <c r="T4" s="236"/>
    </row>
    <row r="5" spans="1:20" x14ac:dyDescent="0.25">
      <c r="A5" t="s">
        <v>34</v>
      </c>
      <c r="B5" s="8">
        <v>46047</v>
      </c>
      <c r="C5" s="8">
        <v>45683</v>
      </c>
      <c r="D5" s="8">
        <v>45319</v>
      </c>
      <c r="E5" s="8">
        <v>44955</v>
      </c>
      <c r="F5" s="8">
        <v>44591</v>
      </c>
      <c r="G5" s="8">
        <v>44227</v>
      </c>
      <c r="H5" s="8">
        <v>43856</v>
      </c>
      <c r="I5" s="8"/>
      <c r="J5" s="8"/>
      <c r="K5" s="8"/>
      <c r="L5" s="8"/>
      <c r="M5" s="8"/>
      <c r="N5" s="8"/>
      <c r="O5" s="8"/>
      <c r="P5" s="8"/>
      <c r="Q5" s="8"/>
      <c r="R5" s="8"/>
      <c r="S5" s="8"/>
      <c r="T5" s="8"/>
    </row>
    <row r="6" spans="1:20" x14ac:dyDescent="0.25">
      <c r="A6" s="2" t="s">
        <v>159</v>
      </c>
      <c r="B6" s="2">
        <f>'NVDA - Income Statement FY'!B7/'NVDA - Income Statement FY'!B38</f>
        <v>8.8087623398874104</v>
      </c>
      <c r="C6" s="2">
        <f>'NVDA - Income Statement FY'!C7/'NVDA - Income Statement FY'!C38</f>
        <v>5.2611272375423317</v>
      </c>
      <c r="D6" s="2">
        <f>'NVDA - Income Statement FY'!D7/'NVDA - Income Statement FY'!D38</f>
        <v>2.4427425821972735</v>
      </c>
      <c r="E6" s="2">
        <f>'NVDA - Income Statement FY'!E7/'NVDA - Income Statement FY'!E38</f>
        <v>1.0759473474272039</v>
      </c>
      <c r="F6" s="2">
        <f>'NVDA - Income Statement FY'!F7/'NVDA - Income Statement FY'!F38</f>
        <v>1.0616962524654832</v>
      </c>
      <c r="G6" s="2">
        <f>'NVDA - Income Statement FY'!G7/'NVDA - Income Statement FY'!G38</f>
        <v>0.66434262948207168</v>
      </c>
      <c r="H6" s="2">
        <f>'NVDA - Income Statement FY'!H7/'NVDA - Income Statement FY'!H38</f>
        <v>0.44166666666666665</v>
      </c>
      <c r="I6" s="2"/>
      <c r="J6" s="2"/>
      <c r="K6" s="2"/>
      <c r="L6" s="2"/>
      <c r="M6" s="2"/>
      <c r="N6" s="2"/>
      <c r="O6" s="2"/>
      <c r="P6" s="2"/>
      <c r="Q6" s="2"/>
      <c r="R6" s="2"/>
      <c r="S6" s="2"/>
      <c r="T6" s="2"/>
    </row>
    <row r="7" spans="1:20" x14ac:dyDescent="0.25">
      <c r="A7" s="2" t="s">
        <v>158</v>
      </c>
      <c r="B7" s="2">
        <f>'NVDA - Income Statement FY'!B32/'NVDA - Income Statement FY'!B38</f>
        <v>4.8978950803622423</v>
      </c>
      <c r="C7" s="2">
        <f>'NVDA - Income Statement FY'!C32/'NVDA - Income Statement FY'!C38</f>
        <v>2.9382357684244478</v>
      </c>
      <c r="D7" s="2">
        <f>'NVDA - Income Statement FY'!D32/'NVDA - Income Statement FY'!D38</f>
        <v>1.1932638331996792</v>
      </c>
      <c r="E7" s="2">
        <f>'NVDA - Income Statement FY'!E32/'NVDA - Income Statement FY'!E38</f>
        <v>0.17423214998005584</v>
      </c>
      <c r="F7" s="2">
        <f>'NVDA - Income Statement FY'!F32/'NVDA - Income Statement FY'!F38</f>
        <v>0.38469428007889545</v>
      </c>
      <c r="G7" s="2">
        <f>'NVDA - Income Statement FY'!G32/'NVDA - Income Statement FY'!G38</f>
        <v>0.17258964143426295</v>
      </c>
      <c r="H7" s="2">
        <f>'NVDA - Income Statement FY'!H32/'NVDA - Income Statement FY'!H38</f>
        <v>0.11310679611650486</v>
      </c>
      <c r="I7" s="2"/>
      <c r="J7" s="2"/>
      <c r="K7" s="2"/>
      <c r="L7" s="2"/>
      <c r="M7" s="2"/>
      <c r="N7" s="2"/>
      <c r="O7" s="2"/>
      <c r="P7" s="2"/>
      <c r="Q7" s="2"/>
      <c r="R7" s="2"/>
      <c r="S7" s="2"/>
      <c r="T7" s="2"/>
    </row>
    <row r="8" spans="1:20" x14ac:dyDescent="0.25">
      <c r="A8" s="2" t="s">
        <v>157</v>
      </c>
      <c r="B8" s="2">
        <f>'NVDA - Cash Flow FY'!B17/'NVDA - Income Statement FY'!B38</f>
        <v>4.1901770416904629</v>
      </c>
      <c r="C8" s="2">
        <f>'NVDA - Cash Flow FY'!C17/'NVDA - Income Statement FY'!C38</f>
        <v>2.5838171262699565</v>
      </c>
      <c r="D8" s="2">
        <f>'NVDA - Cash Flow FY'!D17/'NVDA - Income Statement FY'!D38</f>
        <v>1.1263031275060145</v>
      </c>
      <c r="E8" s="2">
        <f>'NVDA - Cash Flow FY'!E17/'NVDA - Income Statement FY'!E38</f>
        <v>0.2250099720781811</v>
      </c>
      <c r="F8" s="2">
        <f>'NVDA - Cash Flow FY'!F17/'NVDA - Income Statement FY'!F38</f>
        <v>0.35928994082840238</v>
      </c>
      <c r="G8" s="2">
        <f>'NVDA - Cash Flow FY'!G17/'NVDA - Income Statement FY'!G38</f>
        <v>0.23195219123505975</v>
      </c>
      <c r="H8" s="2">
        <f>'NVDA - Cash Flow FY'!H17/'NVDA - Income Statement FY'!H38</f>
        <v>0.19259708737864079</v>
      </c>
      <c r="I8" s="2"/>
      <c r="J8" s="2"/>
      <c r="K8" s="2"/>
      <c r="L8" s="2"/>
      <c r="M8" s="2"/>
      <c r="N8" s="2"/>
      <c r="O8" s="2"/>
      <c r="P8" s="2"/>
      <c r="Q8" s="2"/>
      <c r="R8" s="2"/>
      <c r="S8" s="2"/>
      <c r="T8" s="2"/>
    </row>
    <row r="9" spans="1:20" x14ac:dyDescent="0.25">
      <c r="A9" s="2" t="s">
        <v>156</v>
      </c>
      <c r="B9" s="2">
        <f>'NVDA - Cash Flow FY'!B39/'NVDA - Income Statement FY'!B38</f>
        <v>3.9437056375948436</v>
      </c>
      <c r="C9" s="2">
        <f>'NVDA - Cash Flow FY'!C39/'NVDA - Income Statement FY'!C38</f>
        <v>2.4533542976939202</v>
      </c>
      <c r="D9" s="2">
        <f>'NVDA - Cash Flow FY'!D39/'NVDA - Income Statement FY'!D38</f>
        <v>1.0834402566158781</v>
      </c>
      <c r="E9" s="2">
        <f>'NVDA - Cash Flow FY'!E39/'NVDA - Income Statement FY'!E38</f>
        <v>0.15189469485440765</v>
      </c>
      <c r="F9" s="2">
        <f>'NVDA - Cash Flow FY'!F39/'NVDA - Income Statement FY'!F38</f>
        <v>0.32078895463510848</v>
      </c>
      <c r="G9" s="2">
        <f>'NVDA - Cash Flow FY'!G39/'NVDA - Income Statement FY'!G38</f>
        <v>0.18701195219123506</v>
      </c>
      <c r="H9" s="2">
        <f>'NVDA - Cash Flow FY'!H39/'NVDA - Income Statement FY'!H38</f>
        <v>0.17281553398058253</v>
      </c>
      <c r="I9" s="2"/>
      <c r="J9" s="2"/>
      <c r="K9" s="2"/>
      <c r="L9" s="2"/>
      <c r="M9" s="2"/>
      <c r="N9" s="2"/>
      <c r="O9" s="2"/>
      <c r="P9" s="2"/>
      <c r="Q9" s="2"/>
      <c r="R9" s="2"/>
      <c r="S9" s="2"/>
      <c r="T9" s="2"/>
    </row>
    <row r="10" spans="1:20" x14ac:dyDescent="0.25">
      <c r="A10" s="2" t="s">
        <v>155</v>
      </c>
      <c r="B10" s="2">
        <f>'NVDA - Balance Sheet FY'!B7/'NVDA - Income Statement FY'!B38</f>
        <v>0.43260993717875501</v>
      </c>
      <c r="C10" s="2">
        <f>'NVDA - Balance Sheet FY'!C7/'NVDA - Income Statement FY'!C38</f>
        <v>0.34627479438800196</v>
      </c>
      <c r="D10" s="2">
        <f>'NVDA - Balance Sheet FY'!D7/'NVDA - Income Statement FY'!D38</f>
        <v>0.29190056134723336</v>
      </c>
      <c r="E10" s="2">
        <f>'NVDA - Balance Sheet FY'!E7/'NVDA - Income Statement FY'!E38</f>
        <v>0.13518149182289591</v>
      </c>
      <c r="F10" s="2">
        <f>'NVDA - Balance Sheet FY'!F7/'NVDA - Income Statement FY'!F38</f>
        <v>7.850098619329389E-2</v>
      </c>
      <c r="G10" s="2">
        <f>'NVDA - Balance Sheet FY'!G7/'NVDA - Income Statement FY'!G38</f>
        <v>3.3745019920318725E-2</v>
      </c>
      <c r="H10" s="2">
        <f>'NVDA - Balance Sheet FY'!H7/'NVDA - Income Statement FY'!H38</f>
        <v>0.4407766990291262</v>
      </c>
      <c r="I10" s="2"/>
      <c r="J10" s="2"/>
      <c r="K10" s="2"/>
      <c r="L10" s="2"/>
      <c r="M10" s="2"/>
      <c r="N10" s="2"/>
      <c r="O10" s="2"/>
      <c r="P10" s="2"/>
      <c r="Q10" s="2"/>
      <c r="R10" s="2"/>
      <c r="S10" s="2"/>
      <c r="T10" s="2"/>
    </row>
    <row r="11" spans="1:20" x14ac:dyDescent="0.25">
      <c r="A11" s="2" t="s">
        <v>154</v>
      </c>
      <c r="B11" s="2">
        <f>'NVDA - Balance Sheet FY'!B47/'NVDA - Income Statement FY'!B38</f>
        <v>6.4164559027494494</v>
      </c>
      <c r="C11" s="2">
        <f>'NVDA - Balance Sheet FY'!C47/'NVDA - Income Statement FY'!C38</f>
        <v>3.1981535236252219</v>
      </c>
      <c r="D11" s="2">
        <f>'NVDA - Balance Sheet FY'!D47/'NVDA - Income Statement FY'!D38</f>
        <v>1.7232558139534884</v>
      </c>
      <c r="E11" s="2">
        <f>'NVDA - Balance Sheet FY'!E47/'NVDA - Income Statement FY'!E38</f>
        <v>0.88157159952134023</v>
      </c>
      <c r="F11" s="2">
        <f>'NVDA - Balance Sheet FY'!F47/'NVDA - Income Statement FY'!F38</f>
        <v>1.0497830374753452</v>
      </c>
      <c r="G11" s="2">
        <f>'NVDA - Balance Sheet FY'!G47/'NVDA - Income Statement FY'!G38</f>
        <v>0.67302788844621519</v>
      </c>
      <c r="H11" s="2">
        <f>'NVDA - Balance Sheet FY'!H47/'NVDA - Income Statement FY'!H38</f>
        <v>0.49368932038834951</v>
      </c>
      <c r="I11" s="2"/>
      <c r="J11" s="2"/>
      <c r="K11" s="2"/>
      <c r="L11" s="2"/>
      <c r="M11" s="2"/>
      <c r="N11" s="2"/>
      <c r="O11" s="2"/>
      <c r="P11" s="2"/>
      <c r="Q11" s="2"/>
      <c r="R11" s="2"/>
      <c r="S11" s="2"/>
      <c r="T11" s="2"/>
    </row>
    <row r="12" spans="1:20" x14ac:dyDescent="0.25">
      <c r="A12" s="2" t="s">
        <v>153</v>
      </c>
      <c r="B12" s="2">
        <f>('NVDA - Balance Sheet FY'!B47-'NVDA - Balance Sheet FY'!B18)/'NVDA - Income Statement FY'!B38</f>
        <v>5.4317940768540423</v>
      </c>
      <c r="C12" s="2">
        <f>('NVDA - Balance Sheet FY'!C47-'NVDA - Balance Sheet FY'!C18)/'NVDA - Income Statement FY'!C38</f>
        <v>2.9564586357039189</v>
      </c>
      <c r="D12" s="2">
        <f>('NVDA - Balance Sheet FY'!D47-'NVDA - Balance Sheet FY'!D18)/'NVDA - Income Statement FY'!D38</f>
        <v>1.5010425020048115</v>
      </c>
      <c r="E12" s="2">
        <f>('NVDA - Balance Sheet FY'!E47-'NVDA - Balance Sheet FY'!E18)/'NVDA - Income Statement FY'!E38</f>
        <v>0.64032708416433981</v>
      </c>
      <c r="F12" s="2">
        <f>('NVDA - Balance Sheet FY'!F47-'NVDA - Balance Sheet FY'!F18)/'NVDA - Income Statement FY'!F38</f>
        <v>0.78595660749506902</v>
      </c>
      <c r="G12" s="2">
        <f>('NVDA - Balance Sheet FY'!G47-'NVDA - Balance Sheet FY'!G18)/'NVDA - Income Statement FY'!G38</f>
        <v>0.39693227091633465</v>
      </c>
      <c r="H12" s="2">
        <f>('NVDA - Balance Sheet FY'!H47-'NVDA - Balance Sheet FY'!H18)/'NVDA - Income Statement FY'!H38</f>
        <v>0.46670711974110035</v>
      </c>
      <c r="I12" s="2"/>
      <c r="J12" s="2"/>
      <c r="K12" s="2"/>
      <c r="L12" s="2"/>
      <c r="M12" s="2"/>
      <c r="N12" s="2"/>
      <c r="O12" s="2"/>
      <c r="P12" s="2"/>
      <c r="Q12" s="2"/>
      <c r="R12" s="2"/>
      <c r="S12" s="2"/>
      <c r="T12" s="2"/>
    </row>
    <row r="13" spans="1:20" x14ac:dyDescent="0.25">
      <c r="A13" s="2" t="s">
        <v>152</v>
      </c>
      <c r="B13" s="2">
        <f>'NVDA - Balance Sheet FY'!B47/'NVDA - Income Statement FY'!B38</f>
        <v>6.4164559027494494</v>
      </c>
      <c r="C13" s="2">
        <f>'NVDA - Balance Sheet FY'!C47/'NVDA - Income Statement FY'!C38</f>
        <v>3.1981535236252219</v>
      </c>
      <c r="D13" s="2">
        <f>'NVDA - Balance Sheet FY'!D47/'NVDA - Income Statement FY'!D38</f>
        <v>1.7232558139534884</v>
      </c>
      <c r="E13" s="2">
        <f>'NVDA - Balance Sheet FY'!E47/'NVDA - Income Statement FY'!E38</f>
        <v>0.88157159952134023</v>
      </c>
      <c r="F13" s="2">
        <f>'NVDA - Balance Sheet FY'!F47/'NVDA - Income Statement FY'!F38</f>
        <v>1.0497830374753452</v>
      </c>
      <c r="G13" s="2">
        <f>'NVDA - Balance Sheet FY'!G47/'NVDA - Income Statement FY'!G38</f>
        <v>0.67302788844621519</v>
      </c>
      <c r="H13" s="2">
        <f>'NVDA - Balance Sheet FY'!H47/'NVDA - Income Statement FY'!H38</f>
        <v>0.49368932038834951</v>
      </c>
      <c r="I13" s="2"/>
      <c r="J13" s="2"/>
      <c r="K13" s="2"/>
      <c r="L13" s="2"/>
      <c r="M13" s="2"/>
      <c r="N13" s="2"/>
      <c r="O13" s="2"/>
      <c r="P13" s="2"/>
      <c r="Q13" s="2"/>
      <c r="R13" s="2"/>
      <c r="S13" s="2"/>
      <c r="T13" s="2"/>
    </row>
    <row r="14" spans="1:20" x14ac:dyDescent="0.25">
      <c r="A14" s="2" t="s">
        <v>151</v>
      </c>
      <c r="B14" s="2">
        <f>'NVDA - Balance Sheet FY'!B51/'NVDA - Income Statement FY'!B38</f>
        <v>0.34543526148323406</v>
      </c>
      <c r="C14" s="2">
        <f>'NVDA - Balance Sheet FY'!C51/'NVDA - Income Statement FY'!C38</f>
        <v>0.3411949685534591</v>
      </c>
      <c r="D14" s="2">
        <f>'NVDA - Balance Sheet FY'!D51/'NVDA - Income Statement FY'!D38</f>
        <v>0.38929430633520451</v>
      </c>
      <c r="E14" s="2">
        <f>'NVDA - Balance Sheet FY'!E51/'NVDA - Income Statement FY'!E38</f>
        <v>0.43689668927004388</v>
      </c>
      <c r="F14" s="2">
        <f>'NVDA - Balance Sheet FY'!F51/'NVDA - Income Statement FY'!F38</f>
        <v>0.4317948717948718</v>
      </c>
      <c r="G14" s="2">
        <f>'NVDA - Balance Sheet FY'!G51/'NVDA - Income Statement FY'!G38</f>
        <v>0.23760956175298806</v>
      </c>
      <c r="H14" s="2">
        <f>'NVDA - Balance Sheet FY'!H51/'NVDA - Income Statement FY'!H38</f>
        <v>8.0542071197410997E-2</v>
      </c>
      <c r="I14" s="2"/>
      <c r="J14" s="2"/>
      <c r="K14" s="2"/>
      <c r="L14" s="2"/>
      <c r="M14" s="2"/>
      <c r="N14" s="2"/>
      <c r="O14" s="2"/>
      <c r="P14" s="2"/>
      <c r="Q14" s="2"/>
      <c r="R14" s="2"/>
      <c r="S14" s="2"/>
      <c r="T14" s="2"/>
    </row>
    <row r="15" spans="1:20" x14ac:dyDescent="0.25">
      <c r="A15" s="12" t="s">
        <v>150</v>
      </c>
      <c r="B15" s="1"/>
      <c r="C15" s="1"/>
      <c r="D15" s="1"/>
      <c r="E15" s="1"/>
      <c r="F15" s="1"/>
      <c r="G15" s="1"/>
      <c r="H15" s="1"/>
      <c r="I15" s="1"/>
      <c r="J15" s="1"/>
      <c r="K15" s="1"/>
      <c r="L15" s="1"/>
      <c r="M15" s="1"/>
      <c r="N15" s="1"/>
      <c r="O15" s="1"/>
      <c r="P15" s="1"/>
      <c r="Q15" s="1"/>
      <c r="R15" s="1"/>
      <c r="S15" s="1"/>
      <c r="T15" s="1"/>
    </row>
    <row r="16" spans="1:20" x14ac:dyDescent="0.25">
      <c r="A16" s="12" t="s">
        <v>149</v>
      </c>
      <c r="B16" s="1"/>
      <c r="C16" s="1"/>
      <c r="D16" s="1"/>
      <c r="E16" s="1"/>
      <c r="F16" s="1"/>
      <c r="G16" s="1"/>
      <c r="H16" s="1"/>
      <c r="I16" s="1"/>
      <c r="J16" s="1"/>
      <c r="K16" s="1"/>
      <c r="L16" s="1"/>
      <c r="M16" s="1"/>
      <c r="N16" s="1"/>
      <c r="O16" s="1"/>
      <c r="P16" s="1"/>
      <c r="Q16" s="1"/>
      <c r="R16" s="1"/>
      <c r="S16" s="1"/>
      <c r="T16" s="1"/>
    </row>
    <row r="17" spans="1:20" x14ac:dyDescent="0.25">
      <c r="A17" s="13" t="s">
        <v>148</v>
      </c>
      <c r="B17" s="2"/>
      <c r="C17" s="2"/>
      <c r="D17" s="2"/>
      <c r="E17" s="2"/>
      <c r="F17" s="2"/>
      <c r="G17" s="2"/>
      <c r="H17" s="2"/>
      <c r="I17" s="2"/>
      <c r="J17" s="2"/>
      <c r="K17" s="2"/>
      <c r="L17" s="2"/>
      <c r="M17" s="2"/>
      <c r="N17" s="2"/>
      <c r="O17" s="2"/>
      <c r="P17" s="2"/>
      <c r="Q17" s="2"/>
      <c r="R17" s="2"/>
      <c r="S17" s="2"/>
      <c r="T17" s="2"/>
    </row>
    <row r="18" spans="1:20" x14ac:dyDescent="0.25">
      <c r="A18" s="13" t="s">
        <v>147</v>
      </c>
      <c r="B18" s="2"/>
      <c r="C18" s="2"/>
      <c r="D18" s="2"/>
      <c r="E18" s="2"/>
      <c r="F18" s="2"/>
      <c r="G18" s="2"/>
      <c r="H18" s="2"/>
      <c r="I18" s="2"/>
      <c r="J18" s="2"/>
      <c r="K18" s="2"/>
      <c r="L18" s="2"/>
      <c r="M18" s="2"/>
      <c r="N18" s="2"/>
      <c r="O18" s="2"/>
      <c r="P18" s="2"/>
      <c r="Q18" s="2"/>
      <c r="R18" s="2"/>
      <c r="S18" s="2"/>
      <c r="T18" s="2"/>
    </row>
    <row r="19" spans="1:20" x14ac:dyDescent="0.25">
      <c r="A19" s="13" t="s">
        <v>146</v>
      </c>
      <c r="B19" s="2"/>
      <c r="C19" s="2"/>
      <c r="D19" s="2"/>
      <c r="E19" s="2"/>
      <c r="F19" s="2"/>
      <c r="G19" s="2"/>
      <c r="H19" s="2"/>
      <c r="I19" s="2"/>
      <c r="J19" s="2"/>
      <c r="K19" s="2"/>
      <c r="L19" s="2"/>
      <c r="M19" s="2"/>
      <c r="N19" s="2"/>
      <c r="O19" s="2"/>
      <c r="P19" s="2"/>
      <c r="Q19" s="2"/>
      <c r="R19" s="2"/>
      <c r="S19" s="2"/>
      <c r="T19" s="2"/>
    </row>
    <row r="20" spans="1:20" x14ac:dyDescent="0.25">
      <c r="A20" s="13" t="s">
        <v>145</v>
      </c>
      <c r="B20" s="2"/>
      <c r="C20" s="2"/>
      <c r="D20" s="2"/>
      <c r="E20" s="2"/>
      <c r="F20" s="2"/>
      <c r="G20" s="2"/>
      <c r="H20" s="2"/>
      <c r="I20" s="2"/>
      <c r="J20" s="2"/>
      <c r="K20" s="2"/>
      <c r="L20" s="2"/>
      <c r="M20" s="2"/>
      <c r="N20" s="2"/>
      <c r="O20" s="2"/>
      <c r="P20" s="2"/>
      <c r="Q20" s="2"/>
      <c r="R20" s="2"/>
      <c r="S20" s="2"/>
      <c r="T20" s="2"/>
    </row>
    <row r="21" spans="1:20" x14ac:dyDescent="0.25">
      <c r="A21" s="13" t="s">
        <v>144</v>
      </c>
      <c r="B21" s="2"/>
      <c r="C21" s="2"/>
      <c r="D21" s="2"/>
      <c r="E21" s="2"/>
      <c r="F21" s="2"/>
      <c r="G21" s="2"/>
      <c r="H21" s="2"/>
      <c r="I21" s="2"/>
      <c r="J21" s="2"/>
      <c r="K21" s="2"/>
      <c r="L21" s="2"/>
      <c r="M21" s="2"/>
      <c r="N21" s="2"/>
      <c r="O21" s="2"/>
      <c r="P21" s="2"/>
      <c r="Q21" s="2"/>
      <c r="R21" s="2"/>
      <c r="S21" s="2"/>
      <c r="T21" s="2"/>
    </row>
    <row r="22" spans="1:20" x14ac:dyDescent="0.25">
      <c r="A22" s="13" t="s">
        <v>143</v>
      </c>
      <c r="B22" s="2"/>
      <c r="C22" s="2"/>
      <c r="D22" s="2"/>
      <c r="E22" s="2"/>
      <c r="F22" s="2"/>
      <c r="G22" s="2"/>
      <c r="H22" s="2"/>
      <c r="I22" s="2"/>
      <c r="J22" s="2"/>
      <c r="K22" s="2"/>
      <c r="L22" s="2"/>
      <c r="M22" s="2"/>
      <c r="N22" s="2"/>
      <c r="O22" s="2"/>
      <c r="P22" s="2"/>
      <c r="Q22" s="2"/>
      <c r="R22" s="2"/>
      <c r="S22" s="2"/>
      <c r="T22" s="2"/>
    </row>
    <row r="23" spans="1:20" x14ac:dyDescent="0.25">
      <c r="A23" s="13" t="s">
        <v>142</v>
      </c>
      <c r="B23" s="2"/>
      <c r="C23" s="2"/>
      <c r="D23" s="2"/>
      <c r="E23" s="2"/>
      <c r="F23" s="2"/>
      <c r="G23" s="2"/>
      <c r="H23" s="2"/>
      <c r="I23" s="2"/>
      <c r="J23" s="2"/>
      <c r="K23" s="2"/>
      <c r="L23" s="2"/>
      <c r="M23" s="2"/>
      <c r="N23" s="2"/>
      <c r="O23" s="2"/>
      <c r="P23" s="2"/>
      <c r="Q23" s="2"/>
      <c r="R23" s="2"/>
      <c r="S23" s="2"/>
      <c r="T23" s="2"/>
    </row>
    <row r="24" spans="1:20" x14ac:dyDescent="0.25">
      <c r="A24" s="13" t="s">
        <v>141</v>
      </c>
      <c r="B24" s="2"/>
      <c r="C24" s="2"/>
      <c r="D24" s="2"/>
      <c r="E24" s="2"/>
      <c r="F24" s="2"/>
      <c r="G24" s="2"/>
      <c r="H24" s="2"/>
      <c r="I24" s="2"/>
      <c r="J24" s="2"/>
      <c r="K24" s="2"/>
      <c r="L24" s="2"/>
      <c r="M24" s="2"/>
      <c r="N24" s="2"/>
      <c r="O24" s="2"/>
      <c r="P24" s="2"/>
      <c r="Q24" s="2"/>
      <c r="R24" s="2"/>
      <c r="S24" s="2"/>
      <c r="T24" s="2"/>
    </row>
    <row r="25" spans="1:20" x14ac:dyDescent="0.25">
      <c r="A25" s="13" t="s">
        <v>140</v>
      </c>
      <c r="B25" s="2"/>
      <c r="C25" s="2"/>
      <c r="D25" s="2"/>
      <c r="E25" s="2"/>
      <c r="F25" s="2"/>
      <c r="G25" s="2"/>
      <c r="H25" s="2"/>
      <c r="I25" s="2"/>
      <c r="J25" s="2"/>
      <c r="K25" s="2"/>
      <c r="L25" s="2"/>
      <c r="M25" s="2"/>
      <c r="N25" s="2"/>
      <c r="O25" s="2"/>
      <c r="P25" s="2"/>
      <c r="Q25" s="2"/>
      <c r="R25" s="2"/>
      <c r="S25" s="2"/>
      <c r="T25" s="2"/>
    </row>
    <row r="26" spans="1:20" x14ac:dyDescent="0.25">
      <c r="A26" s="13" t="s">
        <v>139</v>
      </c>
      <c r="B26" s="2"/>
      <c r="C26" s="2"/>
      <c r="D26" s="2"/>
      <c r="E26" s="2"/>
      <c r="F26" s="2"/>
      <c r="G26" s="2"/>
      <c r="H26" s="2"/>
      <c r="I26" s="2"/>
      <c r="J26" s="2"/>
      <c r="K26" s="2"/>
      <c r="L26" s="2"/>
      <c r="M26" s="2"/>
      <c r="N26" s="2"/>
      <c r="O26" s="2"/>
      <c r="P26" s="2"/>
      <c r="Q26" s="2"/>
      <c r="R26" s="2"/>
      <c r="S26" s="2"/>
      <c r="T26" s="2"/>
    </row>
    <row r="27" spans="1:20" x14ac:dyDescent="0.25">
      <c r="A27" s="14" t="s">
        <v>138</v>
      </c>
      <c r="B27" s="3"/>
      <c r="C27" s="3"/>
      <c r="D27" s="3"/>
      <c r="E27" s="3"/>
      <c r="F27" s="3"/>
      <c r="G27" s="3"/>
      <c r="H27" s="3"/>
      <c r="I27" s="3"/>
      <c r="J27" s="3"/>
      <c r="K27" s="3"/>
      <c r="L27" s="3"/>
      <c r="M27" s="3"/>
      <c r="N27" s="3"/>
      <c r="O27" s="3"/>
      <c r="P27" s="3"/>
      <c r="Q27" s="3"/>
      <c r="R27" s="3"/>
      <c r="S27" s="3"/>
      <c r="T27" s="3"/>
    </row>
    <row r="28" spans="1:20" x14ac:dyDescent="0.25">
      <c r="A28" s="14" t="s">
        <v>137</v>
      </c>
      <c r="B28" s="3"/>
      <c r="C28" s="3"/>
      <c r="D28" s="3"/>
      <c r="E28" s="3"/>
      <c r="F28" s="3"/>
      <c r="G28" s="3"/>
      <c r="H28" s="3"/>
      <c r="I28" s="3"/>
      <c r="J28" s="3"/>
      <c r="K28" s="3"/>
      <c r="L28" s="3"/>
      <c r="M28" s="3"/>
      <c r="N28" s="3"/>
      <c r="O28" s="3"/>
      <c r="P28" s="3"/>
      <c r="Q28" s="3"/>
      <c r="R28" s="3"/>
      <c r="S28" s="3"/>
      <c r="T28" s="3"/>
    </row>
    <row r="29" spans="1:20" x14ac:dyDescent="0.25">
      <c r="A29" s="2" t="s">
        <v>136</v>
      </c>
      <c r="B29" s="2">
        <f>'NVDA - Balance Sheet FY'!B51/'NVDA - Balance Sheet FY'!B47</f>
        <v>5.3835835033981171E-2</v>
      </c>
      <c r="C29" s="2">
        <f>'NVDA - Balance Sheet FY'!C51/'NVDA - Balance Sheet FY'!C47</f>
        <v>0.10668498745698186</v>
      </c>
      <c r="D29" s="2">
        <f>'NVDA - Balance Sheet FY'!D51/'NVDA - Balance Sheet FY'!D47</f>
        <v>0.22590627763041557</v>
      </c>
      <c r="E29" s="2">
        <f>'NVDA - Balance Sheet FY'!E51/'NVDA - Balance Sheet FY'!E47</f>
        <v>0.49558843491244742</v>
      </c>
      <c r="F29" s="2">
        <f>'NVDA - Balance Sheet FY'!F51/'NVDA - Balance Sheet FY'!F47</f>
        <v>0.41131820231474525</v>
      </c>
      <c r="G29" s="2">
        <f>'NVDA - Balance Sheet FY'!G51/'NVDA - Balance Sheet FY'!G47</f>
        <v>0.35304564020600249</v>
      </c>
      <c r="H29" s="2">
        <f>'NVDA - Balance Sheet FY'!H51/'NVDA - Balance Sheet FY'!H47</f>
        <v>0.16314323172730252</v>
      </c>
      <c r="I29" s="2"/>
      <c r="J29" s="2"/>
      <c r="K29" s="2"/>
      <c r="L29" s="2"/>
      <c r="M29" s="2"/>
      <c r="N29" s="2"/>
      <c r="O29" s="2"/>
      <c r="P29" s="2"/>
      <c r="Q29" s="2"/>
      <c r="R29" s="2"/>
      <c r="S29" s="2"/>
      <c r="T29" s="2"/>
    </row>
    <row r="30" spans="1:20" x14ac:dyDescent="0.25">
      <c r="A30" s="3" t="s">
        <v>135</v>
      </c>
      <c r="B30" s="3">
        <f>'NVDA - Balance Sheet FY'!B51/'NVDA - Balance Sheet FY'!B25</f>
        <v>4.0947181617287949E-2</v>
      </c>
      <c r="C30" s="3">
        <f>'NVDA - Balance Sheet FY'!C51/'NVDA - Balance Sheet FY'!C25</f>
        <v>7.5832653829266766E-2</v>
      </c>
      <c r="D30" s="3">
        <f>'NVDA - Balance Sheet FY'!D51/'NVDA - Balance Sheet FY'!D25</f>
        <v>0.1477148247322298</v>
      </c>
      <c r="E30" s="3">
        <f>'NVDA - Balance Sheet FY'!E51/'NVDA - Balance Sheet FY'!E25</f>
        <v>0.26596571317565926</v>
      </c>
      <c r="F30" s="3">
        <f>'NVDA - Balance Sheet FY'!F51/'NVDA - Balance Sheet FY'!F25</f>
        <v>0.24771991762283024</v>
      </c>
      <c r="G30" s="3">
        <f>'NVDA - Balance Sheet FY'!G51/'NVDA - Balance Sheet FY'!G25</f>
        <v>0.20714806710430342</v>
      </c>
      <c r="H30" s="3">
        <f>'NVDA - Balance Sheet FY'!H51/'NVDA - Balance Sheet FY'!H25</f>
        <v>0.11498700548657234</v>
      </c>
      <c r="I30" s="3"/>
      <c r="J30" s="3"/>
      <c r="K30" s="3"/>
      <c r="L30" s="3"/>
      <c r="M30" s="3"/>
      <c r="N30" s="3"/>
      <c r="O30" s="3"/>
      <c r="P30" s="3"/>
      <c r="Q30" s="3"/>
      <c r="R30" s="3"/>
      <c r="S30" s="3"/>
      <c r="T30" s="3"/>
    </row>
    <row r="31" spans="1:20" x14ac:dyDescent="0.25">
      <c r="A31" s="3" t="s">
        <v>134</v>
      </c>
      <c r="B31" s="3">
        <f>'NVDA - Balance Sheet FY'!B52/'NVDA - Income Statement FY'!B21</f>
        <v>-1.6039930946483524E-2</v>
      </c>
      <c r="C31" s="3">
        <f>'NVDA - Balance Sheet FY'!C52/'NVDA - Income Statement FY'!C21</f>
        <v>-1.5122964100963789E-3</v>
      </c>
      <c r="D31" s="3">
        <f>'NVDA - Balance Sheet FY'!D52/'NVDA - Income Statement FY'!D21</f>
        <v>7.0446635730858465E-2</v>
      </c>
      <c r="E31" s="3">
        <f>'NVDA - Balance Sheet FY'!E52/'NVDA - Income Statement FY'!E21</f>
        <v>1.3113730929264911</v>
      </c>
      <c r="F31" s="3">
        <f>'NVDA - Balance Sheet FY'!F52/'NVDA - Income Statement FY'!F21</f>
        <v>0.79857333927775298</v>
      </c>
      <c r="G31" s="3">
        <f>'NVDA - Balance Sheet FY'!G52/'NVDA - Income Statement FY'!G21</f>
        <v>0.90888099467140315</v>
      </c>
      <c r="H31" s="3">
        <f>'NVDA - Balance Sheet FY'!H52/'NVDA - Income Statement FY'!H21</f>
        <v>-2.7595289742795166</v>
      </c>
      <c r="I31" s="3"/>
      <c r="J31" s="3"/>
      <c r="K31" s="3"/>
      <c r="L31" s="3"/>
      <c r="M31" s="3"/>
      <c r="N31" s="3"/>
      <c r="O31" s="3"/>
      <c r="P31" s="3"/>
      <c r="Q31" s="3"/>
      <c r="R31" s="3"/>
      <c r="S31" s="3"/>
      <c r="T31" s="3"/>
    </row>
    <row r="32" spans="1:20" x14ac:dyDescent="0.25">
      <c r="A32" s="2" t="s">
        <v>133</v>
      </c>
      <c r="B32" s="2">
        <f>'NVDA - Balance Sheet FY'!B13/'NVDA - Balance Sheet FY'!B32</f>
        <v>3.9052638124553058</v>
      </c>
      <c r="C32" s="2">
        <f>'NVDA - Balance Sheet FY'!C13/'NVDA - Balance Sheet FY'!C32</f>
        <v>4.4398514988640772</v>
      </c>
      <c r="D32" s="2">
        <f>'NVDA - Balance Sheet FY'!D13/'NVDA - Balance Sheet FY'!D32</f>
        <v>4.1712915059730973</v>
      </c>
      <c r="E32" s="2">
        <f>'NVDA - Balance Sheet FY'!E13/'NVDA - Balance Sheet FY'!E32</f>
        <v>3.5156178576870332</v>
      </c>
      <c r="F32" s="2">
        <f>'NVDA - Balance Sheet FY'!F13/'NVDA - Balance Sheet FY'!F32</f>
        <v>6.6502883506343711</v>
      </c>
      <c r="G32" s="2">
        <f>'NVDA - Balance Sheet FY'!G13/'NVDA - Balance Sheet FY'!G32</f>
        <v>4.0904458598726112</v>
      </c>
      <c r="H32" s="2">
        <f>'NVDA - Balance Sheet FY'!H13/'NVDA - Balance Sheet FY'!H32</f>
        <v>7.6737668161434973</v>
      </c>
      <c r="I32" s="2"/>
      <c r="J32" s="2"/>
      <c r="K32" s="2"/>
      <c r="L32" s="2"/>
      <c r="M32" s="2"/>
      <c r="N32" s="2"/>
      <c r="O32" s="2"/>
      <c r="P32" s="2"/>
      <c r="Q32" s="2"/>
      <c r="R32" s="2"/>
      <c r="S32" s="2"/>
      <c r="T32" s="2"/>
    </row>
    <row r="33" spans="1:20" x14ac:dyDescent="0.25">
      <c r="A33" s="2" t="s">
        <v>132</v>
      </c>
      <c r="B33" s="2">
        <f>IFERROR('NVDA - Income Statement FY'!B25/'NVDA - Income Statement FY'!B23,"")</f>
        <v>503.42471042471044</v>
      </c>
      <c r="C33" s="2">
        <f>IFERROR('NVDA - Income Statement FY'!C25/'NVDA - Income Statement FY'!C23,"")</f>
        <v>329.76923076923077</v>
      </c>
      <c r="D33" s="2">
        <f>IFERROR('NVDA - Income Statement FY'!D25/'NVDA - Income Statement FY'!D23,"")</f>
        <v>128.29571984435799</v>
      </c>
      <c r="E33" s="2">
        <f>IFERROR('NVDA - Income Statement FY'!E25/'NVDA - Income Statement FY'!E23,"")</f>
        <v>16.122137404580151</v>
      </c>
      <c r="F33" s="2">
        <f>IFERROR('NVDA - Income Statement FY'!F25/'NVDA - Income Statement FY'!F23,"")</f>
        <v>42.546610169491522</v>
      </c>
      <c r="G33" s="2">
        <f>IFERROR('NVDA - Income Statement FY'!G25/'NVDA - Income Statement FY'!G23,"")</f>
        <v>24.630434782608695</v>
      </c>
      <c r="H33" s="2">
        <f>IFERROR('NVDA - Income Statement FY'!H25/'NVDA - Income Statement FY'!H23,"")</f>
        <v>54.730769230769234</v>
      </c>
      <c r="I33" s="2"/>
      <c r="J33" s="2"/>
      <c r="K33" s="2"/>
      <c r="L33" s="2"/>
      <c r="M33" s="2"/>
      <c r="N33" s="2"/>
      <c r="O33" s="2"/>
      <c r="P33" s="2"/>
      <c r="Q33" s="2"/>
      <c r="R33" s="2"/>
      <c r="S33" s="2"/>
      <c r="T33" s="2"/>
    </row>
    <row r="34" spans="1:20" x14ac:dyDescent="0.25">
      <c r="A34" s="2" t="s">
        <v>131</v>
      </c>
      <c r="B34" s="2">
        <f>'NVDA - Cash Flow FY'!B17/'NVDA - Income Statement FY'!B32</f>
        <v>0.85550567599756799</v>
      </c>
      <c r="C34" s="2">
        <f>'NVDA - Cash Flow FY'!C17/'NVDA - Income Statement FY'!C32</f>
        <v>0.87937705817782652</v>
      </c>
      <c r="D34" s="2">
        <f>'NVDA - Cash Flow FY'!D17/'NVDA - Income Statement FY'!D32</f>
        <v>0.9438844086021505</v>
      </c>
      <c r="E34" s="2">
        <f>'NVDA - Cash Flow FY'!E17/'NVDA - Income Statement FY'!E32</f>
        <v>1.291437728937729</v>
      </c>
      <c r="F34" s="2">
        <f>'NVDA - Cash Flow FY'!F17/'NVDA - Income Statement FY'!F32</f>
        <v>0.93396226415094341</v>
      </c>
      <c r="G34" s="2">
        <f>'NVDA - Cash Flow FY'!G17/'NVDA - Income Statement FY'!G32</f>
        <v>1.3439519852262234</v>
      </c>
      <c r="H34" s="2">
        <f>'NVDA - Cash Flow FY'!H17/'NVDA - Income Statement FY'!H32</f>
        <v>1.7027896995708154</v>
      </c>
      <c r="I34" s="2"/>
      <c r="J34" s="2"/>
      <c r="K34" s="2"/>
      <c r="L34" s="2"/>
      <c r="M34" s="2"/>
      <c r="N34" s="2"/>
      <c r="O34" s="2"/>
      <c r="P34" s="2"/>
      <c r="Q34" s="2"/>
      <c r="R34" s="2"/>
      <c r="S34" s="2"/>
      <c r="T34" s="2"/>
    </row>
    <row r="35" spans="1:20" x14ac:dyDescent="0.25">
      <c r="A35" s="14" t="s">
        <v>130</v>
      </c>
      <c r="B35" s="3"/>
      <c r="C35" s="3"/>
      <c r="D35" s="3"/>
      <c r="E35" s="3"/>
      <c r="F35" s="3"/>
      <c r="G35" s="3"/>
      <c r="H35" s="3"/>
      <c r="I35" s="3"/>
      <c r="J35" s="3"/>
      <c r="K35" s="3"/>
      <c r="L35" s="3"/>
      <c r="M35" s="3"/>
      <c r="N35" s="3"/>
      <c r="O35" s="3"/>
      <c r="P35" s="3"/>
      <c r="Q35" s="3"/>
      <c r="R35" s="3"/>
      <c r="S35" s="3"/>
      <c r="T35" s="3"/>
    </row>
    <row r="36" spans="1:20" x14ac:dyDescent="0.25">
      <c r="A36" s="3" t="s">
        <v>129</v>
      </c>
      <c r="B36" s="3">
        <f>-'NVDA - Cash Flow FY'!B29/'NVDA - Income Statement FY'!B32</f>
        <v>8.1121373899572732E-3</v>
      </c>
      <c r="C36" s="3">
        <f>-'NVDA - Cash Flow FY'!C29/'NVDA - Income Statement FY'!C32</f>
        <v>1.1443468715697036E-2</v>
      </c>
      <c r="D36" s="3">
        <f>-'NVDA - Cash Flow FY'!D29/'NVDA - Income Statement FY'!D32</f>
        <v>1.3272849462365592E-2</v>
      </c>
      <c r="E36" s="3">
        <f>-'NVDA - Cash Flow FY'!E29/'NVDA - Income Statement FY'!E32</f>
        <v>9.1117216117216113E-2</v>
      </c>
      <c r="F36" s="3">
        <f>-'NVDA - Cash Flow FY'!F29/'NVDA - Income Statement FY'!F32</f>
        <v>4.0914684167350286E-2</v>
      </c>
      <c r="G36" s="3">
        <f>-'NVDA - Cash Flow FY'!G29/'NVDA - Income Statement FY'!G32</f>
        <v>9.1181902123730382E-2</v>
      </c>
      <c r="H36" s="3">
        <f>-'NVDA - Cash Flow FY'!H29/'NVDA - Income Statement FY'!H32</f>
        <v>0.13948497854077252</v>
      </c>
      <c r="I36" s="3"/>
      <c r="J36" s="3"/>
      <c r="K36" s="3"/>
      <c r="L36" s="3"/>
      <c r="M36" s="3"/>
      <c r="N36" s="3"/>
      <c r="O36" s="3"/>
      <c r="P36" s="3"/>
      <c r="Q36" s="3"/>
      <c r="R36" s="3"/>
      <c r="S36" s="3"/>
      <c r="T36" s="3"/>
    </row>
    <row r="37" spans="1:20" x14ac:dyDescent="0.25">
      <c r="A37" s="3" t="s">
        <v>128</v>
      </c>
      <c r="B37" s="3">
        <f>'NVDA - Income Statement FY'!B14/'NVDA - Income Statement FY'!B7</f>
        <v>2.1205160740582946E-2</v>
      </c>
      <c r="C37" s="3">
        <f>'NVDA - Income Statement FY'!C14/'NVDA - Income Statement FY'!C7</f>
        <v>2.6751572833091947E-2</v>
      </c>
      <c r="D37" s="3">
        <f>'NVDA - Income Statement FY'!D14/'NVDA - Income Statement FY'!D7</f>
        <v>4.3563901382095135E-2</v>
      </c>
      <c r="E37" s="3">
        <f>'NVDA - Income Statement FY'!E14/'NVDA - Income Statement FY'!E7</f>
        <v>9.0457477570994288E-2</v>
      </c>
      <c r="F37" s="3">
        <f>'NVDA - Income Statement FY'!F14/'NVDA - Income Statement FY'!F7</f>
        <v>8.0478561343538674E-2</v>
      </c>
      <c r="G37" s="3">
        <f>'NVDA - Income Statement FY'!G14/'NVDA - Income Statement FY'!G7</f>
        <v>0.11634182908545727</v>
      </c>
      <c r="H37" s="3">
        <f>'NVDA - Income Statement FY'!H14/'NVDA - Income Statement FY'!H7</f>
        <v>0.10010991023997069</v>
      </c>
      <c r="I37" s="3"/>
      <c r="J37" s="3"/>
      <c r="K37" s="3"/>
      <c r="L37" s="3"/>
      <c r="M37" s="3"/>
      <c r="N37" s="3"/>
      <c r="O37" s="3"/>
      <c r="P37" s="3"/>
      <c r="Q37" s="3"/>
      <c r="R37" s="3"/>
      <c r="S37" s="3"/>
      <c r="T37" s="3"/>
    </row>
    <row r="38" spans="1:20" x14ac:dyDescent="0.25">
      <c r="A38" s="3" t="s">
        <v>127</v>
      </c>
      <c r="B38" s="3">
        <f>'NVDA - Income Statement FY'!B13/'NVDA - Income Statement FY'!B7</f>
        <v>8.5658846520760584E-2</v>
      </c>
      <c r="C38" s="3">
        <f>'NVDA - Income Statement FY'!C13/'NVDA - Income Statement FY'!C7</f>
        <v>9.8960129351632606E-2</v>
      </c>
      <c r="D38" s="3">
        <f>'NVDA - Income Statement FY'!D13/'NVDA - Income Statement FY'!D7</f>
        <v>0.14239519385443683</v>
      </c>
      <c r="E38" s="3">
        <f>'NVDA - Income Statement FY'!E13/'NVDA - Income Statement FY'!E7</f>
        <v>0.27207681471046191</v>
      </c>
      <c r="F38" s="3">
        <f>'NVDA - Income Statement FY'!F13/'NVDA - Income Statement FY'!F7</f>
        <v>0.19573456193802483</v>
      </c>
      <c r="G38" s="3">
        <f>'NVDA - Income Statement FY'!G13/'NVDA - Income Statement FY'!G7</f>
        <v>0.2353223388305847</v>
      </c>
      <c r="H38" s="3">
        <f>'NVDA - Income Statement FY'!H13/'NVDA - Income Statement FY'!H7</f>
        <v>0.25911339073090311</v>
      </c>
      <c r="I38" s="3"/>
      <c r="J38" s="3"/>
      <c r="K38" s="3"/>
      <c r="L38" s="3"/>
      <c r="M38" s="3"/>
      <c r="N38" s="3"/>
      <c r="O38" s="3"/>
      <c r="P38" s="3"/>
      <c r="Q38" s="3"/>
      <c r="R38" s="3"/>
      <c r="S38" s="3"/>
      <c r="T38" s="3"/>
    </row>
    <row r="39" spans="1:20" x14ac:dyDescent="0.25">
      <c r="A39" s="3" t="s">
        <v>126</v>
      </c>
      <c r="B39" s="3">
        <f>'NVDA - Balance Sheet FY'!B18/'NVDA - Balance Sheet FY'!B25</f>
        <v>0.1167197767924063</v>
      </c>
      <c r="C39" s="3">
        <f>'NVDA - Balance Sheet FY'!C18/'NVDA - Balance Sheet FY'!C25</f>
        <v>5.3718156647341871E-2</v>
      </c>
      <c r="D39" s="3">
        <f>'NVDA - Balance Sheet FY'!D18/'NVDA - Balance Sheet FY'!D25</f>
        <v>8.4317185978578388E-2</v>
      </c>
      <c r="E39" s="3">
        <f>'NVDA - Balance Sheet FY'!E18/'NVDA - Balance Sheet FY'!E25</f>
        <v>0.14686027876256616</v>
      </c>
      <c r="F39" s="3">
        <f>'NVDA - Balance Sheet FY'!F18/'NVDA - Balance Sheet FY'!F25</f>
        <v>0.15135673388100573</v>
      </c>
      <c r="G39" s="3">
        <f>'NVDA - Balance Sheet FY'!G18/'NVDA - Balance Sheet FY'!G25</f>
        <v>0.24070021881838075</v>
      </c>
      <c r="H39" s="3">
        <f>'NVDA - Balance Sheet FY'!H18/'NVDA - Balance Sheet FY'!H25</f>
        <v>3.8521513138896908E-2</v>
      </c>
      <c r="I39" s="3"/>
      <c r="J39" s="3"/>
      <c r="K39" s="3"/>
      <c r="L39" s="3"/>
      <c r="M39" s="3"/>
      <c r="N39" s="3"/>
      <c r="O39" s="3"/>
      <c r="P39" s="3"/>
      <c r="Q39" s="3"/>
      <c r="R39" s="3"/>
      <c r="S39" s="3"/>
      <c r="T39" s="3"/>
    </row>
    <row r="40" spans="1:20" x14ac:dyDescent="0.25">
      <c r="A40" s="2" t="s">
        <v>125</v>
      </c>
      <c r="B40" s="2">
        <f>'NVDA - Cash Flow FY'!B38/'NVDA - Cash Flow FY'!B17</f>
        <v>-5.8821238731283712E-2</v>
      </c>
      <c r="C40" s="2">
        <f>'NVDA - Cash Flow FY'!C38/'NVDA - Cash Flow FY'!C17</f>
        <v>-5.0492284167329808E-2</v>
      </c>
      <c r="D40" s="2">
        <f>'NVDA - Cash Flow FY'!D38/'NVDA - Cash Flow FY'!D17</f>
        <v>-3.8056247775008899E-2</v>
      </c>
      <c r="E40" s="2">
        <f>'NVDA - Cash Flow FY'!E38/'NVDA - Cash Flow FY'!E17</f>
        <v>-0.32494238610175502</v>
      </c>
      <c r="F40" s="2">
        <f>'NVDA - Cash Flow FY'!F38/'NVDA - Cash Flow FY'!F17</f>
        <v>-0.10715854194115064</v>
      </c>
      <c r="G40" s="2">
        <f>'NVDA - Cash Flow FY'!G38/'NVDA - Cash Flow FY'!G17</f>
        <v>-0.19374785297148747</v>
      </c>
      <c r="H40" s="2">
        <f>'NVDA - Cash Flow FY'!H38/'NVDA - Cash Flow FY'!H17</f>
        <v>-0.10270951480781348</v>
      </c>
      <c r="I40" s="2"/>
      <c r="J40" s="2"/>
      <c r="K40" s="2"/>
      <c r="L40" s="2"/>
      <c r="M40" s="2"/>
      <c r="N40" s="2"/>
      <c r="O40" s="2"/>
      <c r="P40" s="2"/>
      <c r="Q40" s="2"/>
      <c r="R40" s="2"/>
      <c r="S40" s="2"/>
      <c r="T40" s="2"/>
    </row>
    <row r="41" spans="1:20" x14ac:dyDescent="0.25">
      <c r="A41" s="2" t="s">
        <v>124</v>
      </c>
      <c r="B41" s="2">
        <f>'NVDA - Cash Flow FY'!B38/'NVDA - Income Statement FY'!B7</f>
        <v>-2.7980253591308617E-2</v>
      </c>
      <c r="C41" s="2">
        <f>'NVDA - Cash Flow FY'!C38/'NVDA - Income Statement FY'!C7</f>
        <v>-2.4797504923484832E-2</v>
      </c>
      <c r="D41" s="2">
        <f>'NVDA - Cash Flow FY'!D38/'NVDA - Income Statement FY'!D7</f>
        <v>-1.7547027346442992E-2</v>
      </c>
      <c r="E41" s="2">
        <f>'NVDA - Cash Flow FY'!E38/'NVDA - Income Statement FY'!E7</f>
        <v>-6.7954326388373995E-2</v>
      </c>
      <c r="F41" s="2">
        <f>'NVDA - Cash Flow FY'!F38/'NVDA - Income Statement FY'!F7</f>
        <v>-3.6263654603552055E-2</v>
      </c>
      <c r="G41" s="2">
        <f>'NVDA - Cash Flow FY'!G38/'NVDA - Income Statement FY'!G7</f>
        <v>-6.7646176911544231E-2</v>
      </c>
      <c r="H41" s="2">
        <f>'NVDA - Cash Flow FY'!H38/'NVDA - Income Statement FY'!H7</f>
        <v>-4.478842278805642E-2</v>
      </c>
      <c r="I41" s="2"/>
      <c r="J41" s="2"/>
      <c r="K41" s="2"/>
      <c r="L41" s="2"/>
      <c r="M41" s="2"/>
      <c r="N41" s="2"/>
      <c r="O41" s="2"/>
      <c r="P41" s="2"/>
      <c r="Q41" s="2"/>
      <c r="R41" s="2"/>
      <c r="S41" s="2"/>
      <c r="T41" s="2"/>
    </row>
    <row r="42" spans="1:20" x14ac:dyDescent="0.25">
      <c r="A42" s="2" t="s">
        <v>123</v>
      </c>
      <c r="B42" s="2">
        <f>'NVDA - Cash Flow FY'!B38/'NVDA - Cash Flow FY'!B8</f>
        <v>-2.1252198381990857</v>
      </c>
      <c r="C42" s="2">
        <f>'NVDA - Cash Flow FY'!C38/'NVDA - Cash Flow FY'!C8</f>
        <v>-1.7360515021459229</v>
      </c>
      <c r="D42" s="2">
        <f>'NVDA - Cash Flow FY'!D38/'NVDA - Cash Flow FY'!D8</f>
        <v>-0.70888594164456231</v>
      </c>
      <c r="E42" s="2">
        <f>'NVDA - Cash Flow FY'!E38/'NVDA - Cash Flow FY'!E8</f>
        <v>-1.1871761658031088</v>
      </c>
      <c r="F42" s="2">
        <f>'NVDA - Cash Flow FY'!F38/'NVDA - Cash Flow FY'!F8</f>
        <v>-0.83134582623509368</v>
      </c>
      <c r="G42" s="2">
        <f>'NVDA - Cash Flow FY'!G38/'NVDA - Cash Flow FY'!G8</f>
        <v>-1.0273224043715847</v>
      </c>
      <c r="H42" s="2">
        <f>'NVDA - Cash Flow FY'!H38/'NVDA - Cash Flow FY'!H8</f>
        <v>-1.2834645669291338</v>
      </c>
      <c r="I42" s="2"/>
      <c r="J42" s="2"/>
      <c r="K42" s="2"/>
      <c r="L42" s="2"/>
      <c r="M42" s="2"/>
      <c r="N42" s="2"/>
      <c r="O42" s="2"/>
      <c r="P42" s="2"/>
      <c r="Q42" s="2"/>
      <c r="R42" s="2"/>
      <c r="S42" s="2"/>
      <c r="T42" s="2"/>
    </row>
    <row r="43" spans="1:20" x14ac:dyDescent="0.25">
      <c r="A43" s="3" t="s">
        <v>122</v>
      </c>
      <c r="B43" s="3">
        <f>'NVDA - Cash Flow FY'!B10/'NVDA - Income Statement FY'!B7</f>
        <v>2.9573303448211987E-2</v>
      </c>
      <c r="C43" s="3">
        <f>'NVDA - Cash Flow FY'!C10/'NVDA - Income Statement FY'!C7</f>
        <v>3.629968505023104E-2</v>
      </c>
      <c r="D43" s="3">
        <f>'NVDA - Cash Flow FY'!D10/'NVDA - Income Statement FY'!D7</f>
        <v>5.8254817635665278E-2</v>
      </c>
      <c r="E43" s="3">
        <f>'NVDA - Cash Flow FY'!E10/'NVDA - Income Statement FY'!E7</f>
        <v>0.10043004374582931</v>
      </c>
      <c r="F43" s="3">
        <f>'NVDA - Cash Flow FY'!F10/'NVDA - Income Statement FY'!F7</f>
        <v>7.4459389165490081E-2</v>
      </c>
      <c r="G43" s="3">
        <f>'NVDA - Cash Flow FY'!G10/'NVDA - Income Statement FY'!G7</f>
        <v>8.3778110944527737E-2</v>
      </c>
      <c r="H43" s="3">
        <f>'NVDA - Cash Flow FY'!H10/'NVDA - Income Statement FY'!H7</f>
        <v>7.7303535446052396E-2</v>
      </c>
      <c r="I43" s="3"/>
      <c r="J43" s="3"/>
      <c r="K43" s="3"/>
      <c r="L43" s="3"/>
      <c r="M43" s="3"/>
      <c r="N43" s="3"/>
      <c r="O43" s="3"/>
      <c r="P43" s="3"/>
      <c r="Q43" s="3"/>
      <c r="R43" s="3"/>
      <c r="S43" s="3"/>
      <c r="T43" s="3"/>
    </row>
    <row r="44" spans="1:20" x14ac:dyDescent="0.25">
      <c r="A44" s="2" t="s">
        <v>121</v>
      </c>
      <c r="B44" s="2">
        <f>SQRT(22.5*'NVDA - Income Statement FY'!B35*'NVDA - Balance Sheet FY'!B47/'NVDA - Income Statement FY'!B38)</f>
        <v>26.678556389214215</v>
      </c>
      <c r="C44" s="2">
        <f>SQRT(22.5*'NVDA - Income Statement FY'!C35*'NVDA - Balance Sheet FY'!C47/'NVDA - Income Statement FY'!C38)</f>
        <v>14.619049531903757</v>
      </c>
      <c r="D44" s="2">
        <f>SQRT(22.5*'NVDA - Income Statement FY'!D35*'NVDA - Balance Sheet FY'!D47/'NVDA - Income Statement FY'!D38)</f>
        <v>6.849499217817586</v>
      </c>
      <c r="E44" s="2">
        <f>SQRT(22.5*'NVDA - Income Statement FY'!E35*'NVDA - Balance Sheet FY'!E47/'NVDA - Income Statement FY'!E38)</f>
        <v>1.8684280917671163</v>
      </c>
      <c r="F44" s="2">
        <f>SQRT(22.5*'NVDA - Income Statement FY'!F35*'NVDA - Balance Sheet FY'!F47/'NVDA - Income Statement FY'!F38)</f>
        <v>3.0389909957400909</v>
      </c>
      <c r="G44" s="2">
        <f>SQRT(22.5*'NVDA - Income Statement FY'!G35*'NVDA - Balance Sheet FY'!G47/'NVDA - Income Statement FY'!G38)</f>
        <v>1.632541098486348</v>
      </c>
      <c r="H44" s="2">
        <f>SQRT(22.5*'NVDA - Income Statement FY'!H35*'NVDA - Balance Sheet FY'!H47/'NVDA - Income Statement FY'!H38)</f>
        <v>1.1302305590032744</v>
      </c>
      <c r="I44" s="2"/>
      <c r="J44" s="2"/>
      <c r="K44" s="2"/>
      <c r="L44" s="2"/>
      <c r="M44" s="2"/>
      <c r="N44" s="2"/>
      <c r="O44" s="2"/>
      <c r="P44" s="2"/>
      <c r="Q44" s="2"/>
      <c r="R44" s="2"/>
      <c r="S44" s="2"/>
      <c r="T44" s="2"/>
    </row>
    <row r="45" spans="1:20" x14ac:dyDescent="0.25">
      <c r="A45" s="3" t="s">
        <v>120</v>
      </c>
      <c r="B45" s="3">
        <f>'NVDA - Income Statement FY'!B25*(1-'NVDA - Income Statement FY'!B31/'NVDA - Income Statement FY'!B29)/('NVDA - Balance Sheet FY'!B47+'NVDA - Balance Sheet FY'!B51)</f>
        <v>0.66768657273870113</v>
      </c>
      <c r="C45" s="3">
        <f>'NVDA - Income Statement FY'!C25*(1-'NVDA - Income Statement FY'!C31/'NVDA - Income Statement FY'!C29)/('NVDA - Balance Sheet FY'!C47+'NVDA - Balance Sheet FY'!C51)</f>
        <v>0.80474207714557366</v>
      </c>
      <c r="D45" s="3">
        <f>'NVDA - Income Statement FY'!D25*(1-'NVDA - Income Statement FY'!D31/'NVDA - Income Statement FY'!D29)/('NVDA - Balance Sheet FY'!D47+'NVDA - Balance Sheet FY'!D51)</f>
        <v>0.55071490115963784</v>
      </c>
      <c r="E45" s="3">
        <f>'NVDA - Income Statement FY'!E25*(1-'NVDA - Income Statement FY'!E31/'NVDA - Income Statement FY'!E29)/('NVDA - Balance Sheet FY'!E47+'NVDA - Balance Sheet FY'!E51)</f>
        <v>0.13350648103433971</v>
      </c>
      <c r="F45" s="3">
        <f>'NVDA - Income Statement FY'!F25*(1-'NVDA - Income Statement FY'!F31/'NVDA - Income Statement FY'!F29)/('NVDA - Balance Sheet FY'!F47+'NVDA - Balance Sheet FY'!F51)</f>
        <v>0.26226366640445792</v>
      </c>
      <c r="G45" s="3">
        <f>'NVDA - Income Statement FY'!G25*(1-'NVDA - Income Statement FY'!G31/'NVDA - Income Statement FY'!G29)/('NVDA - Balance Sheet FY'!G47+'NVDA - Balance Sheet FY'!G51)</f>
        <v>0.19481348794038944</v>
      </c>
      <c r="H45" s="3">
        <f>'NVDA - Income Statement FY'!H25*(1-'NVDA - Income Statement FY'!H31/'NVDA - Income Statement FY'!H29)/('NVDA - Balance Sheet FY'!H47+'NVDA - Balance Sheet FY'!H51)</f>
        <v>0.18874706914157424</v>
      </c>
      <c r="I45" s="3"/>
      <c r="J45" s="3"/>
      <c r="K45" s="3"/>
      <c r="L45" s="3"/>
      <c r="M45" s="3"/>
      <c r="N45" s="3"/>
      <c r="O45" s="3"/>
      <c r="P45" s="3"/>
      <c r="Q45" s="3"/>
      <c r="R45" s="3"/>
      <c r="S45" s="3"/>
      <c r="T45" s="3"/>
    </row>
    <row r="46" spans="1:20" x14ac:dyDescent="0.25">
      <c r="A46" s="3" t="s">
        <v>119</v>
      </c>
      <c r="B46" s="3">
        <f>'NVDA - Income Statement FY'!B32/('NVDA - Balance Sheet FY'!B25-'NVDA - Balance Sheet FY'!B18)</f>
        <v>0.65730709221799466</v>
      </c>
      <c r="C46" s="3">
        <f>'NVDA - Income Statement FY'!C32/('NVDA - Balance Sheet FY'!C25-'NVDA - Balance Sheet FY'!C18)</f>
        <v>0.6901123042251387</v>
      </c>
      <c r="D46" s="3">
        <f>'NVDA - Income Statement FY'!D32/('NVDA - Balance Sheet FY'!D25-'NVDA - Balance Sheet FY'!D18)</f>
        <v>0.4944671518293291</v>
      </c>
      <c r="E46" s="3">
        <f>'NVDA - Income Statement FY'!E32/('NVDA - Balance Sheet FY'!E25-'NVDA - Balance Sheet FY'!E18)</f>
        <v>0.12432401662207548</v>
      </c>
      <c r="F46" s="3">
        <f>'NVDA - Income Statement FY'!F32/('NVDA - Balance Sheet FY'!F25-'NVDA - Balance Sheet FY'!F18)</f>
        <v>0.26006026827382062</v>
      </c>
      <c r="G46" s="3">
        <f>'NVDA - Income Statement FY'!G32/('NVDA - Balance Sheet FY'!G25-'NVDA - Balance Sheet FY'!G18)</f>
        <v>0.19816110882393304</v>
      </c>
      <c r="H46" s="3">
        <f>'NVDA - Income Statement FY'!H32/('NVDA - Balance Sheet FY'!H25-'NVDA - Balance Sheet FY'!H18)</f>
        <v>0.167948101874099</v>
      </c>
      <c r="I46" s="3"/>
      <c r="J46" s="3"/>
      <c r="K46" s="3"/>
      <c r="L46" s="3"/>
      <c r="M46" s="3"/>
      <c r="N46" s="3"/>
      <c r="O46" s="3"/>
      <c r="P46" s="3"/>
      <c r="Q46" s="3"/>
      <c r="R46" s="3"/>
      <c r="S46" s="3"/>
      <c r="T46" s="3"/>
    </row>
    <row r="47" spans="1:20" x14ac:dyDescent="0.25">
      <c r="A47" s="2" t="s">
        <v>118</v>
      </c>
      <c r="B47" s="2">
        <f>('NVDA - Balance Sheet FY'!B13-'NVDA - Balance Sheet FY'!B41)/'NVDA - Income Statement FY'!B38</f>
        <v>3.104144570449539</v>
      </c>
      <c r="C47" s="2">
        <f>('NVDA - Balance Sheet FY'!C13-'NVDA - Balance Sheet FY'!C41)/'NVDA - Income Statement FY'!C38</f>
        <v>1.929204966940816</v>
      </c>
      <c r="D47" s="2">
        <f>('NVDA - Balance Sheet FY'!D13-'NVDA - Balance Sheet FY'!D41)/'NVDA - Income Statement FY'!D38</f>
        <v>0.86587810745789895</v>
      </c>
      <c r="E47" s="2">
        <f>('NVDA - Balance Sheet FY'!E13-'NVDA - Balance Sheet FY'!E41)/'NVDA - Income Statement FY'!E38</f>
        <v>0.15923414439569206</v>
      </c>
      <c r="F47" s="2">
        <f>('NVDA - Balance Sheet FY'!F13-'NVDA - Balance Sheet FY'!F41)/'NVDA - Income Statement FY'!F38</f>
        <v>0.44394477317554243</v>
      </c>
      <c r="G47" s="2">
        <f>('NVDA - Balance Sheet FY'!G13-'NVDA - Balance Sheet FY'!G41)/'NVDA - Income Statement FY'!G38</f>
        <v>0.16561752988047809</v>
      </c>
      <c r="H47" s="2">
        <f>('NVDA - Balance Sheet FY'!H13-'NVDA - Balance Sheet FY'!H41)/'NVDA - Income Statement FY'!H38</f>
        <v>0.34704692556634303</v>
      </c>
      <c r="I47" s="2"/>
      <c r="J47" s="2"/>
      <c r="K47" s="2"/>
      <c r="L47" s="2"/>
      <c r="M47" s="2"/>
      <c r="N47" s="2"/>
      <c r="O47" s="2"/>
      <c r="P47" s="2"/>
      <c r="Q47" s="2"/>
      <c r="R47" s="2"/>
      <c r="S47" s="2"/>
      <c r="T47" s="2"/>
    </row>
    <row r="48" spans="1:20" x14ac:dyDescent="0.25">
      <c r="A48" s="1" t="s">
        <v>117</v>
      </c>
      <c r="B48" s="1">
        <f>'NVDA - Balance Sheet FY'!B13-'NVDA - Balance Sheet FY'!B32</f>
        <v>93442</v>
      </c>
      <c r="C48" s="1">
        <f>'NVDA - Balance Sheet FY'!C13-'NVDA - Balance Sheet FY'!C32</f>
        <v>62079</v>
      </c>
      <c r="D48" s="1">
        <f>'NVDA - Balance Sheet FY'!D13-'NVDA - Balance Sheet FY'!D32</f>
        <v>33714</v>
      </c>
      <c r="E48" s="1">
        <f>'NVDA - Balance Sheet FY'!E13-'NVDA - Balance Sheet FY'!E32</f>
        <v>16510</v>
      </c>
      <c r="F48" s="1">
        <f>'NVDA - Balance Sheet FY'!F13-'NVDA - Balance Sheet FY'!F32</f>
        <v>24494</v>
      </c>
      <c r="G48" s="1">
        <f>'NVDA - Balance Sheet FY'!G13-'NVDA - Balance Sheet FY'!G32</f>
        <v>12130</v>
      </c>
      <c r="H48" s="1">
        <f>'NVDA - Balance Sheet FY'!H13-'NVDA - Balance Sheet FY'!H32</f>
        <v>11906</v>
      </c>
      <c r="I48" s="1"/>
      <c r="J48" s="1"/>
      <c r="K48" s="1"/>
      <c r="L48" s="1"/>
      <c r="M48" s="1"/>
      <c r="N48" s="1"/>
      <c r="O48" s="1"/>
      <c r="P48" s="1"/>
      <c r="Q48" s="1"/>
      <c r="R48" s="1"/>
      <c r="S48" s="1"/>
      <c r="T48" s="1"/>
    </row>
    <row r="49" spans="1:20" x14ac:dyDescent="0.25">
      <c r="A49" s="1" t="s">
        <v>116</v>
      </c>
      <c r="B49" s="1">
        <f>'NVDA - Balance Sheet FY'!B25-'NVDA - Balance Sheet FY'!B18-'NVDA - Balance Sheet FY'!B41</f>
        <v>133155</v>
      </c>
      <c r="C49" s="1">
        <f>'NVDA - Balance Sheet FY'!C25-'NVDA - Balance Sheet FY'!C18-'NVDA - Balance Sheet FY'!C41</f>
        <v>73332</v>
      </c>
      <c r="D49" s="1">
        <f>'NVDA - Balance Sheet FY'!D25-'NVDA - Balance Sheet FY'!D18-'NVDA - Balance Sheet FY'!D41</f>
        <v>37436</v>
      </c>
      <c r="E49" s="1">
        <f>'NVDA - Balance Sheet FY'!E25-'NVDA - Balance Sheet FY'!E18-'NVDA - Balance Sheet FY'!E41</f>
        <v>16053</v>
      </c>
      <c r="F49" s="1">
        <f>'NVDA - Balance Sheet FY'!F25-'NVDA - Balance Sheet FY'!F18-'NVDA - Balance Sheet FY'!F41</f>
        <v>19924</v>
      </c>
      <c r="G49" s="1">
        <f>'NVDA - Balance Sheet FY'!G25-'NVDA - Balance Sheet FY'!G18-'NVDA - Balance Sheet FY'!G41</f>
        <v>9963</v>
      </c>
      <c r="H49" s="1">
        <f>'NVDA - Balance Sheet FY'!H25-'NVDA - Balance Sheet FY'!H18-'NVDA - Balance Sheet FY'!H41</f>
        <v>11537</v>
      </c>
      <c r="I49" s="1"/>
      <c r="J49" s="1"/>
      <c r="K49" s="1"/>
      <c r="L49" s="1"/>
      <c r="M49" s="1"/>
      <c r="N49" s="1"/>
      <c r="O49" s="1"/>
      <c r="P49" s="1"/>
      <c r="Q49" s="1"/>
      <c r="R49" s="1"/>
      <c r="S49" s="1"/>
      <c r="T49" s="1"/>
    </row>
    <row r="50" spans="1:20" x14ac:dyDescent="0.25">
      <c r="A50" s="1" t="s">
        <v>115</v>
      </c>
      <c r="B50" s="1">
        <f>'NVDA - Balance Sheet FY'!B13-'NVDA - Balance Sheet FY'!B41</f>
        <v>76095</v>
      </c>
      <c r="C50" s="1">
        <f>'NVDA - Balance Sheet FY'!C13-'NVDA - Balance Sheet FY'!C41</f>
        <v>47852</v>
      </c>
      <c r="D50" s="1">
        <f>'NVDA - Balance Sheet FY'!D13-'NVDA - Balance Sheet FY'!D41</f>
        <v>21595</v>
      </c>
      <c r="E50" s="1">
        <f>'NVDA - Balance Sheet FY'!E13-'NVDA - Balance Sheet FY'!E41</f>
        <v>3992</v>
      </c>
      <c r="F50" s="1">
        <f>'NVDA - Balance Sheet FY'!F13-'NVDA - Balance Sheet FY'!F41</f>
        <v>11254</v>
      </c>
      <c r="G50" s="1">
        <f>'NVDA - Balance Sheet FY'!G13-'NVDA - Balance Sheet FY'!G41</f>
        <v>4157</v>
      </c>
      <c r="H50" s="1">
        <f>'NVDA - Balance Sheet FY'!H13-'NVDA - Balance Sheet FY'!H41</f>
        <v>8579</v>
      </c>
      <c r="I50" s="1"/>
      <c r="J50" s="1"/>
      <c r="K50" s="1"/>
      <c r="L50" s="1"/>
      <c r="M50" s="1"/>
      <c r="N50" s="1"/>
      <c r="O50" s="1"/>
      <c r="P50" s="1"/>
      <c r="Q50" s="1"/>
      <c r="R50" s="1"/>
      <c r="S50" s="1"/>
      <c r="T50" s="1"/>
    </row>
    <row r="51" spans="1:20" x14ac:dyDescent="0.25">
      <c r="A51" s="1" t="s">
        <v>114</v>
      </c>
      <c r="B51" s="1">
        <f>AVERAGE('NVDA - Balance Sheet FY'!B10,'NVDA - Balance Sheet FY'!C10)</f>
        <v>30765.5</v>
      </c>
      <c r="C51" s="1">
        <f>AVERAGE('NVDA - Balance Sheet FY'!C10,'NVDA - Balance Sheet FY'!D10)</f>
        <v>16532</v>
      </c>
      <c r="D51" s="1">
        <f>AVERAGE('NVDA - Balance Sheet FY'!D10,'NVDA - Balance Sheet FY'!E10)</f>
        <v>6913</v>
      </c>
      <c r="E51" s="1">
        <f>AVERAGE('NVDA - Balance Sheet FY'!E10,'NVDA - Balance Sheet FY'!F10)</f>
        <v>4238.5</v>
      </c>
      <c r="F51" s="1">
        <f>AVERAGE('NVDA - Balance Sheet FY'!F10,'NVDA - Balance Sheet FY'!G10)</f>
        <v>3539.5</v>
      </c>
      <c r="G51" s="1">
        <f>AVERAGE('NVDA - Balance Sheet FY'!G10,'NVDA - Balance Sheet FY'!H10)</f>
        <v>2043</v>
      </c>
      <c r="H51" s="1">
        <f>'NVDA - Balance Sheet FY'!H10</f>
        <v>1657</v>
      </c>
      <c r="I51" s="1"/>
      <c r="J51" s="1"/>
      <c r="K51" s="1"/>
      <c r="L51" s="1"/>
      <c r="M51" s="1"/>
      <c r="N51" s="1"/>
      <c r="O51" s="1"/>
      <c r="P51" s="1"/>
      <c r="Q51" s="1"/>
      <c r="R51" s="1"/>
      <c r="S51" s="1"/>
      <c r="T51" s="1"/>
    </row>
    <row r="52" spans="1:20" x14ac:dyDescent="0.25">
      <c r="A52" s="1" t="s">
        <v>113</v>
      </c>
      <c r="B52" s="1">
        <f>AVERAGE('NVDA - Balance Sheet FY'!B27,'NVDA - Balance Sheet FY'!C27)</f>
        <v>8061</v>
      </c>
      <c r="C52" s="1">
        <f>AVERAGE('NVDA - Balance Sheet FY'!C27,'NVDA - Balance Sheet FY'!D27)</f>
        <v>4504.5</v>
      </c>
      <c r="D52" s="1">
        <f>AVERAGE('NVDA - Balance Sheet FY'!D27,'NVDA - Balance Sheet FY'!E27)</f>
        <v>1946</v>
      </c>
      <c r="E52" s="1">
        <f>AVERAGE('NVDA - Balance Sheet FY'!E27,'NVDA - Balance Sheet FY'!F27)</f>
        <v>1488</v>
      </c>
      <c r="F52" s="1">
        <f>AVERAGE('NVDA - Balance Sheet FY'!F27,'NVDA - Balance Sheet FY'!G27)</f>
        <v>1466</v>
      </c>
      <c r="G52" s="1">
        <f>AVERAGE('NVDA - Balance Sheet FY'!G27,'NVDA - Balance Sheet FY'!H27)</f>
        <v>918</v>
      </c>
      <c r="H52" s="1">
        <f>'NVDA - Balance Sheet FY'!H27</f>
        <v>687</v>
      </c>
      <c r="I52" s="1"/>
      <c r="J52" s="1"/>
      <c r="K52" s="1"/>
      <c r="L52" s="1"/>
      <c r="M52" s="1"/>
      <c r="N52" s="1"/>
      <c r="O52" s="1"/>
      <c r="P52" s="1"/>
      <c r="Q52" s="1"/>
      <c r="R52" s="1"/>
      <c r="S52" s="1"/>
      <c r="T52" s="1"/>
    </row>
    <row r="53" spans="1:20" x14ac:dyDescent="0.25">
      <c r="A53" s="1" t="s">
        <v>112</v>
      </c>
      <c r="B53" s="1">
        <f>AVERAGE('NVDA - Balance Sheet FY'!B11,'NVDA - Balance Sheet FY'!C11)</f>
        <v>15741.5</v>
      </c>
      <c r="C53" s="1">
        <f>AVERAGE('NVDA - Balance Sheet FY'!C11,'NVDA - Balance Sheet FY'!D11)</f>
        <v>7681</v>
      </c>
      <c r="D53" s="1">
        <f>AVERAGE('NVDA - Balance Sheet FY'!D11,'NVDA - Balance Sheet FY'!E11)</f>
        <v>5220.5</v>
      </c>
      <c r="E53" s="1">
        <f>AVERAGE('NVDA - Balance Sheet FY'!E11,'NVDA - Balance Sheet FY'!F11)</f>
        <v>3882</v>
      </c>
      <c r="F53" s="1">
        <f>AVERAGE('NVDA - Balance Sheet FY'!F11,'NVDA - Balance Sheet FY'!G11)</f>
        <v>2215.5</v>
      </c>
      <c r="G53" s="1">
        <f>AVERAGE('NVDA - Balance Sheet FY'!G11,'NVDA - Balance Sheet FY'!H11)</f>
        <v>1402.5</v>
      </c>
      <c r="H53" s="1">
        <f>'NVDA - Balance Sheet FY'!H11</f>
        <v>979</v>
      </c>
      <c r="I53" s="1"/>
      <c r="J53" s="1"/>
      <c r="K53" s="1"/>
      <c r="L53" s="1"/>
      <c r="M53" s="1"/>
      <c r="N53" s="1"/>
      <c r="O53" s="1"/>
      <c r="P53" s="1"/>
      <c r="Q53" s="1"/>
      <c r="R53" s="1"/>
      <c r="S53" s="1"/>
      <c r="T53" s="1"/>
    </row>
    <row r="54" spans="1:20" x14ac:dyDescent="0.25">
      <c r="A54" s="2" t="s">
        <v>111</v>
      </c>
      <c r="B54" s="2">
        <f>B51/'NVDA - Income Statement FY'!B7*365</f>
        <v>52.002924450536725</v>
      </c>
      <c r="C54" s="2">
        <f>C51/'NVDA - Income Statement FY'!C7*365</f>
        <v>46.239990191345399</v>
      </c>
      <c r="D54" s="2">
        <f>D51/'NVDA - Income Statement FY'!D7*365</f>
        <v>41.4176323823906</v>
      </c>
      <c r="E54" s="2">
        <f>E51/'NVDA - Income Statement FY'!E7*365</f>
        <v>57.353470008156009</v>
      </c>
      <c r="F54" s="2">
        <f>F51/'NVDA - Income Statement FY'!F7*365</f>
        <v>48.001690569963586</v>
      </c>
      <c r="G54" s="2">
        <f>G51/'NVDA - Income Statement FY'!G7*365</f>
        <v>44.719340329835077</v>
      </c>
      <c r="H54" s="2">
        <f>H51/'NVDA - Income Statement FY'!H7*365</f>
        <v>55.395218904561268</v>
      </c>
      <c r="I54" s="2"/>
      <c r="J54" s="2"/>
      <c r="K54" s="2"/>
      <c r="L54" s="2"/>
      <c r="M54" s="2"/>
      <c r="N54" s="2"/>
      <c r="O54" s="2"/>
      <c r="P54" s="2"/>
      <c r="Q54" s="2"/>
      <c r="R54" s="2"/>
      <c r="S54" s="2"/>
      <c r="T54" s="2"/>
    </row>
    <row r="55" spans="1:20" x14ac:dyDescent="0.25">
      <c r="A55" s="2" t="s">
        <v>110</v>
      </c>
      <c r="B55" s="2">
        <f>B52/'NVDA - Income Statement FY'!B9*365</f>
        <v>47.095078031212481</v>
      </c>
      <c r="C55" s="2">
        <f>C52/'NVDA - Income Statement FY'!C9*365</f>
        <v>50.373556175127916</v>
      </c>
      <c r="D55" s="2">
        <f>D52/'NVDA - Income Statement FY'!D9*365</f>
        <v>42.734492509475963</v>
      </c>
      <c r="E55" s="2">
        <f>E52/'NVDA - Income Statement FY'!E9*365</f>
        <v>46.748149423308654</v>
      </c>
      <c r="F55" s="2">
        <f>F52/'NVDA - Income Statement FY'!F9*365</f>
        <v>56.689267930924885</v>
      </c>
      <c r="G55" s="2">
        <f>G52/'NVDA - Income Statement FY'!G9*365</f>
        <v>53.36359292881032</v>
      </c>
      <c r="H55" s="2">
        <f>H52/'NVDA - Income Statement FY'!H9*365</f>
        <v>60.422891566265058</v>
      </c>
      <c r="I55" s="2"/>
      <c r="J55" s="2"/>
      <c r="K55" s="2"/>
      <c r="L55" s="2"/>
      <c r="M55" s="2"/>
      <c r="N55" s="2"/>
      <c r="O55" s="2"/>
      <c r="P55" s="2"/>
      <c r="Q55" s="2"/>
      <c r="R55" s="2"/>
      <c r="S55" s="2"/>
      <c r="T55" s="2"/>
    </row>
    <row r="56" spans="1:20" x14ac:dyDescent="0.25">
      <c r="A56" s="2" t="s">
        <v>109</v>
      </c>
      <c r="B56" s="2">
        <f>IFERROR(B53/'NVDA - Income Statement FY'!B9*365,"")</f>
        <v>91.96714685874349</v>
      </c>
      <c r="C56" s="2">
        <f>IFERROR(C53/'NVDA - Income Statement FY'!C9*365,"")</f>
        <v>85.896167161984124</v>
      </c>
      <c r="D56" s="2">
        <f>IFERROR(D53/'NVDA - Income Statement FY'!D9*365,"")</f>
        <v>114.64307201732748</v>
      </c>
      <c r="E56" s="2">
        <f>IFERROR(E53/'NVDA - Income Statement FY'!E9*365,"")</f>
        <v>121.95988982613187</v>
      </c>
      <c r="F56" s="2">
        <f>IFERROR(F53/'NVDA - Income Statement FY'!F9*365,"")</f>
        <v>85.671946180739482</v>
      </c>
      <c r="G56" s="2">
        <f>IFERROR(G53/'NVDA - Income Statement FY'!G9*365,"")</f>
        <v>81.527711419015773</v>
      </c>
      <c r="H56" s="2">
        <f>IFERROR(H53/'NVDA - Income Statement FY'!H9*365,"")</f>
        <v>86.104819277108433</v>
      </c>
      <c r="I56" s="2"/>
      <c r="J56" s="2"/>
      <c r="K56" s="2"/>
      <c r="L56" s="2"/>
      <c r="M56" s="2"/>
      <c r="N56" s="2"/>
      <c r="O56" s="2"/>
      <c r="P56" s="2"/>
      <c r="Q56" s="2"/>
      <c r="R56" s="2"/>
      <c r="S56" s="2"/>
      <c r="T56" s="2"/>
    </row>
    <row r="57" spans="1:20" x14ac:dyDescent="0.25">
      <c r="A57" s="2" t="s">
        <v>108</v>
      </c>
      <c r="B57" s="2">
        <f>'NVDA - Income Statement FY'!B7/B51</f>
        <v>7.0188360338691069</v>
      </c>
      <c r="C57" s="2">
        <f>'NVDA - Income Statement FY'!C7/C51</f>
        <v>7.8936002903459954</v>
      </c>
      <c r="D57" s="2">
        <f>'NVDA - Income Statement FY'!D7/D51</f>
        <v>8.8126717778099231</v>
      </c>
      <c r="E57" s="2">
        <f>'NVDA - Income Statement FY'!E7/E51</f>
        <v>6.3640438834493338</v>
      </c>
      <c r="F57" s="2">
        <f>'NVDA - Income Statement FY'!F7/F51</f>
        <v>7.6038988557705887</v>
      </c>
      <c r="G57" s="2">
        <f>'NVDA - Income Statement FY'!G7/G51</f>
        <v>8.1620166421928531</v>
      </c>
      <c r="H57" s="2">
        <f>'NVDA - Income Statement FY'!H7/H51</f>
        <v>6.5890162945081476</v>
      </c>
      <c r="I57" s="2"/>
      <c r="J57" s="2"/>
      <c r="K57" s="2"/>
      <c r="L57" s="2"/>
      <c r="M57" s="2"/>
      <c r="N57" s="2"/>
      <c r="O57" s="2"/>
      <c r="P57" s="2"/>
      <c r="Q57" s="2"/>
      <c r="R57" s="2"/>
      <c r="S57" s="2"/>
      <c r="T57" s="2"/>
    </row>
    <row r="58" spans="1:20" x14ac:dyDescent="0.25">
      <c r="A58" s="2" t="s">
        <v>107</v>
      </c>
      <c r="B58" s="2">
        <f>'NVDA - Income Statement FY'!B9/B52</f>
        <v>7.7502791216970603</v>
      </c>
      <c r="C58" s="2">
        <f>'NVDA - Income Statement FY'!C9/C52</f>
        <v>7.2458652458652457</v>
      </c>
      <c r="D58" s="2">
        <f>'NVDA - Income Statement FY'!D9/D52</f>
        <v>8.5411099691675236</v>
      </c>
      <c r="E58" s="2">
        <f>'NVDA - Income Statement FY'!E9/E52</f>
        <v>7.807795698924731</v>
      </c>
      <c r="F58" s="2">
        <f>'NVDA - Income Statement FY'!F9/F52</f>
        <v>6.4386084583901777</v>
      </c>
      <c r="G58" s="2">
        <f>'NVDA - Income Statement FY'!G9/G52</f>
        <v>6.8398692810457513</v>
      </c>
      <c r="H58" s="2">
        <f>'NVDA - Income Statement FY'!H9/H52</f>
        <v>6.0407569141193598</v>
      </c>
      <c r="I58" s="2"/>
      <c r="J58" s="2"/>
      <c r="K58" s="2"/>
      <c r="L58" s="2"/>
      <c r="M58" s="2"/>
      <c r="N58" s="2"/>
      <c r="O58" s="2"/>
      <c r="P58" s="2"/>
      <c r="Q58" s="2"/>
      <c r="R58" s="2"/>
      <c r="S58" s="2"/>
      <c r="T58" s="2"/>
    </row>
    <row r="59" spans="1:20" x14ac:dyDescent="0.25">
      <c r="A59" s="2" t="s">
        <v>106</v>
      </c>
      <c r="B59" s="2">
        <f>IFERROR('NVDA - Income Statement FY'!B9/B53,"")</f>
        <v>3.9688085633516499</v>
      </c>
      <c r="C59" s="2">
        <f>IFERROR('NVDA - Income Statement FY'!C9/C53,"")</f>
        <v>4.2493164952480145</v>
      </c>
      <c r="D59" s="2">
        <f>IFERROR('NVDA - Income Statement FY'!D9/D53,"")</f>
        <v>3.1837946556843213</v>
      </c>
      <c r="E59" s="2">
        <f>IFERROR('NVDA - Income Statement FY'!E9/E53,"")</f>
        <v>2.9927872230808861</v>
      </c>
      <c r="F59" s="2">
        <f>IFERROR('NVDA - Income Statement FY'!F9/F53,"")</f>
        <v>4.260437824418867</v>
      </c>
      <c r="G59" s="2">
        <f>IFERROR('NVDA - Income Statement FY'!G9/G53,"")</f>
        <v>4.4770053475935825</v>
      </c>
      <c r="H59" s="2">
        <f>IFERROR('NVDA - Income Statement FY'!H9/H53,"")</f>
        <v>4.2390194075587333</v>
      </c>
      <c r="I59" s="2"/>
      <c r="J59" s="2"/>
      <c r="K59" s="2"/>
      <c r="L59" s="2"/>
      <c r="M59" s="2"/>
      <c r="N59" s="2"/>
      <c r="O59" s="2"/>
      <c r="P59" s="2"/>
      <c r="Q59" s="2"/>
      <c r="R59" s="2"/>
      <c r="S59" s="2"/>
      <c r="T59" s="2"/>
    </row>
    <row r="60" spans="1:20" x14ac:dyDescent="0.25">
      <c r="A60" s="3" t="s">
        <v>105</v>
      </c>
      <c r="B60" s="3">
        <f>'NVDA - Income Statement FY'!B32/'NVDA - Balance Sheet FY'!B47</f>
        <v>0.76333339690895341</v>
      </c>
      <c r="C60" s="3">
        <f>'NVDA - Income Statement FY'!C32/'NVDA - Balance Sheet FY'!C47</f>
        <v>0.9187288060811577</v>
      </c>
      <c r="D60" s="3">
        <f>'NVDA - Income Statement FY'!D32/'NVDA - Balance Sheet FY'!D47</f>
        <v>0.69244729861789756</v>
      </c>
      <c r="E60" s="3">
        <f>'NVDA - Income Statement FY'!E32/'NVDA - Balance Sheet FY'!E47</f>
        <v>0.19763811592235644</v>
      </c>
      <c r="F60" s="3">
        <f>'NVDA - Income Statement FY'!F32/'NVDA - Balance Sheet FY'!F47</f>
        <v>0.36645122501127309</v>
      </c>
      <c r="G60" s="3">
        <f>'NVDA - Income Statement FY'!G32/'NVDA - Balance Sheet FY'!G47</f>
        <v>0.25643757769490322</v>
      </c>
      <c r="H60" s="3">
        <f>'NVDA - Income Statement FY'!H32/'NVDA - Balance Sheet FY'!H47</f>
        <v>0.22910521140609635</v>
      </c>
      <c r="I60" s="3"/>
      <c r="J60" s="3"/>
      <c r="K60" s="3"/>
      <c r="L60" s="3"/>
      <c r="M60" s="3"/>
      <c r="N60" s="3"/>
      <c r="O60" s="3"/>
      <c r="P60" s="3"/>
      <c r="Q60" s="3"/>
      <c r="R60" s="3"/>
      <c r="S60" s="3"/>
      <c r="T60" s="3"/>
    </row>
    <row r="61" spans="1:20" x14ac:dyDescent="0.25">
      <c r="A61" s="2" t="s">
        <v>104</v>
      </c>
      <c r="B61" s="2">
        <f>'NVDA - Cash Flow FY'!B38/'NVDA - Income Statement FY'!B38</f>
        <v>-0.24647140409561882</v>
      </c>
      <c r="C61" s="2">
        <f>'NVDA - Cash Flow FY'!C38/'NVDA - Income Statement FY'!C38</f>
        <v>-0.13046282857603611</v>
      </c>
      <c r="D61" s="2">
        <f>'NVDA - Cash Flow FY'!D38/'NVDA - Income Statement FY'!D38</f>
        <v>-4.286287089013633E-2</v>
      </c>
      <c r="E61" s="2">
        <f>'NVDA - Cash Flow FY'!E38/'NVDA - Income Statement FY'!E38</f>
        <v>-7.3115277223773437E-2</v>
      </c>
      <c r="F61" s="2">
        <f>'NVDA - Cash Flow FY'!F38/'NVDA - Income Statement FY'!F38</f>
        <v>-3.8500986193293889E-2</v>
      </c>
      <c r="G61" s="2">
        <f>'NVDA - Cash Flow FY'!G38/'NVDA - Income Statement FY'!G38</f>
        <v>-4.4940239043824701E-2</v>
      </c>
      <c r="H61" s="2">
        <f>'NVDA - Cash Flow FY'!H38/'NVDA - Income Statement FY'!H38</f>
        <v>-1.9781553398058253E-2</v>
      </c>
      <c r="I61" s="2"/>
      <c r="J61" s="2"/>
      <c r="K61" s="2"/>
      <c r="L61" s="2"/>
      <c r="M61" s="2"/>
      <c r="N61" s="2"/>
      <c r="O61" s="2"/>
      <c r="P61" s="2"/>
      <c r="Q61" s="2"/>
      <c r="R61" s="2"/>
      <c r="S61" s="2"/>
      <c r="T61" s="2"/>
    </row>
  </sheetData>
  <mergeCells count="1">
    <mergeCell ref="B4:T4"/>
  </mergeCells>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FC65B8-7400-4063-BFB7-82463C1E0615}">
  <sheetPr>
    <tabColor rgb="FFC6E0B4"/>
  </sheetPr>
  <dimension ref="A1:T40"/>
  <sheetViews>
    <sheetView workbookViewId="0"/>
  </sheetViews>
  <sheetFormatPr defaultRowHeight="15" x14ac:dyDescent="0.25"/>
  <cols>
    <col min="1" max="1" width="41.140625" bestFit="1" customWidth="1"/>
    <col min="2" max="2" width="15.5703125" bestFit="1" customWidth="1"/>
    <col min="3" max="19" width="10.42578125" bestFit="1" customWidth="1"/>
    <col min="20" max="20" width="11.140625" bestFit="1" customWidth="1"/>
  </cols>
  <sheetData>
    <row r="1" spans="1:20" x14ac:dyDescent="0.25">
      <c r="A1" s="10" t="s">
        <v>214</v>
      </c>
      <c r="B1" s="10"/>
      <c r="C1" s="10"/>
      <c r="D1" s="10"/>
      <c r="E1" s="10"/>
      <c r="F1" s="10"/>
      <c r="G1" s="10"/>
      <c r="H1" s="10"/>
      <c r="I1" s="10"/>
      <c r="J1" s="10"/>
      <c r="K1" s="10"/>
      <c r="L1" s="10"/>
      <c r="M1" s="10"/>
      <c r="N1" s="10"/>
      <c r="O1" s="10"/>
      <c r="P1" s="10"/>
      <c r="Q1" s="10"/>
      <c r="R1" s="10"/>
      <c r="S1" s="10"/>
      <c r="T1" s="10"/>
    </row>
    <row r="2" spans="1:20" x14ac:dyDescent="0.25">
      <c r="A2" t="s">
        <v>1</v>
      </c>
      <c r="B2" t="s">
        <v>210</v>
      </c>
    </row>
    <row r="3" spans="1:20" x14ac:dyDescent="0.25">
      <c r="A3" t="s">
        <v>3</v>
      </c>
      <c r="B3" t="str">
        <f>'NVDA - Income Statement FY'!B3</f>
        <v>USD</v>
      </c>
    </row>
    <row r="4" spans="1:20" x14ac:dyDescent="0.25">
      <c r="A4" t="s">
        <v>32</v>
      </c>
      <c r="B4" s="236" t="s">
        <v>33</v>
      </c>
      <c r="C4" s="236"/>
      <c r="D4" s="236"/>
      <c r="E4" s="236"/>
      <c r="F4" s="236"/>
      <c r="G4" s="236"/>
      <c r="H4" s="236"/>
      <c r="I4" s="236"/>
      <c r="J4" s="236"/>
      <c r="K4" s="236"/>
      <c r="L4" s="236"/>
      <c r="M4" s="236"/>
      <c r="N4" s="236"/>
      <c r="O4" s="236"/>
      <c r="P4" s="236"/>
      <c r="Q4" s="236"/>
      <c r="R4" s="236"/>
      <c r="S4" s="236"/>
      <c r="T4" s="236"/>
    </row>
    <row r="5" spans="1:20" x14ac:dyDescent="0.25">
      <c r="A5" t="s">
        <v>34</v>
      </c>
      <c r="B5" s="8">
        <v>46047</v>
      </c>
      <c r="C5" s="8">
        <v>45683</v>
      </c>
      <c r="D5" s="8">
        <v>45319</v>
      </c>
      <c r="E5" s="8">
        <v>44955</v>
      </c>
      <c r="F5" s="8">
        <v>44591</v>
      </c>
      <c r="G5" s="8">
        <v>44227</v>
      </c>
      <c r="H5" s="8">
        <v>43856</v>
      </c>
      <c r="I5" s="8"/>
      <c r="J5" s="8"/>
      <c r="K5" s="8"/>
      <c r="L5" s="8"/>
      <c r="M5" s="8"/>
      <c r="N5" s="8"/>
      <c r="O5" s="8"/>
      <c r="P5" s="8"/>
      <c r="Q5" s="8"/>
      <c r="R5" s="8"/>
      <c r="S5" s="8"/>
      <c r="T5" s="8"/>
    </row>
    <row r="7" spans="1:20" x14ac:dyDescent="0.25">
      <c r="A7" s="3" t="s">
        <v>194</v>
      </c>
      <c r="B7" s="3">
        <f>IFERROR('NVDA - Income Statement FY'!B7/'NVDA - Income Statement FY'!C7-1,"")</f>
        <v>0.65473535790094783</v>
      </c>
      <c r="C7" s="3">
        <f>IFERROR('NVDA - Income Statement FY'!C7/'NVDA - Income Statement FY'!D7-1,"")</f>
        <v>1.1420340763599355</v>
      </c>
      <c r="D7" s="3">
        <f>IFERROR('NVDA - Income Statement FY'!D7/'NVDA - Income Statement FY'!E7-1,"")</f>
        <v>1.2585452658115224</v>
      </c>
      <c r="E7" s="3">
        <f>IFERROR('NVDA - Income Statement FY'!E7/'NVDA - Income Statement FY'!F7-1,"")</f>
        <v>2.2293230289069932E-3</v>
      </c>
      <c r="F7" s="3">
        <f>IFERROR('NVDA - Income Statement FY'!F7/'NVDA - Income Statement FY'!G7-1,"")</f>
        <v>0.61403298350824587</v>
      </c>
      <c r="G7" s="3">
        <f>IFERROR('NVDA - Income Statement FY'!G7/'NVDA - Income Statement FY'!H7-1,"")</f>
        <v>0.52729437625938824</v>
      </c>
      <c r="H7" s="3"/>
      <c r="I7" s="3"/>
      <c r="J7" s="3"/>
      <c r="K7" s="3"/>
      <c r="L7" s="3"/>
      <c r="M7" s="3"/>
      <c r="N7" s="3"/>
      <c r="O7" s="3"/>
      <c r="P7" s="3"/>
      <c r="Q7" s="3"/>
      <c r="R7" s="3"/>
      <c r="S7" s="3"/>
      <c r="T7" s="3"/>
    </row>
    <row r="8" spans="1:20" x14ac:dyDescent="0.25">
      <c r="A8" s="3" t="s">
        <v>193</v>
      </c>
      <c r="B8" s="3">
        <f>IFERROR('NVDA - Income Statement FY'!B10/'NVDA - Income Statement FY'!C10-1,"")</f>
        <v>0.56822130025138473</v>
      </c>
      <c r="C8" s="3">
        <f>IFERROR('NVDA - Income Statement FY'!C10/'NVDA - Income Statement FY'!D10-1,"")</f>
        <v>1.208934335568046</v>
      </c>
      <c r="D8" s="3">
        <f>IFERROR('NVDA - Income Statement FY'!D10/'NVDA - Income Statement FY'!E10-1,"")</f>
        <v>1.8849309716071896</v>
      </c>
      <c r="E8" s="3">
        <f>IFERROR('NVDA - Income Statement FY'!E10/'NVDA - Income Statement FY'!F10-1,"")</f>
        <v>-0.12125894134477821</v>
      </c>
      <c r="F8" s="3">
        <f>IFERROR('NVDA - Income Statement FY'!F10/'NVDA - Income Statement FY'!G10-1,"")</f>
        <v>0.68093497499038103</v>
      </c>
      <c r="G8" s="3">
        <f>IFERROR('NVDA - Income Statement FY'!G10/'NVDA - Income Statement FY'!H10-1,"")</f>
        <v>0.53605200945626486</v>
      </c>
      <c r="H8" s="3"/>
      <c r="I8" s="3"/>
      <c r="J8" s="3"/>
      <c r="K8" s="3"/>
      <c r="L8" s="3"/>
      <c r="M8" s="3"/>
      <c r="N8" s="3"/>
      <c r="O8" s="3"/>
      <c r="P8" s="3"/>
      <c r="Q8" s="3"/>
      <c r="R8" s="3"/>
      <c r="S8" s="3"/>
      <c r="T8" s="3"/>
    </row>
    <row r="9" spans="1:20" x14ac:dyDescent="0.25">
      <c r="A9" s="3" t="s">
        <v>192</v>
      </c>
      <c r="B9" s="3">
        <f>IFERROR('NVDA - Income Statement FY'!B25/'NVDA - Income Statement FY'!C25-1,"")</f>
        <v>0.60076363055995485</v>
      </c>
      <c r="C9" s="3">
        <f>IFERROR('NVDA - Income Statement FY'!C25/'NVDA - Income Statement FY'!D25-1,"")</f>
        <v>1.470368797767803</v>
      </c>
      <c r="D9" s="3">
        <f>IFERROR('NVDA - Income Statement FY'!D25/'NVDA - Income Statement FY'!E25-1,"")</f>
        <v>6.8058712121212119</v>
      </c>
      <c r="E9" s="3">
        <f>IFERROR('NVDA - Income Statement FY'!E25/'NVDA - Income Statement FY'!F25-1,"")</f>
        <v>-0.57932476844935765</v>
      </c>
      <c r="F9" s="3">
        <f>IFERROR('NVDA - Income Statement FY'!F25/'NVDA - Income Statement FY'!G25-1,"")</f>
        <v>1.215578111209179</v>
      </c>
      <c r="G9" s="3">
        <f>IFERROR('NVDA - Income Statement FY'!G25/'NVDA - Income Statement FY'!H25-1,"")</f>
        <v>0.59241040056219263</v>
      </c>
      <c r="H9" s="3"/>
      <c r="I9" s="3"/>
      <c r="J9" s="3"/>
      <c r="K9" s="3"/>
      <c r="L9" s="3"/>
      <c r="M9" s="3"/>
      <c r="N9" s="3"/>
      <c r="O9" s="3"/>
      <c r="P9" s="3"/>
      <c r="Q9" s="3"/>
      <c r="R9" s="3"/>
      <c r="S9" s="3"/>
      <c r="T9" s="3"/>
    </row>
    <row r="10" spans="1:20" x14ac:dyDescent="0.25">
      <c r="A10" s="3" t="s">
        <v>191</v>
      </c>
      <c r="B10" s="3">
        <f>IFERROR('NVDA - Income Statement FY'!B25/'NVDA - Income Statement FY'!C25-1,"")</f>
        <v>0.60076363055995485</v>
      </c>
      <c r="C10" s="3">
        <f>IFERROR('NVDA - Income Statement FY'!C25/'NVDA - Income Statement FY'!D25-1,"")</f>
        <v>1.470368797767803</v>
      </c>
      <c r="D10" s="3">
        <f>IFERROR('NVDA - Income Statement FY'!D25/'NVDA - Income Statement FY'!E25-1,"")</f>
        <v>6.8058712121212119</v>
      </c>
      <c r="E10" s="3">
        <f>IFERROR('NVDA - Income Statement FY'!E25/'NVDA - Income Statement FY'!F25-1,"")</f>
        <v>-0.57932476844935765</v>
      </c>
      <c r="F10" s="3">
        <f>IFERROR('NVDA - Income Statement FY'!F25/'NVDA - Income Statement FY'!G25-1,"")</f>
        <v>1.215578111209179</v>
      </c>
      <c r="G10" s="3">
        <f>IFERROR('NVDA - Income Statement FY'!G25/'NVDA - Income Statement FY'!H25-1,"")</f>
        <v>0.59241040056219263</v>
      </c>
      <c r="H10" s="3"/>
      <c r="I10" s="3"/>
      <c r="J10" s="3"/>
      <c r="K10" s="3"/>
      <c r="L10" s="3"/>
      <c r="M10" s="3"/>
      <c r="N10" s="3"/>
      <c r="O10" s="3"/>
      <c r="P10" s="3"/>
      <c r="Q10" s="3"/>
      <c r="R10" s="3"/>
      <c r="S10" s="3"/>
      <c r="T10" s="3"/>
    </row>
    <row r="11" spans="1:20" x14ac:dyDescent="0.25">
      <c r="A11" s="3" t="s">
        <v>190</v>
      </c>
      <c r="B11" s="3">
        <f>IFERROR('NVDA - Income Statement FY'!B32/'NVDA - Income Statement FY'!C32-1,"")</f>
        <v>0.6474615806805708</v>
      </c>
      <c r="C11" s="3">
        <f>IFERROR('NVDA - Income Statement FY'!C32/'NVDA - Income Statement FY'!D32-1,"")</f>
        <v>1.4489247311827955</v>
      </c>
      <c r="D11" s="3">
        <f>IFERROR('NVDA - Income Statement FY'!D32/'NVDA - Income Statement FY'!E32-1,"")</f>
        <v>5.813186813186813</v>
      </c>
      <c r="E11" s="3">
        <f>IFERROR('NVDA - Income Statement FY'!E32/'NVDA - Income Statement FY'!F32-1,"")</f>
        <v>-0.55209187858900743</v>
      </c>
      <c r="F11" s="3">
        <f>IFERROR('NVDA - Income Statement FY'!F32/'NVDA - Income Statement FY'!G32-1,"")</f>
        <v>1.2511542012927053</v>
      </c>
      <c r="G11" s="3">
        <f>IFERROR('NVDA - Income Statement FY'!G32/'NVDA - Income Statement FY'!H32-1,"")</f>
        <v>0.54935622317596566</v>
      </c>
      <c r="H11" s="3"/>
      <c r="I11" s="3"/>
      <c r="J11" s="3"/>
      <c r="K11" s="3"/>
      <c r="L11" s="3"/>
      <c r="M11" s="3"/>
      <c r="N11" s="3"/>
      <c r="O11" s="3"/>
      <c r="P11" s="3"/>
      <c r="Q11" s="3"/>
      <c r="R11" s="3"/>
      <c r="S11" s="3"/>
      <c r="T11" s="3"/>
    </row>
    <row r="12" spans="1:20" x14ac:dyDescent="0.25">
      <c r="A12" s="3" t="s">
        <v>189</v>
      </c>
      <c r="B12" s="3">
        <f>IFERROR('NVDA - Income Statement FY'!B35/'NVDA - Income Statement FY'!C35-1,"")</f>
        <v>0.65993265993265982</v>
      </c>
      <c r="C12" s="3">
        <f>IFERROR('NVDA - Income Statement FY'!C35/'NVDA - Income Statement FY'!D35-1,"")</f>
        <v>1.4545454545454546</v>
      </c>
      <c r="D12" s="3">
        <f>IFERROR('NVDA - Income Statement FY'!D35/'NVDA - Income Statement FY'!E35-1,"")</f>
        <v>5.875</v>
      </c>
      <c r="E12" s="3">
        <f>IFERROR('NVDA - Income Statement FY'!E35/'NVDA - Income Statement FY'!F35-1,"")</f>
        <v>-0.54987212276214836</v>
      </c>
      <c r="F12" s="3">
        <f>IFERROR('NVDA - Income Statement FY'!F35/'NVDA - Income Statement FY'!G35-1,"")</f>
        <v>1.2215909090909092</v>
      </c>
      <c r="G12" s="3">
        <f>IFERROR('NVDA - Income Statement FY'!G35/'NVDA - Income Statement FY'!H35-1,"")</f>
        <v>0.53043478260869548</v>
      </c>
      <c r="H12" s="3"/>
      <c r="I12" s="3"/>
      <c r="J12" s="3"/>
      <c r="K12" s="3"/>
      <c r="L12" s="3"/>
      <c r="M12" s="3"/>
      <c r="N12" s="3"/>
      <c r="O12" s="3"/>
      <c r="P12" s="3"/>
      <c r="Q12" s="3"/>
      <c r="R12" s="3"/>
      <c r="S12" s="3"/>
      <c r="T12" s="3"/>
    </row>
    <row r="13" spans="1:20" x14ac:dyDescent="0.25">
      <c r="A13" s="3" t="s">
        <v>188</v>
      </c>
      <c r="B13" s="3">
        <f>IFERROR('NVDA - Income Statement FY'!B36/'NVDA - Income Statement FY'!C36-1,"")</f>
        <v>0.66666666666666674</v>
      </c>
      <c r="C13" s="3">
        <f>IFERROR('NVDA - Income Statement FY'!C36/'NVDA - Income Statement FY'!D36-1,"")</f>
        <v>1.4705882352941178</v>
      </c>
      <c r="D13" s="3">
        <f>IFERROR('NVDA - Income Statement FY'!D36/'NVDA - Income Statement FY'!E36-1,"")</f>
        <v>5.8390804597701154</v>
      </c>
      <c r="E13" s="3">
        <f>IFERROR('NVDA - Income Statement FY'!E36/'NVDA - Income Statement FY'!F36-1,"")</f>
        <v>-0.54805194805194812</v>
      </c>
      <c r="F13" s="3">
        <f>IFERROR('NVDA - Income Statement FY'!F36/'NVDA - Income Statement FY'!G36-1,"")</f>
        <v>1.2254335260115607</v>
      </c>
      <c r="G13" s="3">
        <f>IFERROR('NVDA - Income Statement FY'!G36/'NVDA - Income Statement FY'!H36-1,"")</f>
        <v>0.53097345132743357</v>
      </c>
      <c r="H13" s="3"/>
      <c r="I13" s="3"/>
      <c r="J13" s="3"/>
      <c r="K13" s="3"/>
      <c r="L13" s="3"/>
      <c r="M13" s="3"/>
      <c r="N13" s="3"/>
      <c r="O13" s="3"/>
      <c r="P13" s="3"/>
      <c r="Q13" s="3"/>
      <c r="R13" s="3"/>
      <c r="S13" s="3"/>
      <c r="T13" s="3"/>
    </row>
    <row r="14" spans="1:20" x14ac:dyDescent="0.25">
      <c r="A14" s="3" t="s">
        <v>187</v>
      </c>
      <c r="B14" s="3">
        <f>IFERROR('NVDA - Income Statement FY'!B37/'NVDA - Income Statement FY'!C37-1,"")</f>
        <v>-7.9820810425574873E-3</v>
      </c>
      <c r="C14" s="3">
        <f>IFERROR('NVDA - Income Statement FY'!C37/'NVDA - Income Statement FY'!D37-1,"")</f>
        <v>-5.4678007290400732E-3</v>
      </c>
      <c r="D14" s="3">
        <f>IFERROR('NVDA - Income Statement FY'!D37/'NVDA - Income Statement FY'!E37-1,"")</f>
        <v>-7.2376357056694873E-3</v>
      </c>
      <c r="E14" s="3">
        <f>IFERROR('NVDA - Income Statement FY'!E37/'NVDA - Income Statement FY'!F37-1,"")</f>
        <v>-3.6057692307692735E-3</v>
      </c>
      <c r="F14" s="3">
        <f>IFERROR('NVDA - Income Statement FY'!F37/'NVDA - Income Statement FY'!G37-1,"")</f>
        <v>1.1755168220510814E-2</v>
      </c>
      <c r="G14" s="3">
        <f>IFERROR('NVDA - Income Statement FY'!G37/'NVDA - Income Statement FY'!H37-1,"")</f>
        <v>1.1480114801148078E-2</v>
      </c>
      <c r="H14" s="3"/>
      <c r="I14" s="3"/>
      <c r="J14" s="3"/>
      <c r="K14" s="3"/>
      <c r="L14" s="3"/>
      <c r="M14" s="3"/>
      <c r="N14" s="3"/>
      <c r="O14" s="3"/>
      <c r="P14" s="3"/>
      <c r="Q14" s="3"/>
      <c r="R14" s="3"/>
      <c r="S14" s="3"/>
      <c r="T14" s="3"/>
    </row>
    <row r="15" spans="1:20" x14ac:dyDescent="0.25">
      <c r="A15" s="3" t="s">
        <v>186</v>
      </c>
      <c r="B15" s="3">
        <f>IFERROR('NVDA - Income Statement FY'!B38/'NVDA - Income Statement FY'!C38-1,"")</f>
        <v>-1.169166263505883E-2</v>
      </c>
      <c r="C15" s="3">
        <f>IFERROR('NVDA - Income Statement FY'!C38/'NVDA - Income Statement FY'!D38-1,"")</f>
        <v>-5.4530874097834525E-3</v>
      </c>
      <c r="D15" s="3">
        <f>IFERROR('NVDA - Income Statement FY'!D38/'NVDA - Income Statement FY'!E38-1,"")</f>
        <v>-5.1854806541683507E-3</v>
      </c>
      <c r="E15" s="3">
        <f>IFERROR('NVDA - Income Statement FY'!E38/'NVDA - Income Statement FY'!F38-1,"")</f>
        <v>-1.104536489151875E-2</v>
      </c>
      <c r="F15" s="3">
        <f>IFERROR('NVDA - Income Statement FY'!F38/'NVDA - Income Statement FY'!G38-1,"")</f>
        <v>9.960159362549792E-3</v>
      </c>
      <c r="G15" s="3">
        <f>IFERROR('NVDA - Income Statement FY'!G38/'NVDA - Income Statement FY'!H38-1,"")</f>
        <v>1.53721682847896E-2</v>
      </c>
      <c r="H15" s="3"/>
      <c r="I15" s="3"/>
      <c r="J15" s="3"/>
      <c r="K15" s="3"/>
      <c r="L15" s="3"/>
      <c r="M15" s="3"/>
      <c r="N15" s="3"/>
      <c r="O15" s="3"/>
      <c r="P15" s="3"/>
      <c r="Q15" s="3"/>
      <c r="R15" s="3"/>
      <c r="S15" s="3"/>
      <c r="T15" s="3"/>
    </row>
    <row r="16" spans="1:20" x14ac:dyDescent="0.25">
      <c r="A16" s="3" t="s">
        <v>185</v>
      </c>
      <c r="B16" s="3">
        <f>IFERROR((-'NVDA - Cash Flow FY'!B29/'NVDA - Income Statement FY'!B38)/(-'NVDA - Cash Flow FY'!C29/'NVDA - Income Statement FY'!C38)-1,"")</f>
        <v>0.18168152921572367</v>
      </c>
      <c r="C16" s="3">
        <f>IFERROR((-'NVDA - Cash Flow FY'!C29/'NVDA - Income Statement FY'!C38)/(-'NVDA - Cash Flow FY'!D29/'NVDA - Income Statement FY'!D38)-1,"")</f>
        <v>1.122969141359397</v>
      </c>
      <c r="D16" s="3">
        <f>IFERROR((-'NVDA - Cash Flow FY'!D29/'NVDA - Income Statement FY'!D38)/(-'NVDA - Cash Flow FY'!E29/'NVDA - Income Statement FY'!E38)-1,"")</f>
        <v>-2.364468694716515E-3</v>
      </c>
      <c r="E16" s="3">
        <f>IFERROR((-'NVDA - Cash Flow FY'!E29/'NVDA - Income Statement FY'!E38)/(-'NVDA - Cash Flow FY'!F29/'NVDA - Income Statement FY'!F38)-1,"")</f>
        <v>8.6344701002605273E-3</v>
      </c>
      <c r="F16" s="3">
        <f>IFERROR((-'NVDA - Cash Flow FY'!F29/'NVDA - Income Statement FY'!F38)/(-'NVDA - Cash Flow FY'!G29/'NVDA - Income Statement FY'!G38)-1,"")</f>
        <v>1.6478166429467755E-4</v>
      </c>
      <c r="G16" s="3">
        <f>IFERROR((-'NVDA - Cash Flow FY'!G29/'NVDA - Income Statement FY'!G38)/(-'NVDA - Cash Flow FY'!H29/'NVDA - Income Statement FY'!H38)-1,"")</f>
        <v>-2.5130248237816843E-3</v>
      </c>
      <c r="H16" s="3"/>
      <c r="I16" s="3"/>
      <c r="J16" s="3"/>
      <c r="K16" s="3"/>
      <c r="L16" s="3"/>
      <c r="M16" s="3"/>
      <c r="N16" s="3"/>
      <c r="O16" s="3"/>
      <c r="P16" s="3"/>
      <c r="Q16" s="3"/>
      <c r="R16" s="3"/>
      <c r="S16" s="3"/>
      <c r="T16" s="3"/>
    </row>
    <row r="17" spans="1:20" x14ac:dyDescent="0.25">
      <c r="A17" s="3" t="s">
        <v>184</v>
      </c>
      <c r="B17" s="3">
        <f>IFERROR('NVDA - Cash Flow FY'!B17/'NVDA - Cash Flow FY'!C17-1,"")</f>
        <v>0.60273993977125562</v>
      </c>
      <c r="C17" s="3">
        <f>IFERROR('NVDA - Cash Flow FY'!C17/'NVDA - Cash Flow FY'!D17-1,"")</f>
        <v>1.2815592737629049</v>
      </c>
      <c r="D17" s="3">
        <f>IFERROR('NVDA - Cash Flow FY'!D17/'NVDA - Cash Flow FY'!E17-1,"")</f>
        <v>3.9796135436979263</v>
      </c>
      <c r="E17" s="3">
        <f>IFERROR('NVDA - Cash Flow FY'!E17/'NVDA - Cash Flow FY'!F17-1,"")</f>
        <v>-0.3806543697848046</v>
      </c>
      <c r="F17" s="3">
        <f>IFERROR('NVDA - Cash Flow FY'!F17/'NVDA - Cash Flow FY'!G17-1,"")</f>
        <v>0.56441085537615931</v>
      </c>
      <c r="G17" s="3">
        <f>IFERROR('NVDA - Cash Flow FY'!G17/'NVDA - Cash Flow FY'!H17-1,"")</f>
        <v>0.2228523419449695</v>
      </c>
      <c r="H17" s="3"/>
      <c r="I17" s="3"/>
      <c r="J17" s="3"/>
      <c r="K17" s="3"/>
      <c r="L17" s="3"/>
      <c r="M17" s="3"/>
      <c r="N17" s="3"/>
      <c r="O17" s="3"/>
      <c r="P17" s="3"/>
      <c r="Q17" s="3"/>
      <c r="R17" s="3"/>
      <c r="S17" s="3"/>
      <c r="T17" s="3"/>
    </row>
    <row r="18" spans="1:20" x14ac:dyDescent="0.25">
      <c r="A18" s="3" t="s">
        <v>183</v>
      </c>
      <c r="B18" s="3">
        <f>IFERROR('NVDA - Cash Flow FY'!B39/'NVDA - Cash Flow FY'!C39-1,"")</f>
        <v>0.58868091959311775</v>
      </c>
      <c r="C18" s="3">
        <f>IFERROR('NVDA - Cash Flow FY'!C39/'NVDA - Cash Flow FY'!D39-1,"")</f>
        <v>1.2520632100958515</v>
      </c>
      <c r="D18" s="3">
        <f>IFERROR('NVDA - Cash Flow FY'!D39/'NVDA - Cash Flow FY'!E39-1,"")</f>
        <v>6.0958508403361344</v>
      </c>
      <c r="E18" s="3">
        <f>IFERROR('NVDA - Cash Flow FY'!E39/'NVDA - Cash Flow FY'!F39-1,"")</f>
        <v>-0.53172651254303982</v>
      </c>
      <c r="F18" s="3">
        <f>IFERROR('NVDA - Cash Flow FY'!F39/'NVDA - Cash Flow FY'!G39-1,"")</f>
        <v>0.73242437153813378</v>
      </c>
      <c r="G18" s="3">
        <f>IFERROR('NVDA - Cash Flow FY'!G39/'NVDA - Cash Flow FY'!H39-1,"")</f>
        <v>9.878277153558046E-2</v>
      </c>
      <c r="H18" s="3"/>
      <c r="I18" s="3"/>
      <c r="J18" s="3"/>
      <c r="K18" s="3"/>
      <c r="L18" s="3"/>
      <c r="M18" s="3"/>
      <c r="N18" s="3"/>
      <c r="O18" s="3"/>
      <c r="P18" s="3"/>
      <c r="Q18" s="3"/>
      <c r="R18" s="3"/>
      <c r="S18" s="3"/>
      <c r="T18" s="3"/>
    </row>
    <row r="19" spans="1:20" x14ac:dyDescent="0.25">
      <c r="A19" s="3" t="s">
        <v>182</v>
      </c>
      <c r="B19" s="3"/>
      <c r="C19" s="3"/>
      <c r="D19" s="3"/>
      <c r="E19" s="3"/>
      <c r="F19" s="3"/>
      <c r="G19" s="3"/>
      <c r="H19" s="3"/>
      <c r="I19" s="3"/>
      <c r="J19" s="3"/>
      <c r="K19" s="3"/>
      <c r="L19" s="3"/>
      <c r="M19" s="3"/>
      <c r="N19" s="3"/>
      <c r="O19" s="3"/>
      <c r="P19" s="3"/>
      <c r="Q19" s="3"/>
      <c r="R19" s="3"/>
      <c r="S19" s="3"/>
      <c r="T19" s="3"/>
    </row>
    <row r="20" spans="1:20" x14ac:dyDescent="0.25">
      <c r="A20" s="3" t="s">
        <v>181</v>
      </c>
      <c r="B20" s="3">
        <f>IFERROR(('NVDA - Income Statement FY'!B7/'NVDA - Income Statement FY'!B38)/('NVDA - Income Statement FY'!G7/'NVDA - Income Statement FY'!G38)-1,"")</f>
        <v>12.259366400670105</v>
      </c>
      <c r="C20" s="3">
        <f>IFERROR(('NVDA - Income Statement FY'!C7/'NVDA - Income Statement FY'!C38)/('NVDA - Income Statement FY'!H7/'NVDA - Income Statement FY'!H38)-1,"")</f>
        <v>10.911986198209053</v>
      </c>
      <c r="D20" s="3"/>
      <c r="E20" s="3"/>
      <c r="F20" s="3"/>
      <c r="G20" s="3"/>
      <c r="H20" s="3"/>
      <c r="I20" s="3"/>
      <c r="J20" s="3"/>
      <c r="K20" s="3"/>
      <c r="L20" s="3"/>
      <c r="M20" s="3"/>
      <c r="N20" s="3"/>
      <c r="O20" s="3"/>
      <c r="P20" s="3"/>
      <c r="Q20" s="3"/>
      <c r="R20" s="3"/>
      <c r="S20" s="3"/>
      <c r="T20" s="3"/>
    </row>
    <row r="21" spans="1:20" x14ac:dyDescent="0.25">
      <c r="A21" s="3" t="s">
        <v>180</v>
      </c>
      <c r="B21" s="3">
        <f>IFERROR(('NVDA - Income Statement FY'!B7/'NVDA - Income Statement FY'!B38)/('NVDA - Income Statement FY'!E7/'NVDA - Income Statement FY'!E38)-1,"")</f>
        <v>7.1869827189507447</v>
      </c>
      <c r="C21" s="3">
        <f>IFERROR(('NVDA - Income Statement FY'!C7/'NVDA - Income Statement FY'!C38)/('NVDA - Income Statement FY'!F7/'NVDA - Income Statement FY'!F38)-1,"")</f>
        <v>3.9553977659098658</v>
      </c>
      <c r="D21" s="3">
        <f>IFERROR(('NVDA - Income Statement FY'!D7/'NVDA - Income Statement FY'!D38)/('NVDA - Income Statement FY'!G7/'NVDA - Income Statement FY'!G38)-1,"")</f>
        <v>2.676931862857665</v>
      </c>
      <c r="E21" s="3">
        <f>IFERROR(('NVDA - Income Statement FY'!E7/'NVDA - Income Statement FY'!E38)/('NVDA - Income Statement FY'!H7/'NVDA - Income Statement FY'!H38)-1,"")</f>
        <v>1.4361072017219709</v>
      </c>
      <c r="F21" s="3"/>
      <c r="G21" s="3"/>
      <c r="H21" s="3"/>
      <c r="I21" s="3"/>
      <c r="J21" s="3"/>
      <c r="K21" s="3"/>
      <c r="L21" s="3"/>
      <c r="M21" s="3"/>
      <c r="N21" s="3"/>
      <c r="O21" s="3"/>
      <c r="P21" s="3"/>
      <c r="Q21" s="3"/>
      <c r="R21" s="3"/>
      <c r="S21" s="3"/>
      <c r="T21" s="3"/>
    </row>
    <row r="22" spans="1:20" x14ac:dyDescent="0.25">
      <c r="A22" s="3" t="s">
        <v>179</v>
      </c>
      <c r="B22" s="3"/>
      <c r="C22" s="3"/>
      <c r="D22" s="3"/>
      <c r="E22" s="3"/>
      <c r="F22" s="3"/>
      <c r="G22" s="3"/>
      <c r="H22" s="3"/>
      <c r="I22" s="3"/>
      <c r="J22" s="3"/>
      <c r="K22" s="3"/>
      <c r="L22" s="3"/>
      <c r="M22" s="3"/>
      <c r="N22" s="3"/>
      <c r="O22" s="3"/>
      <c r="P22" s="3"/>
      <c r="Q22" s="3"/>
      <c r="R22" s="3"/>
      <c r="S22" s="3"/>
      <c r="T22" s="3"/>
    </row>
    <row r="23" spans="1:20" x14ac:dyDescent="0.25">
      <c r="A23" s="3" t="s">
        <v>178</v>
      </c>
      <c r="B23" s="3">
        <f>IFERROR(('NVDA - Cash Flow FY'!B17/'NVDA - Income Statement FY'!B38)/('NVDA - Cash Flow FY'!G17/'NVDA - Income Statement FY'!G38)-1,"")</f>
        <v>17.064830598837275</v>
      </c>
      <c r="C23" s="3">
        <f>IFERROR(('NVDA - Cash Flow FY'!C17/'NVDA - Income Statement FY'!C38)/('NVDA - Cash Flow FY'!H17/'NVDA - Income Statement FY'!H38)-1,"")</f>
        <v>12.41566044137646</v>
      </c>
      <c r="D23" s="3"/>
      <c r="E23" s="3"/>
      <c r="F23" s="3"/>
      <c r="G23" s="3"/>
      <c r="H23" s="3"/>
      <c r="I23" s="3"/>
      <c r="J23" s="3"/>
      <c r="K23" s="3"/>
      <c r="L23" s="3"/>
      <c r="M23" s="3"/>
      <c r="N23" s="3"/>
      <c r="O23" s="3"/>
      <c r="P23" s="3"/>
      <c r="Q23" s="3"/>
      <c r="R23" s="3"/>
      <c r="S23" s="3"/>
      <c r="T23" s="3"/>
    </row>
    <row r="24" spans="1:20" x14ac:dyDescent="0.25">
      <c r="A24" s="3" t="s">
        <v>177</v>
      </c>
      <c r="B24" s="3">
        <f>IFERROR(('NVDA - Cash Flow FY'!B17/'NVDA - Income Statement FY'!B38)/('NVDA - Cash Flow FY'!E17/'NVDA - Income Statement FY'!E38)-1,"")</f>
        <v>17.622183732526132</v>
      </c>
      <c r="C24" s="3">
        <f>IFERROR(('NVDA - Cash Flow FY'!C17/'NVDA - Income Statement FY'!C38)/('NVDA - Cash Flow FY'!F17/'NVDA - Income Statement FY'!F38)-1,"")</f>
        <v>6.1914541228528099</v>
      </c>
      <c r="D24" s="3">
        <f>IFERROR(('NVDA - Cash Flow FY'!D17/'NVDA - Income Statement FY'!D38)/('NVDA - Cash Flow FY'!G17/'NVDA - Income Statement FY'!G38)-1,"")</f>
        <v>3.855755496461863</v>
      </c>
      <c r="E24" s="3">
        <f>IFERROR(('NVDA - Cash Flow FY'!E17/'NVDA - Income Statement FY'!E38)/('NVDA - Cash Flow FY'!H17/'NVDA - Income Statement FY'!H38)-1,"")</f>
        <v>0.16829374286339771</v>
      </c>
      <c r="F24" s="3"/>
      <c r="G24" s="3"/>
      <c r="H24" s="3"/>
      <c r="I24" s="3"/>
      <c r="J24" s="3"/>
      <c r="K24" s="3"/>
      <c r="L24" s="3"/>
      <c r="M24" s="3"/>
      <c r="N24" s="3"/>
      <c r="O24" s="3"/>
      <c r="P24" s="3"/>
      <c r="Q24" s="3"/>
      <c r="R24" s="3"/>
      <c r="S24" s="3"/>
      <c r="T24" s="3"/>
    </row>
    <row r="25" spans="1:20" x14ac:dyDescent="0.25">
      <c r="A25" s="3" t="s">
        <v>176</v>
      </c>
      <c r="B25" s="3"/>
      <c r="C25" s="3"/>
      <c r="D25" s="3"/>
      <c r="E25" s="3"/>
      <c r="F25" s="3"/>
      <c r="G25" s="3"/>
      <c r="H25" s="3"/>
      <c r="I25" s="3"/>
      <c r="J25" s="3"/>
      <c r="K25" s="3"/>
      <c r="L25" s="3"/>
      <c r="M25" s="3"/>
      <c r="N25" s="3"/>
      <c r="O25" s="3"/>
      <c r="P25" s="3"/>
      <c r="Q25" s="3"/>
      <c r="R25" s="3"/>
      <c r="S25" s="3"/>
      <c r="T25" s="3"/>
    </row>
    <row r="26" spans="1:20" x14ac:dyDescent="0.25">
      <c r="A26" s="3" t="s">
        <v>175</v>
      </c>
      <c r="B26" s="3">
        <f>IFERROR(('NVDA - Income Statement FY'!B32/'NVDA - Income Statement FY'!B38)/('NVDA - Income Statement FY'!G32/'NVDA - Income Statement FY'!G38)-1,"")</f>
        <v>27.378847303114561</v>
      </c>
      <c r="C26" s="3">
        <f>IFERROR(('NVDA - Income Statement FY'!C32/'NVDA - Income Statement FY'!C38)/('NVDA - Income Statement FY'!H32/'NVDA - Income Statement FY'!H38)-1,"")</f>
        <v>24.977535119975805</v>
      </c>
      <c r="D26" s="3"/>
      <c r="E26" s="3"/>
      <c r="F26" s="3"/>
      <c r="G26" s="3"/>
      <c r="H26" s="3"/>
      <c r="I26" s="3"/>
      <c r="J26" s="3"/>
      <c r="K26" s="3"/>
      <c r="L26" s="3"/>
      <c r="M26" s="3"/>
      <c r="N26" s="3"/>
      <c r="O26" s="3"/>
      <c r="P26" s="3"/>
      <c r="Q26" s="3"/>
      <c r="R26" s="3"/>
      <c r="S26" s="3"/>
      <c r="T26" s="3"/>
    </row>
    <row r="27" spans="1:20" x14ac:dyDescent="0.25">
      <c r="A27" s="3" t="s">
        <v>174</v>
      </c>
      <c r="B27" s="3">
        <f>IFERROR(('NVDA - Income Statement FY'!B32/'NVDA - Income Statement FY'!B38)/('NVDA - Income Statement FY'!E32/'NVDA - Income Statement FY'!E38)-1,"")</f>
        <v>27.111316315174317</v>
      </c>
      <c r="C27" s="3">
        <f>IFERROR(('NVDA - Income Statement FY'!C32/'NVDA - Income Statement FY'!C38)/('NVDA - Income Statement FY'!F32/'NVDA - Income Statement FY'!F38)-1,"")</f>
        <v>6.6378462602091624</v>
      </c>
      <c r="D27" s="3">
        <f>IFERROR(('NVDA - Income Statement FY'!D32/'NVDA - Income Statement FY'!D38)/('NVDA - Income Statement FY'!G32/'NVDA - Income Statement FY'!G38)-1,"")</f>
        <v>5.9138786272649924</v>
      </c>
      <c r="E27" s="3">
        <f>IFERROR(('NVDA - Income Statement FY'!E32/'NVDA - Income Statement FY'!E38)/('NVDA - Income Statement FY'!H32/'NVDA - Income Statement FY'!H38)-1,"")</f>
        <v>0.54042158351465686</v>
      </c>
      <c r="F27" s="3"/>
      <c r="G27" s="3"/>
      <c r="H27" s="3"/>
      <c r="I27" s="3"/>
      <c r="J27" s="3"/>
      <c r="K27" s="3"/>
      <c r="L27" s="3"/>
      <c r="M27" s="3"/>
      <c r="N27" s="3"/>
      <c r="O27" s="3"/>
      <c r="P27" s="3"/>
      <c r="Q27" s="3"/>
      <c r="R27" s="3"/>
      <c r="S27" s="3"/>
      <c r="T27" s="3"/>
    </row>
    <row r="28" spans="1:20" x14ac:dyDescent="0.25">
      <c r="A28" s="3" t="s">
        <v>173</v>
      </c>
      <c r="B28" s="3"/>
      <c r="C28" s="3"/>
      <c r="D28" s="3"/>
      <c r="E28" s="3"/>
      <c r="F28" s="3"/>
      <c r="G28" s="3"/>
      <c r="H28" s="3"/>
      <c r="I28" s="3"/>
      <c r="J28" s="3"/>
      <c r="K28" s="3"/>
      <c r="L28" s="3"/>
      <c r="M28" s="3"/>
      <c r="N28" s="3"/>
      <c r="O28" s="3"/>
      <c r="P28" s="3"/>
      <c r="Q28" s="3"/>
      <c r="R28" s="3"/>
      <c r="S28" s="3"/>
      <c r="T28" s="3"/>
    </row>
    <row r="29" spans="1:20" x14ac:dyDescent="0.25">
      <c r="A29" s="3" t="s">
        <v>172</v>
      </c>
      <c r="B29" s="3">
        <f>IFERROR(('NVDA - Balance Sheet FY'!B47/'NVDA - Income Statement FY'!B38)/('NVDA - Balance Sheet FY'!G47/'NVDA - Income Statement FY'!G38)-1,"")</f>
        <v>8.5337147433262981</v>
      </c>
      <c r="C29" s="3">
        <f>IFERROR(('NVDA - Balance Sheet FY'!C47/'NVDA - Income Statement FY'!C38)/('NVDA - Balance Sheet FY'!H47/'NVDA - Income Statement FY'!H38)-1,"")</f>
        <v>5.4780690842359459</v>
      </c>
      <c r="D29" s="3"/>
      <c r="E29" s="3"/>
      <c r="F29" s="3"/>
      <c r="G29" s="3"/>
      <c r="H29" s="3"/>
      <c r="I29" s="3"/>
      <c r="J29" s="3"/>
      <c r="K29" s="3"/>
      <c r="L29" s="3"/>
      <c r="M29" s="3"/>
      <c r="N29" s="3"/>
      <c r="O29" s="3"/>
      <c r="P29" s="3"/>
      <c r="Q29" s="3"/>
      <c r="R29" s="3"/>
      <c r="S29" s="3"/>
      <c r="T29" s="3"/>
    </row>
    <row r="30" spans="1:20" x14ac:dyDescent="0.25">
      <c r="A30" s="3" t="s">
        <v>171</v>
      </c>
      <c r="B30" s="3">
        <f>IFERROR(('NVDA - Balance Sheet FY'!B47/'NVDA - Income Statement FY'!B38)/('NVDA - Balance Sheet FY'!E47/'NVDA - Income Statement FY'!E38)-1,"")</f>
        <v>6.2784285544513239</v>
      </c>
      <c r="C30" s="3">
        <f>IFERROR(('NVDA - Balance Sheet FY'!C47/'NVDA - Income Statement FY'!C38)/('NVDA - Balance Sheet FY'!F47/'NVDA - Income Statement FY'!F38)-1,"")</f>
        <v>2.0464899978919049</v>
      </c>
      <c r="D30" s="3">
        <f>IFERROR(('NVDA - Balance Sheet FY'!D47/'NVDA - Income Statement FY'!D38)/('NVDA - Balance Sheet FY'!G47/'NVDA - Income Statement FY'!G38)-1,"")</f>
        <v>1.5604523133980082</v>
      </c>
      <c r="E30" s="3">
        <f>IFERROR(('NVDA - Balance Sheet FY'!E47/'NVDA - Income Statement FY'!E38)/('NVDA - Balance Sheet FY'!H47/'NVDA - Income Statement FY'!H38)-1,"")</f>
        <v>0.78568091938442564</v>
      </c>
      <c r="F30" s="3"/>
      <c r="G30" s="3"/>
      <c r="H30" s="3"/>
      <c r="I30" s="3"/>
      <c r="J30" s="3"/>
      <c r="K30" s="3"/>
      <c r="L30" s="3"/>
      <c r="M30" s="3"/>
      <c r="N30" s="3"/>
      <c r="O30" s="3"/>
      <c r="P30" s="3"/>
      <c r="Q30" s="3"/>
      <c r="R30" s="3"/>
      <c r="S30" s="3"/>
      <c r="T30" s="3"/>
    </row>
    <row r="31" spans="1:20" x14ac:dyDescent="0.25">
      <c r="A31" s="3" t="s">
        <v>170</v>
      </c>
      <c r="B31" s="3"/>
      <c r="C31" s="3"/>
      <c r="D31" s="3"/>
      <c r="E31" s="3"/>
      <c r="F31" s="3"/>
      <c r="G31" s="3"/>
      <c r="H31" s="3"/>
      <c r="I31" s="3"/>
      <c r="J31" s="3"/>
      <c r="K31" s="3"/>
      <c r="L31" s="3"/>
      <c r="M31" s="3"/>
      <c r="N31" s="3"/>
      <c r="O31" s="3"/>
      <c r="P31" s="3"/>
      <c r="Q31" s="3"/>
      <c r="R31" s="3"/>
      <c r="S31" s="3"/>
      <c r="T31" s="3"/>
    </row>
    <row r="32" spans="1:20" x14ac:dyDescent="0.25">
      <c r="A32" s="3" t="s">
        <v>169</v>
      </c>
      <c r="B32" s="3">
        <f>IFERROR((-'NVDA - Cash Flow FY'!B29/'NVDA - Income Statement FY'!B38)/(-'NVDA - Cash Flow FY'!G29/'NVDA - Income Statement FY'!G38)-1,"")</f>
        <v>1.524767557262551</v>
      </c>
      <c r="C32" s="3">
        <f>IFERROR((-'NVDA - Cash Flow FY'!C29/'NVDA - Income Statement FY'!C38)/(-'NVDA - Cash Flow FY'!H29/'NVDA - Income Statement FY'!H38)-1,"")</f>
        <v>1.1312195303487029</v>
      </c>
      <c r="D32" s="3"/>
      <c r="E32" s="3"/>
      <c r="F32" s="3"/>
      <c r="G32" s="3"/>
      <c r="H32" s="3"/>
      <c r="I32" s="3"/>
      <c r="J32" s="3"/>
      <c r="K32" s="3"/>
      <c r="L32" s="3"/>
      <c r="M32" s="3"/>
      <c r="N32" s="3"/>
      <c r="O32" s="3"/>
      <c r="P32" s="3"/>
      <c r="Q32" s="3"/>
      <c r="R32" s="3"/>
      <c r="S32" s="3"/>
      <c r="T32" s="3"/>
    </row>
    <row r="33" spans="1:20" x14ac:dyDescent="0.25">
      <c r="A33" s="3" t="s">
        <v>168</v>
      </c>
      <c r="B33" s="3">
        <f>IFERROR((-'NVDA - Cash Flow FY'!B29/'NVDA - Income Statement FY'!B38)/(-'NVDA - Cash Flow FY'!E29/'NVDA - Income Statement FY'!E38)-1,"")</f>
        <v>1.5027417416691029</v>
      </c>
      <c r="C33" s="3">
        <f>IFERROR((-'NVDA - Cash Flow FY'!C29/'NVDA - Income Statement FY'!C38)/(-'NVDA - Cash Flow FY'!F29/'NVDA - Income Statement FY'!F38)-1,"")</f>
        <v>1.1362368184612475</v>
      </c>
      <c r="D33" s="3">
        <f>IFERROR((-'NVDA - Cash Flow FY'!D29/'NVDA - Income Statement FY'!D38)/(-'NVDA - Cash Flow FY'!G29/'NVDA - Income Statement FY'!G38)-1,"")</f>
        <v>6.4153969526863364E-3</v>
      </c>
      <c r="E33" s="3">
        <f>IFERROR((-'NVDA - Cash Flow FY'!E29/'NVDA - Income Statement FY'!E38)/(-'NVDA - Cash Flow FY'!H29/'NVDA - Income Statement FY'!H38)-1,"")</f>
        <v>6.2655334294743348E-3</v>
      </c>
      <c r="F33" s="3"/>
      <c r="G33" s="3"/>
      <c r="H33" s="3"/>
      <c r="I33" s="3"/>
      <c r="J33" s="3"/>
      <c r="K33" s="3"/>
      <c r="L33" s="3"/>
      <c r="M33" s="3"/>
      <c r="N33" s="3"/>
      <c r="O33" s="3"/>
      <c r="P33" s="3"/>
      <c r="Q33" s="3"/>
      <c r="R33" s="3"/>
      <c r="S33" s="3"/>
      <c r="T33" s="3"/>
    </row>
    <row r="34" spans="1:20" x14ac:dyDescent="0.25">
      <c r="A34" s="3" t="s">
        <v>167</v>
      </c>
      <c r="B34" s="3">
        <f>IFERROR('NVDA - Balance Sheet FY'!B10/'NVDA - Balance Sheet FY'!C10-1,"")</f>
        <v>0.6677216561890309</v>
      </c>
      <c r="C34" s="3">
        <f>IFERROR('NVDA - Balance Sheet FY'!C10/'NVDA - Balance Sheet FY'!D10-1,"")</f>
        <v>1.3067306730673067</v>
      </c>
      <c r="D34" s="3">
        <f>IFERROR('NVDA - Balance Sheet FY'!D10/'NVDA - Balance Sheet FY'!E10-1,"")</f>
        <v>1.6127515024823622</v>
      </c>
      <c r="E34" s="3">
        <f>IFERROR('NVDA - Balance Sheet FY'!E10/'NVDA - Balance Sheet FY'!F10-1,"")</f>
        <v>-0.17698924731182797</v>
      </c>
      <c r="F34" s="3">
        <f>IFERROR('NVDA - Balance Sheet FY'!F10/'NVDA - Balance Sheet FY'!G10-1,"")</f>
        <v>0.91436805269658294</v>
      </c>
      <c r="G34" s="3">
        <f>IFERROR('NVDA - Balance Sheet FY'!G10/'NVDA - Balance Sheet FY'!H10-1,"")</f>
        <v>0.46590223295111644</v>
      </c>
      <c r="H34" s="3"/>
      <c r="I34" s="3"/>
      <c r="J34" s="3"/>
      <c r="K34" s="3"/>
      <c r="L34" s="3"/>
      <c r="M34" s="3"/>
      <c r="N34" s="3"/>
      <c r="O34" s="3"/>
      <c r="P34" s="3"/>
      <c r="Q34" s="3"/>
      <c r="R34" s="3"/>
      <c r="S34" s="3"/>
      <c r="T34" s="3"/>
    </row>
    <row r="35" spans="1:20" x14ac:dyDescent="0.25">
      <c r="A35" s="3" t="s">
        <v>165</v>
      </c>
      <c r="B35" s="3">
        <f>IFERROR('NVDA - Balance Sheet FY'!B25/'NVDA - Balance Sheet FY'!C25-1,"")</f>
        <v>0.85305687225024873</v>
      </c>
      <c r="C35" s="3">
        <f>IFERROR('NVDA - Balance Sheet FY'!C25/'NVDA - Balance Sheet FY'!D25-1,"")</f>
        <v>0.6979217380720546</v>
      </c>
      <c r="D35" s="3">
        <f>IFERROR('NVDA - Balance Sheet FY'!D25/'NVDA - Balance Sheet FY'!E25-1,"")</f>
        <v>0.59603710358894668</v>
      </c>
      <c r="E35" s="3">
        <f>IFERROR('NVDA - Balance Sheet FY'!E25/'NVDA - Balance Sheet FY'!F25-1,"")</f>
        <v>-6.8006427229728161E-2</v>
      </c>
      <c r="F35" s="3">
        <f>IFERROR('NVDA - Balance Sheet FY'!F25/'NVDA - Balance Sheet FY'!G25-1,"")</f>
        <v>0.53475044284672291</v>
      </c>
      <c r="G35" s="3">
        <f>IFERROR('NVDA - Balance Sheet FY'!G25/'NVDA - Balance Sheet FY'!H25-1,"")</f>
        <v>0.66277793820386943</v>
      </c>
      <c r="H35" s="3"/>
      <c r="I35" s="3"/>
      <c r="J35" s="3"/>
      <c r="K35" s="3"/>
      <c r="L35" s="3"/>
      <c r="M35" s="3"/>
      <c r="N35" s="3"/>
      <c r="O35" s="3"/>
      <c r="P35" s="3"/>
      <c r="Q35" s="3"/>
      <c r="R35" s="3"/>
      <c r="S35" s="3"/>
      <c r="T35" s="3"/>
    </row>
    <row r="36" spans="1:20" x14ac:dyDescent="0.25">
      <c r="A36" s="3" t="s">
        <v>166</v>
      </c>
      <c r="B36" s="3">
        <f>IFERROR('NVDA - Balance Sheet FY'!B11/'NVDA - Balance Sheet FY'!C11-1,"")</f>
        <v>1.1233134920634922</v>
      </c>
      <c r="C36" s="3">
        <f>IFERROR('NVDA - Balance Sheet FY'!C11/'NVDA - Balance Sheet FY'!D11-1,"")</f>
        <v>0.90836804240817881</v>
      </c>
      <c r="D36" s="3">
        <f>IFERROR('NVDA - Balance Sheet FY'!D11/'NVDA - Balance Sheet FY'!E11-1,"")</f>
        <v>2.3841829811979132E-2</v>
      </c>
      <c r="E36" s="3">
        <f>IFERROR('NVDA - Balance Sheet FY'!E11/'NVDA - Balance Sheet FY'!F11-1,"")</f>
        <v>0.98042226487523987</v>
      </c>
      <c r="F36" s="3">
        <f>IFERROR('NVDA - Balance Sheet FY'!F11/'NVDA - Balance Sheet FY'!G11-1,"")</f>
        <v>0.42661555312157717</v>
      </c>
      <c r="G36" s="3">
        <f>IFERROR('NVDA - Balance Sheet FY'!G11/'NVDA - Balance Sheet FY'!H11-1,"")</f>
        <v>0.86516853932584259</v>
      </c>
      <c r="H36" s="3"/>
      <c r="I36" s="3"/>
      <c r="J36" s="3"/>
      <c r="K36" s="3"/>
      <c r="L36" s="3"/>
      <c r="M36" s="3"/>
      <c r="N36" s="3"/>
      <c r="O36" s="3"/>
      <c r="P36" s="3"/>
      <c r="Q36" s="3"/>
      <c r="R36" s="3"/>
      <c r="S36" s="3"/>
      <c r="T36" s="3"/>
    </row>
    <row r="37" spans="1:20" x14ac:dyDescent="0.25">
      <c r="A37" s="3" t="s">
        <v>164</v>
      </c>
      <c r="B37" s="3">
        <f>('NVDA - Balance Sheet FY'!B47/'NVDA - Income Statement FY'!B38)/('NVDA - Balance Sheet FY'!C47/'NVDA - Income Statement FY'!C38)-1</f>
        <v>1.0063001526819031</v>
      </c>
      <c r="C37" s="3">
        <f>('NVDA - Balance Sheet FY'!C47/'NVDA - Income Statement FY'!C38)/('NVDA - Balance Sheet FY'!D47/'NVDA - Income Statement FY'!D38)-1</f>
        <v>0.85587856296740261</v>
      </c>
      <c r="D37" s="3">
        <f>('NVDA - Balance Sheet FY'!D47/'NVDA - Income Statement FY'!D38)/('NVDA - Balance Sheet FY'!E47/'NVDA - Income Statement FY'!E38)-1</f>
        <v>0.95475423084086475</v>
      </c>
      <c r="E37" s="3">
        <f>('NVDA - Balance Sheet FY'!E47/'NVDA - Income Statement FY'!E38)/('NVDA - Balance Sheet FY'!F47/'NVDA - Income Statement FY'!F38)-1</f>
        <v>-0.1602344788867438</v>
      </c>
      <c r="F37" s="3">
        <f>('NVDA - Balance Sheet FY'!F47/'NVDA - Income Statement FY'!F38)/('NVDA - Balance Sheet FY'!G47/'NVDA - Income Statement FY'!G38)-1</f>
        <v>0.55979128873682371</v>
      </c>
      <c r="G37" s="3">
        <f>('NVDA - Balance Sheet FY'!G47/'NVDA - Income Statement FY'!G38)/('NVDA - Balance Sheet FY'!H47/'NVDA - Income Statement FY'!H38)-1</f>
        <v>0.36326199626273681</v>
      </c>
      <c r="H37" s="3"/>
      <c r="I37" s="3"/>
      <c r="J37" s="3"/>
      <c r="K37" s="3"/>
      <c r="L37" s="3"/>
      <c r="M37" s="3"/>
      <c r="N37" s="3"/>
      <c r="O37" s="3"/>
      <c r="P37" s="3"/>
      <c r="Q37" s="3"/>
      <c r="R37" s="3"/>
      <c r="S37" s="3"/>
      <c r="T37" s="3"/>
    </row>
    <row r="38" spans="1:20" x14ac:dyDescent="0.25">
      <c r="A38" s="3" t="s">
        <v>163</v>
      </c>
      <c r="B38" s="3">
        <f>IFERROR('NVDA - Balance Sheet FY'!B51/'NVDA - Balance Sheet FY'!C51-1,"")</f>
        <v>5.9080704241987192E-4</v>
      </c>
      <c r="C38" s="3">
        <f>IFERROR('NVDA - Balance Sheet FY'!C51/'NVDA - Balance Sheet FY'!D51-1,"")</f>
        <v>-0.12833453496755587</v>
      </c>
      <c r="D38" s="3">
        <f>IFERROR('NVDA - Balance Sheet FY'!D51/'NVDA - Balance Sheet FY'!E51-1,"")</f>
        <v>-0.11357618917191636</v>
      </c>
      <c r="E38" s="3">
        <f>IFERROR('NVDA - Balance Sheet FY'!E51/'NVDA - Balance Sheet FY'!F51-1,"")</f>
        <v>6.3950301479986926E-4</v>
      </c>
      <c r="F38" s="3">
        <f>IFERROR('NVDA - Balance Sheet FY'!F51/'NVDA - Balance Sheet FY'!G51-1,"")</f>
        <v>0.83534540576794103</v>
      </c>
      <c r="G38" s="3">
        <f>IFERROR('NVDA - Balance Sheet FY'!G51/'NVDA - Balance Sheet FY'!H51-1,"")</f>
        <v>1.9954796584630841</v>
      </c>
      <c r="H38" s="3"/>
      <c r="I38" s="3"/>
      <c r="J38" s="3"/>
      <c r="K38" s="3"/>
      <c r="L38" s="3"/>
      <c r="M38" s="3"/>
      <c r="N38" s="3"/>
      <c r="O38" s="3"/>
      <c r="P38" s="3"/>
      <c r="Q38" s="3"/>
      <c r="R38" s="3"/>
      <c r="S38" s="3"/>
      <c r="T38" s="3"/>
    </row>
    <row r="39" spans="1:20" x14ac:dyDescent="0.25">
      <c r="A39" s="3" t="s">
        <v>162</v>
      </c>
      <c r="B39" s="3">
        <f>IFERROR('NVDA - Income Statement FY'!B13/'NVDA - Income Statement FY'!C13-1,"")</f>
        <v>0.4323215115378658</v>
      </c>
      <c r="C39" s="3">
        <f>IFERROR('NVDA - Income Statement FY'!C13/'NVDA - Income Statement FY'!D13-1,"")</f>
        <v>0.48864553314121029</v>
      </c>
      <c r="D39" s="3">
        <f>IFERROR('NVDA - Income Statement FY'!D13/'NVDA - Income Statement FY'!E13-1,"")</f>
        <v>0.18204115002043886</v>
      </c>
      <c r="E39" s="3">
        <f>IFERROR('NVDA - Income Statement FY'!E13/'NVDA - Income Statement FY'!F13-1,"")</f>
        <v>0.39312832194381175</v>
      </c>
      <c r="F39" s="3">
        <f>IFERROR('NVDA - Income Statement FY'!F13/'NVDA - Income Statement FY'!G13-1,"")</f>
        <v>0.34250764525993893</v>
      </c>
      <c r="G39" s="3">
        <f>IFERROR('NVDA - Income Statement FY'!G13/'NVDA - Income Statement FY'!H13-1,"")</f>
        <v>0.38706256627783664</v>
      </c>
      <c r="H39" s="3"/>
      <c r="I39" s="3"/>
      <c r="J39" s="3"/>
      <c r="K39" s="3"/>
      <c r="L39" s="3"/>
      <c r="M39" s="3"/>
      <c r="N39" s="3"/>
      <c r="O39" s="3"/>
      <c r="P39" s="3"/>
      <c r="Q39" s="3"/>
      <c r="R39" s="3"/>
      <c r="S39" s="3"/>
      <c r="T39" s="3"/>
    </row>
    <row r="40" spans="1:20" x14ac:dyDescent="0.25">
      <c r="A40" s="3" t="s">
        <v>161</v>
      </c>
      <c r="B40" s="3">
        <f>IFERROR('NVDA - Income Statement FY'!B14/'NVDA - Income Statement FY'!C14-1,"")</f>
        <v>0.31165855055857916</v>
      </c>
      <c r="C40" s="3">
        <f>IFERROR('NVDA - Income Statement FY'!C14/'NVDA - Income Statement FY'!D14-1,"")</f>
        <v>0.31537302185380556</v>
      </c>
      <c r="D40" s="3">
        <f>IFERROR('NVDA - Income Statement FY'!D14/'NVDA - Income Statement FY'!E14-1,"")</f>
        <v>8.7704918032786905E-2</v>
      </c>
      <c r="E40" s="3">
        <f>IFERROR('NVDA - Income Statement FY'!E14/'NVDA - Income Statement FY'!F14-1,"")</f>
        <v>0.12650046168051698</v>
      </c>
      <c r="F40" s="3">
        <f>IFERROR('NVDA - Income Statement FY'!F14/'NVDA - Income Statement FY'!G14-1,"")</f>
        <v>0.11649484536082477</v>
      </c>
      <c r="G40" s="3">
        <f>IFERROR('NVDA - Income Statement FY'!G14/'NVDA - Income Statement FY'!H14-1,"")</f>
        <v>0.77493138151875574</v>
      </c>
      <c r="H40" s="3"/>
      <c r="I40" s="3"/>
      <c r="J40" s="3"/>
      <c r="K40" s="3"/>
      <c r="L40" s="3"/>
      <c r="M40" s="3"/>
      <c r="N40" s="3"/>
      <c r="O40" s="3"/>
      <c r="P40" s="3"/>
      <c r="Q40" s="3"/>
      <c r="R40" s="3"/>
      <c r="S40" s="3"/>
      <c r="T40" s="3"/>
    </row>
  </sheetData>
  <mergeCells count="1">
    <mergeCell ref="B4:T4"/>
  </mergeCells>
  <pageMargins left="0.7" right="0.7" top="0.75" bottom="0.75" header="0.3" footer="0.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11912C-B315-48FF-AB7F-0FF9403D716F}">
  <sheetPr>
    <tabColor rgb="FFC6E0B4"/>
  </sheetPr>
  <dimension ref="A1:T38"/>
  <sheetViews>
    <sheetView topLeftCell="A4" workbookViewId="0"/>
  </sheetViews>
  <sheetFormatPr defaultRowHeight="15" x14ac:dyDescent="0.25"/>
  <cols>
    <col min="1" max="1" width="40.7109375" bestFit="1" customWidth="1"/>
    <col min="2" max="12" width="18.28515625" bestFit="1" customWidth="1"/>
    <col min="13" max="20" width="17.28515625" bestFit="1" customWidth="1"/>
  </cols>
  <sheetData>
    <row r="1" spans="1:20" x14ac:dyDescent="0.25">
      <c r="A1" s="10" t="s">
        <v>215</v>
      </c>
      <c r="B1" s="10"/>
      <c r="C1" s="10"/>
      <c r="D1" s="10"/>
      <c r="E1" s="10"/>
      <c r="F1" s="10"/>
      <c r="G1" s="10"/>
      <c r="H1" s="10"/>
      <c r="I1" s="10"/>
      <c r="J1" s="10"/>
      <c r="K1" s="10"/>
      <c r="L1" s="10"/>
      <c r="M1" s="10"/>
      <c r="N1" s="10"/>
      <c r="O1" s="10"/>
      <c r="P1" s="10"/>
      <c r="Q1" s="10"/>
      <c r="R1" s="10"/>
      <c r="S1" s="10"/>
      <c r="T1" s="10"/>
    </row>
    <row r="2" spans="1:20" x14ac:dyDescent="0.25">
      <c r="A2" t="s">
        <v>1</v>
      </c>
      <c r="B2" t="s">
        <v>216</v>
      </c>
    </row>
    <row r="3" spans="1:20" x14ac:dyDescent="0.25">
      <c r="A3" t="s">
        <v>3</v>
      </c>
      <c r="B3" t="s">
        <v>4</v>
      </c>
    </row>
    <row r="4" spans="1:20" x14ac:dyDescent="0.25">
      <c r="A4" t="s">
        <v>32</v>
      </c>
      <c r="B4" s="236" t="s">
        <v>33</v>
      </c>
      <c r="C4" s="236"/>
      <c r="D4" s="236"/>
      <c r="E4" s="236"/>
      <c r="F4" s="236"/>
      <c r="G4" s="236"/>
      <c r="H4" s="236"/>
      <c r="I4" s="236"/>
      <c r="J4" s="236"/>
      <c r="K4" s="236"/>
      <c r="L4" s="236"/>
      <c r="M4" s="236"/>
      <c r="N4" s="236"/>
      <c r="O4" s="236"/>
      <c r="P4" s="236"/>
      <c r="Q4" s="236"/>
      <c r="R4" s="236"/>
      <c r="S4" s="236"/>
      <c r="T4" s="236"/>
    </row>
    <row r="5" spans="1:20" x14ac:dyDescent="0.25">
      <c r="A5" t="s">
        <v>34</v>
      </c>
      <c r="B5" s="8">
        <v>46022</v>
      </c>
      <c r="C5" s="8">
        <v>45657</v>
      </c>
      <c r="D5" s="8">
        <v>45291</v>
      </c>
      <c r="E5" s="8">
        <v>44926</v>
      </c>
      <c r="F5" s="8">
        <v>44561</v>
      </c>
      <c r="G5" s="8">
        <v>44196</v>
      </c>
      <c r="H5" s="8">
        <v>43830</v>
      </c>
      <c r="I5" s="8"/>
      <c r="J5" s="8"/>
      <c r="K5" s="8"/>
      <c r="L5" s="8"/>
      <c r="M5" s="8"/>
      <c r="N5" s="8"/>
      <c r="O5" s="8"/>
      <c r="P5" s="8"/>
      <c r="Q5" s="8"/>
      <c r="R5" s="8"/>
      <c r="S5" s="8"/>
      <c r="T5" s="8"/>
    </row>
    <row r="7" spans="1:20" x14ac:dyDescent="0.25">
      <c r="A7" s="1" t="s">
        <v>31</v>
      </c>
      <c r="B7" s="1">
        <v>200966</v>
      </c>
      <c r="C7" s="1">
        <v>164501</v>
      </c>
      <c r="D7" s="1">
        <v>134902</v>
      </c>
      <c r="E7" s="1">
        <v>116609</v>
      </c>
      <c r="F7" s="1">
        <v>117929</v>
      </c>
      <c r="G7" s="1">
        <v>85965</v>
      </c>
      <c r="H7" s="1">
        <v>70697</v>
      </c>
      <c r="I7" s="1"/>
      <c r="J7" s="1"/>
      <c r="K7" s="1"/>
      <c r="L7" s="1"/>
      <c r="M7" s="1"/>
      <c r="N7" s="1"/>
      <c r="O7" s="1"/>
      <c r="P7" s="1"/>
      <c r="Q7" s="1"/>
      <c r="R7" s="1"/>
      <c r="S7" s="1"/>
      <c r="T7" s="1"/>
    </row>
    <row r="9" spans="1:20" x14ac:dyDescent="0.25">
      <c r="A9" s="1" t="s">
        <v>30</v>
      </c>
      <c r="B9" s="1">
        <v>36175</v>
      </c>
      <c r="C9" s="1">
        <v>30161</v>
      </c>
      <c r="D9" s="1">
        <v>25959</v>
      </c>
      <c r="E9" s="1">
        <v>25249</v>
      </c>
      <c r="F9" s="1">
        <v>22649</v>
      </c>
      <c r="G9" s="1">
        <v>16692</v>
      </c>
      <c r="H9" s="1">
        <v>12770</v>
      </c>
      <c r="I9" s="1"/>
      <c r="J9" s="1"/>
      <c r="K9" s="1"/>
      <c r="L9" s="1"/>
      <c r="M9" s="1"/>
      <c r="N9" s="1"/>
      <c r="O9" s="1"/>
      <c r="P9" s="1"/>
      <c r="Q9" s="1"/>
      <c r="R9" s="1"/>
      <c r="S9" s="1"/>
      <c r="T9" s="1"/>
    </row>
    <row r="10" spans="1:20" x14ac:dyDescent="0.25">
      <c r="A10" s="6" t="s">
        <v>29</v>
      </c>
      <c r="B10" s="4">
        <f t="shared" ref="B10:H10" si="0">B7-B9</f>
        <v>164791</v>
      </c>
      <c r="C10" s="4">
        <f t="shared" si="0"/>
        <v>134340</v>
      </c>
      <c r="D10" s="4">
        <f t="shared" si="0"/>
        <v>108943</v>
      </c>
      <c r="E10" s="4">
        <f t="shared" si="0"/>
        <v>91360</v>
      </c>
      <c r="F10" s="4">
        <f t="shared" si="0"/>
        <v>95280</v>
      </c>
      <c r="G10" s="4">
        <f t="shared" si="0"/>
        <v>69273</v>
      </c>
      <c r="H10" s="4">
        <f t="shared" si="0"/>
        <v>57927</v>
      </c>
      <c r="I10" s="4"/>
      <c r="J10" s="4"/>
      <c r="K10" s="4"/>
      <c r="L10" s="4"/>
      <c r="M10" s="4"/>
      <c r="N10" s="4"/>
      <c r="O10" s="4"/>
      <c r="P10" s="4"/>
      <c r="Q10" s="4"/>
      <c r="R10" s="4"/>
      <c r="S10" s="4"/>
      <c r="T10" s="4"/>
    </row>
    <row r="11" spans="1:20" x14ac:dyDescent="0.25">
      <c r="A11" s="3" t="s">
        <v>28</v>
      </c>
      <c r="B11" s="3">
        <f t="shared" ref="B11:H11" si="1">B10/B7</f>
        <v>0.81999442691798607</v>
      </c>
      <c r="C11" s="3">
        <f t="shared" si="1"/>
        <v>0.81665157050717019</v>
      </c>
      <c r="D11" s="3">
        <f t="shared" si="1"/>
        <v>0.8075714222176098</v>
      </c>
      <c r="E11" s="3">
        <f t="shared" si="1"/>
        <v>0.78347297378418479</v>
      </c>
      <c r="F11" s="3">
        <f t="shared" si="1"/>
        <v>0.80794376277251567</v>
      </c>
      <c r="G11" s="3">
        <f t="shared" si="1"/>
        <v>0.80582795323678236</v>
      </c>
      <c r="H11" s="3">
        <f t="shared" si="1"/>
        <v>0.81936998741106415</v>
      </c>
      <c r="I11" s="3"/>
      <c r="J11" s="3"/>
      <c r="K11" s="3"/>
      <c r="L11" s="3"/>
      <c r="M11" s="3"/>
      <c r="N11" s="3"/>
      <c r="O11" s="3"/>
      <c r="P11" s="3"/>
      <c r="Q11" s="3"/>
      <c r="R11" s="3"/>
      <c r="S11" s="3"/>
      <c r="T11" s="3"/>
    </row>
    <row r="13" spans="1:20" x14ac:dyDescent="0.25">
      <c r="A13" s="1" t="s">
        <v>27</v>
      </c>
      <c r="B13" s="1">
        <v>57372</v>
      </c>
      <c r="C13" s="1">
        <v>43873</v>
      </c>
      <c r="D13" s="1">
        <v>38483</v>
      </c>
      <c r="E13" s="1">
        <v>35338</v>
      </c>
      <c r="F13" s="1">
        <v>24655</v>
      </c>
      <c r="G13" s="1">
        <v>18447</v>
      </c>
      <c r="H13" s="1">
        <v>13600</v>
      </c>
      <c r="I13" s="1"/>
      <c r="J13" s="1"/>
      <c r="K13" s="1"/>
      <c r="L13" s="1"/>
      <c r="M13" s="1"/>
      <c r="N13" s="1"/>
      <c r="O13" s="1"/>
      <c r="P13" s="1"/>
      <c r="Q13" s="1"/>
      <c r="R13" s="1"/>
      <c r="S13" s="1"/>
      <c r="T13" s="1"/>
    </row>
    <row r="14" spans="1:20" x14ac:dyDescent="0.25">
      <c r="A14" s="1" t="s">
        <v>24</v>
      </c>
      <c r="B14" s="1">
        <f t="shared" ref="B14:H14" si="2">B16+B15</f>
        <v>24143</v>
      </c>
      <c r="C14" s="1">
        <f t="shared" si="2"/>
        <v>21087</v>
      </c>
      <c r="D14" s="1">
        <f t="shared" si="2"/>
        <v>23709</v>
      </c>
      <c r="E14" s="1">
        <f t="shared" si="2"/>
        <v>27078</v>
      </c>
      <c r="F14" s="1">
        <f t="shared" si="2"/>
        <v>23872</v>
      </c>
      <c r="G14" s="1">
        <f t="shared" si="2"/>
        <v>18155</v>
      </c>
      <c r="H14" s="1">
        <f t="shared" si="2"/>
        <v>20341</v>
      </c>
      <c r="I14" s="1"/>
      <c r="J14" s="1"/>
      <c r="K14" s="1"/>
      <c r="L14" s="1"/>
      <c r="M14" s="1"/>
      <c r="N14" s="1"/>
      <c r="O14" s="1"/>
      <c r="P14" s="1"/>
      <c r="Q14" s="1"/>
      <c r="R14" s="1"/>
      <c r="S14" s="1"/>
      <c r="T14" s="1"/>
    </row>
    <row r="15" spans="1:20" x14ac:dyDescent="0.25">
      <c r="A15" s="1" t="s">
        <v>26</v>
      </c>
      <c r="B15" s="1">
        <v>12152</v>
      </c>
      <c r="C15" s="1">
        <v>9740</v>
      </c>
      <c r="D15" s="1">
        <v>11408</v>
      </c>
      <c r="E15" s="1">
        <v>11816</v>
      </c>
      <c r="F15" s="1">
        <v>9829</v>
      </c>
      <c r="G15" s="1">
        <v>6564</v>
      </c>
      <c r="H15" s="1">
        <v>10465</v>
      </c>
      <c r="I15" s="1"/>
      <c r="J15" s="1"/>
      <c r="K15" s="1"/>
      <c r="L15" s="1"/>
      <c r="M15" s="1"/>
      <c r="N15" s="1"/>
      <c r="O15" s="1"/>
      <c r="P15" s="1"/>
      <c r="Q15" s="1"/>
      <c r="R15" s="1"/>
      <c r="S15" s="1"/>
      <c r="T15" s="1"/>
    </row>
    <row r="16" spans="1:20" x14ac:dyDescent="0.25">
      <c r="A16" s="1" t="s">
        <v>25</v>
      </c>
      <c r="B16" s="1">
        <v>11991</v>
      </c>
      <c r="C16" s="1">
        <v>11347</v>
      </c>
      <c r="D16" s="1">
        <v>12301</v>
      </c>
      <c r="E16" s="1">
        <v>15262</v>
      </c>
      <c r="F16" s="1">
        <v>14043</v>
      </c>
      <c r="G16" s="1">
        <v>11591</v>
      </c>
      <c r="H16" s="1">
        <v>9876</v>
      </c>
      <c r="I16" s="1"/>
      <c r="J16" s="1"/>
      <c r="K16" s="1"/>
      <c r="L16" s="1"/>
      <c r="M16" s="1"/>
      <c r="N16" s="1"/>
      <c r="O16" s="1"/>
      <c r="P16" s="1"/>
      <c r="Q16" s="1"/>
      <c r="R16" s="1"/>
      <c r="S16" s="1"/>
      <c r="T16" s="1"/>
    </row>
    <row r="17" spans="1:20" x14ac:dyDescent="0.25">
      <c r="A17" s="1" t="s">
        <v>23</v>
      </c>
      <c r="B17" s="1">
        <v>0</v>
      </c>
      <c r="C17" s="1">
        <v>0</v>
      </c>
      <c r="D17" s="1">
        <v>0</v>
      </c>
      <c r="E17" s="1">
        <v>0</v>
      </c>
      <c r="F17" s="1">
        <v>0</v>
      </c>
      <c r="G17" s="1">
        <v>0</v>
      </c>
      <c r="H17" s="1">
        <v>0</v>
      </c>
      <c r="I17" s="1"/>
      <c r="J17" s="1"/>
      <c r="K17" s="1"/>
      <c r="L17" s="1"/>
      <c r="M17" s="1"/>
      <c r="N17" s="1"/>
      <c r="O17" s="1"/>
      <c r="P17" s="1"/>
      <c r="Q17" s="1"/>
      <c r="R17" s="1"/>
      <c r="S17" s="1"/>
      <c r="T17" s="1"/>
    </row>
    <row r="18" spans="1:20" x14ac:dyDescent="0.25">
      <c r="A18" s="6" t="s">
        <v>22</v>
      </c>
      <c r="B18" s="4">
        <f t="shared" ref="B18:H18" si="3">B13+B14+B17</f>
        <v>81515</v>
      </c>
      <c r="C18" s="4">
        <f t="shared" si="3"/>
        <v>64960</v>
      </c>
      <c r="D18" s="4">
        <f t="shared" si="3"/>
        <v>62192</v>
      </c>
      <c r="E18" s="4">
        <f t="shared" si="3"/>
        <v>62416</v>
      </c>
      <c r="F18" s="4">
        <f t="shared" si="3"/>
        <v>48527</v>
      </c>
      <c r="G18" s="4">
        <f t="shared" si="3"/>
        <v>36602</v>
      </c>
      <c r="H18" s="4">
        <f t="shared" si="3"/>
        <v>33941</v>
      </c>
      <c r="I18" s="4"/>
      <c r="J18" s="4"/>
      <c r="K18" s="4"/>
      <c r="L18" s="4"/>
      <c r="M18" s="4"/>
      <c r="N18" s="4"/>
      <c r="O18" s="4"/>
      <c r="P18" s="4"/>
      <c r="Q18" s="4"/>
      <c r="R18" s="4"/>
      <c r="S18" s="4"/>
      <c r="T18" s="4"/>
    </row>
    <row r="20" spans="1:20" x14ac:dyDescent="0.25">
      <c r="A20" s="1" t="s">
        <v>21</v>
      </c>
      <c r="B20" s="1">
        <f t="shared" ref="B20:H20" si="4">B9+B18</f>
        <v>117690</v>
      </c>
      <c r="C20" s="1">
        <f t="shared" si="4"/>
        <v>95121</v>
      </c>
      <c r="D20" s="1">
        <f t="shared" si="4"/>
        <v>88151</v>
      </c>
      <c r="E20" s="1">
        <f t="shared" si="4"/>
        <v>87665</v>
      </c>
      <c r="F20" s="1">
        <f t="shared" si="4"/>
        <v>71176</v>
      </c>
      <c r="G20" s="1">
        <f t="shared" si="4"/>
        <v>53294</v>
      </c>
      <c r="H20" s="1">
        <f t="shared" si="4"/>
        <v>46711</v>
      </c>
      <c r="I20" s="1"/>
      <c r="J20" s="1"/>
      <c r="K20" s="1"/>
      <c r="L20" s="1"/>
      <c r="M20" s="1"/>
      <c r="N20" s="1"/>
      <c r="O20" s="1"/>
      <c r="P20" s="1"/>
      <c r="Q20" s="1"/>
      <c r="R20" s="1"/>
      <c r="S20" s="1"/>
      <c r="T20" s="1"/>
    </row>
    <row r="21" spans="1:20" x14ac:dyDescent="0.25">
      <c r="A21" s="1" t="s">
        <v>18</v>
      </c>
      <c r="B21" s="1">
        <f t="shared" ref="B21:H21" si="5">B25+B24</f>
        <v>101892</v>
      </c>
      <c r="C21" s="1">
        <f t="shared" si="5"/>
        <v>84878</v>
      </c>
      <c r="D21" s="1">
        <f t="shared" si="5"/>
        <v>57929</v>
      </c>
      <c r="E21" s="1">
        <f t="shared" si="5"/>
        <v>37630</v>
      </c>
      <c r="F21" s="1">
        <f t="shared" si="5"/>
        <v>54720</v>
      </c>
      <c r="G21" s="1">
        <f t="shared" si="5"/>
        <v>39533</v>
      </c>
      <c r="H21" s="1">
        <f t="shared" si="5"/>
        <v>29727</v>
      </c>
      <c r="I21" s="1"/>
      <c r="J21" s="1"/>
      <c r="K21" s="1"/>
      <c r="L21" s="1"/>
      <c r="M21" s="1"/>
      <c r="N21" s="1"/>
      <c r="O21" s="1"/>
      <c r="P21" s="1"/>
      <c r="Q21" s="1"/>
      <c r="R21" s="1"/>
      <c r="S21" s="1"/>
      <c r="T21" s="1"/>
    </row>
    <row r="22" spans="1:20" x14ac:dyDescent="0.25">
      <c r="A22" s="3" t="s">
        <v>17</v>
      </c>
      <c r="B22" s="3">
        <f t="shared" ref="B22:H22" si="6">B21/B7</f>
        <v>0.50701113621209559</v>
      </c>
      <c r="C22" s="3">
        <f t="shared" si="6"/>
        <v>0.51597254727934783</v>
      </c>
      <c r="D22" s="3">
        <f t="shared" si="6"/>
        <v>0.42941542749551526</v>
      </c>
      <c r="E22" s="3">
        <f t="shared" si="6"/>
        <v>0.32270236431150257</v>
      </c>
      <c r="F22" s="3">
        <f t="shared" si="6"/>
        <v>0.46400800481645738</v>
      </c>
      <c r="G22" s="3">
        <f t="shared" si="6"/>
        <v>0.45987320421101613</v>
      </c>
      <c r="H22" s="3">
        <f t="shared" si="6"/>
        <v>0.42048460330707105</v>
      </c>
      <c r="I22" s="3"/>
      <c r="J22" s="3"/>
      <c r="K22" s="3"/>
      <c r="L22" s="3"/>
      <c r="M22" s="3"/>
      <c r="N22" s="3"/>
      <c r="O22" s="3"/>
      <c r="P22" s="3"/>
      <c r="Q22" s="3"/>
      <c r="R22" s="3"/>
      <c r="S22" s="3"/>
      <c r="T22" s="3"/>
    </row>
    <row r="23" spans="1:20" x14ac:dyDescent="0.25">
      <c r="A23" s="1" t="s">
        <v>20</v>
      </c>
      <c r="B23" s="1">
        <v>0</v>
      </c>
      <c r="C23" s="1">
        <v>0</v>
      </c>
      <c r="D23" s="1">
        <v>0</v>
      </c>
      <c r="E23" s="1">
        <v>0</v>
      </c>
      <c r="F23" s="1">
        <v>0</v>
      </c>
      <c r="G23" s="1">
        <v>0</v>
      </c>
      <c r="H23" s="1">
        <v>0</v>
      </c>
      <c r="I23" s="1"/>
      <c r="J23" s="1"/>
      <c r="K23" s="1"/>
      <c r="L23" s="1"/>
      <c r="M23" s="1"/>
      <c r="N23" s="1"/>
      <c r="O23" s="1"/>
      <c r="P23" s="1"/>
      <c r="Q23" s="1"/>
      <c r="R23" s="1"/>
      <c r="S23" s="1"/>
      <c r="T23" s="1"/>
    </row>
    <row r="24" spans="1:20" x14ac:dyDescent="0.25">
      <c r="A24" s="1" t="s">
        <v>19</v>
      </c>
      <c r="B24" s="1">
        <v>18616</v>
      </c>
      <c r="C24" s="1">
        <v>15498</v>
      </c>
      <c r="D24" s="1">
        <v>11178</v>
      </c>
      <c r="E24" s="1">
        <v>8686</v>
      </c>
      <c r="F24" s="1">
        <v>7967</v>
      </c>
      <c r="G24" s="1">
        <v>6862</v>
      </c>
      <c r="H24" s="1">
        <v>5741</v>
      </c>
      <c r="I24" s="1"/>
      <c r="J24" s="1"/>
      <c r="K24" s="1"/>
      <c r="L24" s="1"/>
      <c r="M24" s="1"/>
      <c r="N24" s="1"/>
      <c r="O24" s="1"/>
      <c r="P24" s="1"/>
      <c r="Q24" s="1"/>
      <c r="R24" s="1"/>
      <c r="S24" s="1"/>
      <c r="T24" s="1"/>
    </row>
    <row r="25" spans="1:20" x14ac:dyDescent="0.25">
      <c r="A25" s="6" t="s">
        <v>16</v>
      </c>
      <c r="B25" s="5">
        <v>83276</v>
      </c>
      <c r="C25" s="5">
        <v>69380</v>
      </c>
      <c r="D25" s="5">
        <v>46751</v>
      </c>
      <c r="E25" s="5">
        <v>28944</v>
      </c>
      <c r="F25" s="5">
        <v>46753</v>
      </c>
      <c r="G25" s="5">
        <v>32671</v>
      </c>
      <c r="H25" s="5">
        <v>23986</v>
      </c>
      <c r="I25" s="5"/>
      <c r="J25" s="5"/>
      <c r="K25" s="5"/>
      <c r="L25" s="5"/>
      <c r="M25" s="5"/>
      <c r="N25" s="5"/>
      <c r="O25" s="5"/>
      <c r="P25" s="5"/>
      <c r="Q25" s="5"/>
      <c r="R25" s="5"/>
      <c r="S25" s="5"/>
      <c r="T25" s="5"/>
    </row>
    <row r="26" spans="1:20" x14ac:dyDescent="0.25">
      <c r="A26" s="3" t="s">
        <v>15</v>
      </c>
      <c r="B26" s="7">
        <f t="shared" ref="B26:H26" si="7">B25/B7</f>
        <v>0.41437855159579234</v>
      </c>
      <c r="C26" s="7">
        <f t="shared" si="7"/>
        <v>0.42176035404040096</v>
      </c>
      <c r="D26" s="7">
        <f t="shared" si="7"/>
        <v>0.34655527716416362</v>
      </c>
      <c r="E26" s="7">
        <f t="shared" si="7"/>
        <v>0.24821411726367604</v>
      </c>
      <c r="F26" s="7">
        <f t="shared" si="7"/>
        <v>0.39645040660058173</v>
      </c>
      <c r="G26" s="7">
        <f t="shared" si="7"/>
        <v>0.3800500203571221</v>
      </c>
      <c r="H26" s="7">
        <f t="shared" si="7"/>
        <v>0.33927889443682191</v>
      </c>
      <c r="I26" s="7"/>
      <c r="J26" s="7"/>
      <c r="K26" s="7"/>
      <c r="L26" s="7"/>
      <c r="M26" s="7"/>
      <c r="N26" s="7"/>
      <c r="O26" s="7"/>
      <c r="P26" s="7"/>
      <c r="Q26" s="7"/>
      <c r="R26" s="7"/>
      <c r="S26" s="7"/>
      <c r="T26" s="7"/>
    </row>
    <row r="28" spans="1:20" x14ac:dyDescent="0.25">
      <c r="A28" s="1" t="s">
        <v>14</v>
      </c>
      <c r="B28" s="1">
        <f t="shared" ref="B28:H28" si="8">B29-B25</f>
        <v>2656</v>
      </c>
      <c r="C28" s="1">
        <f t="shared" si="8"/>
        <v>1283</v>
      </c>
      <c r="D28" s="1">
        <f t="shared" si="8"/>
        <v>677</v>
      </c>
      <c r="E28" s="1">
        <f t="shared" si="8"/>
        <v>-125</v>
      </c>
      <c r="F28" s="1">
        <f t="shared" si="8"/>
        <v>531</v>
      </c>
      <c r="G28" s="1">
        <f t="shared" si="8"/>
        <v>509</v>
      </c>
      <c r="H28" s="1">
        <f t="shared" si="8"/>
        <v>826</v>
      </c>
      <c r="I28" s="1"/>
      <c r="J28" s="1"/>
      <c r="K28" s="1"/>
      <c r="L28" s="1"/>
      <c r="M28" s="1"/>
      <c r="N28" s="1"/>
      <c r="O28" s="1"/>
      <c r="P28" s="1"/>
      <c r="Q28" s="1"/>
      <c r="R28" s="1"/>
      <c r="S28" s="1"/>
      <c r="T28" s="1"/>
    </row>
    <row r="29" spans="1:20" x14ac:dyDescent="0.25">
      <c r="A29" s="1" t="s">
        <v>13</v>
      </c>
      <c r="B29" s="1">
        <v>85932</v>
      </c>
      <c r="C29" s="1">
        <v>70663</v>
      </c>
      <c r="D29" s="1">
        <v>47428</v>
      </c>
      <c r="E29" s="1">
        <v>28819</v>
      </c>
      <c r="F29" s="1">
        <v>47284</v>
      </c>
      <c r="G29" s="1">
        <v>33180</v>
      </c>
      <c r="H29" s="1">
        <v>24812</v>
      </c>
      <c r="I29" s="1"/>
      <c r="J29" s="1"/>
      <c r="K29" s="1"/>
      <c r="L29" s="1"/>
      <c r="M29" s="1"/>
      <c r="N29" s="1"/>
      <c r="O29" s="1"/>
      <c r="P29" s="1"/>
      <c r="Q29" s="1"/>
      <c r="R29" s="1"/>
      <c r="S29" s="1"/>
      <c r="T29" s="1"/>
    </row>
    <row r="30" spans="1:20" x14ac:dyDescent="0.25">
      <c r="A30" s="2" t="s">
        <v>12</v>
      </c>
      <c r="B30" s="2">
        <f t="shared" ref="B30:H30" si="9">B29/B7</f>
        <v>0.42759471751440542</v>
      </c>
      <c r="C30" s="2">
        <f t="shared" si="9"/>
        <v>0.42955969872523569</v>
      </c>
      <c r="D30" s="2">
        <f t="shared" si="9"/>
        <v>0.35157373500763517</v>
      </c>
      <c r="E30" s="2">
        <f t="shared" si="9"/>
        <v>0.24714215883851159</v>
      </c>
      <c r="F30" s="2">
        <f t="shared" si="9"/>
        <v>0.40095311585784665</v>
      </c>
      <c r="G30" s="2">
        <f t="shared" si="9"/>
        <v>0.38597103472343397</v>
      </c>
      <c r="H30" s="2">
        <f t="shared" si="9"/>
        <v>0.350962558524407</v>
      </c>
      <c r="I30" s="2"/>
      <c r="J30" s="2"/>
      <c r="K30" s="2"/>
      <c r="L30" s="2"/>
      <c r="M30" s="2"/>
      <c r="N30" s="2"/>
      <c r="O30" s="2"/>
      <c r="P30" s="2"/>
      <c r="Q30" s="2"/>
      <c r="R30" s="2"/>
      <c r="S30" s="2"/>
      <c r="T30" s="2"/>
    </row>
    <row r="31" spans="1:20" x14ac:dyDescent="0.25">
      <c r="A31" s="1" t="s">
        <v>11</v>
      </c>
      <c r="B31" s="1">
        <v>25474</v>
      </c>
      <c r="C31" s="1">
        <v>8303</v>
      </c>
      <c r="D31" s="1">
        <v>8330</v>
      </c>
      <c r="E31" s="1">
        <v>5619</v>
      </c>
      <c r="F31" s="1">
        <v>7914</v>
      </c>
      <c r="G31" s="1">
        <v>4034</v>
      </c>
      <c r="H31" s="1">
        <v>6327</v>
      </c>
      <c r="I31" s="1"/>
      <c r="J31" s="1"/>
      <c r="K31" s="1"/>
      <c r="L31" s="1"/>
      <c r="M31" s="1"/>
      <c r="N31" s="1"/>
      <c r="O31" s="1"/>
      <c r="P31" s="1"/>
      <c r="Q31" s="1"/>
      <c r="R31" s="1"/>
      <c r="S31" s="1"/>
      <c r="T31" s="1"/>
    </row>
    <row r="32" spans="1:20" x14ac:dyDescent="0.25">
      <c r="A32" s="6" t="s">
        <v>10</v>
      </c>
      <c r="B32" s="5">
        <f t="shared" ref="B32:H32" si="10">B29-B31</f>
        <v>60458</v>
      </c>
      <c r="C32" s="5">
        <f t="shared" si="10"/>
        <v>62360</v>
      </c>
      <c r="D32" s="5">
        <f t="shared" si="10"/>
        <v>39098</v>
      </c>
      <c r="E32" s="5">
        <f t="shared" si="10"/>
        <v>23200</v>
      </c>
      <c r="F32" s="5">
        <f t="shared" si="10"/>
        <v>39370</v>
      </c>
      <c r="G32" s="5">
        <f t="shared" si="10"/>
        <v>29146</v>
      </c>
      <c r="H32" s="5">
        <f t="shared" si="10"/>
        <v>18485</v>
      </c>
      <c r="I32" s="5"/>
      <c r="J32" s="5"/>
      <c r="K32" s="5"/>
      <c r="L32" s="5"/>
      <c r="M32" s="5"/>
      <c r="N32" s="5"/>
      <c r="O32" s="5"/>
      <c r="P32" s="5"/>
      <c r="Q32" s="5"/>
      <c r="R32" s="5"/>
      <c r="S32" s="5"/>
      <c r="T32" s="5"/>
    </row>
    <row r="34" spans="1:20" x14ac:dyDescent="0.25">
      <c r="A34" s="3" t="s">
        <v>9</v>
      </c>
      <c r="B34" s="3">
        <f t="shared" ref="B34:H34" si="11">B32/B7</f>
        <v>0.30083695749529771</v>
      </c>
      <c r="C34" s="3">
        <f t="shared" si="11"/>
        <v>0.37908584142345642</v>
      </c>
      <c r="D34" s="3">
        <f t="shared" si="11"/>
        <v>0.28982520644616094</v>
      </c>
      <c r="E34" s="3">
        <f t="shared" si="11"/>
        <v>0.19895548371051977</v>
      </c>
      <c r="F34" s="3">
        <f t="shared" si="11"/>
        <v>0.33384494059985248</v>
      </c>
      <c r="G34" s="3">
        <f t="shared" si="11"/>
        <v>0.3390449601582039</v>
      </c>
      <c r="H34" s="3">
        <f t="shared" si="11"/>
        <v>0.26146795479298979</v>
      </c>
      <c r="I34" s="3"/>
      <c r="J34" s="3"/>
      <c r="K34" s="3"/>
      <c r="L34" s="3"/>
      <c r="M34" s="3"/>
      <c r="N34" s="3"/>
      <c r="O34" s="3"/>
      <c r="P34" s="3"/>
      <c r="Q34" s="3"/>
      <c r="R34" s="3"/>
      <c r="S34" s="3"/>
      <c r="T34" s="3"/>
    </row>
    <row r="35" spans="1:20" x14ac:dyDescent="0.25">
      <c r="A35" s="2" t="s">
        <v>8</v>
      </c>
      <c r="B35" s="2">
        <v>23.98</v>
      </c>
      <c r="C35" s="2">
        <v>24.61</v>
      </c>
      <c r="D35" s="2">
        <v>15.19</v>
      </c>
      <c r="E35" s="2">
        <v>8.6300000000000008</v>
      </c>
      <c r="F35" s="2">
        <v>13.99</v>
      </c>
      <c r="G35" s="2">
        <v>10.220000000000001</v>
      </c>
      <c r="H35" s="2">
        <v>6.48</v>
      </c>
      <c r="I35" s="2"/>
      <c r="J35" s="2"/>
      <c r="K35" s="2"/>
      <c r="L35" s="2"/>
      <c r="M35" s="2"/>
      <c r="N35" s="2"/>
      <c r="O35" s="2"/>
      <c r="P35" s="2"/>
      <c r="Q35" s="2"/>
      <c r="R35" s="2"/>
      <c r="S35" s="2"/>
      <c r="T35" s="2"/>
    </row>
    <row r="36" spans="1:20" x14ac:dyDescent="0.25">
      <c r="A36" s="2" t="s">
        <v>7</v>
      </c>
      <c r="B36" s="2">
        <v>23.49</v>
      </c>
      <c r="C36" s="2">
        <v>23.86</v>
      </c>
      <c r="D36" s="2">
        <v>14.87</v>
      </c>
      <c r="E36" s="2">
        <v>8.59</v>
      </c>
      <c r="F36" s="2">
        <v>13.77</v>
      </c>
      <c r="G36" s="2">
        <v>10.09</v>
      </c>
      <c r="H36" s="2">
        <v>6.43</v>
      </c>
      <c r="I36" s="2"/>
      <c r="J36" s="2"/>
      <c r="K36" s="2"/>
      <c r="L36" s="2"/>
      <c r="M36" s="2"/>
      <c r="N36" s="2"/>
      <c r="O36" s="2"/>
      <c r="P36" s="2"/>
      <c r="Q36" s="2"/>
      <c r="R36" s="2"/>
      <c r="S36" s="2"/>
      <c r="T36" s="2"/>
    </row>
    <row r="37" spans="1:20" x14ac:dyDescent="0.25">
      <c r="A37" s="1" t="s">
        <v>6</v>
      </c>
      <c r="B37" s="1">
        <v>2521</v>
      </c>
      <c r="C37" s="1">
        <v>2534</v>
      </c>
      <c r="D37" s="1">
        <v>2574</v>
      </c>
      <c r="E37" s="1">
        <v>2687</v>
      </c>
      <c r="F37" s="1">
        <v>2815</v>
      </c>
      <c r="G37" s="1">
        <v>2851</v>
      </c>
      <c r="H37" s="1">
        <v>2854</v>
      </c>
      <c r="I37" s="1"/>
      <c r="J37" s="1"/>
      <c r="K37" s="1"/>
      <c r="L37" s="1"/>
      <c r="M37" s="1"/>
      <c r="N37" s="1"/>
      <c r="O37" s="1"/>
      <c r="P37" s="1"/>
      <c r="Q37" s="1"/>
      <c r="R37" s="1"/>
      <c r="S37" s="1"/>
      <c r="T37" s="1"/>
    </row>
    <row r="38" spans="1:20" x14ac:dyDescent="0.25">
      <c r="A38" s="1" t="s">
        <v>5</v>
      </c>
      <c r="B38" s="1">
        <v>2574</v>
      </c>
      <c r="C38" s="1">
        <v>2614</v>
      </c>
      <c r="D38" s="1">
        <v>2629</v>
      </c>
      <c r="E38" s="1">
        <v>2702</v>
      </c>
      <c r="F38" s="1">
        <v>2859</v>
      </c>
      <c r="G38" s="1">
        <v>2888</v>
      </c>
      <c r="H38" s="1">
        <v>2876</v>
      </c>
      <c r="I38" s="1"/>
      <c r="J38" s="1"/>
      <c r="K38" s="1"/>
      <c r="L38" s="1"/>
      <c r="M38" s="1"/>
      <c r="N38" s="1"/>
      <c r="O38" s="1"/>
      <c r="P38" s="1"/>
      <c r="Q38" s="1"/>
      <c r="R38" s="1"/>
      <c r="S38" s="1"/>
      <c r="T38" s="1"/>
    </row>
  </sheetData>
  <mergeCells count="1">
    <mergeCell ref="B4:T4"/>
  </mergeCells>
  <pageMargins left="0.7" right="0.7" top="0.75" bottom="0.75" header="0.3" footer="0.3"/>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DD043B-49BC-435A-B448-65D373FB0B2B}">
  <sheetPr>
    <tabColor rgb="FFC6E0B4"/>
  </sheetPr>
  <dimension ref="A1:T52"/>
  <sheetViews>
    <sheetView workbookViewId="0"/>
  </sheetViews>
  <sheetFormatPr defaultRowHeight="15" x14ac:dyDescent="0.25"/>
  <cols>
    <col min="1" max="1" width="44.42578125" bestFit="1" customWidth="1"/>
    <col min="2" max="10" width="18.28515625" bestFit="1" customWidth="1"/>
    <col min="11" max="18" width="17.28515625" bestFit="1" customWidth="1"/>
    <col min="19" max="20" width="16.85546875" bestFit="1" customWidth="1"/>
  </cols>
  <sheetData>
    <row r="1" spans="1:20" x14ac:dyDescent="0.25">
      <c r="A1" s="10" t="s">
        <v>217</v>
      </c>
      <c r="B1" s="10"/>
      <c r="C1" s="10"/>
      <c r="D1" s="10"/>
      <c r="E1" s="10"/>
      <c r="F1" s="10"/>
      <c r="G1" s="10"/>
      <c r="H1" s="10"/>
      <c r="I1" s="10"/>
      <c r="J1" s="10"/>
      <c r="K1" s="10"/>
      <c r="L1" s="10"/>
      <c r="M1" s="10"/>
      <c r="N1" s="10"/>
      <c r="O1" s="10"/>
      <c r="P1" s="10"/>
      <c r="Q1" s="10"/>
      <c r="R1" s="10"/>
      <c r="S1" s="10"/>
      <c r="T1" s="10"/>
    </row>
    <row r="2" spans="1:20" x14ac:dyDescent="0.25">
      <c r="A2" t="s">
        <v>1</v>
      </c>
      <c r="B2" t="s">
        <v>216</v>
      </c>
    </row>
    <row r="3" spans="1:20" x14ac:dyDescent="0.25">
      <c r="A3" t="s">
        <v>3</v>
      </c>
      <c r="B3" t="str">
        <f>'META - Income Statement FY'!B3</f>
        <v>USD</v>
      </c>
    </row>
    <row r="4" spans="1:20" x14ac:dyDescent="0.25">
      <c r="A4" t="s">
        <v>32</v>
      </c>
      <c r="B4" s="236" t="s">
        <v>33</v>
      </c>
      <c r="C4" s="236"/>
      <c r="D4" s="236"/>
      <c r="E4" s="236"/>
      <c r="F4" s="236"/>
      <c r="G4" s="236"/>
      <c r="H4" s="236"/>
      <c r="I4" s="236"/>
      <c r="J4" s="236"/>
      <c r="K4" s="236"/>
      <c r="L4" s="236"/>
      <c r="M4" s="236"/>
      <c r="N4" s="236"/>
      <c r="O4" s="236"/>
      <c r="P4" s="236"/>
      <c r="Q4" s="236"/>
      <c r="R4" s="236"/>
      <c r="S4" s="236"/>
      <c r="T4" s="236"/>
    </row>
    <row r="5" spans="1:20" x14ac:dyDescent="0.25">
      <c r="A5" t="s">
        <v>34</v>
      </c>
      <c r="B5" s="8">
        <v>46022</v>
      </c>
      <c r="C5" s="8">
        <v>45657</v>
      </c>
      <c r="D5" s="8">
        <v>45291</v>
      </c>
      <c r="E5" s="8">
        <v>44926</v>
      </c>
      <c r="F5" s="8">
        <v>44561</v>
      </c>
      <c r="G5" s="8">
        <v>44196</v>
      </c>
      <c r="H5" s="8">
        <v>43830</v>
      </c>
      <c r="I5" s="8"/>
      <c r="J5" s="8"/>
      <c r="K5" s="8"/>
      <c r="L5" s="8"/>
      <c r="M5" s="8"/>
      <c r="N5" s="8"/>
      <c r="O5" s="8"/>
      <c r="P5" s="8"/>
      <c r="Q5" s="8"/>
      <c r="R5" s="8"/>
      <c r="S5" s="8"/>
      <c r="T5" s="8"/>
    </row>
    <row r="7" spans="1:20" x14ac:dyDescent="0.25">
      <c r="A7" s="1" t="s">
        <v>74</v>
      </c>
      <c r="B7" s="1">
        <v>35873</v>
      </c>
      <c r="C7" s="1">
        <v>43889</v>
      </c>
      <c r="D7" s="1">
        <v>41862</v>
      </c>
      <c r="E7" s="1">
        <v>14681</v>
      </c>
      <c r="F7" s="1">
        <v>16601</v>
      </c>
      <c r="G7" s="1">
        <v>17576</v>
      </c>
      <c r="H7" s="1">
        <v>19079</v>
      </c>
      <c r="I7" s="1"/>
      <c r="J7" s="1"/>
      <c r="K7" s="1"/>
      <c r="L7" s="1"/>
      <c r="M7" s="1"/>
      <c r="N7" s="1"/>
      <c r="O7" s="1"/>
      <c r="P7" s="1"/>
      <c r="Q7" s="1"/>
      <c r="R7" s="1"/>
      <c r="S7" s="1"/>
      <c r="T7" s="1"/>
    </row>
    <row r="8" spans="1:20" x14ac:dyDescent="0.25">
      <c r="A8" s="1" t="s">
        <v>73</v>
      </c>
      <c r="B8" s="1">
        <v>45719</v>
      </c>
      <c r="C8" s="1">
        <v>33926</v>
      </c>
      <c r="D8" s="1">
        <v>23541</v>
      </c>
      <c r="E8" s="1">
        <v>26057</v>
      </c>
      <c r="F8" s="1">
        <v>31397</v>
      </c>
      <c r="G8" s="1">
        <v>44378</v>
      </c>
      <c r="H8" s="1">
        <v>35776</v>
      </c>
      <c r="I8" s="1"/>
      <c r="J8" s="1"/>
      <c r="K8" s="1"/>
      <c r="L8" s="1"/>
      <c r="M8" s="1"/>
      <c r="N8" s="1"/>
      <c r="O8" s="1"/>
      <c r="P8" s="1"/>
      <c r="Q8" s="1"/>
      <c r="R8" s="1"/>
      <c r="S8" s="1"/>
      <c r="T8" s="1"/>
    </row>
    <row r="9" spans="1:20" x14ac:dyDescent="0.25">
      <c r="A9" s="1" t="s">
        <v>72</v>
      </c>
      <c r="B9" s="1">
        <f t="shared" ref="B9:H9" si="0">B7+B8</f>
        <v>81592</v>
      </c>
      <c r="C9" s="1">
        <f t="shared" si="0"/>
        <v>77815</v>
      </c>
      <c r="D9" s="1">
        <f t="shared" si="0"/>
        <v>65403</v>
      </c>
      <c r="E9" s="1">
        <f t="shared" si="0"/>
        <v>40738</v>
      </c>
      <c r="F9" s="1">
        <f t="shared" si="0"/>
        <v>47998</v>
      </c>
      <c r="G9" s="1">
        <f t="shared" si="0"/>
        <v>61954</v>
      </c>
      <c r="H9" s="1">
        <f t="shared" si="0"/>
        <v>54855</v>
      </c>
      <c r="I9" s="1"/>
      <c r="J9" s="1"/>
      <c r="K9" s="1"/>
      <c r="L9" s="1"/>
      <c r="M9" s="1"/>
      <c r="N9" s="1"/>
      <c r="O9" s="1"/>
      <c r="P9" s="1"/>
      <c r="Q9" s="1"/>
      <c r="R9" s="1"/>
      <c r="S9" s="1"/>
      <c r="T9" s="1"/>
    </row>
    <row r="10" spans="1:20" x14ac:dyDescent="0.25">
      <c r="A10" s="1" t="s">
        <v>71</v>
      </c>
      <c r="B10" s="1">
        <v>19769</v>
      </c>
      <c r="C10" s="1">
        <v>16994</v>
      </c>
      <c r="D10" s="1">
        <v>16169</v>
      </c>
      <c r="E10" s="1">
        <v>13466</v>
      </c>
      <c r="F10" s="1">
        <v>14039</v>
      </c>
      <c r="G10" s="1">
        <v>11335</v>
      </c>
      <c r="H10" s="1">
        <v>9518</v>
      </c>
      <c r="I10" s="1"/>
      <c r="J10" s="1"/>
      <c r="K10" s="1"/>
      <c r="L10" s="1"/>
      <c r="M10" s="1"/>
      <c r="N10" s="1"/>
      <c r="O10" s="1"/>
      <c r="P10" s="1"/>
      <c r="Q10" s="1"/>
      <c r="R10" s="1"/>
      <c r="S10" s="1"/>
      <c r="T10" s="1"/>
    </row>
    <row r="11" spans="1:20" x14ac:dyDescent="0.25">
      <c r="A11" s="1" t="s">
        <v>70</v>
      </c>
      <c r="B11" s="1">
        <v>0</v>
      </c>
      <c r="C11" s="1">
        <v>0</v>
      </c>
      <c r="D11" s="1">
        <v>0</v>
      </c>
      <c r="E11" s="1">
        <v>0</v>
      </c>
      <c r="F11" s="1">
        <v>0</v>
      </c>
      <c r="G11" s="1">
        <v>0</v>
      </c>
      <c r="H11" s="1">
        <v>0</v>
      </c>
      <c r="I11" s="1"/>
      <c r="J11" s="1"/>
      <c r="K11" s="1"/>
      <c r="L11" s="1"/>
      <c r="M11" s="1"/>
      <c r="N11" s="1"/>
      <c r="O11" s="1"/>
      <c r="P11" s="1"/>
      <c r="Q11" s="1"/>
      <c r="R11" s="1"/>
      <c r="S11" s="1"/>
      <c r="T11" s="1"/>
    </row>
    <row r="12" spans="1:20" x14ac:dyDescent="0.25">
      <c r="A12" s="1" t="s">
        <v>69</v>
      </c>
      <c r="B12" s="1">
        <v>7361</v>
      </c>
      <c r="C12" s="1">
        <v>5236</v>
      </c>
      <c r="D12" s="1">
        <v>3793</v>
      </c>
      <c r="E12" s="1">
        <v>5345</v>
      </c>
      <c r="F12" s="1">
        <v>4629</v>
      </c>
      <c r="G12" s="1">
        <v>2381</v>
      </c>
      <c r="H12" s="1">
        <v>1852</v>
      </c>
      <c r="I12" s="1"/>
      <c r="J12" s="1"/>
      <c r="K12" s="1"/>
      <c r="L12" s="1"/>
      <c r="M12" s="1"/>
      <c r="N12" s="1"/>
      <c r="O12" s="1"/>
      <c r="P12" s="1"/>
      <c r="Q12" s="1"/>
      <c r="R12" s="1"/>
      <c r="S12" s="1"/>
      <c r="T12" s="1"/>
    </row>
    <row r="13" spans="1:20" x14ac:dyDescent="0.25">
      <c r="A13" s="6" t="s">
        <v>68</v>
      </c>
      <c r="B13" s="4">
        <v>108722</v>
      </c>
      <c r="C13" s="4">
        <v>100045</v>
      </c>
      <c r="D13" s="4">
        <v>85365</v>
      </c>
      <c r="E13" s="4">
        <v>59549</v>
      </c>
      <c r="F13" s="4">
        <v>66666</v>
      </c>
      <c r="G13" s="4">
        <v>75670</v>
      </c>
      <c r="H13" s="4">
        <v>66225</v>
      </c>
      <c r="I13" s="4"/>
      <c r="J13" s="4"/>
      <c r="K13" s="4"/>
      <c r="L13" s="4"/>
      <c r="M13" s="4"/>
      <c r="N13" s="4"/>
      <c r="O13" s="4"/>
      <c r="P13" s="4"/>
      <c r="Q13" s="4"/>
      <c r="R13" s="4"/>
      <c r="S13" s="4"/>
      <c r="T13" s="4"/>
    </row>
    <row r="15" spans="1:20" x14ac:dyDescent="0.25">
      <c r="A15" s="1" t="s">
        <v>67</v>
      </c>
      <c r="B15" s="1">
        <v>176400</v>
      </c>
      <c r="C15" s="1">
        <v>121346</v>
      </c>
      <c r="D15" s="1">
        <v>96587</v>
      </c>
      <c r="E15" s="1">
        <v>79518</v>
      </c>
      <c r="F15" s="1">
        <v>57809</v>
      </c>
      <c r="G15" s="1">
        <v>45633</v>
      </c>
      <c r="H15" s="1">
        <v>35323</v>
      </c>
      <c r="I15" s="1"/>
      <c r="J15" s="1"/>
      <c r="K15" s="1"/>
      <c r="L15" s="1"/>
      <c r="M15" s="1"/>
      <c r="N15" s="1"/>
      <c r="O15" s="1"/>
      <c r="P15" s="1"/>
      <c r="Q15" s="1"/>
      <c r="R15" s="1"/>
      <c r="S15" s="1"/>
      <c r="T15" s="1"/>
    </row>
    <row r="16" spans="1:20" x14ac:dyDescent="0.25">
      <c r="A16" s="1" t="s">
        <v>66</v>
      </c>
      <c r="B16" s="1">
        <v>24534</v>
      </c>
      <c r="C16" s="1">
        <v>20654</v>
      </c>
      <c r="D16" s="1">
        <v>20654</v>
      </c>
      <c r="E16" s="1">
        <v>20306</v>
      </c>
      <c r="F16" s="1">
        <v>19197</v>
      </c>
      <c r="G16" s="1">
        <v>19050</v>
      </c>
      <c r="H16" s="1">
        <v>18715</v>
      </c>
      <c r="I16" s="1"/>
      <c r="J16" s="1"/>
      <c r="K16" s="1"/>
      <c r="L16" s="1"/>
      <c r="M16" s="1"/>
      <c r="N16" s="1"/>
      <c r="O16" s="1"/>
      <c r="P16" s="1"/>
      <c r="Q16" s="1"/>
      <c r="R16" s="1"/>
      <c r="S16" s="1"/>
      <c r="T16" s="1"/>
    </row>
    <row r="17" spans="1:20" x14ac:dyDescent="0.25">
      <c r="A17" s="1" t="s">
        <v>65</v>
      </c>
      <c r="B17" s="1">
        <v>0</v>
      </c>
      <c r="C17" s="1">
        <v>0</v>
      </c>
      <c r="D17" s="1">
        <v>788</v>
      </c>
      <c r="E17" s="1">
        <v>897</v>
      </c>
      <c r="F17" s="1">
        <v>634</v>
      </c>
      <c r="G17" s="1">
        <v>623</v>
      </c>
      <c r="H17" s="1">
        <v>894</v>
      </c>
      <c r="I17" s="1"/>
      <c r="J17" s="1"/>
      <c r="K17" s="1"/>
      <c r="L17" s="1"/>
      <c r="M17" s="1"/>
      <c r="N17" s="1"/>
      <c r="O17" s="1"/>
      <c r="P17" s="1"/>
      <c r="Q17" s="1"/>
      <c r="R17" s="1"/>
      <c r="S17" s="1"/>
      <c r="T17" s="1"/>
    </row>
    <row r="18" spans="1:20" x14ac:dyDescent="0.25">
      <c r="A18" s="1" t="s">
        <v>64</v>
      </c>
      <c r="B18" s="1">
        <f t="shared" ref="B18:H18" si="1">B16+B17</f>
        <v>24534</v>
      </c>
      <c r="C18" s="1">
        <f t="shared" si="1"/>
        <v>20654</v>
      </c>
      <c r="D18" s="1">
        <f t="shared" si="1"/>
        <v>21442</v>
      </c>
      <c r="E18" s="1">
        <f t="shared" si="1"/>
        <v>21203</v>
      </c>
      <c r="F18" s="1">
        <f t="shared" si="1"/>
        <v>19831</v>
      </c>
      <c r="G18" s="1">
        <f t="shared" si="1"/>
        <v>19673</v>
      </c>
      <c r="H18" s="1">
        <f t="shared" si="1"/>
        <v>19609</v>
      </c>
      <c r="I18" s="1"/>
      <c r="J18" s="1"/>
      <c r="K18" s="1"/>
      <c r="L18" s="1"/>
      <c r="M18" s="1"/>
      <c r="N18" s="1"/>
      <c r="O18" s="1"/>
      <c r="P18" s="1"/>
      <c r="Q18" s="1"/>
      <c r="R18" s="1"/>
      <c r="S18" s="1"/>
      <c r="T18" s="1"/>
    </row>
    <row r="19" spans="1:20" x14ac:dyDescent="0.25">
      <c r="A19" s="1" t="s">
        <v>63</v>
      </c>
      <c r="B19" s="1">
        <v>27524</v>
      </c>
      <c r="C19" s="1">
        <v>6070</v>
      </c>
      <c r="D19" s="1">
        <v>6141</v>
      </c>
      <c r="E19" s="1">
        <v>6201</v>
      </c>
      <c r="F19" s="1">
        <v>6775</v>
      </c>
      <c r="G19" s="1">
        <v>6234</v>
      </c>
      <c r="H19" s="1">
        <v>86</v>
      </c>
      <c r="I19" s="1"/>
      <c r="J19" s="1"/>
      <c r="K19" s="1"/>
      <c r="L19" s="1"/>
      <c r="M19" s="1"/>
      <c r="N19" s="1"/>
      <c r="O19" s="1"/>
      <c r="P19" s="1"/>
      <c r="Q19" s="1"/>
      <c r="R19" s="1"/>
      <c r="S19" s="1"/>
      <c r="T19" s="1"/>
    </row>
    <row r="20" spans="1:20" x14ac:dyDescent="0.25">
      <c r="A20" s="1" t="s">
        <v>62</v>
      </c>
      <c r="B20" s="1">
        <v>0</v>
      </c>
      <c r="C20" s="1">
        <v>0</v>
      </c>
      <c r="D20" s="1">
        <v>0</v>
      </c>
      <c r="E20" s="1">
        <v>0</v>
      </c>
      <c r="F20" s="1">
        <v>0</v>
      </c>
      <c r="G20" s="1">
        <v>0</v>
      </c>
      <c r="H20" s="1">
        <v>0</v>
      </c>
      <c r="I20" s="1"/>
      <c r="J20" s="1"/>
      <c r="K20" s="1"/>
      <c r="L20" s="1"/>
      <c r="M20" s="1"/>
      <c r="N20" s="1"/>
      <c r="O20" s="1"/>
      <c r="P20" s="1"/>
      <c r="Q20" s="1"/>
      <c r="R20" s="1"/>
      <c r="S20" s="1"/>
      <c r="T20" s="1"/>
    </row>
    <row r="21" spans="1:20" x14ac:dyDescent="0.25">
      <c r="A21" s="1" t="s">
        <v>61</v>
      </c>
      <c r="B21" s="1">
        <f t="shared" ref="B21:H21" si="2">B22-B15-B18-B19-B20</f>
        <v>28841</v>
      </c>
      <c r="C21" s="1">
        <f t="shared" si="2"/>
        <v>27939</v>
      </c>
      <c r="D21" s="1">
        <f t="shared" si="2"/>
        <v>20088</v>
      </c>
      <c r="E21" s="1">
        <f t="shared" si="2"/>
        <v>19256</v>
      </c>
      <c r="F21" s="1">
        <f t="shared" si="2"/>
        <v>14906</v>
      </c>
      <c r="G21" s="1">
        <f t="shared" si="2"/>
        <v>12106</v>
      </c>
      <c r="H21" s="1">
        <f t="shared" si="2"/>
        <v>12133</v>
      </c>
      <c r="I21" s="1"/>
      <c r="J21" s="1"/>
      <c r="K21" s="1"/>
      <c r="L21" s="1"/>
      <c r="M21" s="1"/>
      <c r="N21" s="1"/>
      <c r="O21" s="1"/>
      <c r="P21" s="1"/>
      <c r="Q21" s="1"/>
      <c r="R21" s="1"/>
      <c r="S21" s="1"/>
      <c r="T21" s="1"/>
    </row>
    <row r="22" spans="1:20" x14ac:dyDescent="0.25">
      <c r="A22" s="6" t="s">
        <v>60</v>
      </c>
      <c r="B22" s="4">
        <f t="shared" ref="B22:H22" si="3">B25-B13</f>
        <v>257299</v>
      </c>
      <c r="C22" s="4">
        <f t="shared" si="3"/>
        <v>176009</v>
      </c>
      <c r="D22" s="4">
        <f t="shared" si="3"/>
        <v>144258</v>
      </c>
      <c r="E22" s="4">
        <f t="shared" si="3"/>
        <v>126178</v>
      </c>
      <c r="F22" s="4">
        <f t="shared" si="3"/>
        <v>99321</v>
      </c>
      <c r="G22" s="4">
        <f t="shared" si="3"/>
        <v>83646</v>
      </c>
      <c r="H22" s="4">
        <f t="shared" si="3"/>
        <v>67151</v>
      </c>
      <c r="I22" s="4"/>
      <c r="J22" s="4"/>
      <c r="K22" s="4"/>
      <c r="L22" s="4"/>
      <c r="M22" s="4"/>
      <c r="N22" s="4"/>
      <c r="O22" s="4"/>
      <c r="P22" s="4"/>
      <c r="Q22" s="4"/>
      <c r="R22" s="4"/>
      <c r="S22" s="4"/>
      <c r="T22" s="4"/>
    </row>
    <row r="24" spans="1:20" x14ac:dyDescent="0.25">
      <c r="A24" s="1" t="s">
        <v>59</v>
      </c>
      <c r="B24" s="1">
        <v>0</v>
      </c>
      <c r="C24" s="1">
        <v>0</v>
      </c>
      <c r="D24" s="1">
        <v>0</v>
      </c>
      <c r="E24" s="1">
        <v>0</v>
      </c>
      <c r="F24" s="1">
        <v>0</v>
      </c>
      <c r="G24" s="1">
        <v>0</v>
      </c>
      <c r="H24" s="1">
        <v>0</v>
      </c>
      <c r="I24" s="1"/>
      <c r="J24" s="1"/>
      <c r="K24" s="1"/>
      <c r="L24" s="1"/>
      <c r="M24" s="1"/>
      <c r="N24" s="1"/>
      <c r="O24" s="1"/>
      <c r="P24" s="1"/>
      <c r="Q24" s="1"/>
      <c r="R24" s="1"/>
      <c r="S24" s="1"/>
      <c r="T24" s="1"/>
    </row>
    <row r="25" spans="1:20" x14ac:dyDescent="0.25">
      <c r="A25" s="6" t="s">
        <v>58</v>
      </c>
      <c r="B25" s="5">
        <v>366021</v>
      </c>
      <c r="C25" s="5">
        <v>276054</v>
      </c>
      <c r="D25" s="5">
        <v>229623</v>
      </c>
      <c r="E25" s="5">
        <v>185727</v>
      </c>
      <c r="F25" s="5">
        <v>165987</v>
      </c>
      <c r="G25" s="5">
        <v>159316</v>
      </c>
      <c r="H25" s="5">
        <v>133376</v>
      </c>
      <c r="I25" s="5"/>
      <c r="J25" s="5"/>
      <c r="K25" s="5"/>
      <c r="L25" s="5"/>
      <c r="M25" s="5"/>
      <c r="N25" s="5"/>
      <c r="O25" s="5"/>
      <c r="P25" s="5"/>
      <c r="Q25" s="5"/>
      <c r="R25" s="5"/>
      <c r="S25" s="5"/>
      <c r="T25" s="5"/>
    </row>
    <row r="27" spans="1:20" x14ac:dyDescent="0.25">
      <c r="A27" s="1" t="s">
        <v>57</v>
      </c>
      <c r="B27" s="1">
        <v>8894</v>
      </c>
      <c r="C27" s="1">
        <v>7687</v>
      </c>
      <c r="D27" s="1">
        <v>4849</v>
      </c>
      <c r="E27" s="1">
        <v>4990</v>
      </c>
      <c r="F27" s="1">
        <v>4083</v>
      </c>
      <c r="G27" s="1">
        <v>1331</v>
      </c>
      <c r="H27" s="1">
        <v>1363</v>
      </c>
      <c r="I27" s="1"/>
      <c r="J27" s="1"/>
      <c r="K27" s="1"/>
      <c r="L27" s="1"/>
      <c r="M27" s="1"/>
      <c r="N27" s="1"/>
      <c r="O27" s="1"/>
      <c r="P27" s="1"/>
      <c r="Q27" s="1"/>
      <c r="R27" s="1"/>
      <c r="S27" s="1"/>
      <c r="T27" s="1"/>
    </row>
    <row r="28" spans="1:20" x14ac:dyDescent="0.25">
      <c r="A28" s="1" t="s">
        <v>56</v>
      </c>
      <c r="B28" s="1">
        <v>0</v>
      </c>
      <c r="C28" s="1">
        <v>0</v>
      </c>
      <c r="D28" s="1">
        <v>0</v>
      </c>
      <c r="E28" s="1">
        <v>0</v>
      </c>
      <c r="F28" s="1">
        <v>0</v>
      </c>
      <c r="G28" s="1">
        <v>0</v>
      </c>
      <c r="H28" s="1">
        <v>0</v>
      </c>
      <c r="I28" s="1"/>
      <c r="J28" s="1"/>
      <c r="K28" s="1"/>
      <c r="L28" s="1"/>
      <c r="M28" s="1"/>
      <c r="N28" s="1"/>
      <c r="O28" s="1"/>
      <c r="P28" s="1"/>
      <c r="Q28" s="1"/>
      <c r="R28" s="1"/>
      <c r="S28" s="1"/>
      <c r="T28" s="1"/>
    </row>
    <row r="29" spans="1:20" x14ac:dyDescent="0.25">
      <c r="A29" s="1" t="s">
        <v>55</v>
      </c>
      <c r="B29" s="1">
        <v>0</v>
      </c>
      <c r="C29" s="1">
        <v>0</v>
      </c>
      <c r="D29" s="1">
        <v>0</v>
      </c>
      <c r="E29" s="1">
        <v>0</v>
      </c>
      <c r="F29" s="1">
        <v>0</v>
      </c>
      <c r="G29" s="1">
        <v>0</v>
      </c>
      <c r="H29" s="1">
        <v>0</v>
      </c>
      <c r="I29" s="1"/>
      <c r="J29" s="1"/>
      <c r="K29" s="1"/>
      <c r="L29" s="1"/>
      <c r="M29" s="1"/>
      <c r="N29" s="1"/>
      <c r="O29" s="1"/>
      <c r="P29" s="1"/>
      <c r="Q29" s="1"/>
      <c r="R29" s="1"/>
      <c r="S29" s="1"/>
      <c r="T29" s="1"/>
    </row>
    <row r="30" spans="1:20" x14ac:dyDescent="0.25">
      <c r="A30" s="1" t="s">
        <v>54</v>
      </c>
      <c r="B30" s="1">
        <v>0</v>
      </c>
      <c r="C30" s="1">
        <v>0</v>
      </c>
      <c r="D30" s="1">
        <v>0</v>
      </c>
      <c r="E30" s="1">
        <v>0</v>
      </c>
      <c r="F30" s="1">
        <v>561</v>
      </c>
      <c r="G30" s="1">
        <v>382</v>
      </c>
      <c r="H30" s="1">
        <v>269</v>
      </c>
      <c r="I30" s="1"/>
      <c r="J30" s="1"/>
      <c r="K30" s="1"/>
      <c r="L30" s="1"/>
      <c r="M30" s="1"/>
      <c r="N30" s="1"/>
      <c r="O30" s="1"/>
      <c r="P30" s="1"/>
      <c r="Q30" s="1"/>
      <c r="R30" s="1"/>
      <c r="S30" s="1"/>
      <c r="T30" s="1"/>
    </row>
    <row r="31" spans="1:20" x14ac:dyDescent="0.25">
      <c r="A31" s="1" t="s">
        <v>53</v>
      </c>
      <c r="B31" s="1">
        <f t="shared" ref="B31:H31" si="4">B32-B27-B28-B29-B30</f>
        <v>32942</v>
      </c>
      <c r="C31" s="1">
        <f t="shared" si="4"/>
        <v>25909</v>
      </c>
      <c r="D31" s="1">
        <f t="shared" si="4"/>
        <v>27111</v>
      </c>
      <c r="E31" s="1">
        <f t="shared" si="4"/>
        <v>22036</v>
      </c>
      <c r="F31" s="1">
        <f t="shared" si="4"/>
        <v>16491</v>
      </c>
      <c r="G31" s="1">
        <f t="shared" si="4"/>
        <v>13268</v>
      </c>
      <c r="H31" s="1">
        <f t="shared" si="4"/>
        <v>13421</v>
      </c>
      <c r="I31" s="1"/>
      <c r="J31" s="1"/>
      <c r="K31" s="1"/>
      <c r="L31" s="1"/>
      <c r="M31" s="1"/>
      <c r="N31" s="1"/>
      <c r="O31" s="1"/>
      <c r="P31" s="1"/>
      <c r="Q31" s="1"/>
      <c r="R31" s="1"/>
      <c r="S31" s="1"/>
      <c r="T31" s="1"/>
    </row>
    <row r="32" spans="1:20" x14ac:dyDescent="0.25">
      <c r="A32" s="6" t="s">
        <v>52</v>
      </c>
      <c r="B32" s="4">
        <v>41836</v>
      </c>
      <c r="C32" s="4">
        <v>33596</v>
      </c>
      <c r="D32" s="4">
        <v>31960</v>
      </c>
      <c r="E32" s="4">
        <v>27026</v>
      </c>
      <c r="F32" s="4">
        <v>21135</v>
      </c>
      <c r="G32" s="4">
        <v>14981</v>
      </c>
      <c r="H32" s="4">
        <v>15053</v>
      </c>
      <c r="I32" s="4"/>
      <c r="J32" s="4"/>
      <c r="K32" s="4"/>
      <c r="L32" s="4"/>
      <c r="M32" s="4"/>
      <c r="N32" s="4"/>
      <c r="O32" s="4"/>
      <c r="P32" s="4"/>
      <c r="Q32" s="4"/>
      <c r="R32" s="4"/>
      <c r="S32" s="4"/>
      <c r="T32" s="4"/>
    </row>
    <row r="34" spans="1:20" x14ac:dyDescent="0.25">
      <c r="A34" s="1" t="s">
        <v>51</v>
      </c>
      <c r="B34" s="1">
        <v>58744</v>
      </c>
      <c r="C34" s="1">
        <v>28826</v>
      </c>
      <c r="D34" s="1">
        <v>18385</v>
      </c>
      <c r="E34" s="1">
        <v>9923</v>
      </c>
      <c r="F34" s="1">
        <v>0</v>
      </c>
      <c r="G34" s="1">
        <v>0</v>
      </c>
      <c r="H34" s="1">
        <v>0</v>
      </c>
      <c r="I34" s="1"/>
      <c r="J34" s="1"/>
      <c r="K34" s="1"/>
      <c r="L34" s="1"/>
      <c r="M34" s="1"/>
      <c r="N34" s="1"/>
      <c r="O34" s="1"/>
      <c r="P34" s="1"/>
      <c r="Q34" s="1"/>
      <c r="R34" s="1"/>
      <c r="S34" s="1"/>
      <c r="T34" s="1"/>
    </row>
    <row r="35" spans="1:20" x14ac:dyDescent="0.25">
      <c r="A35" s="1" t="s">
        <v>50</v>
      </c>
      <c r="B35" s="1">
        <v>0</v>
      </c>
      <c r="C35" s="1">
        <v>0</v>
      </c>
      <c r="D35" s="1">
        <v>0</v>
      </c>
      <c r="E35" s="1">
        <v>0</v>
      </c>
      <c r="F35" s="1">
        <v>0</v>
      </c>
      <c r="G35" s="1">
        <v>0</v>
      </c>
      <c r="H35" s="1">
        <v>0</v>
      </c>
      <c r="I35" s="1"/>
      <c r="J35" s="1"/>
      <c r="K35" s="1"/>
      <c r="L35" s="1"/>
      <c r="M35" s="1"/>
      <c r="N35" s="1"/>
      <c r="O35" s="1"/>
      <c r="P35" s="1"/>
      <c r="Q35" s="1"/>
      <c r="R35" s="1"/>
      <c r="S35" s="1"/>
      <c r="T35" s="1"/>
    </row>
    <row r="36" spans="1:20" x14ac:dyDescent="0.25">
      <c r="A36" s="1" t="s">
        <v>49</v>
      </c>
      <c r="B36" s="1">
        <v>0</v>
      </c>
      <c r="C36" s="1">
        <v>0</v>
      </c>
      <c r="D36" s="1">
        <v>0</v>
      </c>
      <c r="E36" s="1">
        <v>0</v>
      </c>
      <c r="F36" s="1">
        <v>0</v>
      </c>
      <c r="G36" s="1">
        <v>0</v>
      </c>
      <c r="H36" s="1">
        <v>0</v>
      </c>
      <c r="I36" s="1"/>
      <c r="J36" s="1"/>
      <c r="K36" s="1"/>
      <c r="L36" s="1"/>
      <c r="M36" s="1"/>
      <c r="N36" s="1"/>
      <c r="O36" s="1"/>
      <c r="P36" s="1"/>
      <c r="Q36" s="1"/>
      <c r="R36" s="1"/>
      <c r="S36" s="1"/>
      <c r="T36" s="1"/>
    </row>
    <row r="37" spans="1:20" x14ac:dyDescent="0.25">
      <c r="A37" s="1" t="s">
        <v>48</v>
      </c>
      <c r="B37" s="1">
        <f t="shared" ref="B37:H37" si="5">B38-B34-B35-B36</f>
        <v>48198</v>
      </c>
      <c r="C37" s="1">
        <f t="shared" si="5"/>
        <v>30995</v>
      </c>
      <c r="D37" s="1">
        <f t="shared" si="5"/>
        <v>26110</v>
      </c>
      <c r="E37" s="1">
        <f t="shared" si="5"/>
        <v>23065</v>
      </c>
      <c r="F37" s="1">
        <f t="shared" si="5"/>
        <v>19973</v>
      </c>
      <c r="G37" s="1">
        <f t="shared" si="5"/>
        <v>16045</v>
      </c>
      <c r="H37" s="1">
        <f t="shared" si="5"/>
        <v>17269</v>
      </c>
      <c r="I37" s="1"/>
      <c r="J37" s="1"/>
      <c r="K37" s="1"/>
      <c r="L37" s="1"/>
      <c r="M37" s="1"/>
      <c r="N37" s="1"/>
      <c r="O37" s="1"/>
      <c r="P37" s="1"/>
      <c r="Q37" s="1"/>
      <c r="R37" s="1"/>
      <c r="S37" s="1"/>
      <c r="T37" s="1"/>
    </row>
    <row r="38" spans="1:20" x14ac:dyDescent="0.25">
      <c r="A38" s="6" t="s">
        <v>47</v>
      </c>
      <c r="B38" s="4">
        <f t="shared" ref="B38:H38" si="6">B41-B32</f>
        <v>106942</v>
      </c>
      <c r="C38" s="4">
        <f t="shared" si="6"/>
        <v>59821</v>
      </c>
      <c r="D38" s="4">
        <f t="shared" si="6"/>
        <v>44495</v>
      </c>
      <c r="E38" s="4">
        <f t="shared" si="6"/>
        <v>32988</v>
      </c>
      <c r="F38" s="4">
        <f t="shared" si="6"/>
        <v>19973</v>
      </c>
      <c r="G38" s="4">
        <f t="shared" si="6"/>
        <v>16045</v>
      </c>
      <c r="H38" s="4">
        <f t="shared" si="6"/>
        <v>17269</v>
      </c>
      <c r="I38" s="4"/>
      <c r="J38" s="4"/>
      <c r="K38" s="4"/>
      <c r="L38" s="4"/>
      <c r="M38" s="4"/>
      <c r="N38" s="4"/>
      <c r="O38" s="4"/>
      <c r="P38" s="4"/>
      <c r="Q38" s="4"/>
      <c r="R38" s="4"/>
      <c r="S38" s="4"/>
      <c r="T38" s="4"/>
    </row>
    <row r="40" spans="1:20" x14ac:dyDescent="0.25">
      <c r="A40" s="1" t="s">
        <v>46</v>
      </c>
      <c r="B40" s="1">
        <v>0</v>
      </c>
      <c r="C40" s="1">
        <v>0</v>
      </c>
      <c r="D40" s="1">
        <v>0</v>
      </c>
      <c r="E40" s="1">
        <v>0</v>
      </c>
      <c r="F40" s="1">
        <v>0</v>
      </c>
      <c r="G40" s="1">
        <v>0</v>
      </c>
      <c r="H40" s="1">
        <v>0</v>
      </c>
      <c r="I40" s="1"/>
      <c r="J40" s="1"/>
      <c r="K40" s="1"/>
      <c r="L40" s="1"/>
      <c r="M40" s="1"/>
      <c r="N40" s="1"/>
      <c r="O40" s="1"/>
      <c r="P40" s="1"/>
      <c r="Q40" s="1"/>
      <c r="R40" s="1"/>
      <c r="S40" s="1"/>
      <c r="T40" s="1"/>
    </row>
    <row r="41" spans="1:20" x14ac:dyDescent="0.25">
      <c r="A41" s="6" t="s">
        <v>45</v>
      </c>
      <c r="B41" s="5">
        <v>148778</v>
      </c>
      <c r="C41" s="5">
        <v>93417</v>
      </c>
      <c r="D41" s="5">
        <v>76455</v>
      </c>
      <c r="E41" s="5">
        <v>60014</v>
      </c>
      <c r="F41" s="5">
        <v>41108</v>
      </c>
      <c r="G41" s="5">
        <v>31026</v>
      </c>
      <c r="H41" s="5">
        <v>32322</v>
      </c>
      <c r="I41" s="5"/>
      <c r="J41" s="5"/>
      <c r="K41" s="5"/>
      <c r="L41" s="5"/>
      <c r="M41" s="5"/>
      <c r="N41" s="5"/>
      <c r="O41" s="5"/>
      <c r="P41" s="5"/>
      <c r="Q41" s="5"/>
      <c r="R41" s="5"/>
      <c r="S41" s="5"/>
      <c r="T41" s="5"/>
    </row>
    <row r="43" spans="1:20" x14ac:dyDescent="0.25">
      <c r="A43" s="1" t="s">
        <v>44</v>
      </c>
      <c r="B43" s="1">
        <v>95793</v>
      </c>
      <c r="C43" s="1">
        <v>83228</v>
      </c>
      <c r="D43" s="1">
        <v>73253</v>
      </c>
      <c r="E43" s="1">
        <v>64444</v>
      </c>
      <c r="F43" s="1">
        <v>55811</v>
      </c>
      <c r="G43" s="1">
        <v>50018</v>
      </c>
      <c r="H43" s="1">
        <v>45851</v>
      </c>
      <c r="I43" s="1"/>
      <c r="J43" s="1"/>
      <c r="K43" s="1"/>
      <c r="L43" s="1"/>
      <c r="M43" s="1"/>
      <c r="N43" s="1"/>
      <c r="O43" s="1"/>
      <c r="P43" s="1"/>
      <c r="Q43" s="1"/>
      <c r="R43" s="1"/>
      <c r="S43" s="1"/>
      <c r="T43" s="1"/>
    </row>
    <row r="44" spans="1:20" x14ac:dyDescent="0.25">
      <c r="A44" s="1" t="s">
        <v>43</v>
      </c>
      <c r="B44" s="1">
        <v>121179</v>
      </c>
      <c r="C44" s="1">
        <v>102506</v>
      </c>
      <c r="D44" s="1">
        <v>82070</v>
      </c>
      <c r="E44" s="1">
        <v>64799</v>
      </c>
      <c r="F44" s="1">
        <v>69761</v>
      </c>
      <c r="G44" s="1">
        <v>77345</v>
      </c>
      <c r="H44" s="1">
        <v>55692</v>
      </c>
      <c r="I44" s="1"/>
      <c r="J44" s="1"/>
      <c r="K44" s="1"/>
      <c r="L44" s="1"/>
      <c r="M44" s="1"/>
      <c r="N44" s="1"/>
      <c r="O44" s="1"/>
      <c r="P44" s="1"/>
      <c r="Q44" s="1"/>
      <c r="R44" s="1"/>
      <c r="S44" s="1"/>
      <c r="T44" s="1"/>
    </row>
    <row r="45" spans="1:20" x14ac:dyDescent="0.25">
      <c r="A45" s="1" t="s">
        <v>42</v>
      </c>
      <c r="B45" s="1">
        <f t="shared" ref="B45:H45" si="7">B47-B43-B44</f>
        <v>271</v>
      </c>
      <c r="C45" s="1">
        <f t="shared" si="7"/>
        <v>-3097</v>
      </c>
      <c r="D45" s="1">
        <f t="shared" si="7"/>
        <v>-2155</v>
      </c>
      <c r="E45" s="1">
        <f t="shared" si="7"/>
        <v>-3530</v>
      </c>
      <c r="F45" s="1">
        <f t="shared" si="7"/>
        <v>-693</v>
      </c>
      <c r="G45" s="1">
        <f t="shared" si="7"/>
        <v>927</v>
      </c>
      <c r="H45" s="1">
        <f t="shared" si="7"/>
        <v>-489</v>
      </c>
      <c r="I45" s="1"/>
      <c r="J45" s="1"/>
      <c r="K45" s="1"/>
      <c r="L45" s="1"/>
      <c r="M45" s="1"/>
      <c r="N45" s="1"/>
      <c r="O45" s="1"/>
      <c r="P45" s="1"/>
      <c r="Q45" s="1"/>
      <c r="R45" s="1"/>
      <c r="S45" s="1"/>
      <c r="T45" s="1"/>
    </row>
    <row r="46" spans="1:20" x14ac:dyDescent="0.25">
      <c r="A46" s="1" t="s">
        <v>41</v>
      </c>
      <c r="B46" s="1">
        <v>0</v>
      </c>
      <c r="C46" s="1">
        <v>0</v>
      </c>
      <c r="D46" s="1">
        <v>0</v>
      </c>
      <c r="E46" s="1">
        <v>0</v>
      </c>
      <c r="F46" s="1">
        <v>0</v>
      </c>
      <c r="G46" s="1">
        <v>0</v>
      </c>
      <c r="H46" s="1">
        <v>0</v>
      </c>
      <c r="I46" s="1"/>
      <c r="J46" s="1"/>
      <c r="K46" s="1"/>
      <c r="L46" s="1"/>
      <c r="M46" s="1"/>
      <c r="N46" s="1"/>
      <c r="O46" s="1"/>
      <c r="P46" s="1"/>
      <c r="Q46" s="1"/>
      <c r="R46" s="1"/>
      <c r="S46" s="1"/>
      <c r="T46" s="1"/>
    </row>
    <row r="47" spans="1:20" x14ac:dyDescent="0.25">
      <c r="A47" s="6" t="s">
        <v>40</v>
      </c>
      <c r="B47" s="5">
        <v>217243</v>
      </c>
      <c r="C47" s="5">
        <v>182637</v>
      </c>
      <c r="D47" s="5">
        <v>153168</v>
      </c>
      <c r="E47" s="5">
        <v>125713</v>
      </c>
      <c r="F47" s="5">
        <v>124879</v>
      </c>
      <c r="G47" s="5">
        <v>128290</v>
      </c>
      <c r="H47" s="5">
        <v>101054</v>
      </c>
      <c r="I47" s="5"/>
      <c r="J47" s="5"/>
      <c r="K47" s="5"/>
      <c r="L47" s="5"/>
      <c r="M47" s="5"/>
      <c r="N47" s="5"/>
      <c r="O47" s="5"/>
      <c r="P47" s="5"/>
      <c r="Q47" s="5"/>
      <c r="R47" s="5"/>
      <c r="S47" s="5"/>
      <c r="T47" s="5"/>
    </row>
    <row r="49" spans="1:20" x14ac:dyDescent="0.25">
      <c r="A49" s="1" t="s">
        <v>39</v>
      </c>
      <c r="B49" s="1">
        <v>366021</v>
      </c>
      <c r="C49" s="1">
        <v>276054</v>
      </c>
      <c r="D49" s="1">
        <v>229623</v>
      </c>
      <c r="E49" s="1">
        <v>185727</v>
      </c>
      <c r="F49" s="1">
        <v>165987</v>
      </c>
      <c r="G49" s="1">
        <v>159316</v>
      </c>
      <c r="H49" s="1">
        <v>133376</v>
      </c>
      <c r="I49" s="1"/>
      <c r="J49" s="1"/>
      <c r="K49" s="1"/>
      <c r="L49" s="1"/>
      <c r="M49" s="1"/>
      <c r="N49" s="1"/>
      <c r="O49" s="1"/>
      <c r="P49" s="1"/>
      <c r="Q49" s="1"/>
      <c r="R49" s="1"/>
      <c r="S49" s="1"/>
      <c r="T49" s="1"/>
    </row>
    <row r="50" spans="1:20" x14ac:dyDescent="0.25">
      <c r="A50" s="1" t="s">
        <v>38</v>
      </c>
      <c r="B50" s="1">
        <f t="shared" ref="B50:H50" si="8">B8+B19</f>
        <v>73243</v>
      </c>
      <c r="C50" s="1">
        <f t="shared" si="8"/>
        <v>39996</v>
      </c>
      <c r="D50" s="1">
        <f t="shared" si="8"/>
        <v>29682</v>
      </c>
      <c r="E50" s="1">
        <f t="shared" si="8"/>
        <v>32258</v>
      </c>
      <c r="F50" s="1">
        <f t="shared" si="8"/>
        <v>38172</v>
      </c>
      <c r="G50" s="1">
        <f t="shared" si="8"/>
        <v>50612</v>
      </c>
      <c r="H50" s="1">
        <f t="shared" si="8"/>
        <v>35862</v>
      </c>
      <c r="I50" s="1"/>
      <c r="J50" s="1"/>
      <c r="K50" s="1"/>
      <c r="L50" s="1"/>
      <c r="M50" s="1"/>
      <c r="N50" s="1"/>
      <c r="O50" s="1"/>
      <c r="P50" s="1"/>
      <c r="Q50" s="1"/>
      <c r="R50" s="1"/>
      <c r="S50" s="1"/>
      <c r="T50" s="1"/>
    </row>
    <row r="51" spans="1:20" x14ac:dyDescent="0.25">
      <c r="A51" s="1" t="s">
        <v>37</v>
      </c>
      <c r="B51" s="1">
        <f t="shared" ref="B51:H51" si="9">B28+B34</f>
        <v>58744</v>
      </c>
      <c r="C51" s="1">
        <f t="shared" si="9"/>
        <v>28826</v>
      </c>
      <c r="D51" s="1">
        <f t="shared" si="9"/>
        <v>18385</v>
      </c>
      <c r="E51" s="1">
        <f t="shared" si="9"/>
        <v>9923</v>
      </c>
      <c r="F51" s="1">
        <f t="shared" si="9"/>
        <v>0</v>
      </c>
      <c r="G51" s="1">
        <f t="shared" si="9"/>
        <v>0</v>
      </c>
      <c r="H51" s="1">
        <f t="shared" si="9"/>
        <v>0</v>
      </c>
      <c r="I51" s="1"/>
      <c r="J51" s="1"/>
      <c r="K51" s="1"/>
      <c r="L51" s="1"/>
      <c r="M51" s="1"/>
      <c r="N51" s="1"/>
      <c r="O51" s="1"/>
      <c r="P51" s="1"/>
      <c r="Q51" s="1"/>
      <c r="R51" s="1"/>
      <c r="S51" s="1"/>
      <c r="T51" s="1"/>
    </row>
    <row r="52" spans="1:20" x14ac:dyDescent="0.25">
      <c r="A52" s="1" t="s">
        <v>36</v>
      </c>
      <c r="B52" s="1">
        <f t="shared" ref="B52:H52" si="10">B51-B7</f>
        <v>22871</v>
      </c>
      <c r="C52" s="1">
        <f t="shared" si="10"/>
        <v>-15063</v>
      </c>
      <c r="D52" s="1">
        <f t="shared" si="10"/>
        <v>-23477</v>
      </c>
      <c r="E52" s="1">
        <f t="shared" si="10"/>
        <v>-4758</v>
      </c>
      <c r="F52" s="1">
        <f t="shared" si="10"/>
        <v>-16601</v>
      </c>
      <c r="G52" s="1">
        <f t="shared" si="10"/>
        <v>-17576</v>
      </c>
      <c r="H52" s="1">
        <f t="shared" si="10"/>
        <v>-19079</v>
      </c>
      <c r="I52" s="1"/>
      <c r="J52" s="1"/>
      <c r="K52" s="1"/>
      <c r="L52" s="1"/>
      <c r="M52" s="1"/>
      <c r="N52" s="1"/>
      <c r="O52" s="1"/>
      <c r="P52" s="1"/>
      <c r="Q52" s="1"/>
      <c r="R52" s="1"/>
      <c r="S52" s="1"/>
      <c r="T52" s="1"/>
    </row>
  </sheetData>
  <mergeCells count="1">
    <mergeCell ref="B4:T4"/>
  </mergeCells>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924088-4F70-4CD6-8B24-B8D765CA1E2E}">
  <sheetPr>
    <tabColor rgb="FFC6E0B4"/>
  </sheetPr>
  <dimension ref="A1:T39"/>
  <sheetViews>
    <sheetView workbookViewId="0"/>
  </sheetViews>
  <sheetFormatPr defaultRowHeight="15" x14ac:dyDescent="0.25"/>
  <cols>
    <col min="1" max="1" width="44.28515625" bestFit="1" customWidth="1"/>
    <col min="2" max="2" width="19" bestFit="1" customWidth="1"/>
    <col min="3" max="3" width="18.28515625" bestFit="1" customWidth="1"/>
    <col min="4" max="11" width="18" bestFit="1" customWidth="1"/>
    <col min="12" max="13" width="17.28515625" bestFit="1" customWidth="1"/>
    <col min="14" max="19" width="16.85546875" bestFit="1" customWidth="1"/>
    <col min="20" max="20" width="16.140625" bestFit="1" customWidth="1"/>
  </cols>
  <sheetData>
    <row r="1" spans="1:20" x14ac:dyDescent="0.25">
      <c r="A1" s="10" t="s">
        <v>218</v>
      </c>
      <c r="B1" s="10"/>
      <c r="C1" s="10"/>
      <c r="D1" s="10"/>
      <c r="E1" s="10"/>
      <c r="F1" s="10"/>
      <c r="G1" s="10"/>
      <c r="H1" s="10"/>
      <c r="I1" s="10"/>
      <c r="J1" s="10"/>
      <c r="K1" s="10"/>
      <c r="L1" s="10"/>
      <c r="M1" s="10"/>
      <c r="N1" s="10"/>
      <c r="O1" s="10"/>
      <c r="P1" s="10"/>
      <c r="Q1" s="10"/>
      <c r="R1" s="10"/>
      <c r="S1" s="10"/>
      <c r="T1" s="10"/>
    </row>
    <row r="2" spans="1:20" x14ac:dyDescent="0.25">
      <c r="A2" t="s">
        <v>1</v>
      </c>
      <c r="B2" t="s">
        <v>216</v>
      </c>
    </row>
    <row r="3" spans="1:20" x14ac:dyDescent="0.25">
      <c r="A3" t="s">
        <v>3</v>
      </c>
      <c r="B3" t="str">
        <f>'META - Income Statement FY'!B3</f>
        <v>USD</v>
      </c>
    </row>
    <row r="4" spans="1:20" x14ac:dyDescent="0.25">
      <c r="A4" t="s">
        <v>32</v>
      </c>
      <c r="B4" s="236" t="s">
        <v>33</v>
      </c>
      <c r="C4" s="236"/>
      <c r="D4" s="236"/>
      <c r="E4" s="236"/>
      <c r="F4" s="236"/>
      <c r="G4" s="236"/>
      <c r="H4" s="236"/>
      <c r="I4" s="236"/>
      <c r="J4" s="236"/>
      <c r="K4" s="236"/>
      <c r="L4" s="236"/>
      <c r="M4" s="236"/>
      <c r="N4" s="236"/>
      <c r="O4" s="236"/>
      <c r="P4" s="236"/>
      <c r="Q4" s="236"/>
      <c r="R4" s="236"/>
      <c r="S4" s="236"/>
      <c r="T4" s="236"/>
    </row>
    <row r="5" spans="1:20" x14ac:dyDescent="0.25">
      <c r="A5" t="s">
        <v>34</v>
      </c>
      <c r="B5" s="8">
        <v>46022</v>
      </c>
      <c r="C5" s="8">
        <v>45657</v>
      </c>
      <c r="D5" s="8">
        <v>45291</v>
      </c>
      <c r="E5" s="8">
        <v>44926</v>
      </c>
      <c r="F5" s="8">
        <v>44561</v>
      </c>
      <c r="G5" s="8">
        <v>44196</v>
      </c>
      <c r="H5" s="8">
        <v>43830</v>
      </c>
      <c r="I5" s="8"/>
      <c r="J5" s="8"/>
      <c r="K5" s="8"/>
      <c r="L5" s="8"/>
      <c r="M5" s="8"/>
      <c r="N5" s="8"/>
      <c r="O5" s="8"/>
      <c r="P5" s="8"/>
      <c r="Q5" s="8"/>
      <c r="R5" s="8"/>
      <c r="S5" s="8"/>
      <c r="T5" s="8"/>
    </row>
    <row r="7" spans="1:20" x14ac:dyDescent="0.25">
      <c r="A7" s="6" t="s">
        <v>10</v>
      </c>
      <c r="B7" s="5">
        <v>60458</v>
      </c>
      <c r="C7" s="5">
        <v>62360</v>
      </c>
      <c r="D7" s="5">
        <v>39098</v>
      </c>
      <c r="E7" s="5">
        <v>23200</v>
      </c>
      <c r="F7" s="5">
        <v>39370</v>
      </c>
      <c r="G7" s="5">
        <v>29146</v>
      </c>
      <c r="H7" s="5">
        <v>18485</v>
      </c>
      <c r="I7" s="5"/>
      <c r="J7" s="5"/>
      <c r="K7" s="5"/>
      <c r="L7" s="5"/>
      <c r="M7" s="5"/>
      <c r="N7" s="5"/>
      <c r="O7" s="5"/>
      <c r="P7" s="5"/>
      <c r="Q7" s="5"/>
      <c r="R7" s="5"/>
      <c r="S7" s="5"/>
      <c r="T7" s="5"/>
    </row>
    <row r="8" spans="1:20" x14ac:dyDescent="0.25">
      <c r="A8" s="1" t="s">
        <v>19</v>
      </c>
      <c r="B8" s="1">
        <v>18616</v>
      </c>
      <c r="C8" s="1">
        <v>15498</v>
      </c>
      <c r="D8" s="1">
        <v>11178</v>
      </c>
      <c r="E8" s="1">
        <v>8686</v>
      </c>
      <c r="F8" s="1">
        <v>7967</v>
      </c>
      <c r="G8" s="1">
        <v>6862</v>
      </c>
      <c r="H8" s="1">
        <v>5741</v>
      </c>
      <c r="I8" s="1"/>
      <c r="J8" s="1"/>
      <c r="K8" s="1"/>
      <c r="L8" s="1"/>
      <c r="M8" s="1"/>
      <c r="N8" s="1"/>
      <c r="O8" s="1"/>
      <c r="P8" s="1"/>
      <c r="Q8" s="1"/>
      <c r="R8" s="1"/>
      <c r="S8" s="1"/>
      <c r="T8" s="1"/>
    </row>
    <row r="9" spans="1:20" x14ac:dyDescent="0.25">
      <c r="A9" s="1" t="s">
        <v>102</v>
      </c>
      <c r="B9" s="1">
        <v>18738</v>
      </c>
      <c r="C9" s="1">
        <v>-4738</v>
      </c>
      <c r="D9" s="1">
        <v>131</v>
      </c>
      <c r="E9" s="1">
        <v>-3286</v>
      </c>
      <c r="F9" s="1">
        <v>609</v>
      </c>
      <c r="G9" s="1">
        <v>-1192</v>
      </c>
      <c r="H9" s="1">
        <v>-37</v>
      </c>
      <c r="I9" s="1"/>
      <c r="J9" s="1"/>
      <c r="K9" s="1"/>
      <c r="L9" s="1"/>
      <c r="M9" s="1"/>
      <c r="N9" s="1"/>
      <c r="O9" s="1"/>
      <c r="P9" s="1"/>
      <c r="Q9" s="1"/>
      <c r="R9" s="1"/>
      <c r="S9" s="1"/>
      <c r="T9" s="1"/>
    </row>
    <row r="10" spans="1:20" x14ac:dyDescent="0.25">
      <c r="A10" s="1" t="s">
        <v>101</v>
      </c>
      <c r="B10" s="1">
        <v>20427</v>
      </c>
      <c r="C10" s="1">
        <v>16690</v>
      </c>
      <c r="D10" s="1">
        <v>14027</v>
      </c>
      <c r="E10" s="1">
        <v>11992</v>
      </c>
      <c r="F10" s="1">
        <v>9164</v>
      </c>
      <c r="G10" s="1">
        <v>6536</v>
      </c>
      <c r="H10" s="1">
        <v>4836</v>
      </c>
      <c r="I10" s="1"/>
      <c r="J10" s="1"/>
      <c r="K10" s="1"/>
      <c r="L10" s="1"/>
      <c r="M10" s="1"/>
      <c r="N10" s="1"/>
      <c r="O10" s="1"/>
      <c r="P10" s="1"/>
      <c r="Q10" s="1"/>
      <c r="R10" s="1"/>
      <c r="S10" s="1"/>
      <c r="T10" s="1"/>
    </row>
    <row r="11" spans="1:20" x14ac:dyDescent="0.25">
      <c r="A11" s="1" t="s">
        <v>100</v>
      </c>
      <c r="B11" s="1">
        <f t="shared" ref="B11:H11" si="0">SUM(B12:B15)</f>
        <v>-885</v>
      </c>
      <c r="C11" s="1">
        <f t="shared" si="0"/>
        <v>1431</v>
      </c>
      <c r="D11" s="1">
        <f t="shared" si="0"/>
        <v>6268</v>
      </c>
      <c r="E11" s="1">
        <f t="shared" si="0"/>
        <v>9242</v>
      </c>
      <c r="F11" s="1">
        <f t="shared" si="0"/>
        <v>700</v>
      </c>
      <c r="G11" s="1">
        <f t="shared" si="0"/>
        <v>-2723</v>
      </c>
      <c r="H11" s="1">
        <f t="shared" si="0"/>
        <v>7250</v>
      </c>
      <c r="I11" s="1"/>
      <c r="J11" s="1"/>
      <c r="K11" s="1"/>
      <c r="L11" s="1"/>
      <c r="M11" s="1"/>
      <c r="N11" s="1"/>
      <c r="O11" s="1"/>
      <c r="P11" s="1"/>
      <c r="Q11" s="1"/>
      <c r="R11" s="1"/>
      <c r="S11" s="1"/>
      <c r="T11" s="1"/>
    </row>
    <row r="12" spans="1:20" x14ac:dyDescent="0.25">
      <c r="A12" s="1" t="s">
        <v>99</v>
      </c>
      <c r="B12" s="1">
        <v>-1815</v>
      </c>
      <c r="C12" s="1">
        <v>-1485</v>
      </c>
      <c r="D12" s="1">
        <v>-2399</v>
      </c>
      <c r="E12" s="1">
        <v>231</v>
      </c>
      <c r="F12" s="1">
        <v>-3110</v>
      </c>
      <c r="G12" s="1">
        <v>-1512</v>
      </c>
      <c r="H12" s="1">
        <v>-1961</v>
      </c>
      <c r="I12" s="1"/>
      <c r="J12" s="1"/>
      <c r="K12" s="1"/>
      <c r="L12" s="1"/>
      <c r="M12" s="1"/>
      <c r="N12" s="1"/>
      <c r="O12" s="1"/>
      <c r="P12" s="1"/>
      <c r="Q12" s="1"/>
      <c r="R12" s="1"/>
      <c r="S12" s="1"/>
      <c r="T12" s="1"/>
    </row>
    <row r="13" spans="1:20" x14ac:dyDescent="0.25">
      <c r="A13" s="1" t="s">
        <v>70</v>
      </c>
      <c r="B13" s="1">
        <v>0</v>
      </c>
      <c r="C13" s="1">
        <v>0</v>
      </c>
      <c r="D13" s="1">
        <v>0</v>
      </c>
      <c r="E13" s="1">
        <v>0</v>
      </c>
      <c r="F13" s="1">
        <v>0</v>
      </c>
      <c r="G13" s="1">
        <v>0</v>
      </c>
      <c r="H13" s="1">
        <v>0</v>
      </c>
      <c r="I13" s="1"/>
      <c r="J13" s="1"/>
      <c r="K13" s="1"/>
      <c r="L13" s="1"/>
      <c r="M13" s="1"/>
      <c r="N13" s="1"/>
      <c r="O13" s="1"/>
      <c r="P13" s="1"/>
      <c r="Q13" s="1"/>
      <c r="R13" s="1"/>
      <c r="S13" s="1"/>
      <c r="T13" s="1"/>
    </row>
    <row r="14" spans="1:20" x14ac:dyDescent="0.25">
      <c r="A14" s="1" t="s">
        <v>98</v>
      </c>
      <c r="B14" s="1">
        <v>-14</v>
      </c>
      <c r="C14" s="1">
        <v>373</v>
      </c>
      <c r="D14" s="1">
        <v>51</v>
      </c>
      <c r="E14" s="1">
        <v>210</v>
      </c>
      <c r="F14" s="1">
        <v>1436</v>
      </c>
      <c r="G14" s="1">
        <v>-17</v>
      </c>
      <c r="H14" s="1">
        <v>113</v>
      </c>
      <c r="I14" s="1"/>
      <c r="J14" s="1"/>
      <c r="K14" s="1"/>
      <c r="L14" s="1"/>
      <c r="M14" s="1"/>
      <c r="N14" s="1"/>
      <c r="O14" s="1"/>
      <c r="P14" s="1"/>
      <c r="Q14" s="1"/>
      <c r="R14" s="1"/>
      <c r="S14" s="1"/>
      <c r="T14" s="1"/>
    </row>
    <row r="15" spans="1:20" x14ac:dyDescent="0.25">
      <c r="A15" s="1" t="s">
        <v>97</v>
      </c>
      <c r="B15" s="1">
        <f t="shared" ref="B15:H15" si="1">B17-B7-B8-B9-B10-B16-B12-B13-B14</f>
        <v>944</v>
      </c>
      <c r="C15" s="1">
        <f t="shared" si="1"/>
        <v>2543</v>
      </c>
      <c r="D15" s="1">
        <f t="shared" si="1"/>
        <v>8616</v>
      </c>
      <c r="E15" s="1">
        <f t="shared" si="1"/>
        <v>8801</v>
      </c>
      <c r="F15" s="1">
        <f t="shared" si="1"/>
        <v>2374</v>
      </c>
      <c r="G15" s="1">
        <f t="shared" si="1"/>
        <v>-1194</v>
      </c>
      <c r="H15" s="1">
        <f t="shared" si="1"/>
        <v>9098</v>
      </c>
      <c r="I15" s="1"/>
      <c r="J15" s="1"/>
      <c r="K15" s="1"/>
      <c r="L15" s="1"/>
      <c r="M15" s="1"/>
      <c r="N15" s="1"/>
      <c r="O15" s="1"/>
      <c r="P15" s="1"/>
      <c r="Q15" s="1"/>
      <c r="R15" s="1"/>
      <c r="S15" s="1"/>
      <c r="T15" s="1"/>
    </row>
    <row r="16" spans="1:20" x14ac:dyDescent="0.25">
      <c r="A16" s="1" t="s">
        <v>96</v>
      </c>
      <c r="B16" s="1">
        <v>-1554</v>
      </c>
      <c r="C16" s="1">
        <v>87</v>
      </c>
      <c r="D16" s="1">
        <v>411</v>
      </c>
      <c r="E16" s="1">
        <v>641</v>
      </c>
      <c r="F16" s="1">
        <v>-127</v>
      </c>
      <c r="G16" s="1">
        <v>118</v>
      </c>
      <c r="H16" s="1">
        <v>39</v>
      </c>
      <c r="I16" s="1"/>
      <c r="J16" s="1"/>
      <c r="K16" s="1"/>
      <c r="L16" s="1"/>
      <c r="M16" s="1"/>
      <c r="N16" s="1"/>
      <c r="O16" s="1"/>
      <c r="P16" s="1"/>
      <c r="Q16" s="1"/>
      <c r="R16" s="1"/>
      <c r="S16" s="1"/>
      <c r="T16" s="1"/>
    </row>
    <row r="17" spans="1:20" x14ac:dyDescent="0.25">
      <c r="A17" s="6" t="s">
        <v>95</v>
      </c>
      <c r="B17" s="4">
        <v>115800</v>
      </c>
      <c r="C17" s="4">
        <v>91328</v>
      </c>
      <c r="D17" s="4">
        <v>71113</v>
      </c>
      <c r="E17" s="4">
        <v>50475</v>
      </c>
      <c r="F17" s="4">
        <v>57683</v>
      </c>
      <c r="G17" s="4">
        <v>38747</v>
      </c>
      <c r="H17" s="4">
        <v>36314</v>
      </c>
      <c r="I17" s="4"/>
      <c r="J17" s="4"/>
      <c r="K17" s="4"/>
      <c r="L17" s="4"/>
      <c r="M17" s="4"/>
      <c r="N17" s="4"/>
      <c r="O17" s="4"/>
      <c r="P17" s="4"/>
      <c r="Q17" s="4"/>
      <c r="R17" s="4"/>
      <c r="S17" s="4"/>
      <c r="T17" s="4"/>
    </row>
    <row r="19" spans="1:20" x14ac:dyDescent="0.25">
      <c r="A19" s="1" t="s">
        <v>94</v>
      </c>
      <c r="B19" s="1">
        <v>-69691</v>
      </c>
      <c r="C19" s="1">
        <v>-37256</v>
      </c>
      <c r="D19" s="1">
        <v>-27045</v>
      </c>
      <c r="E19" s="1">
        <v>-31431</v>
      </c>
      <c r="F19" s="1">
        <v>-18690</v>
      </c>
      <c r="G19" s="1">
        <v>-15115</v>
      </c>
      <c r="H19" s="1">
        <v>-15102</v>
      </c>
      <c r="I19" s="1"/>
      <c r="J19" s="1"/>
      <c r="K19" s="1"/>
      <c r="L19" s="1"/>
      <c r="M19" s="1"/>
      <c r="N19" s="1"/>
      <c r="O19" s="1"/>
      <c r="P19" s="1"/>
      <c r="Q19" s="1"/>
      <c r="R19" s="1"/>
      <c r="S19" s="1"/>
      <c r="T19" s="1"/>
    </row>
    <row r="20" spans="1:20" x14ac:dyDescent="0.25">
      <c r="A20" s="1" t="s">
        <v>93</v>
      </c>
      <c r="B20" s="1">
        <v>-4231</v>
      </c>
      <c r="C20" s="1">
        <v>-270</v>
      </c>
      <c r="D20" s="1">
        <v>-629</v>
      </c>
      <c r="E20" s="1">
        <v>-1312</v>
      </c>
      <c r="F20" s="1">
        <v>-851</v>
      </c>
      <c r="G20" s="1">
        <v>-388</v>
      </c>
      <c r="H20" s="1">
        <v>-508</v>
      </c>
      <c r="I20" s="1"/>
      <c r="J20" s="1"/>
      <c r="K20" s="1"/>
      <c r="L20" s="1"/>
      <c r="M20" s="1"/>
      <c r="N20" s="1"/>
      <c r="O20" s="1"/>
      <c r="P20" s="1"/>
      <c r="Q20" s="1"/>
      <c r="R20" s="1"/>
      <c r="S20" s="1"/>
      <c r="T20" s="1"/>
    </row>
    <row r="21" spans="1:20" x14ac:dyDescent="0.25">
      <c r="A21" s="1" t="s">
        <v>92</v>
      </c>
      <c r="B21" s="1">
        <v>-55259</v>
      </c>
      <c r="C21" s="1">
        <v>-25553</v>
      </c>
      <c r="D21" s="1">
        <v>-2983</v>
      </c>
      <c r="E21" s="1">
        <v>-9626</v>
      </c>
      <c r="F21" s="1">
        <v>-30407</v>
      </c>
      <c r="G21" s="1">
        <v>-40291</v>
      </c>
      <c r="H21" s="1">
        <v>-23971</v>
      </c>
      <c r="I21" s="1"/>
      <c r="J21" s="1"/>
      <c r="K21" s="1"/>
      <c r="L21" s="1"/>
      <c r="M21" s="1"/>
      <c r="N21" s="1"/>
      <c r="O21" s="1"/>
      <c r="P21" s="1"/>
      <c r="Q21" s="1"/>
      <c r="R21" s="1"/>
      <c r="S21" s="1"/>
      <c r="T21" s="1"/>
    </row>
    <row r="22" spans="1:20" x14ac:dyDescent="0.25">
      <c r="A22" s="1" t="s">
        <v>91</v>
      </c>
      <c r="B22" s="1">
        <v>26874</v>
      </c>
      <c r="C22" s="1">
        <v>15789</v>
      </c>
      <c r="D22" s="1">
        <v>6184</v>
      </c>
      <c r="E22" s="1">
        <v>13158</v>
      </c>
      <c r="F22" s="1">
        <v>42586</v>
      </c>
      <c r="G22" s="1">
        <v>25771</v>
      </c>
      <c r="H22" s="1">
        <v>19717</v>
      </c>
      <c r="I22" s="1"/>
      <c r="J22" s="1"/>
      <c r="K22" s="1"/>
      <c r="L22" s="1"/>
      <c r="M22" s="1"/>
      <c r="N22" s="1"/>
      <c r="O22" s="1"/>
      <c r="P22" s="1"/>
      <c r="Q22" s="1"/>
      <c r="R22" s="1"/>
      <c r="S22" s="1"/>
      <c r="T22" s="1"/>
    </row>
    <row r="23" spans="1:20" x14ac:dyDescent="0.25">
      <c r="A23" s="1" t="s">
        <v>90</v>
      </c>
      <c r="B23" s="1">
        <f t="shared" ref="B23:H23" si="2">B24-SUM(B19:B22)</f>
        <v>304</v>
      </c>
      <c r="C23" s="1">
        <f t="shared" si="2"/>
        <v>140</v>
      </c>
      <c r="D23" s="1">
        <f t="shared" si="2"/>
        <v>-22</v>
      </c>
      <c r="E23" s="1">
        <f t="shared" si="2"/>
        <v>241</v>
      </c>
      <c r="F23" s="1">
        <f t="shared" si="2"/>
        <v>-208</v>
      </c>
      <c r="G23" s="1">
        <f t="shared" si="2"/>
        <v>-36</v>
      </c>
      <c r="H23" s="1">
        <f t="shared" si="2"/>
        <v>0</v>
      </c>
      <c r="I23" s="1"/>
      <c r="J23" s="1"/>
      <c r="K23" s="1"/>
      <c r="L23" s="1"/>
      <c r="M23" s="1"/>
      <c r="N23" s="1"/>
      <c r="O23" s="1"/>
      <c r="P23" s="1"/>
      <c r="Q23" s="1"/>
      <c r="R23" s="1"/>
      <c r="S23" s="1"/>
      <c r="T23" s="1"/>
    </row>
    <row r="24" spans="1:20" x14ac:dyDescent="0.25">
      <c r="A24" s="6" t="s">
        <v>89</v>
      </c>
      <c r="B24" s="4">
        <v>-102003</v>
      </c>
      <c r="C24" s="4">
        <v>-47150</v>
      </c>
      <c r="D24" s="4">
        <v>-24495</v>
      </c>
      <c r="E24" s="4">
        <v>-28970</v>
      </c>
      <c r="F24" s="4">
        <v>-7570</v>
      </c>
      <c r="G24" s="4">
        <v>-30059</v>
      </c>
      <c r="H24" s="4">
        <v>-19864</v>
      </c>
      <c r="I24" s="4"/>
      <c r="J24" s="4"/>
      <c r="K24" s="4"/>
      <c r="L24" s="4"/>
      <c r="M24" s="4"/>
      <c r="N24" s="4"/>
      <c r="O24" s="4"/>
      <c r="P24" s="4"/>
      <c r="Q24" s="4"/>
      <c r="R24" s="4"/>
      <c r="S24" s="4"/>
      <c r="T24" s="4"/>
    </row>
    <row r="26" spans="1:20" x14ac:dyDescent="0.25">
      <c r="A26" s="1" t="s">
        <v>88</v>
      </c>
      <c r="B26" s="1">
        <v>29906</v>
      </c>
      <c r="C26" s="1">
        <v>10432</v>
      </c>
      <c r="D26" s="1">
        <v>8455</v>
      </c>
      <c r="E26" s="1">
        <v>0</v>
      </c>
      <c r="F26" s="1">
        <v>0</v>
      </c>
      <c r="G26" s="1">
        <v>0</v>
      </c>
      <c r="H26" s="1">
        <v>0</v>
      </c>
      <c r="I26" s="1"/>
      <c r="J26" s="1"/>
      <c r="K26" s="1"/>
      <c r="L26" s="1"/>
      <c r="M26" s="1"/>
      <c r="N26" s="1"/>
      <c r="O26" s="1"/>
      <c r="P26" s="1"/>
      <c r="Q26" s="1"/>
      <c r="R26" s="1"/>
      <c r="S26" s="1"/>
      <c r="T26" s="1"/>
    </row>
    <row r="27" spans="1:20" x14ac:dyDescent="0.25">
      <c r="A27" s="1" t="s">
        <v>87</v>
      </c>
      <c r="B27" s="1">
        <v>0</v>
      </c>
      <c r="C27" s="1">
        <v>0</v>
      </c>
      <c r="D27" s="1">
        <v>0</v>
      </c>
      <c r="E27" s="1">
        <v>0</v>
      </c>
      <c r="F27" s="1">
        <v>0</v>
      </c>
      <c r="G27" s="1">
        <v>0</v>
      </c>
      <c r="H27" s="1">
        <v>0</v>
      </c>
      <c r="I27" s="1"/>
      <c r="J27" s="1"/>
      <c r="K27" s="1"/>
      <c r="L27" s="1"/>
      <c r="M27" s="1"/>
      <c r="N27" s="1"/>
      <c r="O27" s="1"/>
      <c r="P27" s="1"/>
      <c r="Q27" s="1"/>
      <c r="R27" s="1"/>
      <c r="S27" s="1"/>
      <c r="T27" s="1"/>
    </row>
    <row r="28" spans="1:20" x14ac:dyDescent="0.25">
      <c r="A28" s="1" t="s">
        <v>86</v>
      </c>
      <c r="B28" s="1">
        <v>-26248</v>
      </c>
      <c r="C28" s="1">
        <v>-30125</v>
      </c>
      <c r="D28" s="1">
        <v>-19774</v>
      </c>
      <c r="E28" s="1">
        <v>-27956</v>
      </c>
      <c r="F28" s="1">
        <v>-44537</v>
      </c>
      <c r="G28" s="1">
        <v>-6272</v>
      </c>
      <c r="H28" s="1">
        <v>-4202</v>
      </c>
      <c r="I28" s="1"/>
      <c r="J28" s="1"/>
      <c r="K28" s="1"/>
      <c r="L28" s="1"/>
      <c r="M28" s="1"/>
      <c r="N28" s="1"/>
      <c r="O28" s="1"/>
      <c r="P28" s="1"/>
      <c r="Q28" s="1"/>
      <c r="R28" s="1"/>
      <c r="S28" s="1"/>
      <c r="T28" s="1"/>
    </row>
    <row r="29" spans="1:20" x14ac:dyDescent="0.25">
      <c r="A29" s="1" t="s">
        <v>85</v>
      </c>
      <c r="B29" s="1">
        <v>-5324</v>
      </c>
      <c r="C29" s="1">
        <v>-5072</v>
      </c>
      <c r="D29" s="1">
        <v>0</v>
      </c>
      <c r="E29" s="1">
        <v>0</v>
      </c>
      <c r="F29" s="1">
        <v>0</v>
      </c>
      <c r="G29" s="1">
        <v>0</v>
      </c>
      <c r="H29" s="1">
        <v>0</v>
      </c>
      <c r="I29" s="1"/>
      <c r="J29" s="1"/>
      <c r="K29" s="1"/>
      <c r="L29" s="1"/>
      <c r="M29" s="1"/>
      <c r="N29" s="1"/>
      <c r="O29" s="1"/>
      <c r="P29" s="1"/>
      <c r="Q29" s="1"/>
      <c r="R29" s="1"/>
      <c r="S29" s="1"/>
      <c r="T29" s="1"/>
    </row>
    <row r="30" spans="1:20" x14ac:dyDescent="0.25">
      <c r="A30" s="1" t="s">
        <v>84</v>
      </c>
      <c r="B30" s="1">
        <f t="shared" ref="B30:H30" si="3">B31-SUM(B26:B29)</f>
        <v>-18704</v>
      </c>
      <c r="C30" s="1">
        <f t="shared" si="3"/>
        <v>-16016</v>
      </c>
      <c r="D30" s="1">
        <f t="shared" si="3"/>
        <v>-8181</v>
      </c>
      <c r="E30" s="1">
        <f t="shared" si="3"/>
        <v>5820</v>
      </c>
      <c r="F30" s="1">
        <f t="shared" si="3"/>
        <v>-6191</v>
      </c>
      <c r="G30" s="1">
        <f t="shared" si="3"/>
        <v>-4020</v>
      </c>
      <c r="H30" s="1">
        <f t="shared" si="3"/>
        <v>-3097</v>
      </c>
      <c r="I30" s="1"/>
      <c r="J30" s="1"/>
      <c r="K30" s="1"/>
      <c r="L30" s="1"/>
      <c r="M30" s="1"/>
      <c r="N30" s="1"/>
      <c r="O30" s="1"/>
      <c r="P30" s="1"/>
      <c r="Q30" s="1"/>
      <c r="R30" s="1"/>
      <c r="S30" s="1"/>
      <c r="T30" s="1"/>
    </row>
    <row r="31" spans="1:20" x14ac:dyDescent="0.25">
      <c r="A31" s="6" t="s">
        <v>83</v>
      </c>
      <c r="B31" s="4">
        <v>-20370</v>
      </c>
      <c r="C31" s="4">
        <v>-40781</v>
      </c>
      <c r="D31" s="4">
        <v>-19500</v>
      </c>
      <c r="E31" s="4">
        <v>-22136</v>
      </c>
      <c r="F31" s="4">
        <v>-50728</v>
      </c>
      <c r="G31" s="4">
        <v>-10292</v>
      </c>
      <c r="H31" s="4">
        <v>-7299</v>
      </c>
      <c r="I31" s="4"/>
      <c r="J31" s="4"/>
      <c r="K31" s="4"/>
      <c r="L31" s="4"/>
      <c r="M31" s="4"/>
      <c r="N31" s="4"/>
      <c r="O31" s="4"/>
      <c r="P31" s="4"/>
      <c r="Q31" s="4"/>
      <c r="R31" s="4"/>
      <c r="S31" s="4"/>
      <c r="T31" s="4"/>
    </row>
    <row r="33" spans="1:20" x14ac:dyDescent="0.25">
      <c r="A33" s="1" t="s">
        <v>82</v>
      </c>
      <c r="B33" s="1">
        <f t="shared" ref="B33:H33" si="4">B34-B17-B24-B31</f>
        <v>235</v>
      </c>
      <c r="C33" s="1">
        <f t="shared" si="4"/>
        <v>-786</v>
      </c>
      <c r="D33" s="1">
        <f t="shared" si="4"/>
        <v>113</v>
      </c>
      <c r="E33" s="1">
        <f t="shared" si="4"/>
        <v>-638</v>
      </c>
      <c r="F33" s="1">
        <f t="shared" si="4"/>
        <v>-474</v>
      </c>
      <c r="G33" s="1">
        <f t="shared" si="4"/>
        <v>279</v>
      </c>
      <c r="H33" s="1">
        <f t="shared" si="4"/>
        <v>4</v>
      </c>
      <c r="I33" s="1"/>
      <c r="J33" s="1"/>
      <c r="K33" s="1"/>
      <c r="L33" s="1"/>
      <c r="M33" s="1"/>
      <c r="N33" s="1"/>
      <c r="O33" s="1"/>
      <c r="P33" s="1"/>
      <c r="Q33" s="1"/>
      <c r="R33" s="1"/>
      <c r="S33" s="1"/>
      <c r="T33" s="1"/>
    </row>
    <row r="34" spans="1:20" x14ac:dyDescent="0.25">
      <c r="A34" s="1" t="s">
        <v>81</v>
      </c>
      <c r="B34" s="1">
        <f t="shared" ref="B34:H34" si="5">B35-B36</f>
        <v>-6338</v>
      </c>
      <c r="C34" s="1">
        <f t="shared" si="5"/>
        <v>2611</v>
      </c>
      <c r="D34" s="1">
        <f t="shared" si="5"/>
        <v>27231</v>
      </c>
      <c r="E34" s="1">
        <f t="shared" si="5"/>
        <v>-1269</v>
      </c>
      <c r="F34" s="1">
        <f t="shared" si="5"/>
        <v>-1089</v>
      </c>
      <c r="G34" s="1">
        <f t="shared" si="5"/>
        <v>-1325</v>
      </c>
      <c r="H34" s="1">
        <f t="shared" si="5"/>
        <v>9155</v>
      </c>
      <c r="I34" s="1"/>
      <c r="J34" s="1"/>
      <c r="K34" s="1"/>
      <c r="L34" s="1"/>
      <c r="M34" s="1"/>
      <c r="N34" s="1"/>
      <c r="O34" s="1"/>
      <c r="P34" s="1"/>
      <c r="Q34" s="1"/>
      <c r="R34" s="1"/>
      <c r="S34" s="1"/>
      <c r="T34" s="1"/>
    </row>
    <row r="35" spans="1:20" x14ac:dyDescent="0.25">
      <c r="A35" s="1" t="s">
        <v>80</v>
      </c>
      <c r="B35" s="1">
        <v>39100</v>
      </c>
      <c r="C35" s="1">
        <v>45438</v>
      </c>
      <c r="D35" s="1">
        <v>42827</v>
      </c>
      <c r="E35" s="1">
        <v>15596</v>
      </c>
      <c r="F35" s="1">
        <v>16865</v>
      </c>
      <c r="G35" s="1">
        <v>17954</v>
      </c>
      <c r="H35" s="1">
        <v>19279</v>
      </c>
      <c r="I35" s="1"/>
      <c r="J35" s="1"/>
      <c r="K35" s="1"/>
      <c r="L35" s="1"/>
      <c r="M35" s="1"/>
      <c r="N35" s="1"/>
      <c r="O35" s="1"/>
      <c r="P35" s="1"/>
      <c r="Q35" s="1"/>
      <c r="R35" s="1"/>
      <c r="S35" s="1"/>
      <c r="T35" s="1"/>
    </row>
    <row r="36" spans="1:20" x14ac:dyDescent="0.25">
      <c r="A36" s="1" t="s">
        <v>79</v>
      </c>
      <c r="B36" s="1">
        <v>45438</v>
      </c>
      <c r="C36" s="1">
        <v>42827</v>
      </c>
      <c r="D36" s="1">
        <v>15596</v>
      </c>
      <c r="E36" s="1">
        <v>16865</v>
      </c>
      <c r="F36" s="1">
        <v>17954</v>
      </c>
      <c r="G36" s="1">
        <v>19279</v>
      </c>
      <c r="H36" s="1">
        <v>10124</v>
      </c>
      <c r="I36" s="1"/>
      <c r="J36" s="1"/>
      <c r="K36" s="1"/>
      <c r="L36" s="1"/>
      <c r="M36" s="1"/>
      <c r="N36" s="1"/>
      <c r="O36" s="1"/>
      <c r="P36" s="1"/>
      <c r="Q36" s="1"/>
      <c r="R36" s="1"/>
      <c r="S36" s="1"/>
      <c r="T36" s="1"/>
    </row>
    <row r="37" spans="1:20" x14ac:dyDescent="0.25">
      <c r="A37" s="1" t="s">
        <v>78</v>
      </c>
      <c r="B37" s="1">
        <f t="shared" ref="B37:H37" si="6">B17</f>
        <v>115800</v>
      </c>
      <c r="C37" s="1">
        <f t="shared" si="6"/>
        <v>91328</v>
      </c>
      <c r="D37" s="1">
        <f t="shared" si="6"/>
        <v>71113</v>
      </c>
      <c r="E37" s="1">
        <f t="shared" si="6"/>
        <v>50475</v>
      </c>
      <c r="F37" s="1">
        <f t="shared" si="6"/>
        <v>57683</v>
      </c>
      <c r="G37" s="1">
        <f t="shared" si="6"/>
        <v>38747</v>
      </c>
      <c r="H37" s="1">
        <f t="shared" si="6"/>
        <v>36314</v>
      </c>
      <c r="I37" s="1"/>
      <c r="J37" s="1"/>
      <c r="K37" s="1"/>
      <c r="L37" s="1"/>
      <c r="M37" s="1"/>
      <c r="N37" s="1"/>
      <c r="O37" s="1"/>
      <c r="P37" s="1"/>
      <c r="Q37" s="1"/>
      <c r="R37" s="1"/>
      <c r="S37" s="1"/>
      <c r="T37" s="1"/>
    </row>
    <row r="38" spans="1:20" x14ac:dyDescent="0.25">
      <c r="A38" s="1" t="s">
        <v>77</v>
      </c>
      <c r="B38" s="1">
        <f t="shared" ref="B38:H38" si="7">B19</f>
        <v>-69691</v>
      </c>
      <c r="C38" s="1">
        <f t="shared" si="7"/>
        <v>-37256</v>
      </c>
      <c r="D38" s="1">
        <f t="shared" si="7"/>
        <v>-27045</v>
      </c>
      <c r="E38" s="1">
        <f t="shared" si="7"/>
        <v>-31431</v>
      </c>
      <c r="F38" s="1">
        <f t="shared" si="7"/>
        <v>-18690</v>
      </c>
      <c r="G38" s="1">
        <f t="shared" si="7"/>
        <v>-15115</v>
      </c>
      <c r="H38" s="1">
        <f t="shared" si="7"/>
        <v>-15102</v>
      </c>
      <c r="I38" s="1"/>
      <c r="J38" s="1"/>
      <c r="K38" s="1"/>
      <c r="L38" s="1"/>
      <c r="M38" s="1"/>
      <c r="N38" s="1"/>
      <c r="O38" s="1"/>
      <c r="P38" s="1"/>
      <c r="Q38" s="1"/>
      <c r="R38" s="1"/>
      <c r="S38" s="1"/>
      <c r="T38" s="1"/>
    </row>
    <row r="39" spans="1:20" x14ac:dyDescent="0.25">
      <c r="A39" s="6" t="s">
        <v>76</v>
      </c>
      <c r="B39" s="5">
        <f t="shared" ref="B39:H39" si="8">B37+B38</f>
        <v>46109</v>
      </c>
      <c r="C39" s="5">
        <f t="shared" si="8"/>
        <v>54072</v>
      </c>
      <c r="D39" s="5">
        <f t="shared" si="8"/>
        <v>44068</v>
      </c>
      <c r="E39" s="5">
        <f t="shared" si="8"/>
        <v>19044</v>
      </c>
      <c r="F39" s="5">
        <f t="shared" si="8"/>
        <v>38993</v>
      </c>
      <c r="G39" s="5">
        <f t="shared" si="8"/>
        <v>23632</v>
      </c>
      <c r="H39" s="5">
        <f t="shared" si="8"/>
        <v>21212</v>
      </c>
      <c r="I39" s="5"/>
      <c r="J39" s="5"/>
      <c r="K39" s="5"/>
      <c r="L39" s="5"/>
      <c r="M39" s="5"/>
      <c r="N39" s="5"/>
      <c r="O39" s="5"/>
      <c r="P39" s="5"/>
      <c r="Q39" s="5"/>
      <c r="R39" s="5"/>
      <c r="S39" s="5"/>
      <c r="T39" s="5"/>
    </row>
  </sheetData>
  <mergeCells count="1">
    <mergeCell ref="B4:T4"/>
  </mergeCells>
  <pageMargins left="0.7" right="0.7" top="0.75" bottom="0.75" header="0.3" footer="0.3"/>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0BF79A-7B85-4533-9B8F-9B07805D21F1}">
  <sheetPr>
    <tabColor rgb="FFC6E0B4"/>
  </sheetPr>
  <dimension ref="A1:T61"/>
  <sheetViews>
    <sheetView workbookViewId="0"/>
  </sheetViews>
  <sheetFormatPr defaultRowHeight="15" x14ac:dyDescent="0.25"/>
  <cols>
    <col min="1" max="1" width="41.28515625" bestFit="1" customWidth="1"/>
    <col min="2" max="4" width="19.85546875" bestFit="1" customWidth="1"/>
    <col min="5" max="5" width="19" bestFit="1" customWidth="1"/>
    <col min="6" max="7" width="19.85546875" bestFit="1" customWidth="1"/>
    <col min="8" max="15" width="18.28515625" bestFit="1" customWidth="1"/>
    <col min="16" max="20" width="17.28515625" bestFit="1" customWidth="1"/>
  </cols>
  <sheetData>
    <row r="1" spans="1:20" x14ac:dyDescent="0.25">
      <c r="A1" s="10" t="s">
        <v>219</v>
      </c>
      <c r="B1" s="10"/>
      <c r="C1" s="10"/>
      <c r="D1" s="10"/>
      <c r="E1" s="10"/>
      <c r="F1" s="10"/>
      <c r="G1" s="10"/>
      <c r="H1" s="10"/>
      <c r="I1" s="10"/>
      <c r="J1" s="10"/>
      <c r="K1" s="10"/>
      <c r="L1" s="10"/>
      <c r="M1" s="10"/>
      <c r="N1" s="10"/>
      <c r="O1" s="10"/>
      <c r="P1" s="10"/>
      <c r="Q1" s="10"/>
      <c r="R1" s="10"/>
      <c r="S1" s="10"/>
      <c r="T1" s="10"/>
    </row>
    <row r="2" spans="1:20" x14ac:dyDescent="0.25">
      <c r="A2" t="s">
        <v>1</v>
      </c>
      <c r="B2" t="s">
        <v>216</v>
      </c>
    </row>
    <row r="3" spans="1:20" x14ac:dyDescent="0.25">
      <c r="A3" t="s">
        <v>3</v>
      </c>
      <c r="B3" t="str">
        <f>'META - Income Statement FY'!B3</f>
        <v>USD</v>
      </c>
    </row>
    <row r="4" spans="1:20" x14ac:dyDescent="0.25">
      <c r="A4" t="s">
        <v>32</v>
      </c>
      <c r="B4" s="236" t="s">
        <v>33</v>
      </c>
      <c r="C4" s="236"/>
      <c r="D4" s="236"/>
      <c r="E4" s="236"/>
      <c r="F4" s="236"/>
      <c r="G4" s="236"/>
      <c r="H4" s="236"/>
      <c r="I4" s="236"/>
      <c r="J4" s="236"/>
      <c r="K4" s="236"/>
      <c r="L4" s="236"/>
      <c r="M4" s="236"/>
      <c r="N4" s="236"/>
      <c r="O4" s="236"/>
      <c r="P4" s="236"/>
      <c r="Q4" s="236"/>
      <c r="R4" s="236"/>
      <c r="S4" s="236"/>
      <c r="T4" s="236"/>
    </row>
    <row r="5" spans="1:20" x14ac:dyDescent="0.25">
      <c r="A5" t="s">
        <v>34</v>
      </c>
      <c r="B5" s="8">
        <v>46022</v>
      </c>
      <c r="C5" s="8">
        <v>45657</v>
      </c>
      <c r="D5" s="8">
        <v>45291</v>
      </c>
      <c r="E5" s="8">
        <v>44926</v>
      </c>
      <c r="F5" s="8">
        <v>44561</v>
      </c>
      <c r="G5" s="8">
        <v>44196</v>
      </c>
      <c r="H5" s="8">
        <v>43830</v>
      </c>
      <c r="I5" s="8"/>
      <c r="J5" s="8"/>
      <c r="K5" s="8"/>
      <c r="L5" s="8"/>
      <c r="M5" s="8"/>
      <c r="N5" s="8"/>
      <c r="O5" s="8"/>
      <c r="P5" s="8"/>
      <c r="Q5" s="8"/>
      <c r="R5" s="8"/>
      <c r="S5" s="8"/>
      <c r="T5" s="8"/>
    </row>
    <row r="6" spans="1:20" x14ac:dyDescent="0.25">
      <c r="A6" s="2" t="s">
        <v>159</v>
      </c>
      <c r="B6" s="2">
        <f>'META - Income Statement FY'!B7/'META - Income Statement FY'!B38</f>
        <v>78.075369075369082</v>
      </c>
      <c r="C6" s="2">
        <f>'META - Income Statement FY'!C7/'META - Income Statement FY'!C38</f>
        <v>62.930757459831675</v>
      </c>
      <c r="D6" s="2">
        <f>'META - Income Statement FY'!D7/'META - Income Statement FY'!D38</f>
        <v>51.313046785850133</v>
      </c>
      <c r="E6" s="2">
        <f>'META - Income Statement FY'!E7/'META - Income Statement FY'!E38</f>
        <v>43.15655070318283</v>
      </c>
      <c r="F6" s="2">
        <f>'META - Income Statement FY'!F7/'META - Income Statement FY'!F38</f>
        <v>41.24833857992305</v>
      </c>
      <c r="G6" s="2">
        <f>'META - Income Statement FY'!G7/'META - Income Statement FY'!G38</f>
        <v>29.766274238227147</v>
      </c>
      <c r="H6" s="2">
        <f>'META - Income Statement FY'!H7/'META - Income Statement FY'!H38</f>
        <v>24.581710709318497</v>
      </c>
      <c r="I6" s="2"/>
      <c r="J6" s="2"/>
      <c r="K6" s="2"/>
      <c r="L6" s="2"/>
      <c r="M6" s="2"/>
      <c r="N6" s="2"/>
      <c r="O6" s="2"/>
      <c r="P6" s="2"/>
      <c r="Q6" s="2"/>
      <c r="R6" s="2"/>
      <c r="S6" s="2"/>
      <c r="T6" s="2"/>
    </row>
    <row r="7" spans="1:20" x14ac:dyDescent="0.25">
      <c r="A7" s="2" t="s">
        <v>158</v>
      </c>
      <c r="B7" s="2">
        <f>'META - Income Statement FY'!B32/'META - Income Statement FY'!B38</f>
        <v>23.487956487956488</v>
      </c>
      <c r="C7" s="2">
        <f>'META - Income Statement FY'!C32/'META - Income Statement FY'!C38</f>
        <v>23.856159143075747</v>
      </c>
      <c r="D7" s="2">
        <f>'META - Income Statement FY'!D32/'META - Income Statement FY'!D38</f>
        <v>14.871814378090528</v>
      </c>
      <c r="E7" s="2">
        <f>'META - Income Statement FY'!E32/'META - Income Statement FY'!E38</f>
        <v>8.5862324204293117</v>
      </c>
      <c r="F7" s="2">
        <f>'META - Income Statement FY'!F32/'META - Income Statement FY'!F38</f>
        <v>13.770549143057012</v>
      </c>
      <c r="G7" s="2">
        <f>'META - Income Statement FY'!G32/'META - Income Statement FY'!G38</f>
        <v>10.092105263157896</v>
      </c>
      <c r="H7" s="2">
        <f>'META - Income Statement FY'!H32/'META - Income Statement FY'!H38</f>
        <v>6.4273296244784426</v>
      </c>
      <c r="I7" s="2"/>
      <c r="J7" s="2"/>
      <c r="K7" s="2"/>
      <c r="L7" s="2"/>
      <c r="M7" s="2"/>
      <c r="N7" s="2"/>
      <c r="O7" s="2"/>
      <c r="P7" s="2"/>
      <c r="Q7" s="2"/>
      <c r="R7" s="2"/>
      <c r="S7" s="2"/>
      <c r="T7" s="2"/>
    </row>
    <row r="8" spans="1:20" x14ac:dyDescent="0.25">
      <c r="A8" s="2" t="s">
        <v>157</v>
      </c>
      <c r="B8" s="2">
        <f>'META - Cash Flow FY'!B17/'META - Income Statement FY'!B38</f>
        <v>44.988344988344991</v>
      </c>
      <c r="C8" s="2">
        <f>'META - Cash Flow FY'!C17/'META - Income Statement FY'!C38</f>
        <v>34.938026013771996</v>
      </c>
      <c r="D8" s="2">
        <f>'META - Cash Flow FY'!D17/'META - Income Statement FY'!D38</f>
        <v>27.0494484594903</v>
      </c>
      <c r="E8" s="2">
        <f>'META - Cash Flow FY'!E17/'META - Income Statement FY'!E38</f>
        <v>18.680606957809029</v>
      </c>
      <c r="F8" s="2">
        <f>'META - Cash Flow FY'!F17/'META - Income Statement FY'!F38</f>
        <v>20.175935641832808</v>
      </c>
      <c r="G8" s="2">
        <f>'META - Cash Flow FY'!G17/'META - Income Statement FY'!G38</f>
        <v>13.416551246537397</v>
      </c>
      <c r="H8" s="2">
        <f>'META - Cash Flow FY'!H17/'META - Income Statement FY'!H38</f>
        <v>12.626564673157162</v>
      </c>
      <c r="I8" s="2"/>
      <c r="J8" s="2"/>
      <c r="K8" s="2"/>
      <c r="L8" s="2"/>
      <c r="M8" s="2"/>
      <c r="N8" s="2"/>
      <c r="O8" s="2"/>
      <c r="P8" s="2"/>
      <c r="Q8" s="2"/>
      <c r="R8" s="2"/>
      <c r="S8" s="2"/>
      <c r="T8" s="2"/>
    </row>
    <row r="9" spans="1:20" x14ac:dyDescent="0.25">
      <c r="A9" s="2" t="s">
        <v>156</v>
      </c>
      <c r="B9" s="2">
        <f>'META - Cash Flow FY'!B39/'META - Income Statement FY'!B38</f>
        <v>17.913364413364413</v>
      </c>
      <c r="C9" s="2">
        <f>'META - Cash Flow FY'!C39/'META - Income Statement FY'!C38</f>
        <v>20.685539403213465</v>
      </c>
      <c r="D9" s="2">
        <f>'META - Cash Flow FY'!D39/'META - Income Statement FY'!D38</f>
        <v>16.762267021681247</v>
      </c>
      <c r="E9" s="2">
        <f>'META - Cash Flow FY'!E39/'META - Income Statement FY'!E38</f>
        <v>7.0481125092524053</v>
      </c>
      <c r="F9" s="2">
        <f>'META - Cash Flow FY'!F39/'META - Income Statement FY'!F38</f>
        <v>13.638684854844351</v>
      </c>
      <c r="G9" s="2">
        <f>'META - Cash Flow FY'!G39/'META - Income Statement FY'!G38</f>
        <v>8.1828254847645425</v>
      </c>
      <c r="H9" s="2">
        <f>'META - Cash Flow FY'!H39/'META - Income Statement FY'!H38</f>
        <v>7.375521557719054</v>
      </c>
      <c r="I9" s="2"/>
      <c r="J9" s="2"/>
      <c r="K9" s="2"/>
      <c r="L9" s="2"/>
      <c r="M9" s="2"/>
      <c r="N9" s="2"/>
      <c r="O9" s="2"/>
      <c r="P9" s="2"/>
      <c r="Q9" s="2"/>
      <c r="R9" s="2"/>
      <c r="S9" s="2"/>
      <c r="T9" s="2"/>
    </row>
    <row r="10" spans="1:20" x14ac:dyDescent="0.25">
      <c r="A10" s="2" t="s">
        <v>155</v>
      </c>
      <c r="B10" s="2">
        <f>'META - Balance Sheet FY'!B7/'META - Income Statement FY'!B38</f>
        <v>13.936674436674437</v>
      </c>
      <c r="C10" s="2">
        <f>'META - Balance Sheet FY'!C7/'META - Income Statement FY'!C38</f>
        <v>16.789977046671769</v>
      </c>
      <c r="D10" s="2">
        <f>'META - Balance Sheet FY'!D7/'META - Income Statement FY'!D38</f>
        <v>15.92316470140738</v>
      </c>
      <c r="E10" s="2">
        <f>'META - Balance Sheet FY'!E7/'META - Income Statement FY'!E38</f>
        <v>5.4333826794966695</v>
      </c>
      <c r="F10" s="2">
        <f>'META - Balance Sheet FY'!F7/'META - Income Statement FY'!F38</f>
        <v>5.8065757257782442</v>
      </c>
      <c r="G10" s="2">
        <f>'META - Balance Sheet FY'!G7/'META - Income Statement FY'!G38</f>
        <v>6.0858725761772856</v>
      </c>
      <c r="H10" s="2">
        <f>'META - Balance Sheet FY'!H7/'META - Income Statement FY'!H38</f>
        <v>6.6338664812239223</v>
      </c>
      <c r="I10" s="2"/>
      <c r="J10" s="2"/>
      <c r="K10" s="2"/>
      <c r="L10" s="2"/>
      <c r="M10" s="2"/>
      <c r="N10" s="2"/>
      <c r="O10" s="2"/>
      <c r="P10" s="2"/>
      <c r="Q10" s="2"/>
      <c r="R10" s="2"/>
      <c r="S10" s="2"/>
      <c r="T10" s="2"/>
    </row>
    <row r="11" spans="1:20" x14ac:dyDescent="0.25">
      <c r="A11" s="2" t="s">
        <v>154</v>
      </c>
      <c r="B11" s="2">
        <f>'META - Balance Sheet FY'!B47/'META - Income Statement FY'!B38</f>
        <v>84.398989898989896</v>
      </c>
      <c r="C11" s="2">
        <f>'META - Balance Sheet FY'!C47/'META - Income Statement FY'!C38</f>
        <v>69.868783473603671</v>
      </c>
      <c r="D11" s="2">
        <f>'META - Balance Sheet FY'!D47/'META - Income Statement FY'!D38</f>
        <v>58.26093571700266</v>
      </c>
      <c r="E11" s="2">
        <f>'META - Balance Sheet FY'!E47/'META - Income Statement FY'!E38</f>
        <v>46.525906735751292</v>
      </c>
      <c r="F11" s="2">
        <f>'META - Balance Sheet FY'!F47/'META - Income Statement FY'!F38</f>
        <v>43.679258481986707</v>
      </c>
      <c r="G11" s="2">
        <f>'META - Balance Sheet FY'!G47/'META - Income Statement FY'!G38</f>
        <v>44.421745152354568</v>
      </c>
      <c r="H11" s="2">
        <f>'META - Balance Sheet FY'!H47/'META - Income Statement FY'!H38</f>
        <v>35.13699582753825</v>
      </c>
      <c r="I11" s="2"/>
      <c r="J11" s="2"/>
      <c r="K11" s="2"/>
      <c r="L11" s="2"/>
      <c r="M11" s="2"/>
      <c r="N11" s="2"/>
      <c r="O11" s="2"/>
      <c r="P11" s="2"/>
      <c r="Q11" s="2"/>
      <c r="R11" s="2"/>
      <c r="S11" s="2"/>
      <c r="T11" s="2"/>
    </row>
    <row r="12" spans="1:20" x14ac:dyDescent="0.25">
      <c r="A12" s="2" t="s">
        <v>153</v>
      </c>
      <c r="B12" s="2">
        <f>('META - Balance Sheet FY'!B47-'META - Balance Sheet FY'!B18)/'META - Income Statement FY'!B38</f>
        <v>74.867521367521363</v>
      </c>
      <c r="C12" s="2">
        <f>('META - Balance Sheet FY'!C47-'META - Balance Sheet FY'!C18)/'META - Income Statement FY'!C38</f>
        <v>61.967482785003824</v>
      </c>
      <c r="D12" s="2">
        <f>('META - Balance Sheet FY'!D47-'META - Balance Sheet FY'!D18)/'META - Income Statement FY'!D38</f>
        <v>50.10498288322556</v>
      </c>
      <c r="E12" s="2">
        <f>('META - Balance Sheet FY'!E47-'META - Balance Sheet FY'!E18)/'META - Income Statement FY'!E38</f>
        <v>38.678756476683937</v>
      </c>
      <c r="F12" s="2">
        <f>('META - Balance Sheet FY'!F47-'META - Balance Sheet FY'!F18)/'META - Income Statement FY'!F38</f>
        <v>36.742917103882476</v>
      </c>
      <c r="G12" s="2">
        <f>('META - Balance Sheet FY'!G47-'META - Balance Sheet FY'!G18)/'META - Income Statement FY'!G38</f>
        <v>37.60976454293629</v>
      </c>
      <c r="H12" s="2">
        <f>('META - Balance Sheet FY'!H47-'META - Balance Sheet FY'!H18)/'META - Income Statement FY'!H38</f>
        <v>28.318845618915159</v>
      </c>
      <c r="I12" s="2"/>
      <c r="J12" s="2"/>
      <c r="K12" s="2"/>
      <c r="L12" s="2"/>
      <c r="M12" s="2"/>
      <c r="N12" s="2"/>
      <c r="O12" s="2"/>
      <c r="P12" s="2"/>
      <c r="Q12" s="2"/>
      <c r="R12" s="2"/>
      <c r="S12" s="2"/>
      <c r="T12" s="2"/>
    </row>
    <row r="13" spans="1:20" x14ac:dyDescent="0.25">
      <c r="A13" s="2" t="s">
        <v>152</v>
      </c>
      <c r="B13" s="2">
        <f>'META - Balance Sheet FY'!B47/'META - Income Statement FY'!B38</f>
        <v>84.398989898989896</v>
      </c>
      <c r="C13" s="2">
        <f>'META - Balance Sheet FY'!C47/'META - Income Statement FY'!C38</f>
        <v>69.868783473603671</v>
      </c>
      <c r="D13" s="2">
        <f>'META - Balance Sheet FY'!D47/'META - Income Statement FY'!D38</f>
        <v>58.26093571700266</v>
      </c>
      <c r="E13" s="2">
        <f>'META - Balance Sheet FY'!E47/'META - Income Statement FY'!E38</f>
        <v>46.525906735751292</v>
      </c>
      <c r="F13" s="2">
        <f>'META - Balance Sheet FY'!F47/'META - Income Statement FY'!F38</f>
        <v>43.679258481986707</v>
      </c>
      <c r="G13" s="2">
        <f>'META - Balance Sheet FY'!G47/'META - Income Statement FY'!G38</f>
        <v>44.421745152354568</v>
      </c>
      <c r="H13" s="2">
        <f>'META - Balance Sheet FY'!H47/'META - Income Statement FY'!H38</f>
        <v>35.13699582753825</v>
      </c>
      <c r="I13" s="2"/>
      <c r="J13" s="2"/>
      <c r="K13" s="2"/>
      <c r="L13" s="2"/>
      <c r="M13" s="2"/>
      <c r="N13" s="2"/>
      <c r="O13" s="2"/>
      <c r="P13" s="2"/>
      <c r="Q13" s="2"/>
      <c r="R13" s="2"/>
      <c r="S13" s="2"/>
      <c r="T13" s="2"/>
    </row>
    <row r="14" spans="1:20" x14ac:dyDescent="0.25">
      <c r="A14" s="2" t="s">
        <v>151</v>
      </c>
      <c r="B14" s="2">
        <f>'META - Balance Sheet FY'!B51/'META - Income Statement FY'!B38</f>
        <v>22.822066822066823</v>
      </c>
      <c r="C14" s="2">
        <f>'META - Balance Sheet FY'!C51/'META - Income Statement FY'!C38</f>
        <v>11.027543993879112</v>
      </c>
      <c r="D14" s="2">
        <f>'META - Balance Sheet FY'!D51/'META - Income Statement FY'!D38</f>
        <v>6.99315329022442</v>
      </c>
      <c r="E14" s="2">
        <f>'META - Balance Sheet FY'!E51/'META - Income Statement FY'!E38</f>
        <v>3.6724648408586233</v>
      </c>
      <c r="F14" s="2">
        <f>'META - Balance Sheet FY'!F51/'META - Income Statement FY'!F38</f>
        <v>0</v>
      </c>
      <c r="G14" s="2">
        <f>'META - Balance Sheet FY'!G51/'META - Income Statement FY'!G38</f>
        <v>0</v>
      </c>
      <c r="H14" s="2">
        <f>'META - Balance Sheet FY'!H51/'META - Income Statement FY'!H38</f>
        <v>0</v>
      </c>
      <c r="I14" s="2"/>
      <c r="J14" s="2"/>
      <c r="K14" s="2"/>
      <c r="L14" s="2"/>
      <c r="M14" s="2"/>
      <c r="N14" s="2"/>
      <c r="O14" s="2"/>
      <c r="P14" s="2"/>
      <c r="Q14" s="2"/>
      <c r="R14" s="2"/>
      <c r="S14" s="2"/>
      <c r="T14" s="2"/>
    </row>
    <row r="15" spans="1:20" x14ac:dyDescent="0.25">
      <c r="A15" s="12" t="s">
        <v>150</v>
      </c>
      <c r="B15" s="1"/>
      <c r="C15" s="1"/>
      <c r="D15" s="1"/>
      <c r="E15" s="1"/>
      <c r="F15" s="1"/>
      <c r="G15" s="1"/>
      <c r="H15" s="1"/>
      <c r="I15" s="1"/>
      <c r="J15" s="1"/>
      <c r="K15" s="1"/>
      <c r="L15" s="1"/>
      <c r="M15" s="1"/>
      <c r="N15" s="1"/>
      <c r="O15" s="1"/>
      <c r="P15" s="1"/>
      <c r="Q15" s="1"/>
      <c r="R15" s="1"/>
      <c r="S15" s="1"/>
      <c r="T15" s="1"/>
    </row>
    <row r="16" spans="1:20" x14ac:dyDescent="0.25">
      <c r="A16" s="12" t="s">
        <v>149</v>
      </c>
      <c r="B16" s="1"/>
      <c r="C16" s="1"/>
      <c r="D16" s="1"/>
      <c r="E16" s="1"/>
      <c r="F16" s="1"/>
      <c r="G16" s="1"/>
      <c r="H16" s="1"/>
      <c r="I16" s="1"/>
      <c r="J16" s="1"/>
      <c r="K16" s="1"/>
      <c r="L16" s="1"/>
      <c r="M16" s="1"/>
      <c r="N16" s="1"/>
      <c r="O16" s="1"/>
      <c r="P16" s="1"/>
      <c r="Q16" s="1"/>
      <c r="R16" s="1"/>
      <c r="S16" s="1"/>
      <c r="T16" s="1"/>
    </row>
    <row r="17" spans="1:20" x14ac:dyDescent="0.25">
      <c r="A17" s="13" t="s">
        <v>148</v>
      </c>
      <c r="B17" s="2"/>
      <c r="C17" s="2"/>
      <c r="D17" s="2"/>
      <c r="E17" s="2"/>
      <c r="F17" s="2"/>
      <c r="G17" s="2"/>
      <c r="H17" s="2"/>
      <c r="I17" s="2"/>
      <c r="J17" s="2"/>
      <c r="K17" s="2"/>
      <c r="L17" s="2"/>
      <c r="M17" s="2"/>
      <c r="N17" s="2"/>
      <c r="O17" s="2"/>
      <c r="P17" s="2"/>
      <c r="Q17" s="2"/>
      <c r="R17" s="2"/>
      <c r="S17" s="2"/>
      <c r="T17" s="2"/>
    </row>
    <row r="18" spans="1:20" x14ac:dyDescent="0.25">
      <c r="A18" s="13" t="s">
        <v>147</v>
      </c>
      <c r="B18" s="2"/>
      <c r="C18" s="2"/>
      <c r="D18" s="2"/>
      <c r="E18" s="2"/>
      <c r="F18" s="2"/>
      <c r="G18" s="2"/>
      <c r="H18" s="2"/>
      <c r="I18" s="2"/>
      <c r="J18" s="2"/>
      <c r="K18" s="2"/>
      <c r="L18" s="2"/>
      <c r="M18" s="2"/>
      <c r="N18" s="2"/>
      <c r="O18" s="2"/>
      <c r="P18" s="2"/>
      <c r="Q18" s="2"/>
      <c r="R18" s="2"/>
      <c r="S18" s="2"/>
      <c r="T18" s="2"/>
    </row>
    <row r="19" spans="1:20" x14ac:dyDescent="0.25">
      <c r="A19" s="13" t="s">
        <v>146</v>
      </c>
      <c r="B19" s="2"/>
      <c r="C19" s="2"/>
      <c r="D19" s="2"/>
      <c r="E19" s="2"/>
      <c r="F19" s="2"/>
      <c r="G19" s="2"/>
      <c r="H19" s="2"/>
      <c r="I19" s="2"/>
      <c r="J19" s="2"/>
      <c r="K19" s="2"/>
      <c r="L19" s="2"/>
      <c r="M19" s="2"/>
      <c r="N19" s="2"/>
      <c r="O19" s="2"/>
      <c r="P19" s="2"/>
      <c r="Q19" s="2"/>
      <c r="R19" s="2"/>
      <c r="S19" s="2"/>
      <c r="T19" s="2"/>
    </row>
    <row r="20" spans="1:20" x14ac:dyDescent="0.25">
      <c r="A20" s="13" t="s">
        <v>145</v>
      </c>
      <c r="B20" s="2"/>
      <c r="C20" s="2"/>
      <c r="D20" s="2"/>
      <c r="E20" s="2"/>
      <c r="F20" s="2"/>
      <c r="G20" s="2"/>
      <c r="H20" s="2"/>
      <c r="I20" s="2"/>
      <c r="J20" s="2"/>
      <c r="K20" s="2"/>
      <c r="L20" s="2"/>
      <c r="M20" s="2"/>
      <c r="N20" s="2"/>
      <c r="O20" s="2"/>
      <c r="P20" s="2"/>
      <c r="Q20" s="2"/>
      <c r="R20" s="2"/>
      <c r="S20" s="2"/>
      <c r="T20" s="2"/>
    </row>
    <row r="21" spans="1:20" x14ac:dyDescent="0.25">
      <c r="A21" s="13" t="s">
        <v>144</v>
      </c>
      <c r="B21" s="2"/>
      <c r="C21" s="2"/>
      <c r="D21" s="2"/>
      <c r="E21" s="2"/>
      <c r="F21" s="2"/>
      <c r="G21" s="2"/>
      <c r="H21" s="2"/>
      <c r="I21" s="2"/>
      <c r="J21" s="2"/>
      <c r="K21" s="2"/>
      <c r="L21" s="2"/>
      <c r="M21" s="2"/>
      <c r="N21" s="2"/>
      <c r="O21" s="2"/>
      <c r="P21" s="2"/>
      <c r="Q21" s="2"/>
      <c r="R21" s="2"/>
      <c r="S21" s="2"/>
      <c r="T21" s="2"/>
    </row>
    <row r="22" spans="1:20" x14ac:dyDescent="0.25">
      <c r="A22" s="13" t="s">
        <v>143</v>
      </c>
      <c r="B22" s="2"/>
      <c r="C22" s="2"/>
      <c r="D22" s="2"/>
      <c r="E22" s="2"/>
      <c r="F22" s="2"/>
      <c r="G22" s="2"/>
      <c r="H22" s="2"/>
      <c r="I22" s="2"/>
      <c r="J22" s="2"/>
      <c r="K22" s="2"/>
      <c r="L22" s="2"/>
      <c r="M22" s="2"/>
      <c r="N22" s="2"/>
      <c r="O22" s="2"/>
      <c r="P22" s="2"/>
      <c r="Q22" s="2"/>
      <c r="R22" s="2"/>
      <c r="S22" s="2"/>
      <c r="T22" s="2"/>
    </row>
    <row r="23" spans="1:20" x14ac:dyDescent="0.25">
      <c r="A23" s="13" t="s">
        <v>142</v>
      </c>
      <c r="B23" s="2"/>
      <c r="C23" s="2"/>
      <c r="D23" s="2"/>
      <c r="E23" s="2"/>
      <c r="F23" s="2"/>
      <c r="G23" s="2"/>
      <c r="H23" s="2"/>
      <c r="I23" s="2"/>
      <c r="J23" s="2"/>
      <c r="K23" s="2"/>
      <c r="L23" s="2"/>
      <c r="M23" s="2"/>
      <c r="N23" s="2"/>
      <c r="O23" s="2"/>
      <c r="P23" s="2"/>
      <c r="Q23" s="2"/>
      <c r="R23" s="2"/>
      <c r="S23" s="2"/>
      <c r="T23" s="2"/>
    </row>
    <row r="24" spans="1:20" x14ac:dyDescent="0.25">
      <c r="A24" s="13" t="s">
        <v>141</v>
      </c>
      <c r="B24" s="2"/>
      <c r="C24" s="2"/>
      <c r="D24" s="2"/>
      <c r="E24" s="2"/>
      <c r="F24" s="2"/>
      <c r="G24" s="2"/>
      <c r="H24" s="2"/>
      <c r="I24" s="2"/>
      <c r="J24" s="2"/>
      <c r="K24" s="2"/>
      <c r="L24" s="2"/>
      <c r="M24" s="2"/>
      <c r="N24" s="2"/>
      <c r="O24" s="2"/>
      <c r="P24" s="2"/>
      <c r="Q24" s="2"/>
      <c r="R24" s="2"/>
      <c r="S24" s="2"/>
      <c r="T24" s="2"/>
    </row>
    <row r="25" spans="1:20" x14ac:dyDescent="0.25">
      <c r="A25" s="13" t="s">
        <v>140</v>
      </c>
      <c r="B25" s="2"/>
      <c r="C25" s="2"/>
      <c r="D25" s="2"/>
      <c r="E25" s="2"/>
      <c r="F25" s="2"/>
      <c r="G25" s="2"/>
      <c r="H25" s="2"/>
      <c r="I25" s="2"/>
      <c r="J25" s="2"/>
      <c r="K25" s="2"/>
      <c r="L25" s="2"/>
      <c r="M25" s="2"/>
      <c r="N25" s="2"/>
      <c r="O25" s="2"/>
      <c r="P25" s="2"/>
      <c r="Q25" s="2"/>
      <c r="R25" s="2"/>
      <c r="S25" s="2"/>
      <c r="T25" s="2"/>
    </row>
    <row r="26" spans="1:20" x14ac:dyDescent="0.25">
      <c r="A26" s="13" t="s">
        <v>139</v>
      </c>
      <c r="B26" s="2"/>
      <c r="C26" s="2"/>
      <c r="D26" s="2"/>
      <c r="E26" s="2"/>
      <c r="F26" s="2"/>
      <c r="G26" s="2"/>
      <c r="H26" s="2"/>
      <c r="I26" s="2"/>
      <c r="J26" s="2"/>
      <c r="K26" s="2"/>
      <c r="L26" s="2"/>
      <c r="M26" s="2"/>
      <c r="N26" s="2"/>
      <c r="O26" s="2"/>
      <c r="P26" s="2"/>
      <c r="Q26" s="2"/>
      <c r="R26" s="2"/>
      <c r="S26" s="2"/>
      <c r="T26" s="2"/>
    </row>
    <row r="27" spans="1:20" x14ac:dyDescent="0.25">
      <c r="A27" s="14" t="s">
        <v>138</v>
      </c>
      <c r="B27" s="3"/>
      <c r="C27" s="3"/>
      <c r="D27" s="3"/>
      <c r="E27" s="3"/>
      <c r="F27" s="3"/>
      <c r="G27" s="3"/>
      <c r="H27" s="3"/>
      <c r="I27" s="3"/>
      <c r="J27" s="3"/>
      <c r="K27" s="3"/>
      <c r="L27" s="3"/>
      <c r="M27" s="3"/>
      <c r="N27" s="3"/>
      <c r="O27" s="3"/>
      <c r="P27" s="3"/>
      <c r="Q27" s="3"/>
      <c r="R27" s="3"/>
      <c r="S27" s="3"/>
      <c r="T27" s="3"/>
    </row>
    <row r="28" spans="1:20" x14ac:dyDescent="0.25">
      <c r="A28" s="14" t="s">
        <v>137</v>
      </c>
      <c r="B28" s="3"/>
      <c r="C28" s="3"/>
      <c r="D28" s="3"/>
      <c r="E28" s="3"/>
      <c r="F28" s="3"/>
      <c r="G28" s="3"/>
      <c r="H28" s="3"/>
      <c r="I28" s="3"/>
      <c r="J28" s="3"/>
      <c r="K28" s="3"/>
      <c r="L28" s="3"/>
      <c r="M28" s="3"/>
      <c r="N28" s="3"/>
      <c r="O28" s="3"/>
      <c r="P28" s="3"/>
      <c r="Q28" s="3"/>
      <c r="R28" s="3"/>
      <c r="S28" s="3"/>
      <c r="T28" s="3"/>
    </row>
    <row r="29" spans="1:20" x14ac:dyDescent="0.25">
      <c r="A29" s="2" t="s">
        <v>136</v>
      </c>
      <c r="B29" s="2">
        <f>'META - Balance Sheet FY'!B51/'META - Balance Sheet FY'!B47</f>
        <v>0.27040687156778354</v>
      </c>
      <c r="C29" s="2">
        <f>'META - Balance Sheet FY'!C51/'META - Balance Sheet FY'!C47</f>
        <v>0.157832202675252</v>
      </c>
      <c r="D29" s="2">
        <f>'META - Balance Sheet FY'!D51/'META - Balance Sheet FY'!D47</f>
        <v>0.12003159928966886</v>
      </c>
      <c r="E29" s="2">
        <f>'META - Balance Sheet FY'!E51/'META - Balance Sheet FY'!E47</f>
        <v>7.8933761822564091E-2</v>
      </c>
      <c r="F29" s="2">
        <f>'META - Balance Sheet FY'!F51/'META - Balance Sheet FY'!F47</f>
        <v>0</v>
      </c>
      <c r="G29" s="2">
        <f>'META - Balance Sheet FY'!G51/'META - Balance Sheet FY'!G47</f>
        <v>0</v>
      </c>
      <c r="H29" s="2">
        <f>'META - Balance Sheet FY'!H51/'META - Balance Sheet FY'!H47</f>
        <v>0</v>
      </c>
      <c r="I29" s="2"/>
      <c r="J29" s="2"/>
      <c r="K29" s="2"/>
      <c r="L29" s="2"/>
      <c r="M29" s="2"/>
      <c r="N29" s="2"/>
      <c r="O29" s="2"/>
      <c r="P29" s="2"/>
      <c r="Q29" s="2"/>
      <c r="R29" s="2"/>
      <c r="S29" s="2"/>
      <c r="T29" s="2"/>
    </row>
    <row r="30" spans="1:20" x14ac:dyDescent="0.25">
      <c r="A30" s="3" t="s">
        <v>135</v>
      </c>
      <c r="B30" s="3">
        <f>'META - Balance Sheet FY'!B51/'META - Balance Sheet FY'!B25</f>
        <v>0.16049352359564067</v>
      </c>
      <c r="C30" s="3">
        <f>'META - Balance Sheet FY'!C51/'META - Balance Sheet FY'!C25</f>
        <v>0.10442159867272345</v>
      </c>
      <c r="D30" s="3">
        <f>'META - Balance Sheet FY'!D51/'META - Balance Sheet FY'!D25</f>
        <v>8.0066021260936399E-2</v>
      </c>
      <c r="E30" s="3">
        <f>'META - Balance Sheet FY'!E51/'META - Balance Sheet FY'!E25</f>
        <v>5.3427880706628544E-2</v>
      </c>
      <c r="F30" s="3">
        <f>'META - Balance Sheet FY'!F51/'META - Balance Sheet FY'!F25</f>
        <v>0</v>
      </c>
      <c r="G30" s="3">
        <f>'META - Balance Sheet FY'!G51/'META - Balance Sheet FY'!G25</f>
        <v>0</v>
      </c>
      <c r="H30" s="3">
        <f>'META - Balance Sheet FY'!H51/'META - Balance Sheet FY'!H25</f>
        <v>0</v>
      </c>
      <c r="I30" s="3"/>
      <c r="J30" s="3"/>
      <c r="K30" s="3"/>
      <c r="L30" s="3"/>
      <c r="M30" s="3"/>
      <c r="N30" s="3"/>
      <c r="O30" s="3"/>
      <c r="P30" s="3"/>
      <c r="Q30" s="3"/>
      <c r="R30" s="3"/>
      <c r="S30" s="3"/>
      <c r="T30" s="3"/>
    </row>
    <row r="31" spans="1:20" x14ac:dyDescent="0.25">
      <c r="A31" s="3" t="s">
        <v>134</v>
      </c>
      <c r="B31" s="3">
        <f>IFERROR('META - Balance Sheet FY'!B52/'META - Income Statement FY'!B21,"")</f>
        <v>0.22446315706826836</v>
      </c>
      <c r="C31" s="3">
        <f>IFERROR('META - Balance Sheet FY'!C52/'META - Income Statement FY'!C21,"")</f>
        <v>-0.17746648130257547</v>
      </c>
      <c r="D31" s="3">
        <f>IFERROR('META - Balance Sheet FY'!D52/'META - Income Statement FY'!D21,"")</f>
        <v>-0.4052719708608814</v>
      </c>
      <c r="E31" s="3">
        <f>IFERROR('META - Balance Sheet FY'!E52/'META - Income Statement FY'!E21,"")</f>
        <v>-0.12644166888121181</v>
      </c>
      <c r="F31" s="3">
        <f>IFERROR('META - Balance Sheet FY'!F52/'META - Income Statement FY'!F21,"")</f>
        <v>-0.30338084795321635</v>
      </c>
      <c r="G31" s="3">
        <f>IFERROR('META - Balance Sheet FY'!G52/'META - Income Statement FY'!G21,"")</f>
        <v>-0.44459059519894772</v>
      </c>
      <c r="H31" s="3">
        <f>IFERROR('META - Balance Sheet FY'!H52/'META - Income Statement FY'!H21,"")</f>
        <v>-0.64180711138022672</v>
      </c>
      <c r="I31" s="3"/>
      <c r="J31" s="3"/>
      <c r="K31" s="3"/>
      <c r="L31" s="3"/>
      <c r="M31" s="3"/>
      <c r="N31" s="3"/>
      <c r="O31" s="3"/>
      <c r="P31" s="3"/>
      <c r="Q31" s="3"/>
      <c r="R31" s="3"/>
      <c r="S31" s="3"/>
      <c r="T31" s="3"/>
    </row>
    <row r="32" spans="1:20" x14ac:dyDescent="0.25">
      <c r="A32" s="2" t="s">
        <v>133</v>
      </c>
      <c r="B32" s="2">
        <f>'META - Balance Sheet FY'!B13/'META - Balance Sheet FY'!B32</f>
        <v>2.5987666124868536</v>
      </c>
      <c r="C32" s="2">
        <f>'META - Balance Sheet FY'!C13/'META - Balance Sheet FY'!C32</f>
        <v>2.9778842719371355</v>
      </c>
      <c r="D32" s="2">
        <f>'META - Balance Sheet FY'!D13/'META - Balance Sheet FY'!D32</f>
        <v>2.6709949937421777</v>
      </c>
      <c r="E32" s="2">
        <f>'META - Balance Sheet FY'!E13/'META - Balance Sheet FY'!E32</f>
        <v>2.2033967290757048</v>
      </c>
      <c r="F32" s="2">
        <f>'META - Balance Sheet FY'!F13/'META - Balance Sheet FY'!F32</f>
        <v>3.1542938254080908</v>
      </c>
      <c r="G32" s="2">
        <f>'META - Balance Sheet FY'!G13/'META - Balance Sheet FY'!G32</f>
        <v>5.0510646819304457</v>
      </c>
      <c r="H32" s="2">
        <f>'META - Balance Sheet FY'!H13/'META - Balance Sheet FY'!H32</f>
        <v>4.3994552580880883</v>
      </c>
      <c r="I32" s="2"/>
      <c r="J32" s="2"/>
      <c r="K32" s="2"/>
      <c r="L32" s="2"/>
      <c r="M32" s="2"/>
      <c r="N32" s="2"/>
      <c r="O32" s="2"/>
      <c r="P32" s="2"/>
      <c r="Q32" s="2"/>
      <c r="R32" s="2"/>
      <c r="S32" s="2"/>
      <c r="T32" s="2"/>
    </row>
    <row r="33" spans="1:20" x14ac:dyDescent="0.25">
      <c r="A33" s="2" t="s">
        <v>132</v>
      </c>
      <c r="B33" s="2" t="str">
        <f>IFERROR('META - Income Statement FY'!B25/'META - Income Statement FY'!B23,"")</f>
        <v/>
      </c>
      <c r="C33" s="2" t="str">
        <f>IFERROR('META - Income Statement FY'!C25/'META - Income Statement FY'!C23,"")</f>
        <v/>
      </c>
      <c r="D33" s="2" t="str">
        <f>IFERROR('META - Income Statement FY'!D25/'META - Income Statement FY'!D23,"")</f>
        <v/>
      </c>
      <c r="E33" s="2" t="str">
        <f>IFERROR('META - Income Statement FY'!E25/'META - Income Statement FY'!E23,"")</f>
        <v/>
      </c>
      <c r="F33" s="2" t="str">
        <f>IFERROR('META - Income Statement FY'!F25/'META - Income Statement FY'!F23,"")</f>
        <v/>
      </c>
      <c r="G33" s="2" t="str">
        <f>IFERROR('META - Income Statement FY'!G25/'META - Income Statement FY'!G23,"")</f>
        <v/>
      </c>
      <c r="H33" s="2" t="str">
        <f>IFERROR('META - Income Statement FY'!H25/'META - Income Statement FY'!H23,"")</f>
        <v/>
      </c>
      <c r="I33" s="2"/>
      <c r="J33" s="2"/>
      <c r="K33" s="2"/>
      <c r="L33" s="2"/>
      <c r="M33" s="2"/>
      <c r="N33" s="2"/>
      <c r="O33" s="2"/>
      <c r="P33" s="2"/>
      <c r="Q33" s="2"/>
      <c r="R33" s="2"/>
      <c r="S33" s="2"/>
      <c r="T33" s="2"/>
    </row>
    <row r="34" spans="1:20" x14ac:dyDescent="0.25">
      <c r="A34" s="2" t="s">
        <v>131</v>
      </c>
      <c r="B34" s="2">
        <f>'META - Cash Flow FY'!B17/'META - Income Statement FY'!B32</f>
        <v>1.9153792715604221</v>
      </c>
      <c r="C34" s="2">
        <f>'META - Cash Flow FY'!C17/'META - Income Statement FY'!C32</f>
        <v>1.4645285439384221</v>
      </c>
      <c r="D34" s="2">
        <f>'META - Cash Flow FY'!D17/'META - Income Statement FY'!D32</f>
        <v>1.8188398383549031</v>
      </c>
      <c r="E34" s="2">
        <f>'META - Cash Flow FY'!E17/'META - Income Statement FY'!E32</f>
        <v>2.1756465517241379</v>
      </c>
      <c r="F34" s="2">
        <f>'META - Cash Flow FY'!F17/'META - Income Statement FY'!F32</f>
        <v>1.4651511303022606</v>
      </c>
      <c r="G34" s="2">
        <f>'META - Cash Flow FY'!G17/'META - Income Statement FY'!G32</f>
        <v>1.3294105537638097</v>
      </c>
      <c r="H34" s="2">
        <f>'META - Cash Flow FY'!H17/'META - Income Statement FY'!H32</f>
        <v>1.9645117662969975</v>
      </c>
      <c r="I34" s="2"/>
      <c r="J34" s="2"/>
      <c r="K34" s="2"/>
      <c r="L34" s="2"/>
      <c r="M34" s="2"/>
      <c r="N34" s="2"/>
      <c r="O34" s="2"/>
      <c r="P34" s="2"/>
      <c r="Q34" s="2"/>
      <c r="R34" s="2"/>
      <c r="S34" s="2"/>
      <c r="T34" s="2"/>
    </row>
    <row r="35" spans="1:20" x14ac:dyDescent="0.25">
      <c r="A35" s="14" t="s">
        <v>130</v>
      </c>
      <c r="B35" s="3"/>
      <c r="C35" s="3"/>
      <c r="D35" s="3"/>
      <c r="E35" s="3"/>
      <c r="F35" s="3"/>
      <c r="G35" s="3"/>
      <c r="H35" s="3"/>
      <c r="I35" s="3"/>
      <c r="J35" s="3"/>
      <c r="K35" s="3"/>
      <c r="L35" s="3"/>
      <c r="M35" s="3"/>
      <c r="N35" s="3"/>
      <c r="O35" s="3"/>
      <c r="P35" s="3"/>
      <c r="Q35" s="3"/>
      <c r="R35" s="3"/>
      <c r="S35" s="3"/>
      <c r="T35" s="3"/>
    </row>
    <row r="36" spans="1:20" x14ac:dyDescent="0.25">
      <c r="A36" s="3" t="s">
        <v>129</v>
      </c>
      <c r="B36" s="3">
        <f>-'META - Cash Flow FY'!B29/'META - Income Statement FY'!B32</f>
        <v>8.8061133348771053E-2</v>
      </c>
      <c r="C36" s="3">
        <f>-'META - Cash Flow FY'!C29/'META - Income Statement FY'!C32</f>
        <v>8.1334188582424638E-2</v>
      </c>
      <c r="D36" s="3">
        <f>-'META - Cash Flow FY'!D29/'META - Income Statement FY'!D32</f>
        <v>0</v>
      </c>
      <c r="E36" s="3">
        <f>-'META - Cash Flow FY'!E29/'META - Income Statement FY'!E32</f>
        <v>0</v>
      </c>
      <c r="F36" s="3">
        <f>-'META - Cash Flow FY'!F29/'META - Income Statement FY'!F32</f>
        <v>0</v>
      </c>
      <c r="G36" s="3">
        <f>-'META - Cash Flow FY'!G29/'META - Income Statement FY'!G32</f>
        <v>0</v>
      </c>
      <c r="H36" s="3">
        <f>-'META - Cash Flow FY'!H29/'META - Income Statement FY'!H32</f>
        <v>0</v>
      </c>
      <c r="I36" s="3"/>
      <c r="J36" s="3"/>
      <c r="K36" s="3"/>
      <c r="L36" s="3"/>
      <c r="M36" s="3"/>
      <c r="N36" s="3"/>
      <c r="O36" s="3"/>
      <c r="P36" s="3"/>
      <c r="Q36" s="3"/>
      <c r="R36" s="3"/>
      <c r="S36" s="3"/>
      <c r="T36" s="3"/>
    </row>
    <row r="37" spans="1:20" x14ac:dyDescent="0.25">
      <c r="A37" s="3" t="s">
        <v>128</v>
      </c>
      <c r="B37" s="3">
        <f>'META - Income Statement FY'!B14/'META - Income Statement FY'!B7</f>
        <v>0.12013474916154972</v>
      </c>
      <c r="C37" s="3">
        <f>'META - Income Statement FY'!C14/'META - Income Statement FY'!C7</f>
        <v>0.12818767059166813</v>
      </c>
      <c r="D37" s="3">
        <f>'META - Income Statement FY'!D14/'META - Income Statement FY'!D7</f>
        <v>0.17574980356110362</v>
      </c>
      <c r="E37" s="3">
        <f>'META - Income Statement FY'!E14/'META - Income Statement FY'!E7</f>
        <v>0.2322119218928213</v>
      </c>
      <c r="F37" s="3">
        <f>'META - Income Statement FY'!F14/'META - Income Statement FY'!F7</f>
        <v>0.20242688397255976</v>
      </c>
      <c r="G37" s="3">
        <f>'META - Income Statement FY'!G14/'META - Income Statement FY'!G7</f>
        <v>0.21119060082591753</v>
      </c>
      <c r="H37" s="3">
        <f>'META - Income Statement FY'!H14/'META - Income Statement FY'!H7</f>
        <v>0.28772083681061433</v>
      </c>
      <c r="I37" s="3"/>
      <c r="J37" s="3"/>
      <c r="K37" s="3"/>
      <c r="L37" s="3"/>
      <c r="M37" s="3"/>
      <c r="N37" s="3"/>
      <c r="O37" s="3"/>
      <c r="P37" s="3"/>
      <c r="Q37" s="3"/>
      <c r="R37" s="3"/>
      <c r="S37" s="3"/>
      <c r="T37" s="3"/>
    </row>
    <row r="38" spans="1:20" x14ac:dyDescent="0.25">
      <c r="A38" s="3" t="s">
        <v>127</v>
      </c>
      <c r="B38" s="3">
        <f>'META - Income Statement FY'!B13/'META - Income Statement FY'!B7</f>
        <v>0.28548112616064408</v>
      </c>
      <c r="C38" s="3">
        <f>'META - Income Statement FY'!C13/'META - Income Statement FY'!C7</f>
        <v>0.26670354587510109</v>
      </c>
      <c r="D38" s="3">
        <f>'META - Income Statement FY'!D13/'META - Income Statement FY'!D7</f>
        <v>0.28526634149234259</v>
      </c>
      <c r="E38" s="3">
        <f>'META - Income Statement FY'!E13/'META - Income Statement FY'!E7</f>
        <v>0.30304693462768739</v>
      </c>
      <c r="F38" s="3">
        <f>'META - Income Statement FY'!F13/'META - Income Statement FY'!F7</f>
        <v>0.20906647219937419</v>
      </c>
      <c r="G38" s="3">
        <f>'META - Income Statement FY'!G13/'META - Income Statement FY'!G7</f>
        <v>0.21458733205374281</v>
      </c>
      <c r="H38" s="3">
        <f>'META - Income Statement FY'!H13/'META - Income Statement FY'!H7</f>
        <v>0.19237025616362788</v>
      </c>
      <c r="I38" s="3"/>
      <c r="J38" s="3"/>
      <c r="K38" s="3"/>
      <c r="L38" s="3"/>
      <c r="M38" s="3"/>
      <c r="N38" s="3"/>
      <c r="O38" s="3"/>
      <c r="P38" s="3"/>
      <c r="Q38" s="3"/>
      <c r="R38" s="3"/>
      <c r="S38" s="3"/>
      <c r="T38" s="3"/>
    </row>
    <row r="39" spans="1:20" x14ac:dyDescent="0.25">
      <c r="A39" s="3" t="s">
        <v>126</v>
      </c>
      <c r="B39" s="3">
        <f>'META - Balance Sheet FY'!B18/'META - Balance Sheet FY'!B25</f>
        <v>6.7028940962403791E-2</v>
      </c>
      <c r="C39" s="3">
        <f>'META - Balance Sheet FY'!C18/'META - Balance Sheet FY'!C25</f>
        <v>7.481869489302817E-2</v>
      </c>
      <c r="D39" s="3">
        <f>'META - Balance Sheet FY'!D18/'META - Balance Sheet FY'!D25</f>
        <v>9.3379147559260176E-2</v>
      </c>
      <c r="E39" s="3">
        <f>'META - Balance Sheet FY'!E18/'META - Balance Sheet FY'!E25</f>
        <v>0.11416218428122998</v>
      </c>
      <c r="F39" s="3">
        <f>'META - Balance Sheet FY'!F18/'META - Balance Sheet FY'!F25</f>
        <v>0.11947321175754728</v>
      </c>
      <c r="G39" s="3">
        <f>'META - Balance Sheet FY'!G18/'META - Balance Sheet FY'!G25</f>
        <v>0.12348414471867232</v>
      </c>
      <c r="H39" s="3">
        <f>'META - Balance Sheet FY'!H18/'META - Balance Sheet FY'!H25</f>
        <v>0.14702045345489442</v>
      </c>
      <c r="I39" s="3"/>
      <c r="J39" s="3"/>
      <c r="K39" s="3"/>
      <c r="L39" s="3"/>
      <c r="M39" s="3"/>
      <c r="N39" s="3"/>
      <c r="O39" s="3"/>
      <c r="P39" s="3"/>
      <c r="Q39" s="3"/>
      <c r="R39" s="3"/>
      <c r="S39" s="3"/>
      <c r="T39" s="3"/>
    </row>
    <row r="40" spans="1:20" x14ac:dyDescent="0.25">
      <c r="A40" s="2" t="s">
        <v>125</v>
      </c>
      <c r="B40" s="2">
        <f>'META - Cash Flow FY'!B38/'META - Cash Flow FY'!B17</f>
        <v>-0.60182210708117445</v>
      </c>
      <c r="C40" s="2">
        <f>'META - Cash Flow FY'!C38/'META - Cash Flow FY'!C17</f>
        <v>-0.40793622985283812</v>
      </c>
      <c r="D40" s="2">
        <f>'META - Cash Flow FY'!D38/'META - Cash Flow FY'!D17</f>
        <v>-0.38031021051003333</v>
      </c>
      <c r="E40" s="2">
        <f>'META - Cash Flow FY'!E38/'META - Cash Flow FY'!E17</f>
        <v>-0.62270430906389307</v>
      </c>
      <c r="F40" s="2">
        <f>'META - Cash Flow FY'!F38/'META - Cash Flow FY'!F17</f>
        <v>-0.32401227398020216</v>
      </c>
      <c r="G40" s="2">
        <f>'META - Cash Flow FY'!G38/'META - Cash Flow FY'!G17</f>
        <v>-0.3900947170103492</v>
      </c>
      <c r="H40" s="2">
        <f>'META - Cash Flow FY'!H38/'META - Cash Flow FY'!H17</f>
        <v>-0.41587266618934848</v>
      </c>
      <c r="I40" s="2"/>
      <c r="J40" s="2"/>
      <c r="K40" s="2"/>
      <c r="L40" s="2"/>
      <c r="M40" s="2"/>
      <c r="N40" s="2"/>
      <c r="O40" s="2"/>
      <c r="P40" s="2"/>
      <c r="Q40" s="2"/>
      <c r="R40" s="2"/>
      <c r="S40" s="2"/>
      <c r="T40" s="2"/>
    </row>
    <row r="41" spans="1:20" x14ac:dyDescent="0.25">
      <c r="A41" s="2" t="s">
        <v>124</v>
      </c>
      <c r="B41" s="2">
        <f>'META - Cash Flow FY'!B38/'META - Income Statement FY'!B7</f>
        <v>-0.34678005234716319</v>
      </c>
      <c r="C41" s="2">
        <f>'META - Cash Flow FY'!C38/'META - Income Statement FY'!C7</f>
        <v>-0.22647886638986997</v>
      </c>
      <c r="D41" s="2">
        <f>'META - Cash Flow FY'!D38/'META - Income Statement FY'!D7</f>
        <v>-0.20047886613986449</v>
      </c>
      <c r="E41" s="2">
        <f>'META - Cash Flow FY'!E38/'META - Income Statement FY'!E7</f>
        <v>-0.26954180209074774</v>
      </c>
      <c r="F41" s="2">
        <f>'META - Cash Flow FY'!F38/'META - Income Statement FY'!F7</f>
        <v>-0.15848519024158603</v>
      </c>
      <c r="G41" s="2">
        <f>'META - Cash Flow FY'!G38/'META - Income Statement FY'!G7</f>
        <v>-0.17582737160472287</v>
      </c>
      <c r="H41" s="2">
        <f>'META - Cash Flow FY'!H38/'META - Income Statement FY'!H7</f>
        <v>-0.21361585357228738</v>
      </c>
      <c r="I41" s="2"/>
      <c r="J41" s="2"/>
      <c r="K41" s="2"/>
      <c r="L41" s="2"/>
      <c r="M41" s="2"/>
      <c r="N41" s="2"/>
      <c r="O41" s="2"/>
      <c r="P41" s="2"/>
      <c r="Q41" s="2"/>
      <c r="R41" s="2"/>
      <c r="S41" s="2"/>
      <c r="T41" s="2"/>
    </row>
    <row r="42" spans="1:20" x14ac:dyDescent="0.25">
      <c r="A42" s="2" t="s">
        <v>123</v>
      </c>
      <c r="B42" s="2">
        <f>'META - Cash Flow FY'!B38/'META - Cash Flow FY'!B8</f>
        <v>-3.7436076493339061</v>
      </c>
      <c r="C42" s="2">
        <f>'META - Cash Flow FY'!C38/'META - Cash Flow FY'!C8</f>
        <v>-2.403923086849916</v>
      </c>
      <c r="D42" s="2">
        <f>'META - Cash Flow FY'!D38/'META - Cash Flow FY'!D8</f>
        <v>-2.4194847020933978</v>
      </c>
      <c r="E42" s="2">
        <f>'META - Cash Flow FY'!E38/'META - Cash Flow FY'!E8</f>
        <v>-3.618581625604421</v>
      </c>
      <c r="F42" s="2">
        <f>'META - Cash Flow FY'!F38/'META - Cash Flow FY'!F8</f>
        <v>-2.3459269486632359</v>
      </c>
      <c r="G42" s="2">
        <f>'META - Cash Flow FY'!G38/'META - Cash Flow FY'!G8</f>
        <v>-2.2027105800058293</v>
      </c>
      <c r="H42" s="2">
        <f>'META - Cash Flow FY'!H38/'META - Cash Flow FY'!H8</f>
        <v>-2.6305521686117399</v>
      </c>
      <c r="I42" s="2"/>
      <c r="J42" s="2"/>
      <c r="K42" s="2"/>
      <c r="L42" s="2"/>
      <c r="M42" s="2"/>
      <c r="N42" s="2"/>
      <c r="O42" s="2"/>
      <c r="P42" s="2"/>
      <c r="Q42" s="2"/>
      <c r="R42" s="2"/>
      <c r="S42" s="2"/>
      <c r="T42" s="2"/>
    </row>
    <row r="43" spans="1:20" x14ac:dyDescent="0.25">
      <c r="A43" s="3" t="s">
        <v>122</v>
      </c>
      <c r="B43" s="3">
        <f>'META - Cash Flow FY'!B10/'META - Income Statement FY'!B7</f>
        <v>0.10164405919409253</v>
      </c>
      <c r="C43" s="3">
        <f>'META - Cash Flow FY'!C10/'META - Income Statement FY'!C7</f>
        <v>0.10145834979726567</v>
      </c>
      <c r="D43" s="3">
        <f>'META - Cash Flow FY'!D10/'META - Income Statement FY'!D7</f>
        <v>0.10397918488977183</v>
      </c>
      <c r="E43" s="3">
        <f>'META - Cash Flow FY'!E10/'META - Income Statement FY'!E7</f>
        <v>0.10283940347657557</v>
      </c>
      <c r="F43" s="3">
        <f>'META - Cash Flow FY'!F10/'META - Income Statement FY'!F7</f>
        <v>7.7707773321235657E-2</v>
      </c>
      <c r="G43" s="3">
        <f>'META - Cash Flow FY'!G10/'META - Income Statement FY'!G7</f>
        <v>7.6030942825568548E-2</v>
      </c>
      <c r="H43" s="3">
        <f>'META - Cash Flow FY'!H10/'META - Income Statement FY'!H7</f>
        <v>6.84045999123018E-2</v>
      </c>
      <c r="I43" s="3"/>
      <c r="J43" s="3"/>
      <c r="K43" s="3"/>
      <c r="L43" s="3"/>
      <c r="M43" s="3"/>
      <c r="N43" s="3"/>
      <c r="O43" s="3"/>
      <c r="P43" s="3"/>
      <c r="Q43" s="3"/>
      <c r="R43" s="3"/>
      <c r="S43" s="3"/>
      <c r="T43" s="3"/>
    </row>
    <row r="44" spans="1:20" x14ac:dyDescent="0.25">
      <c r="A44" s="2" t="s">
        <v>121</v>
      </c>
      <c r="B44" s="2">
        <f>SQRT(22.5*'META - Income Statement FY'!B35*'META - Balance Sheet FY'!B47/'META - Income Statement FY'!B38)</f>
        <v>213.39511475195491</v>
      </c>
      <c r="C44" s="2">
        <f>SQRT(22.5*'META - Income Statement FY'!C35*'META - Balance Sheet FY'!C47/'META - Income Statement FY'!C38)</f>
        <v>196.69288784529348</v>
      </c>
      <c r="D44" s="2">
        <f>SQRT(22.5*'META - Income Statement FY'!D35*'META - Balance Sheet FY'!D47/'META - Income Statement FY'!D38)</f>
        <v>141.11035151497066</v>
      </c>
      <c r="E44" s="2">
        <f>SQRT(22.5*'META - Income Statement FY'!E35*'META - Balance Sheet FY'!E47/'META - Income Statement FY'!E38)</f>
        <v>95.048240070053424</v>
      </c>
      <c r="F44" s="2">
        <f>SQRT(22.5*'META - Income Statement FY'!F35*'META - Balance Sheet FY'!F47/'META - Income Statement FY'!F38)</f>
        <v>117.25672086779232</v>
      </c>
      <c r="G44" s="2">
        <f>SQRT(22.5*'META - Income Statement FY'!G35*'META - Balance Sheet FY'!G47/'META - Income Statement FY'!G38)</f>
        <v>101.06819627253637</v>
      </c>
      <c r="H44" s="2">
        <f>SQRT(22.5*'META - Income Statement FY'!H35*'META - Balance Sheet FY'!H47/'META - Income Statement FY'!H38)</f>
        <v>71.574953661564308</v>
      </c>
      <c r="I44" s="2"/>
      <c r="J44" s="2"/>
      <c r="K44" s="2"/>
      <c r="L44" s="2"/>
      <c r="M44" s="2"/>
      <c r="N44" s="2"/>
      <c r="O44" s="2"/>
      <c r="P44" s="2"/>
      <c r="Q44" s="2"/>
      <c r="R44" s="2"/>
      <c r="S44" s="2"/>
      <c r="T44" s="2"/>
    </row>
    <row r="45" spans="1:20" x14ac:dyDescent="0.25">
      <c r="A45" s="3" t="s">
        <v>120</v>
      </c>
      <c r="B45" s="3">
        <f>'META - Income Statement FY'!B25*(1-'META - Income Statement FY'!B31/'META - Income Statement FY'!B29)/('META - Balance Sheet FY'!B47+'META - Balance Sheet FY'!B51)</f>
        <v>0.21229026898485148</v>
      </c>
      <c r="C45" s="3">
        <f>'META - Income Statement FY'!C25*(1-'META - Income Statement FY'!C31/'META - Income Statement FY'!C29)/('META - Balance Sheet FY'!C47+'META - Balance Sheet FY'!C51)</f>
        <v>0.28954358100598565</v>
      </c>
      <c r="D45" s="3">
        <f>'META - Income Statement FY'!D25*(1-'META - Income Statement FY'!D31/'META - Income Statement FY'!D29)/('META - Balance Sheet FY'!D47+'META - Balance Sheet FY'!D51)</f>
        <v>0.2246530498182939</v>
      </c>
      <c r="E45" s="3">
        <f>'META - Income Statement FY'!E25*(1-'META - Income Statement FY'!E31/'META - Income Statement FY'!E29)/('META - Balance Sheet FY'!E47+'META - Balance Sheet FY'!E51)</f>
        <v>0.17178793283404467</v>
      </c>
      <c r="F45" s="3">
        <f>'META - Income Statement FY'!F25*(1-'META - Income Statement FY'!F31/'META - Income Statement FY'!F29)/('META - Balance Sheet FY'!F47+'META - Balance Sheet FY'!F51)</f>
        <v>0.31172474422290941</v>
      </c>
      <c r="G45" s="3">
        <f>'META - Income Statement FY'!G25*(1-'META - Income Statement FY'!G31/'META - Income Statement FY'!G29)/('META - Balance Sheet FY'!G47+'META - Balance Sheet FY'!G51)</f>
        <v>0.22370320247634401</v>
      </c>
      <c r="H45" s="3">
        <f>'META - Income Statement FY'!H25*(1-'META - Income Statement FY'!H31/'META - Income Statement FY'!H29)/('META - Balance Sheet FY'!H47+'META - Balance Sheet FY'!H51)</f>
        <v>0.17683246583588375</v>
      </c>
      <c r="I45" s="3"/>
      <c r="J45" s="3"/>
      <c r="K45" s="3"/>
      <c r="L45" s="3"/>
      <c r="M45" s="3"/>
      <c r="N45" s="3"/>
      <c r="O45" s="3"/>
      <c r="P45" s="3"/>
      <c r="Q45" s="3"/>
      <c r="R45" s="3"/>
      <c r="S45" s="3"/>
      <c r="T45" s="3"/>
    </row>
    <row r="46" spans="1:20" x14ac:dyDescent="0.25">
      <c r="A46" s="3" t="s">
        <v>119</v>
      </c>
      <c r="B46" s="3">
        <f>'META - Income Statement FY'!B32/('META - Balance Sheet FY'!B25-'META - Balance Sheet FY'!B18)</f>
        <v>0.17704334279196574</v>
      </c>
      <c r="C46" s="3">
        <f>'META - Income Statement FY'!C32/('META - Balance Sheet FY'!C25-'META - Balance Sheet FY'!C18)</f>
        <v>0.24416601409553643</v>
      </c>
      <c r="D46" s="3">
        <f>'META - Income Statement FY'!D32/('META - Balance Sheet FY'!D25-'META - Balance Sheet FY'!D18)</f>
        <v>0.18780772500852624</v>
      </c>
      <c r="E46" s="3">
        <f>'META - Income Statement FY'!E32/('META - Balance Sheet FY'!E25-'META - Balance Sheet FY'!E18)</f>
        <v>0.14101286134545721</v>
      </c>
      <c r="F46" s="3">
        <f>'META - Income Statement FY'!F32/('META - Balance Sheet FY'!F25-'META - Balance Sheet FY'!F18)</f>
        <v>0.26936971455157505</v>
      </c>
      <c r="G46" s="3">
        <f>'META - Income Statement FY'!G32/('META - Balance Sheet FY'!G25-'META - Balance Sheet FY'!G18)</f>
        <v>0.20871794504558053</v>
      </c>
      <c r="H46" s="3">
        <f>'META - Income Statement FY'!H32/('META - Balance Sheet FY'!H25-'META - Balance Sheet FY'!H18)</f>
        <v>0.16248121159914561</v>
      </c>
      <c r="I46" s="3"/>
      <c r="J46" s="3"/>
      <c r="K46" s="3"/>
      <c r="L46" s="3"/>
      <c r="M46" s="3"/>
      <c r="N46" s="3"/>
      <c r="O46" s="3"/>
      <c r="P46" s="3"/>
      <c r="Q46" s="3"/>
      <c r="R46" s="3"/>
      <c r="S46" s="3"/>
      <c r="T46" s="3"/>
    </row>
    <row r="47" spans="1:20" x14ac:dyDescent="0.25">
      <c r="A47" s="2" t="s">
        <v>118</v>
      </c>
      <c r="B47" s="2">
        <f>('META - Balance Sheet FY'!B13-'META - Balance Sheet FY'!B41)/'META - Income Statement FY'!B38</f>
        <v>-15.561771561771561</v>
      </c>
      <c r="C47" s="2">
        <f>('META - Balance Sheet FY'!C13-'META - Balance Sheet FY'!C41)/'META - Income Statement FY'!C38</f>
        <v>2.5355776587605203</v>
      </c>
      <c r="D47" s="2">
        <f>('META - Balance Sheet FY'!D13-'META - Balance Sheet FY'!D41)/'META - Income Statement FY'!D38</f>
        <v>3.3891213389121337</v>
      </c>
      <c r="E47" s="2">
        <f>('META - Balance Sheet FY'!E13-'META - Balance Sheet FY'!E41)/'META - Income Statement FY'!E38</f>
        <v>-0.17209474463360475</v>
      </c>
      <c r="F47" s="2">
        <f>('META - Balance Sheet FY'!F13-'META - Balance Sheet FY'!F41)/'META - Income Statement FY'!F38</f>
        <v>8.9394893319342419</v>
      </c>
      <c r="G47" s="2">
        <f>('META - Balance Sheet FY'!G13-'META - Balance Sheet FY'!G41)/'META - Income Statement FY'!G38</f>
        <v>15.458448753462603</v>
      </c>
      <c r="H47" s="2">
        <f>('META - Balance Sheet FY'!H13-'META - Balance Sheet FY'!H41)/'META - Income Statement FY'!H38</f>
        <v>11.788247566063978</v>
      </c>
      <c r="I47" s="2"/>
      <c r="J47" s="2"/>
      <c r="K47" s="2"/>
      <c r="L47" s="2"/>
      <c r="M47" s="2"/>
      <c r="N47" s="2"/>
      <c r="O47" s="2"/>
      <c r="P47" s="2"/>
      <c r="Q47" s="2"/>
      <c r="R47" s="2"/>
      <c r="S47" s="2"/>
      <c r="T47" s="2"/>
    </row>
    <row r="48" spans="1:20" x14ac:dyDescent="0.25">
      <c r="A48" s="1" t="s">
        <v>117</v>
      </c>
      <c r="B48" s="1">
        <f>'META - Balance Sheet FY'!B13-'META - Balance Sheet FY'!B32</f>
        <v>66886</v>
      </c>
      <c r="C48" s="1">
        <f>'META - Balance Sheet FY'!C13-'META - Balance Sheet FY'!C32</f>
        <v>66449</v>
      </c>
      <c r="D48" s="1">
        <f>'META - Balance Sheet FY'!D13-'META - Balance Sheet FY'!D32</f>
        <v>53405</v>
      </c>
      <c r="E48" s="1">
        <f>'META - Balance Sheet FY'!E13-'META - Balance Sheet FY'!E32</f>
        <v>32523</v>
      </c>
      <c r="F48" s="1">
        <f>'META - Balance Sheet FY'!F13-'META - Balance Sheet FY'!F32</f>
        <v>45531</v>
      </c>
      <c r="G48" s="1">
        <f>'META - Balance Sheet FY'!G13-'META - Balance Sheet FY'!G32</f>
        <v>60689</v>
      </c>
      <c r="H48" s="1">
        <f>'META - Balance Sheet FY'!H13-'META - Balance Sheet FY'!H32</f>
        <v>51172</v>
      </c>
      <c r="I48" s="1"/>
      <c r="J48" s="1"/>
      <c r="K48" s="1"/>
      <c r="L48" s="1"/>
      <c r="M48" s="1"/>
      <c r="N48" s="1"/>
      <c r="O48" s="1"/>
      <c r="P48" s="1"/>
      <c r="Q48" s="1"/>
      <c r="R48" s="1"/>
      <c r="S48" s="1"/>
      <c r="T48" s="1"/>
    </row>
    <row r="49" spans="1:20" x14ac:dyDescent="0.25">
      <c r="A49" s="1" t="s">
        <v>116</v>
      </c>
      <c r="B49" s="1">
        <f>'META - Balance Sheet FY'!B25-'META - Balance Sheet FY'!B18-'META - Balance Sheet FY'!B41</f>
        <v>192709</v>
      </c>
      <c r="C49" s="1">
        <f>'META - Balance Sheet FY'!C25-'META - Balance Sheet FY'!C18-'META - Balance Sheet FY'!C41</f>
        <v>161983</v>
      </c>
      <c r="D49" s="1">
        <f>'META - Balance Sheet FY'!D25-'META - Balance Sheet FY'!D18-'META - Balance Sheet FY'!D41</f>
        <v>131726</v>
      </c>
      <c r="E49" s="1">
        <f>'META - Balance Sheet FY'!E25-'META - Balance Sheet FY'!E18-'META - Balance Sheet FY'!E41</f>
        <v>104510</v>
      </c>
      <c r="F49" s="1">
        <f>'META - Balance Sheet FY'!F25-'META - Balance Sheet FY'!F18-'META - Balance Sheet FY'!F41</f>
        <v>105048</v>
      </c>
      <c r="G49" s="1">
        <f>'META - Balance Sheet FY'!G25-'META - Balance Sheet FY'!G18-'META - Balance Sheet FY'!G41</f>
        <v>108617</v>
      </c>
      <c r="H49" s="1">
        <f>'META - Balance Sheet FY'!H25-'META - Balance Sheet FY'!H18-'META - Balance Sheet FY'!H41</f>
        <v>81445</v>
      </c>
      <c r="I49" s="1"/>
      <c r="J49" s="1"/>
      <c r="K49" s="1"/>
      <c r="L49" s="1"/>
      <c r="M49" s="1"/>
      <c r="N49" s="1"/>
      <c r="O49" s="1"/>
      <c r="P49" s="1"/>
      <c r="Q49" s="1"/>
      <c r="R49" s="1"/>
      <c r="S49" s="1"/>
      <c r="T49" s="1"/>
    </row>
    <row r="50" spans="1:20" x14ac:dyDescent="0.25">
      <c r="A50" s="1" t="s">
        <v>115</v>
      </c>
      <c r="B50" s="1">
        <f>'META - Balance Sheet FY'!B13-'META - Balance Sheet FY'!B41</f>
        <v>-40056</v>
      </c>
      <c r="C50" s="1">
        <f>'META - Balance Sheet FY'!C13-'META - Balance Sheet FY'!C41</f>
        <v>6628</v>
      </c>
      <c r="D50" s="1">
        <f>'META - Balance Sheet FY'!D13-'META - Balance Sheet FY'!D41</f>
        <v>8910</v>
      </c>
      <c r="E50" s="1">
        <f>'META - Balance Sheet FY'!E13-'META - Balance Sheet FY'!E41</f>
        <v>-465</v>
      </c>
      <c r="F50" s="1">
        <f>'META - Balance Sheet FY'!F13-'META - Balance Sheet FY'!F41</f>
        <v>25558</v>
      </c>
      <c r="G50" s="1">
        <f>'META - Balance Sheet FY'!G13-'META - Balance Sheet FY'!G41</f>
        <v>44644</v>
      </c>
      <c r="H50" s="1">
        <f>'META - Balance Sheet FY'!H13-'META - Balance Sheet FY'!H41</f>
        <v>33903</v>
      </c>
      <c r="I50" s="1"/>
      <c r="J50" s="1"/>
      <c r="K50" s="1"/>
      <c r="L50" s="1"/>
      <c r="M50" s="1"/>
      <c r="N50" s="1"/>
      <c r="O50" s="1"/>
      <c r="P50" s="1"/>
      <c r="Q50" s="1"/>
      <c r="R50" s="1"/>
      <c r="S50" s="1"/>
      <c r="T50" s="1"/>
    </row>
    <row r="51" spans="1:20" x14ac:dyDescent="0.25">
      <c r="A51" s="1" t="s">
        <v>114</v>
      </c>
      <c r="B51" s="1">
        <f>AVERAGE('META - Balance Sheet FY'!B10,'META - Balance Sheet FY'!C10)</f>
        <v>18381.5</v>
      </c>
      <c r="C51" s="1">
        <f>AVERAGE('META - Balance Sheet FY'!C10,'META - Balance Sheet FY'!D10)</f>
        <v>16581.5</v>
      </c>
      <c r="D51" s="1">
        <f>AVERAGE('META - Balance Sheet FY'!D10,'META - Balance Sheet FY'!E10)</f>
        <v>14817.5</v>
      </c>
      <c r="E51" s="1">
        <f>AVERAGE('META - Balance Sheet FY'!E10,'META - Balance Sheet FY'!F10)</f>
        <v>13752.5</v>
      </c>
      <c r="F51" s="1">
        <f>AVERAGE('META - Balance Sheet FY'!F10,'META - Balance Sheet FY'!G10)</f>
        <v>12687</v>
      </c>
      <c r="G51" s="1">
        <f>AVERAGE('META - Balance Sheet FY'!G10,'META - Balance Sheet FY'!H10)</f>
        <v>10426.5</v>
      </c>
      <c r="H51" s="1">
        <f>'META - Balance Sheet FY'!H10</f>
        <v>9518</v>
      </c>
      <c r="I51" s="1"/>
      <c r="J51" s="1"/>
      <c r="K51" s="1"/>
      <c r="L51" s="1"/>
      <c r="M51" s="1"/>
      <c r="N51" s="1"/>
      <c r="O51" s="1"/>
      <c r="P51" s="1"/>
      <c r="Q51" s="1"/>
      <c r="R51" s="1"/>
      <c r="S51" s="1"/>
      <c r="T51" s="1"/>
    </row>
    <row r="52" spans="1:20" x14ac:dyDescent="0.25">
      <c r="A52" s="1" t="s">
        <v>113</v>
      </c>
      <c r="B52" s="1">
        <f>AVERAGE('META - Balance Sheet FY'!B27,'META - Balance Sheet FY'!C27)</f>
        <v>8290.5</v>
      </c>
      <c r="C52" s="1">
        <f>AVERAGE('META - Balance Sheet FY'!C27,'META - Balance Sheet FY'!D27)</f>
        <v>6268</v>
      </c>
      <c r="D52" s="1">
        <f>AVERAGE('META - Balance Sheet FY'!D27,'META - Balance Sheet FY'!E27)</f>
        <v>4919.5</v>
      </c>
      <c r="E52" s="1">
        <f>AVERAGE('META - Balance Sheet FY'!E27,'META - Balance Sheet FY'!F27)</f>
        <v>4536.5</v>
      </c>
      <c r="F52" s="1">
        <f>AVERAGE('META - Balance Sheet FY'!F27,'META - Balance Sheet FY'!G27)</f>
        <v>2707</v>
      </c>
      <c r="G52" s="1">
        <f>AVERAGE('META - Balance Sheet FY'!G27,'META - Balance Sheet FY'!H27)</f>
        <v>1347</v>
      </c>
      <c r="H52" s="1">
        <f>'META - Balance Sheet FY'!H27</f>
        <v>1363</v>
      </c>
      <c r="I52" s="1"/>
      <c r="J52" s="1"/>
      <c r="K52" s="1"/>
      <c r="L52" s="1"/>
      <c r="M52" s="1"/>
      <c r="N52" s="1"/>
      <c r="O52" s="1"/>
      <c r="P52" s="1"/>
      <c r="Q52" s="1"/>
      <c r="R52" s="1"/>
      <c r="S52" s="1"/>
      <c r="T52" s="1"/>
    </row>
    <row r="53" spans="1:20" x14ac:dyDescent="0.25">
      <c r="A53" s="1" t="s">
        <v>112</v>
      </c>
      <c r="B53" s="1">
        <f>AVERAGE('META - Balance Sheet FY'!B11,'META - Balance Sheet FY'!C11)</f>
        <v>0</v>
      </c>
      <c r="C53" s="1">
        <f>AVERAGE('META - Balance Sheet FY'!C11,'META - Balance Sheet FY'!D11)</f>
        <v>0</v>
      </c>
      <c r="D53" s="1">
        <f>AVERAGE('META - Balance Sheet FY'!D11,'META - Balance Sheet FY'!E11)</f>
        <v>0</v>
      </c>
      <c r="E53" s="1">
        <f>AVERAGE('META - Balance Sheet FY'!E11,'META - Balance Sheet FY'!F11)</f>
        <v>0</v>
      </c>
      <c r="F53" s="1">
        <f>AVERAGE('META - Balance Sheet FY'!F11,'META - Balance Sheet FY'!G11)</f>
        <v>0</v>
      </c>
      <c r="G53" s="1">
        <f>AVERAGE('META - Balance Sheet FY'!G11,'META - Balance Sheet FY'!H11)</f>
        <v>0</v>
      </c>
      <c r="H53" s="1">
        <f>'META - Balance Sheet FY'!H11</f>
        <v>0</v>
      </c>
      <c r="I53" s="1"/>
      <c r="J53" s="1"/>
      <c r="K53" s="1"/>
      <c r="L53" s="1"/>
      <c r="M53" s="1"/>
      <c r="N53" s="1"/>
      <c r="O53" s="1"/>
      <c r="P53" s="1"/>
      <c r="Q53" s="1"/>
      <c r="R53" s="1"/>
      <c r="S53" s="1"/>
      <c r="T53" s="1"/>
    </row>
    <row r="54" spans="1:20" x14ac:dyDescent="0.25">
      <c r="A54" s="2" t="s">
        <v>111</v>
      </c>
      <c r="B54" s="2">
        <f>B51/'META - Income Statement FY'!B7*365</f>
        <v>33.384988007921734</v>
      </c>
      <c r="C54" s="2">
        <f>C51/'META - Income Statement FY'!C7*365</f>
        <v>36.79155445863551</v>
      </c>
      <c r="D54" s="2">
        <f>D51/'META - Income Statement FY'!D7*365</f>
        <v>40.091232894990434</v>
      </c>
      <c r="E54" s="2">
        <f>E51/'META - Income Statement FY'!E7*365</f>
        <v>43.046956066855905</v>
      </c>
      <c r="F54" s="2">
        <f>F51/'META - Income Statement FY'!F7*365</f>
        <v>39.267313383476498</v>
      </c>
      <c r="G54" s="2">
        <f>G51/'META - Income Statement FY'!G7*365</f>
        <v>44.270022683650325</v>
      </c>
      <c r="H54" s="2">
        <f>H51/'META - Income Statement FY'!H7*365</f>
        <v>49.140274693409907</v>
      </c>
      <c r="I54" s="2"/>
      <c r="J54" s="2"/>
      <c r="K54" s="2"/>
      <c r="L54" s="2"/>
      <c r="M54" s="2"/>
      <c r="N54" s="2"/>
      <c r="O54" s="2"/>
      <c r="P54" s="2"/>
      <c r="Q54" s="2"/>
      <c r="R54" s="2"/>
      <c r="S54" s="2"/>
      <c r="T54" s="2"/>
    </row>
    <row r="55" spans="1:20" x14ac:dyDescent="0.25">
      <c r="A55" s="2" t="s">
        <v>110</v>
      </c>
      <c r="B55" s="2">
        <f>B52/'META - Income Statement FY'!B9*365</f>
        <v>83.649827228749132</v>
      </c>
      <c r="C55" s="2">
        <f>C52/'META - Income Statement FY'!C9*365</f>
        <v>75.853585756440438</v>
      </c>
      <c r="D55" s="2">
        <f>D52/'META - Income Statement FY'!D9*365</f>
        <v>69.171289340883703</v>
      </c>
      <c r="E55" s="2">
        <f>E52/'META - Income Statement FY'!E9*365</f>
        <v>65.579725929739794</v>
      </c>
      <c r="F55" s="2">
        <f>F52/'META - Income Statement FY'!F9*365</f>
        <v>43.624663340544835</v>
      </c>
      <c r="G55" s="2">
        <f>G52/'META - Income Statement FY'!G9*365</f>
        <v>29.454529115744069</v>
      </c>
      <c r="H55" s="2">
        <f>H52/'META - Income Statement FY'!H9*365</f>
        <v>38.958104933437745</v>
      </c>
      <c r="I55" s="2"/>
      <c r="J55" s="2"/>
      <c r="K55" s="2"/>
      <c r="L55" s="2"/>
      <c r="M55" s="2"/>
      <c r="N55" s="2"/>
      <c r="O55" s="2"/>
      <c r="P55" s="2"/>
      <c r="Q55" s="2"/>
      <c r="R55" s="2"/>
      <c r="S55" s="2"/>
      <c r="T55" s="2"/>
    </row>
    <row r="56" spans="1:20" x14ac:dyDescent="0.25">
      <c r="A56" s="2" t="s">
        <v>109</v>
      </c>
      <c r="B56" s="2">
        <f>IFERROR(B53/'META - Income Statement FY'!B9*365,"")</f>
        <v>0</v>
      </c>
      <c r="C56" s="2">
        <f>IFERROR(C53/'META - Income Statement FY'!C9*365,"")</f>
        <v>0</v>
      </c>
      <c r="D56" s="2">
        <f>IFERROR(D53/'META - Income Statement FY'!D9*365,"")</f>
        <v>0</v>
      </c>
      <c r="E56" s="2">
        <f>IFERROR(E53/'META - Income Statement FY'!E9*365,"")</f>
        <v>0</v>
      </c>
      <c r="F56" s="2">
        <f>IFERROR(F53/'META - Income Statement FY'!F9*365,"")</f>
        <v>0</v>
      </c>
      <c r="G56" s="2">
        <f>IFERROR(G53/'META - Income Statement FY'!G9*365,"")</f>
        <v>0</v>
      </c>
      <c r="H56" s="2">
        <f>IFERROR(H53/'META - Income Statement FY'!H9*365,"")</f>
        <v>0</v>
      </c>
      <c r="I56" s="2"/>
      <c r="J56" s="2"/>
      <c r="K56" s="2"/>
      <c r="L56" s="2"/>
      <c r="M56" s="2"/>
      <c r="N56" s="2"/>
      <c r="O56" s="2"/>
      <c r="P56" s="2"/>
      <c r="Q56" s="2"/>
      <c r="R56" s="2"/>
      <c r="S56" s="2"/>
      <c r="T56" s="2"/>
    </row>
    <row r="57" spans="1:20" x14ac:dyDescent="0.25">
      <c r="A57" s="2" t="s">
        <v>108</v>
      </c>
      <c r="B57" s="2">
        <f>'META - Income Statement FY'!B7/B51</f>
        <v>10.933057693876997</v>
      </c>
      <c r="C57" s="2">
        <f>'META - Income Statement FY'!C7/C51</f>
        <v>9.9207550583481598</v>
      </c>
      <c r="D57" s="2">
        <f>'META - Income Statement FY'!D7/D51</f>
        <v>9.1042348574320897</v>
      </c>
      <c r="E57" s="2">
        <f>'META - Income Statement FY'!E7/E51</f>
        <v>8.4791128885657159</v>
      </c>
      <c r="F57" s="2">
        <f>'META - Income Statement FY'!F7/F51</f>
        <v>9.2952628675021671</v>
      </c>
      <c r="G57" s="2">
        <f>'META - Income Statement FY'!G7/G51</f>
        <v>8.2448568551287593</v>
      </c>
      <c r="H57" s="2">
        <f>'META - Income Statement FY'!H7/H51</f>
        <v>7.4277159067030887</v>
      </c>
      <c r="I57" s="2"/>
      <c r="J57" s="2"/>
      <c r="K57" s="2"/>
      <c r="L57" s="2"/>
      <c r="M57" s="2"/>
      <c r="N57" s="2"/>
      <c r="O57" s="2"/>
      <c r="P57" s="2"/>
      <c r="Q57" s="2"/>
      <c r="R57" s="2"/>
      <c r="S57" s="2"/>
      <c r="T57" s="2"/>
    </row>
    <row r="58" spans="1:20" x14ac:dyDescent="0.25">
      <c r="A58" s="2" t="s">
        <v>107</v>
      </c>
      <c r="B58" s="2">
        <f>'META - Income Statement FY'!B9/B52</f>
        <v>4.3634280200229174</v>
      </c>
      <c r="C58" s="2">
        <f>'META - Income Statement FY'!C9/C52</f>
        <v>4.8119017230376517</v>
      </c>
      <c r="D58" s="2">
        <f>'META - Income Statement FY'!D9/D52</f>
        <v>5.2767557678625874</v>
      </c>
      <c r="E58" s="2">
        <f>'META - Income Statement FY'!E9/E52</f>
        <v>5.5657445166978947</v>
      </c>
      <c r="F58" s="2">
        <f>'META - Income Statement FY'!F9/F52</f>
        <v>8.366826745474695</v>
      </c>
      <c r="G58" s="2">
        <f>'META - Income Statement FY'!G9/G52</f>
        <v>12.391982182628063</v>
      </c>
      <c r="H58" s="2">
        <f>'META - Income Statement FY'!H9/H52</f>
        <v>9.3690388848129125</v>
      </c>
      <c r="I58" s="2"/>
      <c r="J58" s="2"/>
      <c r="K58" s="2"/>
      <c r="L58" s="2"/>
      <c r="M58" s="2"/>
      <c r="N58" s="2"/>
      <c r="O58" s="2"/>
      <c r="P58" s="2"/>
      <c r="Q58" s="2"/>
      <c r="R58" s="2"/>
      <c r="S58" s="2"/>
      <c r="T58" s="2"/>
    </row>
    <row r="59" spans="1:20" x14ac:dyDescent="0.25">
      <c r="A59" s="2" t="s">
        <v>106</v>
      </c>
      <c r="B59" s="2" t="str">
        <f>IFERROR('META - Income Statement FY'!B9/B53,"")</f>
        <v/>
      </c>
      <c r="C59" s="2" t="str">
        <f>IFERROR('META - Income Statement FY'!C9/C53,"")</f>
        <v/>
      </c>
      <c r="D59" s="2" t="str">
        <f>IFERROR('META - Income Statement FY'!D9/D53,"")</f>
        <v/>
      </c>
      <c r="E59" s="2" t="str">
        <f>IFERROR('META - Income Statement FY'!E9/E53,"")</f>
        <v/>
      </c>
      <c r="F59" s="2" t="str">
        <f>IFERROR('META - Income Statement FY'!F9/F53,"")</f>
        <v/>
      </c>
      <c r="G59" s="2" t="str">
        <f>IFERROR('META - Income Statement FY'!G9/G53,"")</f>
        <v/>
      </c>
      <c r="H59" s="2" t="str">
        <f>IFERROR('META - Income Statement FY'!H9/H53,"")</f>
        <v/>
      </c>
      <c r="I59" s="2"/>
      <c r="J59" s="2"/>
      <c r="K59" s="2"/>
      <c r="L59" s="2"/>
      <c r="M59" s="2"/>
      <c r="N59" s="2"/>
      <c r="O59" s="2"/>
      <c r="P59" s="2"/>
      <c r="Q59" s="2"/>
      <c r="R59" s="2"/>
      <c r="S59" s="2"/>
      <c r="T59" s="2"/>
    </row>
    <row r="60" spans="1:20" x14ac:dyDescent="0.25">
      <c r="A60" s="3" t="s">
        <v>105</v>
      </c>
      <c r="B60" s="3">
        <f>'META - Income Statement FY'!B32/'META - Balance Sheet FY'!B47</f>
        <v>0.27829665397734332</v>
      </c>
      <c r="C60" s="3">
        <f>'META - Income Statement FY'!C32/'META - Balance Sheet FY'!C47</f>
        <v>0.34144231453648494</v>
      </c>
      <c r="D60" s="3">
        <f>'META - Income Statement FY'!D32/'META - Balance Sheet FY'!D47</f>
        <v>0.25526219575890524</v>
      </c>
      <c r="E60" s="3">
        <f>'META - Income Statement FY'!E32/'META - Balance Sheet FY'!E47</f>
        <v>0.18454734196145187</v>
      </c>
      <c r="F60" s="3">
        <f>'META - Income Statement FY'!F32/'META - Balance Sheet FY'!F47</f>
        <v>0.31526517669103693</v>
      </c>
      <c r="G60" s="3">
        <f>'META - Income Statement FY'!G32/'META - Balance Sheet FY'!G47</f>
        <v>0.22718840127835374</v>
      </c>
      <c r="H60" s="3">
        <f>'META - Income Statement FY'!H32/'META - Balance Sheet FY'!H47</f>
        <v>0.18292200209788825</v>
      </c>
      <c r="I60" s="3"/>
      <c r="J60" s="3"/>
      <c r="K60" s="3"/>
      <c r="L60" s="3"/>
      <c r="M60" s="3"/>
      <c r="N60" s="3"/>
      <c r="O60" s="3"/>
      <c r="P60" s="3"/>
      <c r="Q60" s="3"/>
      <c r="R60" s="3"/>
      <c r="S60" s="3"/>
      <c r="T60" s="3"/>
    </row>
    <row r="61" spans="1:20" x14ac:dyDescent="0.25">
      <c r="A61" s="2" t="s">
        <v>104</v>
      </c>
      <c r="B61" s="2">
        <f>'META - Cash Flow FY'!B38/'META - Income Statement FY'!B38</f>
        <v>-27.074980574980575</v>
      </c>
      <c r="C61" s="2">
        <f>'META - Cash Flow FY'!C38/'META - Income Statement FY'!C38</f>
        <v>-14.252486610558531</v>
      </c>
      <c r="D61" s="2">
        <f>'META - Cash Flow FY'!D38/'META - Income Statement FY'!D38</f>
        <v>-10.287181437809053</v>
      </c>
      <c r="E61" s="2">
        <f>'META - Cash Flow FY'!E38/'META - Income Statement FY'!E38</f>
        <v>-11.632494448556624</v>
      </c>
      <c r="F61" s="2">
        <f>'META - Cash Flow FY'!F38/'META - Income Statement FY'!F38</f>
        <v>-6.5372507869884577</v>
      </c>
      <c r="G61" s="2">
        <f>'META - Cash Flow FY'!G38/'META - Income Statement FY'!G38</f>
        <v>-5.2337257617728534</v>
      </c>
      <c r="H61" s="2">
        <f>'META - Cash Flow FY'!H38/'META - Income Statement FY'!H38</f>
        <v>-5.2510431154381081</v>
      </c>
      <c r="I61" s="2"/>
      <c r="J61" s="2"/>
      <c r="K61" s="2"/>
      <c r="L61" s="2"/>
      <c r="M61" s="2"/>
      <c r="N61" s="2"/>
      <c r="O61" s="2"/>
      <c r="P61" s="2"/>
      <c r="Q61" s="2"/>
      <c r="R61" s="2"/>
      <c r="S61" s="2"/>
      <c r="T61" s="2"/>
    </row>
  </sheetData>
  <mergeCells count="1">
    <mergeCell ref="B4:T4"/>
  </mergeCells>
  <pageMargins left="0.7" right="0.7" top="0.75" bottom="0.75" header="0.3" footer="0.3"/>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43C3DC-1C6C-4F6B-A018-22F4CAA34385}">
  <sheetPr>
    <tabColor rgb="FFC6E0B4"/>
  </sheetPr>
  <dimension ref="A1:T40"/>
  <sheetViews>
    <sheetView workbookViewId="0"/>
  </sheetViews>
  <sheetFormatPr defaultRowHeight="15" x14ac:dyDescent="0.25"/>
  <cols>
    <col min="1" max="1" width="41.140625" bestFit="1" customWidth="1"/>
    <col min="2" max="2" width="15.5703125" bestFit="1" customWidth="1"/>
    <col min="3" max="19" width="10.42578125" bestFit="1" customWidth="1"/>
    <col min="20" max="20" width="11.140625" bestFit="1" customWidth="1"/>
  </cols>
  <sheetData>
    <row r="1" spans="1:20" x14ac:dyDescent="0.25">
      <c r="A1" s="10" t="s">
        <v>220</v>
      </c>
      <c r="B1" s="10"/>
      <c r="C1" s="10"/>
      <c r="D1" s="10"/>
      <c r="E1" s="10"/>
      <c r="F1" s="10"/>
      <c r="G1" s="10"/>
      <c r="H1" s="10"/>
      <c r="I1" s="10"/>
      <c r="J1" s="10"/>
      <c r="K1" s="10"/>
      <c r="L1" s="10"/>
      <c r="M1" s="10"/>
      <c r="N1" s="10"/>
      <c r="O1" s="10"/>
      <c r="P1" s="10"/>
      <c r="Q1" s="10"/>
      <c r="R1" s="10"/>
      <c r="S1" s="10"/>
      <c r="T1" s="10"/>
    </row>
    <row r="2" spans="1:20" x14ac:dyDescent="0.25">
      <c r="A2" t="s">
        <v>1</v>
      </c>
      <c r="B2" t="s">
        <v>216</v>
      </c>
    </row>
    <row r="3" spans="1:20" x14ac:dyDescent="0.25">
      <c r="A3" t="s">
        <v>3</v>
      </c>
      <c r="B3" t="str">
        <f>'META - Income Statement FY'!B3</f>
        <v>USD</v>
      </c>
    </row>
    <row r="4" spans="1:20" x14ac:dyDescent="0.25">
      <c r="A4" t="s">
        <v>32</v>
      </c>
      <c r="B4" s="236" t="s">
        <v>33</v>
      </c>
      <c r="C4" s="236"/>
      <c r="D4" s="236"/>
      <c r="E4" s="236"/>
      <c r="F4" s="236"/>
      <c r="G4" s="236"/>
      <c r="H4" s="236"/>
      <c r="I4" s="236"/>
      <c r="J4" s="236"/>
      <c r="K4" s="236"/>
      <c r="L4" s="236"/>
      <c r="M4" s="236"/>
      <c r="N4" s="236"/>
      <c r="O4" s="236"/>
      <c r="P4" s="236"/>
      <c r="Q4" s="236"/>
      <c r="R4" s="236"/>
      <c r="S4" s="236"/>
      <c r="T4" s="236"/>
    </row>
    <row r="5" spans="1:20" x14ac:dyDescent="0.25">
      <c r="A5" t="s">
        <v>34</v>
      </c>
      <c r="B5" s="8">
        <v>46022</v>
      </c>
      <c r="C5" s="8">
        <v>45657</v>
      </c>
      <c r="D5" s="8">
        <v>45291</v>
      </c>
      <c r="E5" s="8">
        <v>44926</v>
      </c>
      <c r="F5" s="8">
        <v>44561</v>
      </c>
      <c r="G5" s="8">
        <v>44196</v>
      </c>
      <c r="H5" s="8">
        <v>43830</v>
      </c>
      <c r="I5" s="8"/>
      <c r="J5" s="8"/>
      <c r="K5" s="8"/>
      <c r="L5" s="8"/>
      <c r="M5" s="8"/>
      <c r="N5" s="8"/>
      <c r="O5" s="8"/>
      <c r="P5" s="8"/>
      <c r="Q5" s="8"/>
      <c r="R5" s="8"/>
      <c r="S5" s="8"/>
      <c r="T5" s="8"/>
    </row>
    <row r="7" spans="1:20" x14ac:dyDescent="0.25">
      <c r="A7" s="3" t="s">
        <v>194</v>
      </c>
      <c r="B7" s="3">
        <f>IFERROR('META - Income Statement FY'!B7/'META - Income Statement FY'!C7-1,"")</f>
        <v>0.22167038498246217</v>
      </c>
      <c r="C7" s="3">
        <f>IFERROR('META - Income Statement FY'!C7/'META - Income Statement FY'!D7-1,"")</f>
        <v>0.21941112807816054</v>
      </c>
      <c r="D7" s="3">
        <f>IFERROR('META - Income Statement FY'!D7/'META - Income Statement FY'!E7-1,"")</f>
        <v>0.15687468377226454</v>
      </c>
      <c r="E7" s="3">
        <f>IFERROR('META - Income Statement FY'!E7/'META - Income Statement FY'!F7-1,"")</f>
        <v>-1.1193175554782941E-2</v>
      </c>
      <c r="F7" s="3">
        <f>IFERROR('META - Income Statement FY'!F7/'META - Income Statement FY'!G7-1,"")</f>
        <v>0.37182574303495608</v>
      </c>
      <c r="G7" s="3">
        <f>IFERROR('META - Income Statement FY'!G7/'META - Income Statement FY'!H7-1,"")</f>
        <v>0.21596390228722573</v>
      </c>
      <c r="H7" s="3"/>
      <c r="I7" s="3"/>
      <c r="J7" s="3"/>
      <c r="K7" s="3"/>
      <c r="L7" s="3"/>
      <c r="M7" s="3"/>
      <c r="N7" s="3"/>
      <c r="O7" s="3"/>
      <c r="P7" s="3"/>
      <c r="Q7" s="3"/>
      <c r="R7" s="3"/>
      <c r="S7" s="3"/>
      <c r="T7" s="3"/>
    </row>
    <row r="8" spans="1:20" x14ac:dyDescent="0.25">
      <c r="A8" s="3" t="s">
        <v>193</v>
      </c>
      <c r="B8" s="3">
        <f>IFERROR('META - Income Statement FY'!B10/'META - Income Statement FY'!C10-1,"")</f>
        <v>0.22667113294625585</v>
      </c>
      <c r="C8" s="3">
        <f>IFERROR('META - Income Statement FY'!C10/'META - Income Statement FY'!D10-1,"")</f>
        <v>0.23312190778664066</v>
      </c>
      <c r="D8" s="3">
        <f>IFERROR('META - Income Statement FY'!D10/'META - Income Statement FY'!E10-1,"")</f>
        <v>0.19245840630472855</v>
      </c>
      <c r="E8" s="3">
        <f>IFERROR('META - Income Statement FY'!E10/'META - Income Statement FY'!F10-1,"")</f>
        <v>-4.1141897565071361E-2</v>
      </c>
      <c r="F8" s="3">
        <f>IFERROR('META - Income Statement FY'!F10/'META - Income Statement FY'!G10-1,"")</f>
        <v>0.37542765579663073</v>
      </c>
      <c r="G8" s="3">
        <f>IFERROR('META - Income Statement FY'!G10/'META - Income Statement FY'!H10-1,"")</f>
        <v>0.19586721218084824</v>
      </c>
      <c r="H8" s="3"/>
      <c r="I8" s="3"/>
      <c r="J8" s="3"/>
      <c r="K8" s="3"/>
      <c r="L8" s="3"/>
      <c r="M8" s="3"/>
      <c r="N8" s="3"/>
      <c r="O8" s="3"/>
      <c r="P8" s="3"/>
      <c r="Q8" s="3"/>
      <c r="R8" s="3"/>
      <c r="S8" s="3"/>
      <c r="T8" s="3"/>
    </row>
    <row r="9" spans="1:20" x14ac:dyDescent="0.25">
      <c r="A9" s="3" t="s">
        <v>192</v>
      </c>
      <c r="B9" s="3">
        <f>IFERROR('META - Income Statement FY'!B25/'META - Income Statement FY'!C25-1,"")</f>
        <v>0.20028826751225126</v>
      </c>
      <c r="C9" s="3">
        <f>IFERROR('META - Income Statement FY'!C25/'META - Income Statement FY'!D25-1,"")</f>
        <v>0.48403242711385852</v>
      </c>
      <c r="D9" s="3">
        <f>IFERROR('META - Income Statement FY'!D25/'META - Income Statement FY'!E25-1,"")</f>
        <v>0.61522249861802103</v>
      </c>
      <c r="E9" s="3">
        <f>IFERROR('META - Income Statement FY'!E25/'META - Income Statement FY'!F25-1,"")</f>
        <v>-0.38091673261608883</v>
      </c>
      <c r="F9" s="3">
        <f>IFERROR('META - Income Statement FY'!F25/'META - Income Statement FY'!G25-1,"")</f>
        <v>0.43102445593951821</v>
      </c>
      <c r="G9" s="3">
        <f>IFERROR('META - Income Statement FY'!G25/'META - Income Statement FY'!H25-1,"")</f>
        <v>0.36208621695989329</v>
      </c>
      <c r="H9" s="3"/>
      <c r="I9" s="3"/>
      <c r="J9" s="3"/>
      <c r="K9" s="3"/>
      <c r="L9" s="3"/>
      <c r="M9" s="3"/>
      <c r="N9" s="3"/>
      <c r="O9" s="3"/>
      <c r="P9" s="3"/>
      <c r="Q9" s="3"/>
      <c r="R9" s="3"/>
      <c r="S9" s="3"/>
      <c r="T9" s="3"/>
    </row>
    <row r="10" spans="1:20" x14ac:dyDescent="0.25">
      <c r="A10" s="3" t="s">
        <v>191</v>
      </c>
      <c r="B10" s="3">
        <f>IFERROR('META - Income Statement FY'!B25/'META - Income Statement FY'!C25-1,"")</f>
        <v>0.20028826751225126</v>
      </c>
      <c r="C10" s="3">
        <f>IFERROR('META - Income Statement FY'!C25/'META - Income Statement FY'!D25-1,"")</f>
        <v>0.48403242711385852</v>
      </c>
      <c r="D10" s="3">
        <f>IFERROR('META - Income Statement FY'!D25/'META - Income Statement FY'!E25-1,"")</f>
        <v>0.61522249861802103</v>
      </c>
      <c r="E10" s="3">
        <f>IFERROR('META - Income Statement FY'!E25/'META - Income Statement FY'!F25-1,"")</f>
        <v>-0.38091673261608883</v>
      </c>
      <c r="F10" s="3">
        <f>IFERROR('META - Income Statement FY'!F25/'META - Income Statement FY'!G25-1,"")</f>
        <v>0.43102445593951821</v>
      </c>
      <c r="G10" s="3">
        <f>IFERROR('META - Income Statement FY'!G25/'META - Income Statement FY'!H25-1,"")</f>
        <v>0.36208621695989329</v>
      </c>
      <c r="H10" s="3"/>
      <c r="I10" s="3"/>
      <c r="J10" s="3"/>
      <c r="K10" s="3"/>
      <c r="L10" s="3"/>
      <c r="M10" s="3"/>
      <c r="N10" s="3"/>
      <c r="O10" s="3"/>
      <c r="P10" s="3"/>
      <c r="Q10" s="3"/>
      <c r="R10" s="3"/>
      <c r="S10" s="3"/>
      <c r="T10" s="3"/>
    </row>
    <row r="11" spans="1:20" x14ac:dyDescent="0.25">
      <c r="A11" s="3" t="s">
        <v>190</v>
      </c>
      <c r="B11" s="3">
        <f>IFERROR('META - Income Statement FY'!B32/'META - Income Statement FY'!C32-1,"")</f>
        <v>-3.0500320718409246E-2</v>
      </c>
      <c r="C11" s="3">
        <f>IFERROR('META - Income Statement FY'!C32/'META - Income Statement FY'!D32-1,"")</f>
        <v>0.59496649444984406</v>
      </c>
      <c r="D11" s="3">
        <f>IFERROR('META - Income Statement FY'!D32/'META - Income Statement FY'!E32-1,"")</f>
        <v>0.68525862068965515</v>
      </c>
      <c r="E11" s="3">
        <f>IFERROR('META - Income Statement FY'!E32/'META - Income Statement FY'!F32-1,"")</f>
        <v>-0.41071882143764282</v>
      </c>
      <c r="F11" s="3">
        <f>IFERROR('META - Income Statement FY'!F32/'META - Income Statement FY'!G32-1,"")</f>
        <v>0.35078569958141759</v>
      </c>
      <c r="G11" s="3">
        <f>IFERROR('META - Income Statement FY'!G32/'META - Income Statement FY'!H32-1,"")</f>
        <v>0.57673789559101984</v>
      </c>
      <c r="H11" s="3"/>
      <c r="I11" s="3"/>
      <c r="J11" s="3"/>
      <c r="K11" s="3"/>
      <c r="L11" s="3"/>
      <c r="M11" s="3"/>
      <c r="N11" s="3"/>
      <c r="O11" s="3"/>
      <c r="P11" s="3"/>
      <c r="Q11" s="3"/>
      <c r="R11" s="3"/>
      <c r="S11" s="3"/>
      <c r="T11" s="3"/>
    </row>
    <row r="12" spans="1:20" x14ac:dyDescent="0.25">
      <c r="A12" s="3" t="s">
        <v>189</v>
      </c>
      <c r="B12" s="3">
        <f>IFERROR('META - Income Statement FY'!B35/'META - Income Statement FY'!C35-1,"")</f>
        <v>-2.5599349857781339E-2</v>
      </c>
      <c r="C12" s="3">
        <f>IFERROR('META - Income Statement FY'!C35/'META - Income Statement FY'!D35-1,"")</f>
        <v>0.62014483212639893</v>
      </c>
      <c r="D12" s="3">
        <f>IFERROR('META - Income Statement FY'!D35/'META - Income Statement FY'!E35-1,"")</f>
        <v>0.76013904982618752</v>
      </c>
      <c r="E12" s="3">
        <f>IFERROR('META - Income Statement FY'!E35/'META - Income Statement FY'!F35-1,"")</f>
        <v>-0.38313080771979979</v>
      </c>
      <c r="F12" s="3">
        <f>IFERROR('META - Income Statement FY'!F35/'META - Income Statement FY'!G35-1,"")</f>
        <v>0.36888454011741678</v>
      </c>
      <c r="G12" s="3">
        <f>IFERROR('META - Income Statement FY'!G35/'META - Income Statement FY'!H35-1,"")</f>
        <v>0.57716049382716039</v>
      </c>
      <c r="H12" s="3"/>
      <c r="I12" s="3"/>
      <c r="J12" s="3"/>
      <c r="K12" s="3"/>
      <c r="L12" s="3"/>
      <c r="M12" s="3"/>
      <c r="N12" s="3"/>
      <c r="O12" s="3"/>
      <c r="P12" s="3"/>
      <c r="Q12" s="3"/>
      <c r="R12" s="3"/>
      <c r="S12" s="3"/>
      <c r="T12" s="3"/>
    </row>
    <row r="13" spans="1:20" x14ac:dyDescent="0.25">
      <c r="A13" s="3" t="s">
        <v>188</v>
      </c>
      <c r="B13" s="3">
        <f>IFERROR('META - Income Statement FY'!B36/'META - Income Statement FY'!C36-1,"")</f>
        <v>-1.5507124895222213E-2</v>
      </c>
      <c r="C13" s="3">
        <f>IFERROR('META - Income Statement FY'!C36/'META - Income Statement FY'!D36-1,"")</f>
        <v>0.6045729657027572</v>
      </c>
      <c r="D13" s="3">
        <f>IFERROR('META - Income Statement FY'!D36/'META - Income Statement FY'!E36-1,"")</f>
        <v>0.73108265424912688</v>
      </c>
      <c r="E13" s="3">
        <f>IFERROR('META - Income Statement FY'!E36/'META - Income Statement FY'!F36-1,"")</f>
        <v>-0.3761801016702977</v>
      </c>
      <c r="F13" s="3">
        <f>IFERROR('META - Income Statement FY'!F36/'META - Income Statement FY'!G36-1,"")</f>
        <v>0.36471754212091168</v>
      </c>
      <c r="G13" s="3">
        <f>IFERROR('META - Income Statement FY'!G36/'META - Income Statement FY'!H36-1,"")</f>
        <v>0.56920684292379486</v>
      </c>
      <c r="H13" s="3"/>
      <c r="I13" s="3"/>
      <c r="J13" s="3"/>
      <c r="K13" s="3"/>
      <c r="L13" s="3"/>
      <c r="M13" s="3"/>
      <c r="N13" s="3"/>
      <c r="O13" s="3"/>
      <c r="P13" s="3"/>
      <c r="Q13" s="3"/>
      <c r="R13" s="3"/>
      <c r="S13" s="3"/>
      <c r="T13" s="3"/>
    </row>
    <row r="14" spans="1:20" x14ac:dyDescent="0.25">
      <c r="A14" s="3" t="s">
        <v>187</v>
      </c>
      <c r="B14" s="3">
        <f>IFERROR('META - Income Statement FY'!B37/'META - Income Statement FY'!C37-1,"")</f>
        <v>-5.130228887134991E-3</v>
      </c>
      <c r="C14" s="3">
        <f>IFERROR('META - Income Statement FY'!C37/'META - Income Statement FY'!D37-1,"")</f>
        <v>-1.5540015540015495E-2</v>
      </c>
      <c r="D14" s="3">
        <f>IFERROR('META - Income Statement FY'!D37/'META - Income Statement FY'!E37-1,"")</f>
        <v>-4.2054335690360989E-2</v>
      </c>
      <c r="E14" s="3">
        <f>IFERROR('META - Income Statement FY'!E37/'META - Income Statement FY'!F37-1,"")</f>
        <v>-4.5470692717584416E-2</v>
      </c>
      <c r="F14" s="3">
        <f>IFERROR('META - Income Statement FY'!F37/'META - Income Statement FY'!G37-1,"")</f>
        <v>-1.2627148368993368E-2</v>
      </c>
      <c r="G14" s="3">
        <f>IFERROR('META - Income Statement FY'!G37/'META - Income Statement FY'!H37-1,"")</f>
        <v>-1.0511562718991119E-3</v>
      </c>
      <c r="H14" s="3"/>
      <c r="I14" s="3"/>
      <c r="J14" s="3"/>
      <c r="K14" s="3"/>
      <c r="L14" s="3"/>
      <c r="M14" s="3"/>
      <c r="N14" s="3"/>
      <c r="O14" s="3"/>
      <c r="P14" s="3"/>
      <c r="Q14" s="3"/>
      <c r="R14" s="3"/>
      <c r="S14" s="3"/>
      <c r="T14" s="3"/>
    </row>
    <row r="15" spans="1:20" x14ac:dyDescent="0.25">
      <c r="A15" s="3" t="s">
        <v>186</v>
      </c>
      <c r="B15" s="3">
        <f>IFERROR('META - Income Statement FY'!B38/'META - Income Statement FY'!C38-1,"")</f>
        <v>-1.5302218821729108E-2</v>
      </c>
      <c r="C15" s="3">
        <f>IFERROR('META - Income Statement FY'!C38/'META - Income Statement FY'!D38-1,"")</f>
        <v>-5.7055914796501073E-3</v>
      </c>
      <c r="D15" s="3">
        <f>IFERROR('META - Income Statement FY'!D38/'META - Income Statement FY'!E38-1,"")</f>
        <v>-2.70170244263509E-2</v>
      </c>
      <c r="E15" s="3">
        <f>IFERROR('META - Income Statement FY'!E38/'META - Income Statement FY'!F38-1,"")</f>
        <v>-5.4914305701294186E-2</v>
      </c>
      <c r="F15" s="3">
        <f>IFERROR('META - Income Statement FY'!F38/'META - Income Statement FY'!G38-1,"")</f>
        <v>-1.0041551246537384E-2</v>
      </c>
      <c r="G15" s="3">
        <f>IFERROR('META - Income Statement FY'!G38/'META - Income Statement FY'!H38-1,"")</f>
        <v>4.1724617524339092E-3</v>
      </c>
      <c r="H15" s="3"/>
      <c r="I15" s="3"/>
      <c r="J15" s="3"/>
      <c r="K15" s="3"/>
      <c r="L15" s="3"/>
      <c r="M15" s="3"/>
      <c r="N15" s="3"/>
      <c r="O15" s="3"/>
      <c r="P15" s="3"/>
      <c r="Q15" s="3"/>
      <c r="R15" s="3"/>
      <c r="S15" s="3"/>
      <c r="T15" s="3"/>
    </row>
    <row r="16" spans="1:20" x14ac:dyDescent="0.25">
      <c r="A16" s="3" t="s">
        <v>185</v>
      </c>
      <c r="B16" s="3">
        <f>IFERROR((-'META - Cash Flow FY'!B29/'META - Income Statement FY'!B38)/(-'META - Cash Flow FY'!C29/'META - Income Statement FY'!C38)-1,"")</f>
        <v>6.5996656690663125E-2</v>
      </c>
      <c r="C16" s="3" t="str">
        <f>IFERROR((-'META - Cash Flow FY'!C29/'META - Income Statement FY'!C38)/(-'META - Cash Flow FY'!D29/'META - Income Statement FY'!D38)-1,"")</f>
        <v/>
      </c>
      <c r="D16" s="3" t="str">
        <f>IFERROR((-'META - Cash Flow FY'!D29/'META - Income Statement FY'!D38)/(-'META - Cash Flow FY'!E29/'META - Income Statement FY'!E38)-1,"")</f>
        <v/>
      </c>
      <c r="E16" s="3" t="str">
        <f>IFERROR((-'META - Cash Flow FY'!E29/'META - Income Statement FY'!E38)/(-'META - Cash Flow FY'!F29/'META - Income Statement FY'!F38)-1,"")</f>
        <v/>
      </c>
      <c r="F16" s="3" t="str">
        <f>IFERROR((-'META - Cash Flow FY'!F29/'META - Income Statement FY'!F38)/(-'META - Cash Flow FY'!G29/'META - Income Statement FY'!G38)-1,"")</f>
        <v/>
      </c>
      <c r="G16" s="3" t="str">
        <f>IFERROR((-'META - Cash Flow FY'!G29/'META - Income Statement FY'!G38)/(-'META - Cash Flow FY'!H29/'META - Income Statement FY'!H38)-1,"")</f>
        <v/>
      </c>
      <c r="H16" s="3"/>
      <c r="I16" s="3"/>
      <c r="J16" s="3"/>
      <c r="K16" s="3"/>
      <c r="L16" s="3"/>
      <c r="M16" s="3"/>
      <c r="N16" s="3"/>
      <c r="O16" s="3"/>
      <c r="P16" s="3"/>
      <c r="Q16" s="3"/>
      <c r="R16" s="3"/>
      <c r="S16" s="3"/>
      <c r="T16" s="3"/>
    </row>
    <row r="17" spans="1:20" x14ac:dyDescent="0.25">
      <c r="A17" s="3" t="s">
        <v>184</v>
      </c>
      <c r="B17" s="3">
        <f>IFERROR('META - Cash Flow FY'!B17/'META - Cash Flow FY'!C17-1,"")</f>
        <v>0.26795725297827611</v>
      </c>
      <c r="C17" s="3">
        <f>IFERROR('META - Cash Flow FY'!C17/'META - Cash Flow FY'!D17-1,"")</f>
        <v>0.28426588668738484</v>
      </c>
      <c r="D17" s="3">
        <f>IFERROR('META - Cash Flow FY'!D17/'META - Cash Flow FY'!E17-1,"")</f>
        <v>0.40887568103021299</v>
      </c>
      <c r="E17" s="3">
        <f>IFERROR('META - Cash Flow FY'!E17/'META - Cash Flow FY'!F17-1,"")</f>
        <v>-0.12495882669070613</v>
      </c>
      <c r="F17" s="3">
        <f>IFERROR('META - Cash Flow FY'!F17/'META - Cash Flow FY'!G17-1,"")</f>
        <v>0.48870880326218802</v>
      </c>
      <c r="G17" s="3">
        <f>IFERROR('META - Cash Flow FY'!G17/'META - Cash Flow FY'!H17-1,"")</f>
        <v>6.699895357162533E-2</v>
      </c>
      <c r="H17" s="3"/>
      <c r="I17" s="3"/>
      <c r="J17" s="3"/>
      <c r="K17" s="3"/>
      <c r="L17" s="3"/>
      <c r="M17" s="3"/>
      <c r="N17" s="3"/>
      <c r="O17" s="3"/>
      <c r="P17" s="3"/>
      <c r="Q17" s="3"/>
      <c r="R17" s="3"/>
      <c r="S17" s="3"/>
      <c r="T17" s="3"/>
    </row>
    <row r="18" spans="1:20" x14ac:dyDescent="0.25">
      <c r="A18" s="3" t="s">
        <v>183</v>
      </c>
      <c r="B18" s="3">
        <f>IFERROR('META - Cash Flow FY'!B39/'META - Cash Flow FY'!C39-1,"")</f>
        <v>-0.14726660748631459</v>
      </c>
      <c r="C18" s="3">
        <f>IFERROR('META - Cash Flow FY'!C39/'META - Cash Flow FY'!D39-1,"")</f>
        <v>0.22701279840246902</v>
      </c>
      <c r="D18" s="3">
        <f>IFERROR('META - Cash Flow FY'!D39/'META - Cash Flow FY'!E39-1,"")</f>
        <v>1.3140096618357489</v>
      </c>
      <c r="E18" s="3">
        <f>IFERROR('META - Cash Flow FY'!E39/'META - Cash Flow FY'!F39-1,"")</f>
        <v>-0.51160464698792096</v>
      </c>
      <c r="F18" s="3">
        <f>IFERROR('META - Cash Flow FY'!F39/'META - Cash Flow FY'!G39-1,"")</f>
        <v>0.65000846310088023</v>
      </c>
      <c r="G18" s="3">
        <f>IFERROR('META - Cash Flow FY'!G39/'META - Cash Flow FY'!H39-1,"")</f>
        <v>0.11408636620780688</v>
      </c>
      <c r="H18" s="3"/>
      <c r="I18" s="3"/>
      <c r="J18" s="3"/>
      <c r="K18" s="3"/>
      <c r="L18" s="3"/>
      <c r="M18" s="3"/>
      <c r="N18" s="3"/>
      <c r="O18" s="3"/>
      <c r="P18" s="3"/>
      <c r="Q18" s="3"/>
      <c r="R18" s="3"/>
      <c r="S18" s="3"/>
      <c r="T18" s="3"/>
    </row>
    <row r="19" spans="1:20" x14ac:dyDescent="0.25">
      <c r="A19" s="3" t="s">
        <v>182</v>
      </c>
      <c r="B19" s="3"/>
      <c r="C19" s="3"/>
      <c r="D19" s="3"/>
      <c r="E19" s="3"/>
      <c r="F19" s="3"/>
      <c r="G19" s="3"/>
      <c r="H19" s="3"/>
      <c r="I19" s="3"/>
      <c r="J19" s="3"/>
      <c r="K19" s="3"/>
      <c r="L19" s="3"/>
      <c r="M19" s="3"/>
      <c r="N19" s="3"/>
      <c r="O19" s="3"/>
      <c r="P19" s="3"/>
      <c r="Q19" s="3"/>
      <c r="R19" s="3"/>
      <c r="S19" s="3"/>
      <c r="T19" s="3"/>
    </row>
    <row r="20" spans="1:20" x14ac:dyDescent="0.25">
      <c r="A20" s="3" t="s">
        <v>181</v>
      </c>
      <c r="B20" s="3">
        <f>IFERROR(('META - Income Statement FY'!B7/'META - Income Statement FY'!B38)/('META - Income Statement FY'!G7/'META - Income Statement FY'!G38)-1,"")</f>
        <v>1.6229473144845681</v>
      </c>
      <c r="C20" s="3">
        <f>IFERROR(('META - Income Statement FY'!C7/'META - Income Statement FY'!C38)/('META - Income Statement FY'!H7/'META - Income Statement FY'!H38)-1,"")</f>
        <v>1.5600641958566261</v>
      </c>
      <c r="D20" s="3"/>
      <c r="E20" s="3"/>
      <c r="F20" s="3"/>
      <c r="G20" s="3"/>
      <c r="H20" s="3"/>
      <c r="I20" s="3"/>
      <c r="J20" s="3"/>
      <c r="K20" s="3"/>
      <c r="L20" s="3"/>
      <c r="M20" s="3"/>
      <c r="N20" s="3"/>
      <c r="O20" s="3"/>
      <c r="P20" s="3"/>
      <c r="Q20" s="3"/>
      <c r="R20" s="3"/>
      <c r="S20" s="3"/>
      <c r="T20" s="3"/>
    </row>
    <row r="21" spans="1:20" x14ac:dyDescent="0.25">
      <c r="A21" s="3" t="s">
        <v>180</v>
      </c>
      <c r="B21" s="3">
        <f>IFERROR(('META - Income Statement FY'!B7/'META - Income Statement FY'!B38)/('META - Income Statement FY'!E7/'META - Income Statement FY'!E38)-1,"")</f>
        <v>0.8091197698432131</v>
      </c>
      <c r="C21" s="3">
        <f>IFERROR(('META - Income Statement FY'!C7/'META - Income Statement FY'!C38)/('META - Income Statement FY'!F7/'META - Income Statement FY'!F38)-1,"")</f>
        <v>0.52565556883937581</v>
      </c>
      <c r="D21" s="3">
        <f>IFERROR(('META - Income Statement FY'!D7/'META - Income Statement FY'!D38)/('META - Income Statement FY'!G7/'META - Income Statement FY'!G38)-1,"")</f>
        <v>0.72386528374960957</v>
      </c>
      <c r="E21" s="3">
        <f>IFERROR(('META - Income Statement FY'!E7/'META - Income Statement FY'!E38)/('META - Income Statement FY'!H7/'META - Income Statement FY'!H38)-1,"")</f>
        <v>0.75563658744152962</v>
      </c>
      <c r="F21" s="3"/>
      <c r="G21" s="3"/>
      <c r="H21" s="3"/>
      <c r="I21" s="3"/>
      <c r="J21" s="3"/>
      <c r="K21" s="3"/>
      <c r="L21" s="3"/>
      <c r="M21" s="3"/>
      <c r="N21" s="3"/>
      <c r="O21" s="3"/>
      <c r="P21" s="3"/>
      <c r="Q21" s="3"/>
      <c r="R21" s="3"/>
      <c r="S21" s="3"/>
      <c r="T21" s="3"/>
    </row>
    <row r="22" spans="1:20" x14ac:dyDescent="0.25">
      <c r="A22" s="3" t="s">
        <v>179</v>
      </c>
      <c r="B22" s="3"/>
      <c r="C22" s="3"/>
      <c r="D22" s="3"/>
      <c r="E22" s="3"/>
      <c r="F22" s="3"/>
      <c r="G22" s="3"/>
      <c r="H22" s="3"/>
      <c r="I22" s="3"/>
      <c r="J22" s="3"/>
      <c r="K22" s="3"/>
      <c r="L22" s="3"/>
      <c r="M22" s="3"/>
      <c r="N22" s="3"/>
      <c r="O22" s="3"/>
      <c r="P22" s="3"/>
      <c r="Q22" s="3"/>
      <c r="R22" s="3"/>
      <c r="S22" s="3"/>
      <c r="T22" s="3"/>
    </row>
    <row r="23" spans="1:20" x14ac:dyDescent="0.25">
      <c r="A23" s="3" t="s">
        <v>178</v>
      </c>
      <c r="B23" s="3">
        <f>IFERROR(('META - Cash Flow FY'!B17/'META - Income Statement FY'!B38)/('META - Cash Flow FY'!G17/'META - Income Statement FY'!G38)-1,"")</f>
        <v>2.3531974172539893</v>
      </c>
      <c r="C23" s="3">
        <f>IFERROR(('META - Cash Flow FY'!C17/'META - Income Statement FY'!C38)/('META - Cash Flow FY'!H17/'META - Income Statement FY'!H38)-1,"")</f>
        <v>1.7670254671919441</v>
      </c>
      <c r="D23" s="3"/>
      <c r="E23" s="3"/>
      <c r="F23" s="3"/>
      <c r="G23" s="3"/>
      <c r="H23" s="3"/>
      <c r="I23" s="3"/>
      <c r="J23" s="3"/>
      <c r="K23" s="3"/>
      <c r="L23" s="3"/>
      <c r="M23" s="3"/>
      <c r="N23" s="3"/>
      <c r="O23" s="3"/>
      <c r="P23" s="3"/>
      <c r="Q23" s="3"/>
      <c r="R23" s="3"/>
      <c r="S23" s="3"/>
      <c r="T23" s="3"/>
    </row>
    <row r="24" spans="1:20" x14ac:dyDescent="0.25">
      <c r="A24" s="3" t="s">
        <v>177</v>
      </c>
      <c r="B24" s="3">
        <f>IFERROR(('META - Cash Flow FY'!B17/'META - Income Statement FY'!B38)/('META - Cash Flow FY'!E17/'META - Income Statement FY'!E38)-1,"")</f>
        <v>1.4082913949184381</v>
      </c>
      <c r="C24" s="3">
        <f>IFERROR(('META - Cash Flow FY'!C17/'META - Income Statement FY'!C38)/('META - Cash Flow FY'!F17/'META - Income Statement FY'!F38)-1,"")</f>
        <v>0.73166819294027952</v>
      </c>
      <c r="D24" s="3">
        <f>IFERROR(('META - Cash Flow FY'!D17/'META - Income Statement FY'!D38)/('META - Cash Flow FY'!G17/'META - Income Statement FY'!G38)-1,"")</f>
        <v>1.0161253039205094</v>
      </c>
      <c r="E24" s="3">
        <f>IFERROR(('META - Cash Flow FY'!E17/'META - Income Statement FY'!E38)/('META - Cash Flow FY'!H17/'META - Income Statement FY'!H38)-1,"")</f>
        <v>0.47946867904000579</v>
      </c>
      <c r="F24" s="3"/>
      <c r="G24" s="3"/>
      <c r="H24" s="3"/>
      <c r="I24" s="3"/>
      <c r="J24" s="3"/>
      <c r="K24" s="3"/>
      <c r="L24" s="3"/>
      <c r="M24" s="3"/>
      <c r="N24" s="3"/>
      <c r="O24" s="3"/>
      <c r="P24" s="3"/>
      <c r="Q24" s="3"/>
      <c r="R24" s="3"/>
      <c r="S24" s="3"/>
      <c r="T24" s="3"/>
    </row>
    <row r="25" spans="1:20" x14ac:dyDescent="0.25">
      <c r="A25" s="3" t="s">
        <v>176</v>
      </c>
      <c r="B25" s="3"/>
      <c r="C25" s="3"/>
      <c r="D25" s="3"/>
      <c r="E25" s="3"/>
      <c r="F25" s="3"/>
      <c r="G25" s="3"/>
      <c r="H25" s="3"/>
      <c r="I25" s="3"/>
      <c r="J25" s="3"/>
      <c r="K25" s="3"/>
      <c r="L25" s="3"/>
      <c r="M25" s="3"/>
      <c r="N25" s="3"/>
      <c r="O25" s="3"/>
      <c r="P25" s="3"/>
      <c r="Q25" s="3"/>
      <c r="R25" s="3"/>
      <c r="S25" s="3"/>
      <c r="T25" s="3"/>
    </row>
    <row r="26" spans="1:20" x14ac:dyDescent="0.25">
      <c r="A26" s="3" t="s">
        <v>175</v>
      </c>
      <c r="B26" s="3">
        <f>IFERROR(('META - Income Statement FY'!B32/'META - Income Statement FY'!B38)/('META - Income Statement FY'!G32/'META - Income Statement FY'!G38)-1,"")</f>
        <v>1.3273594433959492</v>
      </c>
      <c r="C26" s="3">
        <f>IFERROR(('META - Income Statement FY'!C32/'META - Income Statement FY'!C38)/('META - Income Statement FY'!H32/'META - Income Statement FY'!H38)-1,"")</f>
        <v>2.711675071435534</v>
      </c>
      <c r="D26" s="3"/>
      <c r="E26" s="3"/>
      <c r="F26" s="3"/>
      <c r="G26" s="3"/>
      <c r="H26" s="3"/>
      <c r="I26" s="3"/>
      <c r="J26" s="3"/>
      <c r="K26" s="3"/>
      <c r="L26" s="3"/>
      <c r="M26" s="3"/>
      <c r="N26" s="3"/>
      <c r="O26" s="3"/>
      <c r="P26" s="3"/>
      <c r="Q26" s="3"/>
      <c r="R26" s="3"/>
      <c r="S26" s="3"/>
      <c r="T26" s="3"/>
    </row>
    <row r="27" spans="1:20" x14ac:dyDescent="0.25">
      <c r="A27" s="3" t="s">
        <v>174</v>
      </c>
      <c r="B27" s="3">
        <f>IFERROR(('META - Income Statement FY'!B32/'META - Income Statement FY'!B38)/('META - Income Statement FY'!E32/'META - Income Statement FY'!E38)-1,"")</f>
        <v>1.7355370013128635</v>
      </c>
      <c r="C27" s="3">
        <f>IFERROR(('META - Income Statement FY'!C32/'META - Income Statement FY'!C38)/('META - Income Statement FY'!F32/'META - Income Statement FY'!F38)-1,"")</f>
        <v>0.73240434315604674</v>
      </c>
      <c r="D27" s="3">
        <f>IFERROR(('META - Income Statement FY'!D32/'META - Income Statement FY'!D38)/('META - Income Statement FY'!G32/'META - Income Statement FY'!G38)-1,"")</f>
        <v>0.47360872586033897</v>
      </c>
      <c r="E27" s="3">
        <f>IFERROR(('META - Income Statement FY'!E32/'META - Income Statement FY'!E38)/('META - Income Statement FY'!H32/'META - Income Statement FY'!H38)-1,"")</f>
        <v>0.33589420833944805</v>
      </c>
      <c r="F27" s="3"/>
      <c r="G27" s="3"/>
      <c r="H27" s="3"/>
      <c r="I27" s="3"/>
      <c r="J27" s="3"/>
      <c r="K27" s="3"/>
      <c r="L27" s="3"/>
      <c r="M27" s="3"/>
      <c r="N27" s="3"/>
      <c r="O27" s="3"/>
      <c r="P27" s="3"/>
      <c r="Q27" s="3"/>
      <c r="R27" s="3"/>
      <c r="S27" s="3"/>
      <c r="T27" s="3"/>
    </row>
    <row r="28" spans="1:20" x14ac:dyDescent="0.25">
      <c r="A28" s="3" t="s">
        <v>173</v>
      </c>
      <c r="B28" s="3"/>
      <c r="C28" s="3"/>
      <c r="D28" s="3"/>
      <c r="E28" s="3"/>
      <c r="F28" s="3"/>
      <c r="G28" s="3"/>
      <c r="H28" s="3"/>
      <c r="I28" s="3"/>
      <c r="J28" s="3"/>
      <c r="K28" s="3"/>
      <c r="L28" s="3"/>
      <c r="M28" s="3"/>
      <c r="N28" s="3"/>
      <c r="O28" s="3"/>
      <c r="P28" s="3"/>
      <c r="Q28" s="3"/>
      <c r="R28" s="3"/>
      <c r="S28" s="3"/>
      <c r="T28" s="3"/>
    </row>
    <row r="29" spans="1:20" x14ac:dyDescent="0.25">
      <c r="A29" s="3" t="s">
        <v>172</v>
      </c>
      <c r="B29" s="3">
        <f>IFERROR(('META - Balance Sheet FY'!B47/'META - Income Statement FY'!B38)/('META - Balance Sheet FY'!G47/'META - Income Statement FY'!G38)-1,"")</f>
        <v>0.89994764072244782</v>
      </c>
      <c r="C29" s="3">
        <f>IFERROR(('META - Balance Sheet FY'!C47/'META - Income Statement FY'!C38)/('META - Balance Sheet FY'!H47/'META - Income Statement FY'!H38)-1,"")</f>
        <v>0.98846776248425727</v>
      </c>
      <c r="D29" s="3"/>
      <c r="E29" s="3"/>
      <c r="F29" s="3"/>
      <c r="G29" s="3"/>
      <c r="H29" s="3"/>
      <c r="I29" s="3"/>
      <c r="J29" s="3"/>
      <c r="K29" s="3"/>
      <c r="L29" s="3"/>
      <c r="M29" s="3"/>
      <c r="N29" s="3"/>
      <c r="O29" s="3"/>
      <c r="P29" s="3"/>
      <c r="Q29" s="3"/>
      <c r="R29" s="3"/>
      <c r="S29" s="3"/>
      <c r="T29" s="3"/>
    </row>
    <row r="30" spans="1:20" x14ac:dyDescent="0.25">
      <c r="A30" s="3" t="s">
        <v>171</v>
      </c>
      <c r="B30" s="3">
        <f>IFERROR(('META - Balance Sheet FY'!B47/'META - Income Statement FY'!B38)/('META - Balance Sheet FY'!E47/'META - Income Statement FY'!E38)-1,"")</f>
        <v>0.81402138766134535</v>
      </c>
      <c r="C30" s="3">
        <f>IFERROR(('META - Balance Sheet FY'!C47/'META - Income Statement FY'!C38)/('META - Balance Sheet FY'!F47/'META - Income Statement FY'!F38)-1,"")</f>
        <v>0.5995872160333835</v>
      </c>
      <c r="D30" s="3">
        <f>IFERROR(('META - Balance Sheet FY'!D47/'META - Income Statement FY'!D38)/('META - Balance Sheet FY'!G47/'META - Income Statement FY'!G38)-1,"")</f>
        <v>0.31154090225819386</v>
      </c>
      <c r="E30" s="3">
        <f>IFERROR(('META - Balance Sheet FY'!E47/'META - Income Statement FY'!E38)/('META - Balance Sheet FY'!H47/'META - Income Statement FY'!H38)-1,"")</f>
        <v>0.32412876058365536</v>
      </c>
      <c r="F30" s="3"/>
      <c r="G30" s="3"/>
      <c r="H30" s="3"/>
      <c r="I30" s="3"/>
      <c r="J30" s="3"/>
      <c r="K30" s="3"/>
      <c r="L30" s="3"/>
      <c r="M30" s="3"/>
      <c r="N30" s="3"/>
      <c r="O30" s="3"/>
      <c r="P30" s="3"/>
      <c r="Q30" s="3"/>
      <c r="R30" s="3"/>
      <c r="S30" s="3"/>
      <c r="T30" s="3"/>
    </row>
    <row r="31" spans="1:20" x14ac:dyDescent="0.25">
      <c r="A31" s="3" t="s">
        <v>170</v>
      </c>
      <c r="B31" s="3"/>
      <c r="C31" s="3"/>
      <c r="D31" s="3"/>
      <c r="E31" s="3"/>
      <c r="F31" s="3"/>
      <c r="G31" s="3"/>
      <c r="H31" s="3"/>
      <c r="I31" s="3"/>
      <c r="J31" s="3"/>
      <c r="K31" s="3"/>
      <c r="L31" s="3"/>
      <c r="M31" s="3"/>
      <c r="N31" s="3"/>
      <c r="O31" s="3"/>
      <c r="P31" s="3"/>
      <c r="Q31" s="3"/>
      <c r="R31" s="3"/>
      <c r="S31" s="3"/>
      <c r="T31" s="3"/>
    </row>
    <row r="32" spans="1:20" x14ac:dyDescent="0.25">
      <c r="A32" s="3" t="s">
        <v>169</v>
      </c>
      <c r="B32" s="3" t="str">
        <f>IFERROR((-'META - Cash Flow FY'!B29/'META - Income Statement FY'!B38)/(-'META - Cash Flow FY'!G29/'META - Income Statement FY'!G38)-1,"")</f>
        <v/>
      </c>
      <c r="C32" s="3" t="str">
        <f>IFERROR((-'META - Cash Flow FY'!C29/'META - Income Statement FY'!C38)/(-'META - Cash Flow FY'!H29/'META - Income Statement FY'!H38)-1,"")</f>
        <v/>
      </c>
      <c r="D32" s="3"/>
      <c r="E32" s="3"/>
      <c r="F32" s="3"/>
      <c r="G32" s="3"/>
      <c r="H32" s="3"/>
      <c r="I32" s="3"/>
      <c r="J32" s="3"/>
      <c r="K32" s="3"/>
      <c r="L32" s="3"/>
      <c r="M32" s="3"/>
      <c r="N32" s="3"/>
      <c r="O32" s="3"/>
      <c r="P32" s="3"/>
      <c r="Q32" s="3"/>
      <c r="R32" s="3"/>
      <c r="S32" s="3"/>
      <c r="T32" s="3"/>
    </row>
    <row r="33" spans="1:20" x14ac:dyDescent="0.25">
      <c r="A33" s="3" t="s">
        <v>168</v>
      </c>
      <c r="B33" s="3" t="str">
        <f>IFERROR((-'META - Cash Flow FY'!B29/'META - Income Statement FY'!B38)/(-'META - Cash Flow FY'!E29/'META - Income Statement FY'!E38)-1,"")</f>
        <v/>
      </c>
      <c r="C33" s="3" t="str">
        <f>IFERROR((-'META - Cash Flow FY'!C29/'META - Income Statement FY'!C38)/(-'META - Cash Flow FY'!F29/'META - Income Statement FY'!F38)-1,"")</f>
        <v/>
      </c>
      <c r="D33" s="3" t="str">
        <f>IFERROR((-'META - Cash Flow FY'!D29/'META - Income Statement FY'!D38)/(-'META - Cash Flow FY'!G29/'META - Income Statement FY'!G38)-1,"")</f>
        <v/>
      </c>
      <c r="E33" s="3" t="str">
        <f>IFERROR((-'META - Cash Flow FY'!E29/'META - Income Statement FY'!E38)/(-'META - Cash Flow FY'!H29/'META - Income Statement FY'!H38)-1,"")</f>
        <v/>
      </c>
      <c r="F33" s="3"/>
      <c r="G33" s="3"/>
      <c r="H33" s="3"/>
      <c r="I33" s="3"/>
      <c r="J33" s="3"/>
      <c r="K33" s="3"/>
      <c r="L33" s="3"/>
      <c r="M33" s="3"/>
      <c r="N33" s="3"/>
      <c r="O33" s="3"/>
      <c r="P33" s="3"/>
      <c r="Q33" s="3"/>
      <c r="R33" s="3"/>
      <c r="S33" s="3"/>
      <c r="T33" s="3"/>
    </row>
    <row r="34" spans="1:20" x14ac:dyDescent="0.25">
      <c r="A34" s="3" t="s">
        <v>167</v>
      </c>
      <c r="B34" s="3">
        <f>IFERROR('META - Balance Sheet FY'!B10/'META - Balance Sheet FY'!C10-1,"")</f>
        <v>0.163292926915382</v>
      </c>
      <c r="C34" s="3">
        <f>IFERROR('META - Balance Sheet FY'!C10/'META - Balance Sheet FY'!D10-1,"")</f>
        <v>5.1023563609375877E-2</v>
      </c>
      <c r="D34" s="3">
        <f>IFERROR('META - Balance Sheet FY'!D10/'META - Balance Sheet FY'!E10-1,"")</f>
        <v>0.20072775879994054</v>
      </c>
      <c r="E34" s="3">
        <f>IFERROR('META - Balance Sheet FY'!E10/'META - Balance Sheet FY'!F10-1,"")</f>
        <v>-4.0814872854191941E-2</v>
      </c>
      <c r="F34" s="3">
        <f>IFERROR('META - Balance Sheet FY'!F10/'META - Balance Sheet FY'!G10-1,"")</f>
        <v>0.23855315394794885</v>
      </c>
      <c r="G34" s="3">
        <f>IFERROR('META - Balance Sheet FY'!G10/'META - Balance Sheet FY'!H10-1,"")</f>
        <v>0.19090144988442947</v>
      </c>
      <c r="H34" s="3"/>
      <c r="I34" s="3"/>
      <c r="J34" s="3"/>
      <c r="K34" s="3"/>
      <c r="L34" s="3"/>
      <c r="M34" s="3"/>
      <c r="N34" s="3"/>
      <c r="O34" s="3"/>
      <c r="P34" s="3"/>
      <c r="Q34" s="3"/>
      <c r="R34" s="3"/>
      <c r="S34" s="3"/>
      <c r="T34" s="3"/>
    </row>
    <row r="35" spans="1:20" x14ac:dyDescent="0.25">
      <c r="A35" s="3" t="s">
        <v>165</v>
      </c>
      <c r="B35" s="3">
        <f>IFERROR('META - Balance Sheet FY'!B25/'META - Balance Sheet FY'!C25-1,"")</f>
        <v>0.32590362755113134</v>
      </c>
      <c r="C35" s="3">
        <f>IFERROR('META - Balance Sheet FY'!C25/'META - Balance Sheet FY'!D25-1,"")</f>
        <v>0.20220535399328465</v>
      </c>
      <c r="D35" s="3">
        <f>IFERROR('META - Balance Sheet FY'!D25/'META - Balance Sheet FY'!E25-1,"")</f>
        <v>0.23634689625094896</v>
      </c>
      <c r="E35" s="3">
        <f>IFERROR('META - Balance Sheet FY'!E25/'META - Balance Sheet FY'!F25-1,"")</f>
        <v>0.11892497605234142</v>
      </c>
      <c r="F35" s="3">
        <f>IFERROR('META - Balance Sheet FY'!F25/'META - Balance Sheet FY'!G25-1,"")</f>
        <v>4.1872756032036884E-2</v>
      </c>
      <c r="G35" s="3">
        <f>IFERROR('META - Balance Sheet FY'!G25/'META - Balance Sheet FY'!H25-1,"")</f>
        <v>0.19448776391554712</v>
      </c>
      <c r="H35" s="3"/>
      <c r="I35" s="3"/>
      <c r="J35" s="3"/>
      <c r="K35" s="3"/>
      <c r="L35" s="3"/>
      <c r="M35" s="3"/>
      <c r="N35" s="3"/>
      <c r="O35" s="3"/>
      <c r="P35" s="3"/>
      <c r="Q35" s="3"/>
      <c r="R35" s="3"/>
      <c r="S35" s="3"/>
      <c r="T35" s="3"/>
    </row>
    <row r="36" spans="1:20" x14ac:dyDescent="0.25">
      <c r="A36" s="3" t="s">
        <v>166</v>
      </c>
      <c r="B36" s="3" t="str">
        <f>IFERROR('META - Balance Sheet FY'!B11/'META - Balance Sheet FY'!C11-1,"")</f>
        <v/>
      </c>
      <c r="C36" s="3" t="str">
        <f>IFERROR('META - Balance Sheet FY'!C11/'META - Balance Sheet FY'!D11-1,"")</f>
        <v/>
      </c>
      <c r="D36" s="3" t="str">
        <f>IFERROR('META - Balance Sheet FY'!D11/'META - Balance Sheet FY'!E11-1,"")</f>
        <v/>
      </c>
      <c r="E36" s="3" t="str">
        <f>IFERROR('META - Balance Sheet FY'!E11/'META - Balance Sheet FY'!F11-1,"")</f>
        <v/>
      </c>
      <c r="F36" s="3" t="str">
        <f>IFERROR('META - Balance Sheet FY'!F11/'META - Balance Sheet FY'!G11-1,"")</f>
        <v/>
      </c>
      <c r="G36" s="3" t="str">
        <f>IFERROR('META - Balance Sheet FY'!G11/'META - Balance Sheet FY'!H11-1,"")</f>
        <v/>
      </c>
      <c r="H36" s="3"/>
      <c r="I36" s="3"/>
      <c r="J36" s="3"/>
      <c r="K36" s="3"/>
      <c r="L36" s="3"/>
      <c r="M36" s="3"/>
      <c r="N36" s="3"/>
      <c r="O36" s="3"/>
      <c r="P36" s="3"/>
      <c r="Q36" s="3"/>
      <c r="R36" s="3"/>
      <c r="S36" s="3"/>
      <c r="T36" s="3"/>
    </row>
    <row r="37" spans="1:20" x14ac:dyDescent="0.25">
      <c r="A37" s="3" t="s">
        <v>164</v>
      </c>
      <c r="B37" s="3">
        <f>('META - Balance Sheet FY'!B47/'META - Income Statement FY'!B38)/('META - Balance Sheet FY'!C47/'META - Income Statement FY'!C38)-1</f>
        <v>0.20796421095374762</v>
      </c>
      <c r="C37" s="3">
        <f>('META - Balance Sheet FY'!C47/'META - Income Statement FY'!C38)/('META - Balance Sheet FY'!D47/'META - Income Statement FY'!D38)-1</f>
        <v>0.19923895168771577</v>
      </c>
      <c r="D37" s="3">
        <f>('META - Balance Sheet FY'!D47/'META - Income Statement FY'!D38)/('META - Balance Sheet FY'!E47/'META - Income Statement FY'!E38)-1</f>
        <v>0.25222569111660054</v>
      </c>
      <c r="E37" s="3">
        <f>('META - Balance Sheet FY'!E47/'META - Income Statement FY'!E38)/('META - Balance Sheet FY'!F47/'META - Income Statement FY'!F38)-1</f>
        <v>6.5171624993096922E-2</v>
      </c>
      <c r="F37" s="3">
        <f>('META - Balance Sheet FY'!F47/'META - Income Statement FY'!F38)/('META - Balance Sheet FY'!G47/'META - Income Statement FY'!G38)-1</f>
        <v>-1.6714486741151946E-2</v>
      </c>
      <c r="G37" s="3">
        <f>('META - Balance Sheet FY'!G47/'META - Income Statement FY'!G38)/('META - Balance Sheet FY'!H47/'META - Income Statement FY'!H38)-1</f>
        <v>0.26424425612218938</v>
      </c>
      <c r="H37" s="3"/>
      <c r="I37" s="3"/>
      <c r="J37" s="3"/>
      <c r="K37" s="3"/>
      <c r="L37" s="3"/>
      <c r="M37" s="3"/>
      <c r="N37" s="3"/>
      <c r="O37" s="3"/>
      <c r="P37" s="3"/>
      <c r="Q37" s="3"/>
      <c r="R37" s="3"/>
      <c r="S37" s="3"/>
      <c r="T37" s="3"/>
    </row>
    <row r="38" spans="1:20" x14ac:dyDescent="0.25">
      <c r="A38" s="3" t="s">
        <v>163</v>
      </c>
      <c r="B38" s="3">
        <f>IFERROR('META - Balance Sheet FY'!B51/'META - Balance Sheet FY'!C51-1,"")</f>
        <v>1.0378824672170959</v>
      </c>
      <c r="C38" s="3">
        <f>IFERROR('META - Balance Sheet FY'!C51/'META - Balance Sheet FY'!D51-1,"")</f>
        <v>0.56790862115855312</v>
      </c>
      <c r="D38" s="3">
        <f>IFERROR('META - Balance Sheet FY'!D51/'META - Balance Sheet FY'!E51-1,"")</f>
        <v>0.85276630051395741</v>
      </c>
      <c r="E38" s="3" t="str">
        <f>IFERROR('META - Balance Sheet FY'!E51/'META - Balance Sheet FY'!F51-1,"")</f>
        <v/>
      </c>
      <c r="F38" s="3" t="str">
        <f>IFERROR('META - Balance Sheet FY'!F51/'META - Balance Sheet FY'!G51-1,"")</f>
        <v/>
      </c>
      <c r="G38" s="3" t="str">
        <f>IFERROR('META - Balance Sheet FY'!G51/'META - Balance Sheet FY'!H51-1,"")</f>
        <v/>
      </c>
      <c r="H38" s="3"/>
      <c r="I38" s="3"/>
      <c r="J38" s="3"/>
      <c r="K38" s="3"/>
      <c r="L38" s="3"/>
      <c r="M38" s="3"/>
      <c r="N38" s="3"/>
      <c r="O38" s="3"/>
      <c r="P38" s="3"/>
      <c r="Q38" s="3"/>
      <c r="R38" s="3"/>
      <c r="S38" s="3"/>
      <c r="T38" s="3"/>
    </row>
    <row r="39" spans="1:20" x14ac:dyDescent="0.25">
      <c r="A39" s="3" t="s">
        <v>162</v>
      </c>
      <c r="B39" s="3">
        <f>IFERROR('META - Income Statement FY'!B13/'META - Income Statement FY'!C13-1,"")</f>
        <v>0.30768354113008001</v>
      </c>
      <c r="C39" s="3">
        <f>IFERROR('META - Income Statement FY'!C13/'META - Income Statement FY'!D13-1,"")</f>
        <v>0.1400618454902165</v>
      </c>
      <c r="D39" s="3">
        <f>IFERROR('META - Income Statement FY'!D13/'META - Income Statement FY'!E13-1,"")</f>
        <v>8.8997679551757303E-2</v>
      </c>
      <c r="E39" s="3">
        <f>IFERROR('META - Income Statement FY'!E13/'META - Income Statement FY'!F13-1,"")</f>
        <v>0.43329953356317175</v>
      </c>
      <c r="F39" s="3">
        <f>IFERROR('META - Income Statement FY'!F13/'META - Income Statement FY'!G13-1,"")</f>
        <v>0.33653168536889466</v>
      </c>
      <c r="G39" s="3">
        <f>IFERROR('META - Income Statement FY'!G13/'META - Income Statement FY'!H13-1,"")</f>
        <v>0.35639705882352946</v>
      </c>
      <c r="H39" s="3"/>
      <c r="I39" s="3"/>
      <c r="J39" s="3"/>
      <c r="K39" s="3"/>
      <c r="L39" s="3"/>
      <c r="M39" s="3"/>
      <c r="N39" s="3"/>
      <c r="O39" s="3"/>
      <c r="P39" s="3"/>
      <c r="Q39" s="3"/>
      <c r="R39" s="3"/>
      <c r="S39" s="3"/>
      <c r="T39" s="3"/>
    </row>
    <row r="40" spans="1:20" x14ac:dyDescent="0.25">
      <c r="A40" s="3" t="s">
        <v>161</v>
      </c>
      <c r="B40" s="3">
        <f>IFERROR('META - Income Statement FY'!B14/'META - Income Statement FY'!C14-1,"")</f>
        <v>0.14492341252904639</v>
      </c>
      <c r="C40" s="3">
        <f>IFERROR('META - Income Statement FY'!C14/'META - Income Statement FY'!D14-1,"")</f>
        <v>-0.11059091484246486</v>
      </c>
      <c r="D40" s="3">
        <f>IFERROR('META - Income Statement FY'!D14/'META - Income Statement FY'!E14-1,"")</f>
        <v>-0.1244183469975626</v>
      </c>
      <c r="E40" s="3">
        <f>IFERROR('META - Income Statement FY'!E14/'META - Income Statement FY'!F14-1,"")</f>
        <v>0.13429959785522794</v>
      </c>
      <c r="F40" s="3">
        <f>IFERROR('META - Income Statement FY'!F14/'META - Income Statement FY'!G14-1,"")</f>
        <v>0.31489947672817409</v>
      </c>
      <c r="G40" s="3">
        <f>IFERROR('META - Income Statement FY'!G14/'META - Income Statement FY'!H14-1,"")</f>
        <v>-0.10746767612211794</v>
      </c>
      <c r="H40" s="3"/>
      <c r="I40" s="3"/>
      <c r="J40" s="3"/>
      <c r="K40" s="3"/>
      <c r="L40" s="3"/>
      <c r="M40" s="3"/>
      <c r="N40" s="3"/>
      <c r="O40" s="3"/>
      <c r="P40" s="3"/>
      <c r="Q40" s="3"/>
      <c r="R40" s="3"/>
      <c r="S40" s="3"/>
      <c r="T40" s="3"/>
    </row>
  </sheetData>
  <mergeCells count="1">
    <mergeCell ref="B4:T4"/>
  </mergeCells>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3AAE70-C121-48BF-897C-EEF90769CE3D}">
  <sheetPr>
    <tabColor rgb="FFC6E0B4"/>
  </sheetPr>
  <dimension ref="A1:T38"/>
  <sheetViews>
    <sheetView workbookViewId="0"/>
  </sheetViews>
  <sheetFormatPr defaultRowHeight="15" x14ac:dyDescent="0.25"/>
  <cols>
    <col min="1" max="1" width="40.7109375" bestFit="1" customWidth="1"/>
    <col min="2" max="10" width="17.28515625" bestFit="1" customWidth="1"/>
    <col min="11" max="16" width="16.140625" bestFit="1" customWidth="1"/>
    <col min="17" max="17" width="15.28515625" bestFit="1" customWidth="1"/>
    <col min="18" max="20" width="16.140625" bestFit="1" customWidth="1"/>
  </cols>
  <sheetData>
    <row r="1" spans="1:20" x14ac:dyDescent="0.25">
      <c r="A1" s="10" t="s">
        <v>0</v>
      </c>
      <c r="B1" s="10"/>
      <c r="C1" s="10"/>
      <c r="D1" s="10"/>
      <c r="E1" s="10"/>
      <c r="F1" s="10"/>
      <c r="G1" s="10"/>
      <c r="H1" s="10"/>
      <c r="I1" s="10"/>
      <c r="J1" s="10"/>
      <c r="K1" s="10"/>
      <c r="L1" s="10"/>
      <c r="M1" s="10"/>
      <c r="N1" s="10"/>
      <c r="O1" s="10"/>
      <c r="P1" s="10"/>
      <c r="Q1" s="10"/>
      <c r="R1" s="10"/>
      <c r="S1" s="10"/>
      <c r="T1" s="10"/>
    </row>
    <row r="2" spans="1:20" x14ac:dyDescent="0.25">
      <c r="A2" t="s">
        <v>1</v>
      </c>
      <c r="B2" t="s">
        <v>195</v>
      </c>
    </row>
    <row r="3" spans="1:20" x14ac:dyDescent="0.25">
      <c r="A3" t="s">
        <v>3</v>
      </c>
      <c r="B3" t="s">
        <v>4</v>
      </c>
    </row>
    <row r="4" spans="1:20" x14ac:dyDescent="0.25">
      <c r="A4" t="s">
        <v>32</v>
      </c>
      <c r="B4" s="236" t="s">
        <v>33</v>
      </c>
      <c r="C4" s="236"/>
      <c r="D4" s="236"/>
      <c r="E4" s="236"/>
      <c r="F4" s="236"/>
      <c r="G4" s="236"/>
      <c r="H4" s="236"/>
      <c r="I4" s="236"/>
      <c r="J4" s="236"/>
      <c r="K4" s="236"/>
      <c r="L4" s="236"/>
      <c r="M4" s="236"/>
      <c r="N4" s="236"/>
      <c r="O4" s="236"/>
      <c r="P4" s="236"/>
      <c r="Q4" s="236"/>
      <c r="R4" s="236"/>
      <c r="S4" s="236"/>
      <c r="T4" s="236"/>
    </row>
    <row r="5" spans="1:20" x14ac:dyDescent="0.25">
      <c r="A5" t="s">
        <v>34</v>
      </c>
      <c r="B5" s="8">
        <v>46022</v>
      </c>
      <c r="C5" s="8">
        <v>45657</v>
      </c>
      <c r="D5" s="8">
        <v>45291</v>
      </c>
      <c r="E5" s="8">
        <v>44926</v>
      </c>
      <c r="F5" s="8">
        <v>44561</v>
      </c>
      <c r="G5" s="8">
        <v>44196</v>
      </c>
      <c r="H5" s="8">
        <v>43830</v>
      </c>
      <c r="I5" s="8">
        <v>43465</v>
      </c>
      <c r="J5" s="8">
        <v>43100</v>
      </c>
      <c r="K5" s="8">
        <v>42735</v>
      </c>
      <c r="L5" s="8">
        <v>42369</v>
      </c>
      <c r="M5" s="8">
        <v>42004</v>
      </c>
      <c r="N5" s="8">
        <v>41639</v>
      </c>
      <c r="O5" s="8">
        <v>41274</v>
      </c>
      <c r="P5" s="8">
        <v>40908</v>
      </c>
      <c r="Q5" s="8">
        <v>40543</v>
      </c>
      <c r="R5" s="8">
        <v>40178</v>
      </c>
      <c r="S5" s="8">
        <v>39813</v>
      </c>
      <c r="T5" s="8">
        <v>39447</v>
      </c>
    </row>
    <row r="7" spans="1:20" x14ac:dyDescent="0.25">
      <c r="A7" s="1" t="s">
        <v>31</v>
      </c>
      <c r="B7" s="1">
        <v>94827</v>
      </c>
      <c r="C7" s="1">
        <v>97690</v>
      </c>
      <c r="D7" s="1">
        <v>96773</v>
      </c>
      <c r="E7" s="1">
        <v>81462</v>
      </c>
      <c r="F7" s="1">
        <v>53823</v>
      </c>
      <c r="G7" s="1">
        <v>31536</v>
      </c>
      <c r="H7" s="1">
        <v>24578</v>
      </c>
      <c r="I7" s="1">
        <v>21461.268</v>
      </c>
      <c r="J7" s="1">
        <v>11759</v>
      </c>
      <c r="K7" s="1">
        <v>7000.1319999999996</v>
      </c>
      <c r="L7" s="1">
        <v>4046.0250000000001</v>
      </c>
      <c r="M7" s="1">
        <v>3198.3560000000002</v>
      </c>
      <c r="N7" s="1">
        <v>2013.4960000000001</v>
      </c>
      <c r="O7" s="1">
        <v>413.25599999999997</v>
      </c>
      <c r="P7" s="1">
        <v>204.24199999999999</v>
      </c>
      <c r="Q7" s="1">
        <v>116.744</v>
      </c>
      <c r="R7" s="1">
        <v>111.943</v>
      </c>
      <c r="S7" s="1">
        <v>14.742000000000001</v>
      </c>
      <c r="T7" s="1">
        <v>7.2999999999999995E-2</v>
      </c>
    </row>
    <row r="9" spans="1:20" x14ac:dyDescent="0.25">
      <c r="A9" s="1" t="s">
        <v>30</v>
      </c>
      <c r="B9" s="1">
        <v>77733</v>
      </c>
      <c r="C9" s="1">
        <v>80240</v>
      </c>
      <c r="D9" s="1">
        <v>79113</v>
      </c>
      <c r="E9" s="1">
        <v>60609</v>
      </c>
      <c r="F9" s="1">
        <v>40217</v>
      </c>
      <c r="G9" s="1">
        <v>24906</v>
      </c>
      <c r="H9" s="1">
        <v>20509</v>
      </c>
      <c r="I9" s="1">
        <v>17419.246999999999</v>
      </c>
      <c r="J9" s="1">
        <v>9536</v>
      </c>
      <c r="K9" s="1">
        <v>5400.875</v>
      </c>
      <c r="L9" s="1">
        <v>3122.5219999999999</v>
      </c>
      <c r="M9" s="1">
        <v>2316.6849999999999</v>
      </c>
      <c r="N9" s="1">
        <v>1557.2339999999999</v>
      </c>
      <c r="O9" s="1">
        <v>383.18900000000002</v>
      </c>
      <c r="P9" s="1">
        <v>142.64699999999999</v>
      </c>
      <c r="Q9" s="1">
        <v>86.013000000000005</v>
      </c>
      <c r="R9" s="1">
        <v>102.408</v>
      </c>
      <c r="S9" s="1">
        <v>15.882999999999999</v>
      </c>
      <c r="T9" s="1">
        <v>8.9999999999999993E-3</v>
      </c>
    </row>
    <row r="10" spans="1:20" x14ac:dyDescent="0.25">
      <c r="A10" s="6" t="s">
        <v>29</v>
      </c>
      <c r="B10" s="4">
        <v>17094</v>
      </c>
      <c r="C10" s="4">
        <v>17450</v>
      </c>
      <c r="D10" s="4">
        <v>17660</v>
      </c>
      <c r="E10" s="4">
        <v>20853</v>
      </c>
      <c r="F10" s="4">
        <v>13606</v>
      </c>
      <c r="G10" s="4">
        <v>6630</v>
      </c>
      <c r="H10" s="4">
        <v>4069</v>
      </c>
      <c r="I10" s="4">
        <v>4042.0210000000002</v>
      </c>
      <c r="J10" s="4">
        <v>2223</v>
      </c>
      <c r="K10" s="4">
        <v>1599.2570000000001</v>
      </c>
      <c r="L10" s="4">
        <v>923.50300000000004</v>
      </c>
      <c r="M10" s="4">
        <v>881.67100000000005</v>
      </c>
      <c r="N10" s="4">
        <v>456.262</v>
      </c>
      <c r="O10" s="4">
        <v>30.067</v>
      </c>
      <c r="P10" s="4">
        <v>61.594999999999999</v>
      </c>
      <c r="Q10" s="4">
        <v>30.731000000000002</v>
      </c>
      <c r="R10" s="4">
        <v>9.5350000000000001</v>
      </c>
      <c r="S10" s="4">
        <v>-1.141</v>
      </c>
      <c r="T10" s="4">
        <v>6.4000000000000001E-2</v>
      </c>
    </row>
    <row r="11" spans="1:20" x14ac:dyDescent="0.25">
      <c r="A11" s="3" t="s">
        <v>28</v>
      </c>
      <c r="B11" s="3">
        <v>0.18026511440000001</v>
      </c>
      <c r="C11" s="3">
        <v>0.17862626679999999</v>
      </c>
      <c r="D11" s="3">
        <v>0.18248891740000001</v>
      </c>
      <c r="E11" s="3">
        <v>0.25598438540000001</v>
      </c>
      <c r="F11" s="3">
        <v>0.25279155749999999</v>
      </c>
      <c r="G11" s="3">
        <v>0.21023592090000001</v>
      </c>
      <c r="H11" s="3">
        <v>0.16555456099999999</v>
      </c>
      <c r="I11" s="3">
        <v>0.18834026949999999</v>
      </c>
      <c r="J11" s="3">
        <v>0.18904668760000001</v>
      </c>
      <c r="K11" s="3">
        <v>0.2284609776</v>
      </c>
      <c r="L11" s="3">
        <v>0.22824945469999999</v>
      </c>
      <c r="M11" s="3">
        <v>0.27566380979999999</v>
      </c>
      <c r="N11" s="3">
        <v>0.22660189040000001</v>
      </c>
      <c r="O11" s="3">
        <v>7.2756354400000001E-2</v>
      </c>
      <c r="P11" s="3">
        <v>0.30157851959999998</v>
      </c>
      <c r="Q11" s="3">
        <v>0.26323408479999999</v>
      </c>
      <c r="R11" s="3">
        <v>8.5177277699999998E-2</v>
      </c>
      <c r="S11" s="3">
        <v>-7.7397910700000003E-2</v>
      </c>
      <c r="T11" s="3">
        <v>0.87671232880000005</v>
      </c>
    </row>
    <row r="13" spans="1:20" x14ac:dyDescent="0.25">
      <c r="A13" s="1" t="s">
        <v>27</v>
      </c>
      <c r="B13" s="1">
        <v>6411</v>
      </c>
      <c r="C13" s="1">
        <v>4540</v>
      </c>
      <c r="D13" s="1">
        <v>3969</v>
      </c>
      <c r="E13" s="1">
        <v>3075</v>
      </c>
      <c r="F13" s="1">
        <v>2593</v>
      </c>
      <c r="G13" s="1">
        <v>1491</v>
      </c>
      <c r="H13" s="1">
        <v>1343</v>
      </c>
      <c r="I13" s="1">
        <v>1460.37</v>
      </c>
      <c r="J13" s="1">
        <v>1378</v>
      </c>
      <c r="K13" s="1">
        <v>834.40800000000002</v>
      </c>
      <c r="L13" s="1">
        <v>717.9</v>
      </c>
      <c r="M13" s="1">
        <v>464.7</v>
      </c>
      <c r="N13" s="1">
        <v>231.976</v>
      </c>
      <c r="O13" s="1">
        <v>273.97800000000001</v>
      </c>
      <c r="P13" s="1">
        <v>208.98099999999999</v>
      </c>
      <c r="Q13" s="1">
        <v>92.995999999999995</v>
      </c>
      <c r="R13" s="1">
        <v>19.282</v>
      </c>
      <c r="S13" s="1">
        <v>53.713999999999999</v>
      </c>
      <c r="T13" s="1">
        <v>62.753</v>
      </c>
    </row>
    <row r="14" spans="1:20" x14ac:dyDescent="0.25">
      <c r="A14" s="1" t="s">
        <v>24</v>
      </c>
      <c r="B14" s="1">
        <v>5834</v>
      </c>
      <c r="C14" s="1">
        <v>5150</v>
      </c>
      <c r="D14" s="1">
        <v>4800</v>
      </c>
      <c r="E14" s="1">
        <v>3946</v>
      </c>
      <c r="F14" s="1">
        <v>4517</v>
      </c>
      <c r="G14" s="1">
        <v>3145</v>
      </c>
      <c r="H14" s="1">
        <v>2646</v>
      </c>
      <c r="I14" s="1">
        <v>2835</v>
      </c>
      <c r="J14" s="1">
        <v>2477</v>
      </c>
      <c r="K14" s="1">
        <v>1432.1890000000001</v>
      </c>
      <c r="L14" s="1">
        <v>922.23199999999997</v>
      </c>
      <c r="M14" s="1">
        <v>603.66</v>
      </c>
      <c r="N14" s="1">
        <v>285.56900000000002</v>
      </c>
      <c r="O14" s="1">
        <v>150.37200000000001</v>
      </c>
      <c r="P14" s="1">
        <v>104.102</v>
      </c>
      <c r="Q14" s="1">
        <v>84.572999999999993</v>
      </c>
      <c r="R14" s="1">
        <v>42.15</v>
      </c>
      <c r="S14" s="1">
        <v>23.649000000000001</v>
      </c>
      <c r="T14" s="1">
        <v>17.244</v>
      </c>
    </row>
    <row r="15" spans="1:20" x14ac:dyDescent="0.25">
      <c r="A15" s="1" t="s">
        <v>26</v>
      </c>
      <c r="B15" s="1">
        <v>5834</v>
      </c>
      <c r="C15" s="1">
        <v>5150</v>
      </c>
      <c r="D15" s="1">
        <v>4800</v>
      </c>
      <c r="E15" s="1">
        <v>3946</v>
      </c>
      <c r="F15" s="1">
        <v>4517</v>
      </c>
      <c r="G15" s="1">
        <v>3145</v>
      </c>
      <c r="H15" s="1">
        <v>2646</v>
      </c>
      <c r="I15" s="1">
        <v>2835</v>
      </c>
      <c r="J15" s="1">
        <v>2439.5</v>
      </c>
      <c r="K15" s="1">
        <v>1384.1890000000001</v>
      </c>
      <c r="L15" s="1">
        <v>863.93200000000002</v>
      </c>
      <c r="M15" s="1">
        <v>554.76</v>
      </c>
      <c r="N15" s="1">
        <v>276.56900000000002</v>
      </c>
      <c r="O15" s="1">
        <v>146.47200000000001</v>
      </c>
      <c r="P15" s="1">
        <v>0</v>
      </c>
      <c r="Q15" s="1">
        <v>0</v>
      </c>
      <c r="R15" s="1">
        <v>0</v>
      </c>
      <c r="S15" s="1">
        <v>0</v>
      </c>
      <c r="T15" s="1">
        <v>0</v>
      </c>
    </row>
    <row r="16" spans="1:20" x14ac:dyDescent="0.25">
      <c r="A16" s="1" t="s">
        <v>25</v>
      </c>
      <c r="B16" s="1">
        <v>0</v>
      </c>
      <c r="C16" s="1">
        <v>0</v>
      </c>
      <c r="D16" s="1">
        <v>0</v>
      </c>
      <c r="E16" s="1">
        <v>0</v>
      </c>
      <c r="F16" s="1">
        <v>0</v>
      </c>
      <c r="G16" s="1">
        <v>0</v>
      </c>
      <c r="H16" s="1">
        <v>0</v>
      </c>
      <c r="I16" s="1">
        <v>0</v>
      </c>
      <c r="J16" s="1">
        <v>37</v>
      </c>
      <c r="K16" s="1">
        <v>48</v>
      </c>
      <c r="L16" s="1">
        <v>58.3</v>
      </c>
      <c r="M16" s="1">
        <v>48.9</v>
      </c>
      <c r="N16" s="1">
        <v>9</v>
      </c>
      <c r="O16" s="1">
        <v>3.9</v>
      </c>
      <c r="P16" s="1">
        <v>0</v>
      </c>
      <c r="Q16" s="1">
        <v>0</v>
      </c>
      <c r="R16" s="1">
        <v>0</v>
      </c>
      <c r="S16" s="1">
        <v>0</v>
      </c>
      <c r="T16" s="1">
        <v>0</v>
      </c>
    </row>
    <row r="17" spans="1:20" x14ac:dyDescent="0.25">
      <c r="A17" s="1" t="s">
        <v>23</v>
      </c>
      <c r="B17" s="1">
        <v>494</v>
      </c>
      <c r="C17" s="1">
        <v>684</v>
      </c>
      <c r="D17" s="1">
        <v>0</v>
      </c>
      <c r="E17" s="1">
        <v>176</v>
      </c>
      <c r="F17" s="1">
        <v>0</v>
      </c>
      <c r="G17" s="1">
        <v>0</v>
      </c>
      <c r="H17" s="1">
        <v>11</v>
      </c>
      <c r="I17" s="1">
        <v>134.63</v>
      </c>
      <c r="J17" s="1">
        <v>0</v>
      </c>
      <c r="K17" s="1">
        <v>0</v>
      </c>
      <c r="L17" s="1">
        <v>0</v>
      </c>
      <c r="M17" s="1">
        <v>0</v>
      </c>
      <c r="N17" s="1">
        <v>0</v>
      </c>
      <c r="O17" s="1">
        <v>0</v>
      </c>
      <c r="P17" s="1">
        <v>0</v>
      </c>
      <c r="Q17" s="1">
        <v>0</v>
      </c>
      <c r="R17" s="1">
        <v>0</v>
      </c>
      <c r="S17" s="1">
        <v>0</v>
      </c>
      <c r="T17" s="1">
        <v>0</v>
      </c>
    </row>
    <row r="18" spans="1:20" x14ac:dyDescent="0.25">
      <c r="A18" s="6" t="s">
        <v>22</v>
      </c>
      <c r="B18" s="4">
        <v>12739</v>
      </c>
      <c r="C18" s="4">
        <v>10374</v>
      </c>
      <c r="D18" s="4">
        <v>8769</v>
      </c>
      <c r="E18" s="4">
        <v>7197</v>
      </c>
      <c r="F18" s="4">
        <v>7110</v>
      </c>
      <c r="G18" s="4">
        <v>4636</v>
      </c>
      <c r="H18" s="4">
        <v>4000</v>
      </c>
      <c r="I18" s="4">
        <v>4430</v>
      </c>
      <c r="J18" s="4">
        <v>3855</v>
      </c>
      <c r="K18" s="4">
        <v>2266.5970000000002</v>
      </c>
      <c r="L18" s="4">
        <v>1640.1320000000001</v>
      </c>
      <c r="M18" s="4">
        <v>1068.3599999999999</v>
      </c>
      <c r="N18" s="4">
        <v>517.54499999999996</v>
      </c>
      <c r="O18" s="4">
        <v>424.35</v>
      </c>
      <c r="P18" s="4">
        <v>313.08300000000003</v>
      </c>
      <c r="Q18" s="4">
        <v>177.56899999999999</v>
      </c>
      <c r="R18" s="4">
        <v>61.432000000000002</v>
      </c>
      <c r="S18" s="4">
        <v>77.363</v>
      </c>
      <c r="T18" s="4">
        <v>79.997</v>
      </c>
    </row>
    <row r="20" spans="1:20" x14ac:dyDescent="0.25">
      <c r="A20" s="1" t="s">
        <v>21</v>
      </c>
      <c r="B20" s="1">
        <v>90472</v>
      </c>
      <c r="C20" s="1">
        <v>90614</v>
      </c>
      <c r="D20" s="1">
        <v>87882</v>
      </c>
      <c r="E20" s="1">
        <v>67806</v>
      </c>
      <c r="F20" s="1">
        <v>47327</v>
      </c>
      <c r="G20" s="1">
        <v>29542</v>
      </c>
      <c r="H20" s="1">
        <v>24509</v>
      </c>
      <c r="I20" s="1">
        <v>21849.341</v>
      </c>
      <c r="J20" s="1">
        <v>13391</v>
      </c>
      <c r="K20" s="1">
        <v>7667.4719999999998</v>
      </c>
      <c r="L20" s="1">
        <v>4762.6540000000005</v>
      </c>
      <c r="M20" s="1">
        <v>3385.0450000000001</v>
      </c>
      <c r="N20" s="1">
        <v>2074.779</v>
      </c>
      <c r="O20" s="1">
        <v>807.53899999999999</v>
      </c>
      <c r="P20" s="1">
        <v>455.73</v>
      </c>
      <c r="Q20" s="1">
        <v>263.58199999999999</v>
      </c>
      <c r="R20" s="1">
        <v>163.84</v>
      </c>
      <c r="S20" s="1">
        <v>93.245999999999995</v>
      </c>
      <c r="T20" s="1">
        <v>80.006</v>
      </c>
    </row>
    <row r="21" spans="1:20" x14ac:dyDescent="0.25">
      <c r="A21" s="1" t="s">
        <v>18</v>
      </c>
      <c r="B21" s="1">
        <v>11764</v>
      </c>
      <c r="C21" s="1">
        <v>14708</v>
      </c>
      <c r="D21" s="1">
        <v>14796</v>
      </c>
      <c r="E21" s="1">
        <v>17657</v>
      </c>
      <c r="F21" s="1">
        <v>9625</v>
      </c>
      <c r="G21" s="1">
        <v>4224</v>
      </c>
      <c r="H21" s="1">
        <v>2172</v>
      </c>
      <c r="I21" s="1">
        <v>1559</v>
      </c>
      <c r="J21" s="1">
        <v>-102</v>
      </c>
      <c r="K21" s="1">
        <v>399.56099999999998</v>
      </c>
      <c r="L21" s="1">
        <v>-334.18299999999999</v>
      </c>
      <c r="M21" s="1">
        <v>48.180999999999997</v>
      </c>
      <c r="N21" s="1">
        <v>67.590999999999994</v>
      </c>
      <c r="O21" s="1">
        <v>-366.99799999999999</v>
      </c>
      <c r="P21" s="1">
        <v>-236.96</v>
      </c>
      <c r="Q21" s="1">
        <v>-142.54</v>
      </c>
      <c r="R21" s="1">
        <v>-46.243000000000002</v>
      </c>
      <c r="S21" s="1">
        <v>-74.781000000000006</v>
      </c>
      <c r="T21" s="1">
        <v>-75.152000000000001</v>
      </c>
    </row>
    <row r="22" spans="1:20" x14ac:dyDescent="0.25">
      <c r="A22" s="3" t="s">
        <v>17</v>
      </c>
      <c r="B22" s="3">
        <v>0.12405749420000001</v>
      </c>
      <c r="C22" s="3">
        <v>0.15055788719999999</v>
      </c>
      <c r="D22" s="3">
        <v>0.15289388570000001</v>
      </c>
      <c r="E22" s="3">
        <v>0.2167513687</v>
      </c>
      <c r="F22" s="3">
        <v>0.17882689560000001</v>
      </c>
      <c r="G22" s="3">
        <v>0.1339421613</v>
      </c>
      <c r="H22" s="3">
        <v>8.8371714500000004E-2</v>
      </c>
      <c r="I22" s="3">
        <v>7.2642492500000003E-2</v>
      </c>
      <c r="J22" s="3">
        <v>-8.6742069999999998E-3</v>
      </c>
      <c r="K22" s="3">
        <v>5.7079066499999997E-2</v>
      </c>
      <c r="L22" s="3">
        <v>-8.2595386800000004E-2</v>
      </c>
      <c r="M22" s="3">
        <v>1.5064301800000001E-2</v>
      </c>
      <c r="N22" s="3">
        <v>3.35689765E-2</v>
      </c>
      <c r="O22" s="3">
        <v>-0.88806454109999999</v>
      </c>
      <c r="P22" s="3">
        <v>-1.1601923209</v>
      </c>
      <c r="Q22" s="3">
        <v>-1.2209621050999999</v>
      </c>
      <c r="R22" s="3">
        <v>-0.41309416399999999</v>
      </c>
      <c r="S22" s="3">
        <v>-5.0726495725999996</v>
      </c>
      <c r="T22" s="3">
        <v>-1029.4794520548</v>
      </c>
    </row>
    <row r="23" spans="1:20" x14ac:dyDescent="0.25">
      <c r="A23" s="1" t="s">
        <v>20</v>
      </c>
      <c r="B23" s="1">
        <v>338</v>
      </c>
      <c r="C23" s="1">
        <v>350</v>
      </c>
      <c r="D23" s="1">
        <v>156</v>
      </c>
      <c r="E23" s="1">
        <v>191</v>
      </c>
      <c r="F23" s="1">
        <v>371</v>
      </c>
      <c r="G23" s="1">
        <v>748</v>
      </c>
      <c r="H23" s="1">
        <v>685</v>
      </c>
      <c r="I23" s="1">
        <v>663</v>
      </c>
      <c r="J23" s="1">
        <v>471</v>
      </c>
      <c r="K23" s="1">
        <v>198.81</v>
      </c>
      <c r="L23" s="1">
        <v>118.851</v>
      </c>
      <c r="M23" s="1">
        <v>100.886</v>
      </c>
      <c r="N23" s="1">
        <v>32.933999999999997</v>
      </c>
      <c r="O23" s="1">
        <v>0.254</v>
      </c>
      <c r="P23" s="1">
        <v>4.2999999999999997E-2</v>
      </c>
      <c r="Q23" s="1">
        <v>0.99199999999999999</v>
      </c>
      <c r="R23" s="1">
        <v>2.5310000000000001</v>
      </c>
      <c r="S23" s="1">
        <v>3.7469999999999999</v>
      </c>
      <c r="T23" s="1">
        <v>0</v>
      </c>
    </row>
    <row r="24" spans="1:20" x14ac:dyDescent="0.25">
      <c r="A24" s="1" t="s">
        <v>19</v>
      </c>
      <c r="B24" s="1">
        <v>6148</v>
      </c>
      <c r="C24" s="1">
        <v>5368</v>
      </c>
      <c r="D24" s="1">
        <v>4667</v>
      </c>
      <c r="E24" s="1">
        <v>3747</v>
      </c>
      <c r="F24" s="1">
        <v>2911</v>
      </c>
      <c r="G24" s="1">
        <v>2322</v>
      </c>
      <c r="H24" s="1">
        <v>2154</v>
      </c>
      <c r="I24" s="1">
        <v>1901</v>
      </c>
      <c r="J24" s="1">
        <v>1636</v>
      </c>
      <c r="K24" s="1">
        <v>947.09900000000005</v>
      </c>
      <c r="L24" s="1">
        <v>422.59</v>
      </c>
      <c r="M24" s="1">
        <v>231.93100000000001</v>
      </c>
      <c r="N24" s="1">
        <v>106.083</v>
      </c>
      <c r="O24" s="1">
        <v>28.824999999999999</v>
      </c>
      <c r="P24" s="1">
        <v>16.919</v>
      </c>
      <c r="Q24" s="1">
        <v>10.622999999999999</v>
      </c>
      <c r="R24" s="1">
        <v>6.94</v>
      </c>
      <c r="S24" s="1">
        <v>4.157</v>
      </c>
      <c r="T24" s="1">
        <v>2.895</v>
      </c>
    </row>
    <row r="25" spans="1:20" x14ac:dyDescent="0.25">
      <c r="A25" s="6" t="s">
        <v>16</v>
      </c>
      <c r="B25" s="5">
        <v>4355</v>
      </c>
      <c r="C25" s="5">
        <v>7076</v>
      </c>
      <c r="D25" s="5">
        <v>8891</v>
      </c>
      <c r="E25" s="5">
        <v>13656</v>
      </c>
      <c r="F25" s="5">
        <v>6523</v>
      </c>
      <c r="G25" s="5">
        <v>1994</v>
      </c>
      <c r="H25" s="5">
        <v>-69</v>
      </c>
      <c r="I25" s="5">
        <v>-388</v>
      </c>
      <c r="J25" s="5">
        <v>-1632</v>
      </c>
      <c r="K25" s="5">
        <v>-667.34</v>
      </c>
      <c r="L25" s="5">
        <v>-716.62900000000002</v>
      </c>
      <c r="M25" s="5">
        <v>-186.68899999999999</v>
      </c>
      <c r="N25" s="5">
        <v>-61.283000000000001</v>
      </c>
      <c r="O25" s="5">
        <v>-394.28300000000002</v>
      </c>
      <c r="P25" s="5">
        <v>-251.488</v>
      </c>
      <c r="Q25" s="5">
        <v>-146.83799999999999</v>
      </c>
      <c r="R25" s="5">
        <v>-51.896999999999998</v>
      </c>
      <c r="S25" s="5">
        <v>-78.504000000000005</v>
      </c>
      <c r="T25" s="5">
        <v>-79.933000000000007</v>
      </c>
    </row>
    <row r="26" spans="1:20" x14ac:dyDescent="0.25">
      <c r="A26" s="3" t="s">
        <v>15</v>
      </c>
      <c r="B26" s="7">
        <v>4.59257385E-2</v>
      </c>
      <c r="C26" s="7">
        <v>7.2433207099999994E-2</v>
      </c>
      <c r="D26" s="7">
        <v>9.1874799800000004E-2</v>
      </c>
      <c r="E26" s="7">
        <v>0.167636444</v>
      </c>
      <c r="F26" s="7">
        <v>0.1211935418</v>
      </c>
      <c r="G26" s="7">
        <v>6.3229325200000006E-2</v>
      </c>
      <c r="H26" s="7">
        <v>-2.8073886999999999E-3</v>
      </c>
      <c r="I26" s="7">
        <v>-1.8079080899999999E-2</v>
      </c>
      <c r="J26" s="7">
        <v>-0.13878731180000001</v>
      </c>
      <c r="K26" s="7">
        <v>-9.5332488000000007E-2</v>
      </c>
      <c r="L26" s="7">
        <v>-0.1771192714</v>
      </c>
      <c r="M26" s="7">
        <v>-5.8370300200000003E-2</v>
      </c>
      <c r="N26" s="7">
        <v>-3.04361171E-2</v>
      </c>
      <c r="O26" s="7">
        <v>-0.95408899079999998</v>
      </c>
      <c r="P26" s="7">
        <v>-1.2313236259</v>
      </c>
      <c r="Q26" s="7">
        <v>-1.2577777016</v>
      </c>
      <c r="R26" s="7">
        <v>-0.46360201169999998</v>
      </c>
      <c r="S26" s="7">
        <v>-5.3251933251999999</v>
      </c>
      <c r="T26" s="7">
        <v>-1094.9726027397001</v>
      </c>
    </row>
    <row r="28" spans="1:20" x14ac:dyDescent="0.25">
      <c r="A28" s="1" t="s">
        <v>14</v>
      </c>
      <c r="B28" s="1">
        <v>923</v>
      </c>
      <c r="C28" s="1">
        <v>1914</v>
      </c>
      <c r="D28" s="1">
        <v>1082</v>
      </c>
      <c r="E28" s="1">
        <v>63</v>
      </c>
      <c r="F28" s="1">
        <v>-180</v>
      </c>
      <c r="G28" s="1">
        <v>-840</v>
      </c>
      <c r="H28" s="1">
        <v>-596</v>
      </c>
      <c r="I28" s="1">
        <v>-617</v>
      </c>
      <c r="J28" s="1">
        <v>-577</v>
      </c>
      <c r="K28" s="1">
        <v>-79.007999999999996</v>
      </c>
      <c r="L28" s="1">
        <v>-158.995</v>
      </c>
      <c r="M28" s="1">
        <v>-97.947000000000003</v>
      </c>
      <c r="N28" s="1">
        <v>-10.143000000000001</v>
      </c>
      <c r="O28" s="1">
        <v>-1.794</v>
      </c>
      <c r="P28" s="1">
        <v>-2.4340000000000002</v>
      </c>
      <c r="Q28" s="1">
        <v>-7.3170000000000002</v>
      </c>
      <c r="R28" s="1">
        <v>-3.8170000000000002</v>
      </c>
      <c r="S28" s="1">
        <v>-4.181</v>
      </c>
      <c r="T28" s="1">
        <v>1.8859999999999999</v>
      </c>
    </row>
    <row r="29" spans="1:20" x14ac:dyDescent="0.25">
      <c r="A29" s="1" t="s">
        <v>13</v>
      </c>
      <c r="B29" s="1">
        <v>5278</v>
      </c>
      <c r="C29" s="1">
        <v>8990</v>
      </c>
      <c r="D29" s="1">
        <v>9973</v>
      </c>
      <c r="E29" s="1">
        <v>13719</v>
      </c>
      <c r="F29" s="1">
        <v>6343</v>
      </c>
      <c r="G29" s="1">
        <v>1154</v>
      </c>
      <c r="H29" s="1">
        <v>-665</v>
      </c>
      <c r="I29" s="1">
        <v>-1005</v>
      </c>
      <c r="J29" s="1">
        <v>-2209</v>
      </c>
      <c r="K29" s="1">
        <v>-746.34799999999996</v>
      </c>
      <c r="L29" s="1">
        <v>-875.62400000000002</v>
      </c>
      <c r="M29" s="1">
        <v>-284.63600000000002</v>
      </c>
      <c r="N29" s="1">
        <v>-71.426000000000002</v>
      </c>
      <c r="O29" s="1">
        <v>-396.077</v>
      </c>
      <c r="P29" s="1">
        <v>-253.922</v>
      </c>
      <c r="Q29" s="1">
        <v>-154.155</v>
      </c>
      <c r="R29" s="1">
        <v>-55.713999999999999</v>
      </c>
      <c r="S29" s="1">
        <v>-82.685000000000002</v>
      </c>
      <c r="T29" s="1">
        <v>-78.046999999999997</v>
      </c>
    </row>
    <row r="30" spans="1:20" x14ac:dyDescent="0.25">
      <c r="A30" s="2" t="s">
        <v>12</v>
      </c>
      <c r="B30" s="2">
        <v>5.5659253200000001E-2</v>
      </c>
      <c r="C30" s="2">
        <v>9.2025795899999999E-2</v>
      </c>
      <c r="D30" s="2">
        <v>0.1030556044</v>
      </c>
      <c r="E30" s="2">
        <v>0.1684098107</v>
      </c>
      <c r="F30" s="2">
        <v>0.1178492466</v>
      </c>
      <c r="G30" s="2">
        <v>3.6593099900000002E-2</v>
      </c>
      <c r="H30" s="2">
        <v>-2.7056717399999999E-2</v>
      </c>
      <c r="I30" s="2">
        <v>-4.6828547099999999E-2</v>
      </c>
      <c r="J30" s="2">
        <v>-0.18785611020000001</v>
      </c>
      <c r="K30" s="2">
        <v>-0.1066191323</v>
      </c>
      <c r="L30" s="2">
        <v>-0.21641586500000001</v>
      </c>
      <c r="M30" s="2">
        <v>-8.8994470899999997E-2</v>
      </c>
      <c r="N30" s="2">
        <v>-3.5473624000000002E-2</v>
      </c>
      <c r="O30" s="2">
        <v>-0.95843012559999996</v>
      </c>
      <c r="P30" s="2">
        <v>-1.2432408613000001</v>
      </c>
      <c r="Q30" s="2">
        <v>-1.3204532995</v>
      </c>
      <c r="R30" s="2">
        <v>-0.49769972220000003</v>
      </c>
      <c r="S30" s="2">
        <v>-5.6088047755000003</v>
      </c>
      <c r="T30" s="2">
        <v>-1069.1369863013999</v>
      </c>
    </row>
    <row r="31" spans="1:20" x14ac:dyDescent="0.25">
      <c r="A31" s="1" t="s">
        <v>11</v>
      </c>
      <c r="B31" s="1">
        <v>1423</v>
      </c>
      <c r="C31" s="1">
        <v>1837</v>
      </c>
      <c r="D31" s="1">
        <v>-5001</v>
      </c>
      <c r="E31" s="1">
        <v>1132</v>
      </c>
      <c r="F31" s="1">
        <v>699</v>
      </c>
      <c r="G31" s="1">
        <v>292</v>
      </c>
      <c r="H31" s="1">
        <v>110</v>
      </c>
      <c r="I31" s="1">
        <v>58</v>
      </c>
      <c r="J31" s="1">
        <v>32</v>
      </c>
      <c r="K31" s="1">
        <v>26.698</v>
      </c>
      <c r="L31" s="1">
        <v>13.039</v>
      </c>
      <c r="M31" s="1">
        <v>9.4039999999999999</v>
      </c>
      <c r="N31" s="1">
        <v>2.5880000000000001</v>
      </c>
      <c r="O31" s="1">
        <v>0.13600000000000001</v>
      </c>
      <c r="P31" s="1">
        <v>0.48899999999999999</v>
      </c>
      <c r="Q31" s="1">
        <v>0.17299999999999999</v>
      </c>
      <c r="R31" s="1">
        <v>2.5999999999999999E-2</v>
      </c>
      <c r="S31" s="1">
        <v>9.7000000000000003E-2</v>
      </c>
      <c r="T31" s="1">
        <v>0.11</v>
      </c>
    </row>
    <row r="32" spans="1:20" x14ac:dyDescent="0.25">
      <c r="A32" s="6" t="s">
        <v>10</v>
      </c>
      <c r="B32" s="5">
        <v>3794</v>
      </c>
      <c r="C32" s="5">
        <v>7130</v>
      </c>
      <c r="D32" s="5">
        <v>14999</v>
      </c>
      <c r="E32" s="5">
        <v>12583</v>
      </c>
      <c r="F32" s="5">
        <v>5524</v>
      </c>
      <c r="G32" s="5">
        <v>721</v>
      </c>
      <c r="H32" s="5">
        <v>-862</v>
      </c>
      <c r="I32" s="5">
        <v>-976</v>
      </c>
      <c r="J32" s="5">
        <v>-1962</v>
      </c>
      <c r="K32" s="5">
        <v>-674.91399999999999</v>
      </c>
      <c r="L32" s="5">
        <v>-888.66300000000001</v>
      </c>
      <c r="M32" s="5">
        <v>-294.04000000000002</v>
      </c>
      <c r="N32" s="5">
        <v>-74.013999999999996</v>
      </c>
      <c r="O32" s="5">
        <v>-396.21300000000002</v>
      </c>
      <c r="P32" s="5">
        <v>-254.411</v>
      </c>
      <c r="Q32" s="5">
        <v>-154.328</v>
      </c>
      <c r="R32" s="5">
        <v>-55.74</v>
      </c>
      <c r="S32" s="5">
        <v>-82.781999999999996</v>
      </c>
      <c r="T32" s="5">
        <v>-78.156999999999996</v>
      </c>
    </row>
    <row r="34" spans="1:20" x14ac:dyDescent="0.25">
      <c r="A34" s="3" t="s">
        <v>9</v>
      </c>
      <c r="B34" s="3">
        <v>4.00097019E-2</v>
      </c>
      <c r="C34" s="3">
        <v>7.2985975999999994E-2</v>
      </c>
      <c r="D34" s="3">
        <v>0.15499157820000001</v>
      </c>
      <c r="E34" s="3">
        <v>0.15446465840000001</v>
      </c>
      <c r="F34" s="3">
        <v>0.10263270350000001</v>
      </c>
      <c r="G34" s="3">
        <v>2.2862759999999999E-2</v>
      </c>
      <c r="H34" s="3">
        <v>-3.5072015599999999E-2</v>
      </c>
      <c r="I34" s="3">
        <v>-4.5477275599999999E-2</v>
      </c>
      <c r="J34" s="3">
        <v>-0.16685092269999999</v>
      </c>
      <c r="K34" s="3">
        <v>-9.6414467599999998E-2</v>
      </c>
      <c r="L34" s="3">
        <v>-0.2196385341</v>
      </c>
      <c r="M34" s="3">
        <v>-9.1934731500000005E-2</v>
      </c>
      <c r="N34" s="3">
        <v>-3.67589506E-2</v>
      </c>
      <c r="O34" s="3">
        <v>-0.95875921949999998</v>
      </c>
      <c r="P34" s="3">
        <v>-1.24563508</v>
      </c>
      <c r="Q34" s="3">
        <v>-1.3219351744000001</v>
      </c>
      <c r="R34" s="3">
        <v>-0.49793198319999998</v>
      </c>
      <c r="S34" s="3">
        <v>-5.6153846154</v>
      </c>
      <c r="T34" s="3">
        <v>-1070.6438356164001</v>
      </c>
    </row>
    <row r="35" spans="1:20" x14ac:dyDescent="0.25">
      <c r="A35" s="2" t="s">
        <v>8</v>
      </c>
      <c r="B35" s="2">
        <v>1.18</v>
      </c>
      <c r="C35" s="2">
        <v>2.2302</v>
      </c>
      <c r="D35" s="2">
        <v>4.7300000000000004</v>
      </c>
      <c r="E35" s="2">
        <v>4.0199999999999996</v>
      </c>
      <c r="F35" s="2">
        <v>1.87</v>
      </c>
      <c r="G35" s="2">
        <v>0.25</v>
      </c>
      <c r="H35" s="2">
        <v>-0.33</v>
      </c>
      <c r="I35" s="2">
        <v>-0.38</v>
      </c>
      <c r="J35" s="2">
        <v>-0.79</v>
      </c>
      <c r="K35" s="2">
        <v>-0.31</v>
      </c>
      <c r="L35" s="2">
        <v>-0.46</v>
      </c>
      <c r="M35" s="2">
        <v>-0.16</v>
      </c>
      <c r="N35" s="2">
        <v>-4.1300000000000003E-2</v>
      </c>
      <c r="O35" s="2">
        <v>-0.25</v>
      </c>
      <c r="P35" s="2">
        <v>-0.17</v>
      </c>
      <c r="Q35" s="2">
        <v>-0.2</v>
      </c>
      <c r="R35" s="2">
        <v>-2.7300000000000001E-2</v>
      </c>
      <c r="S35" s="2">
        <v>-4.0500000000000001E-2</v>
      </c>
      <c r="T35" s="2">
        <v>-3.8199999999999998E-2</v>
      </c>
    </row>
    <row r="36" spans="1:20" x14ac:dyDescent="0.25">
      <c r="A36" s="2" t="s">
        <v>7</v>
      </c>
      <c r="B36" s="2">
        <v>1.08</v>
      </c>
      <c r="C36" s="2">
        <v>2.0383</v>
      </c>
      <c r="D36" s="2">
        <v>4.3099999999999996</v>
      </c>
      <c r="E36" s="2">
        <v>3.62</v>
      </c>
      <c r="F36" s="2">
        <v>1.63</v>
      </c>
      <c r="G36" s="2">
        <v>0.21</v>
      </c>
      <c r="H36" s="2">
        <v>-0.33</v>
      </c>
      <c r="I36" s="2">
        <v>-0.38</v>
      </c>
      <c r="J36" s="2">
        <v>-0.79</v>
      </c>
      <c r="K36" s="2">
        <v>-0.31</v>
      </c>
      <c r="L36" s="2">
        <v>-0.46</v>
      </c>
      <c r="M36" s="2">
        <v>-0.16</v>
      </c>
      <c r="N36" s="2">
        <v>-4.1300000000000003E-2</v>
      </c>
      <c r="O36" s="2">
        <v>-0.25</v>
      </c>
      <c r="P36" s="2">
        <v>-0.17</v>
      </c>
      <c r="Q36" s="2">
        <v>-0.2</v>
      </c>
      <c r="R36" s="2">
        <v>-2.7300000000000001E-2</v>
      </c>
      <c r="S36" s="2">
        <v>-4.0500000000000001E-2</v>
      </c>
      <c r="T36" s="2">
        <v>-3.8199999999999998E-2</v>
      </c>
    </row>
    <row r="37" spans="1:20" x14ac:dyDescent="0.25">
      <c r="A37" s="1" t="s">
        <v>6</v>
      </c>
      <c r="B37" s="1">
        <v>3225</v>
      </c>
      <c r="C37" s="1">
        <v>3197</v>
      </c>
      <c r="D37" s="1">
        <v>3173.5</v>
      </c>
      <c r="E37" s="1">
        <v>3130</v>
      </c>
      <c r="F37" s="1">
        <v>2959</v>
      </c>
      <c r="G37" s="1">
        <v>2799</v>
      </c>
      <c r="H37" s="1">
        <v>2655</v>
      </c>
      <c r="I37" s="1">
        <v>2559</v>
      </c>
      <c r="J37" s="1">
        <v>2486.37</v>
      </c>
      <c r="K37" s="1">
        <v>2163.1799999999998</v>
      </c>
      <c r="L37" s="1">
        <v>1923.03</v>
      </c>
      <c r="M37" s="1">
        <v>1868.085</v>
      </c>
      <c r="N37" s="1">
        <v>1791.3150000000001</v>
      </c>
      <c r="O37" s="1">
        <v>1610.2349999999999</v>
      </c>
      <c r="P37" s="1">
        <v>1505.8322250000001</v>
      </c>
      <c r="Q37" s="1">
        <v>760.77453000000003</v>
      </c>
      <c r="R37" s="1">
        <v>2044.95</v>
      </c>
      <c r="S37" s="1">
        <v>2044.95</v>
      </c>
      <c r="T37" s="1">
        <v>2044.95</v>
      </c>
    </row>
    <row r="38" spans="1:20" x14ac:dyDescent="0.25">
      <c r="A38" s="1" t="s">
        <v>5</v>
      </c>
      <c r="B38" s="1">
        <v>3528</v>
      </c>
      <c r="C38" s="1">
        <v>3498</v>
      </c>
      <c r="D38" s="1">
        <v>3482.75</v>
      </c>
      <c r="E38" s="1">
        <v>3475</v>
      </c>
      <c r="F38" s="1">
        <v>3386</v>
      </c>
      <c r="G38" s="1">
        <v>3249</v>
      </c>
      <c r="H38" s="1">
        <v>2655</v>
      </c>
      <c r="I38" s="1">
        <v>2559</v>
      </c>
      <c r="J38" s="1">
        <v>2486.37</v>
      </c>
      <c r="K38" s="1">
        <v>2163.1799999999998</v>
      </c>
      <c r="L38" s="1">
        <v>1923.03</v>
      </c>
      <c r="M38" s="1">
        <v>1868.085</v>
      </c>
      <c r="N38" s="1">
        <v>1791.3150000000001</v>
      </c>
      <c r="O38" s="1">
        <v>1610.2349999999999</v>
      </c>
      <c r="P38" s="1">
        <v>1505.8322250000001</v>
      </c>
      <c r="Q38" s="1">
        <v>760.77453000000003</v>
      </c>
      <c r="R38" s="1">
        <v>2044.95</v>
      </c>
      <c r="S38" s="1">
        <v>2044.95</v>
      </c>
      <c r="T38" s="1">
        <v>2044.95</v>
      </c>
    </row>
  </sheetData>
  <mergeCells count="1">
    <mergeCell ref="B4:T4"/>
  </mergeCells>
  <pageMargins left="0.7" right="0.7" top="0.75" bottom="0.75" header="0.3" footer="0.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B2510A-8C55-45FA-9A7D-F8C1BD337D32}">
  <sheetPr>
    <tabColor rgb="FFC6E0B4"/>
  </sheetPr>
  <dimension ref="A1:T52"/>
  <sheetViews>
    <sheetView topLeftCell="A13" workbookViewId="0">
      <selection activeCell="B25" sqref="B25"/>
    </sheetView>
  </sheetViews>
  <sheetFormatPr defaultRowHeight="15" x14ac:dyDescent="0.25"/>
  <cols>
    <col min="1" max="1" width="44.42578125" bestFit="1" customWidth="1"/>
    <col min="2" max="4" width="18.28515625" bestFit="1" customWidth="1"/>
    <col min="5" max="5" width="18" bestFit="1" customWidth="1"/>
    <col min="6" max="11" width="17.28515625" bestFit="1" customWidth="1"/>
    <col min="12" max="15" width="16.85546875" bestFit="1" customWidth="1"/>
    <col min="16" max="20" width="15.28515625" bestFit="1" customWidth="1"/>
  </cols>
  <sheetData>
    <row r="1" spans="1:20" x14ac:dyDescent="0.25">
      <c r="A1" s="10" t="s">
        <v>35</v>
      </c>
      <c r="B1" s="10"/>
      <c r="C1" s="10"/>
      <c r="D1" s="10"/>
      <c r="E1" s="10"/>
      <c r="F1" s="10"/>
      <c r="G1" s="10"/>
      <c r="H1" s="10"/>
      <c r="I1" s="10"/>
      <c r="J1" s="10"/>
      <c r="K1" s="10"/>
      <c r="L1" s="10"/>
      <c r="M1" s="10"/>
      <c r="N1" s="10"/>
      <c r="O1" s="10"/>
      <c r="P1" s="10"/>
      <c r="Q1" s="10"/>
      <c r="R1" s="10"/>
      <c r="S1" s="10"/>
      <c r="T1" s="10"/>
    </row>
    <row r="2" spans="1:20" x14ac:dyDescent="0.25">
      <c r="A2" t="s">
        <v>1</v>
      </c>
      <c r="B2" t="s">
        <v>195</v>
      </c>
    </row>
    <row r="3" spans="1:20" x14ac:dyDescent="0.25">
      <c r="A3" t="s">
        <v>3</v>
      </c>
      <c r="B3" t="str">
        <f>'TSLA - Income Statement FY'!B3</f>
        <v>USD</v>
      </c>
    </row>
    <row r="4" spans="1:20" x14ac:dyDescent="0.25">
      <c r="A4" t="s">
        <v>32</v>
      </c>
      <c r="B4" s="236" t="s">
        <v>33</v>
      </c>
      <c r="C4" s="236"/>
      <c r="D4" s="236"/>
      <c r="E4" s="236"/>
      <c r="F4" s="236"/>
      <c r="G4" s="236"/>
      <c r="H4" s="236"/>
      <c r="I4" s="236"/>
      <c r="J4" s="236"/>
      <c r="K4" s="236"/>
      <c r="L4" s="236"/>
      <c r="M4" s="236"/>
      <c r="N4" s="236"/>
      <c r="O4" s="236"/>
      <c r="P4" s="236"/>
      <c r="Q4" s="236"/>
      <c r="R4" s="236"/>
      <c r="S4" s="236"/>
      <c r="T4" s="236"/>
    </row>
    <row r="5" spans="1:20" x14ac:dyDescent="0.25">
      <c r="A5" t="s">
        <v>34</v>
      </c>
      <c r="B5" s="8">
        <v>46022</v>
      </c>
      <c r="C5" s="8">
        <v>45657</v>
      </c>
      <c r="D5" s="8">
        <v>45291</v>
      </c>
      <c r="E5" s="8">
        <v>44926</v>
      </c>
      <c r="F5" s="8">
        <v>44561</v>
      </c>
      <c r="G5" s="8">
        <v>44196</v>
      </c>
      <c r="H5" s="8">
        <v>43830</v>
      </c>
      <c r="I5" s="8">
        <v>43465</v>
      </c>
      <c r="J5" s="8">
        <v>43100</v>
      </c>
      <c r="K5" s="8">
        <v>42735</v>
      </c>
      <c r="L5" s="8">
        <v>42369</v>
      </c>
      <c r="M5" s="8">
        <v>42004</v>
      </c>
      <c r="N5" s="8">
        <v>41639</v>
      </c>
      <c r="O5" s="8">
        <v>41274</v>
      </c>
      <c r="P5" s="8">
        <v>40908</v>
      </c>
      <c r="Q5" s="8">
        <v>40543</v>
      </c>
      <c r="R5" s="8">
        <v>40178</v>
      </c>
      <c r="S5" s="8">
        <v>39813</v>
      </c>
      <c r="T5" s="8">
        <v>39447</v>
      </c>
    </row>
    <row r="7" spans="1:20" x14ac:dyDescent="0.25">
      <c r="A7" s="1" t="s">
        <v>74</v>
      </c>
      <c r="B7" s="1">
        <v>16513</v>
      </c>
      <c r="C7" s="1">
        <v>16139</v>
      </c>
      <c r="D7" s="1">
        <v>16398</v>
      </c>
      <c r="E7" s="1">
        <v>16253</v>
      </c>
      <c r="F7" s="1">
        <v>17576</v>
      </c>
      <c r="G7" s="1">
        <v>19384</v>
      </c>
      <c r="H7" s="1">
        <v>6268</v>
      </c>
      <c r="I7" s="1">
        <v>3686</v>
      </c>
      <c r="J7" s="1">
        <v>3367.9140000000002</v>
      </c>
      <c r="K7" s="1">
        <v>3393.2159999999999</v>
      </c>
      <c r="L7" s="1">
        <v>1196.9079999999999</v>
      </c>
      <c r="M7" s="1">
        <v>1905.713</v>
      </c>
      <c r="N7" s="1">
        <v>845.88900000000001</v>
      </c>
      <c r="O7" s="1">
        <v>201.89</v>
      </c>
      <c r="P7" s="1">
        <v>255.26599999999999</v>
      </c>
      <c r="Q7" s="1">
        <v>99.558000000000007</v>
      </c>
      <c r="R7" s="1">
        <v>69.626999999999995</v>
      </c>
      <c r="S7" s="1">
        <v>9.2769999999999992</v>
      </c>
      <c r="T7" s="1">
        <v>17.210999999999999</v>
      </c>
    </row>
    <row r="8" spans="1:20" x14ac:dyDescent="0.25">
      <c r="A8" s="1" t="s">
        <v>73</v>
      </c>
      <c r="B8" s="1">
        <v>27546</v>
      </c>
      <c r="C8" s="1">
        <v>20424</v>
      </c>
      <c r="D8" s="1">
        <v>12696</v>
      </c>
      <c r="E8" s="1">
        <v>5932</v>
      </c>
      <c r="F8" s="1">
        <v>131</v>
      </c>
      <c r="G8" s="1">
        <v>0</v>
      </c>
      <c r="H8" s="1">
        <v>0</v>
      </c>
      <c r="I8" s="1">
        <v>0</v>
      </c>
      <c r="J8" s="1">
        <v>0</v>
      </c>
      <c r="K8" s="1">
        <v>0</v>
      </c>
      <c r="L8" s="1">
        <v>0</v>
      </c>
      <c r="M8" s="1">
        <v>17.946999999999999</v>
      </c>
      <c r="N8" s="1">
        <v>3.012</v>
      </c>
      <c r="O8" s="1">
        <v>0</v>
      </c>
      <c r="P8" s="1">
        <v>25.061</v>
      </c>
      <c r="Q8" s="1">
        <v>0</v>
      </c>
      <c r="R8" s="1">
        <v>0</v>
      </c>
      <c r="S8" s="1">
        <v>0</v>
      </c>
      <c r="T8" s="1">
        <v>0</v>
      </c>
    </row>
    <row r="9" spans="1:20" x14ac:dyDescent="0.25">
      <c r="A9" s="1" t="s">
        <v>72</v>
      </c>
      <c r="B9" s="1">
        <v>44059</v>
      </c>
      <c r="C9" s="1">
        <v>36563</v>
      </c>
      <c r="D9" s="1">
        <v>29094</v>
      </c>
      <c r="E9" s="1">
        <v>22185</v>
      </c>
      <c r="F9" s="1">
        <v>17707</v>
      </c>
      <c r="G9" s="1">
        <v>19384</v>
      </c>
      <c r="H9" s="1">
        <v>6268</v>
      </c>
      <c r="I9" s="1">
        <v>3686</v>
      </c>
      <c r="J9" s="1">
        <v>3367.9140000000002</v>
      </c>
      <c r="K9" s="1">
        <v>3393.2159999999999</v>
      </c>
      <c r="L9" s="1">
        <v>1196.9079999999999</v>
      </c>
      <c r="M9" s="1">
        <v>1923.66</v>
      </c>
      <c r="N9" s="1">
        <v>848.90099999999995</v>
      </c>
      <c r="O9" s="1">
        <v>201.89</v>
      </c>
      <c r="P9" s="1">
        <v>280.327</v>
      </c>
      <c r="Q9" s="1">
        <v>99.558000000000007</v>
      </c>
      <c r="R9" s="1">
        <v>69.626999999999995</v>
      </c>
      <c r="S9" s="1">
        <v>9.2769999999999992</v>
      </c>
      <c r="T9" s="1">
        <v>17.210999999999999</v>
      </c>
    </row>
    <row r="10" spans="1:20" x14ac:dyDescent="0.25">
      <c r="A10" s="1" t="s">
        <v>71</v>
      </c>
      <c r="B10" s="1">
        <v>4576</v>
      </c>
      <c r="C10" s="1">
        <v>4418</v>
      </c>
      <c r="D10" s="1">
        <v>3508</v>
      </c>
      <c r="E10" s="1">
        <v>2952</v>
      </c>
      <c r="F10" s="1">
        <v>1913</v>
      </c>
      <c r="G10" s="1">
        <v>1886</v>
      </c>
      <c r="H10" s="1">
        <v>1324</v>
      </c>
      <c r="I10" s="1">
        <v>949</v>
      </c>
      <c r="J10" s="1">
        <v>515.38099999999997</v>
      </c>
      <c r="K10" s="1">
        <v>499.142</v>
      </c>
      <c r="L10" s="1">
        <v>168.965</v>
      </c>
      <c r="M10" s="1">
        <v>226.60400000000001</v>
      </c>
      <c r="N10" s="1">
        <v>49.109000000000002</v>
      </c>
      <c r="O10" s="1">
        <v>26.841999999999999</v>
      </c>
      <c r="P10" s="1">
        <v>9.5389999999999997</v>
      </c>
      <c r="Q10" s="1">
        <v>6.71</v>
      </c>
      <c r="R10" s="1">
        <v>3.488</v>
      </c>
      <c r="S10" s="1">
        <v>3.32</v>
      </c>
      <c r="T10" s="1">
        <v>5.8999999999999997E-2</v>
      </c>
    </row>
    <row r="11" spans="1:20" x14ac:dyDescent="0.25">
      <c r="A11" s="1" t="s">
        <v>70</v>
      </c>
      <c r="B11" s="1">
        <v>12392</v>
      </c>
      <c r="C11" s="1">
        <v>12017</v>
      </c>
      <c r="D11" s="1">
        <v>13626</v>
      </c>
      <c r="E11" s="1">
        <v>12839</v>
      </c>
      <c r="F11" s="1">
        <v>5757</v>
      </c>
      <c r="G11" s="1">
        <v>4101</v>
      </c>
      <c r="H11" s="1">
        <v>3552</v>
      </c>
      <c r="I11" s="1">
        <v>3113</v>
      </c>
      <c r="J11" s="1">
        <v>2263.5369999999998</v>
      </c>
      <c r="K11" s="1">
        <v>2067.4540000000002</v>
      </c>
      <c r="L11" s="1">
        <v>1277.838</v>
      </c>
      <c r="M11" s="1">
        <v>953.67499999999995</v>
      </c>
      <c r="N11" s="1">
        <v>340.35500000000002</v>
      </c>
      <c r="O11" s="1">
        <v>268.50400000000002</v>
      </c>
      <c r="P11" s="1">
        <v>50.082000000000001</v>
      </c>
      <c r="Q11" s="1">
        <v>45.182000000000002</v>
      </c>
      <c r="R11" s="1">
        <v>23.222000000000001</v>
      </c>
      <c r="S11" s="1">
        <v>16.649999999999999</v>
      </c>
      <c r="T11" s="1">
        <v>2.1080000000000001</v>
      </c>
    </row>
    <row r="12" spans="1:20" x14ac:dyDescent="0.25">
      <c r="A12" s="1" t="s">
        <v>69</v>
      </c>
      <c r="B12" s="1">
        <v>7615</v>
      </c>
      <c r="C12" s="1">
        <v>5362</v>
      </c>
      <c r="D12" s="1">
        <v>3388</v>
      </c>
      <c r="E12" s="1">
        <v>2941</v>
      </c>
      <c r="F12" s="1">
        <v>1723</v>
      </c>
      <c r="G12" s="1">
        <v>1346</v>
      </c>
      <c r="H12" s="1">
        <v>959</v>
      </c>
      <c r="I12" s="1">
        <v>559</v>
      </c>
      <c r="J12" s="1">
        <v>423.68799999999999</v>
      </c>
      <c r="K12" s="1">
        <v>299.98399999999998</v>
      </c>
      <c r="L12" s="1">
        <v>138.29499999999999</v>
      </c>
      <c r="M12" s="1">
        <v>76.134</v>
      </c>
      <c r="N12" s="1">
        <v>27.574000000000002</v>
      </c>
      <c r="O12" s="1">
        <v>27.532</v>
      </c>
      <c r="P12" s="1">
        <v>32.89</v>
      </c>
      <c r="Q12" s="1">
        <v>84.436000000000007</v>
      </c>
      <c r="R12" s="1">
        <v>4.2220000000000004</v>
      </c>
      <c r="S12" s="1">
        <v>2.1800000000000002</v>
      </c>
      <c r="T12" s="1">
        <v>2.93</v>
      </c>
    </row>
    <row r="13" spans="1:20" x14ac:dyDescent="0.25">
      <c r="A13" s="6" t="s">
        <v>68</v>
      </c>
      <c r="B13" s="4">
        <v>68642</v>
      </c>
      <c r="C13" s="4">
        <v>58360</v>
      </c>
      <c r="D13" s="4">
        <v>49616</v>
      </c>
      <c r="E13" s="4">
        <v>40917</v>
      </c>
      <c r="F13" s="4">
        <v>27100</v>
      </c>
      <c r="G13" s="4">
        <v>26717</v>
      </c>
      <c r="H13" s="4">
        <v>12103</v>
      </c>
      <c r="I13" s="4">
        <v>8307</v>
      </c>
      <c r="J13" s="4">
        <v>6570.52</v>
      </c>
      <c r="K13" s="4">
        <v>6259.7960000000003</v>
      </c>
      <c r="L13" s="4">
        <v>2782.0059999999999</v>
      </c>
      <c r="M13" s="4">
        <v>3180.0729999999999</v>
      </c>
      <c r="N13" s="4">
        <v>1265.9390000000001</v>
      </c>
      <c r="O13" s="4">
        <v>524.76800000000003</v>
      </c>
      <c r="P13" s="4">
        <v>372.83800000000002</v>
      </c>
      <c r="Q13" s="4">
        <v>235.886</v>
      </c>
      <c r="R13" s="4">
        <v>100.559</v>
      </c>
      <c r="S13" s="4">
        <v>31.427</v>
      </c>
      <c r="T13" s="4">
        <v>22.308</v>
      </c>
    </row>
    <row r="15" spans="1:20" x14ac:dyDescent="0.25">
      <c r="A15" s="1" t="s">
        <v>67</v>
      </c>
      <c r="B15" s="1">
        <v>40643</v>
      </c>
      <c r="C15" s="1">
        <v>51507</v>
      </c>
      <c r="D15" s="1">
        <v>45123</v>
      </c>
      <c r="E15" s="1">
        <v>36635</v>
      </c>
      <c r="F15" s="1">
        <v>31176</v>
      </c>
      <c r="G15" s="1">
        <v>23378</v>
      </c>
      <c r="H15" s="1">
        <v>20196</v>
      </c>
      <c r="I15" s="1">
        <v>19693</v>
      </c>
      <c r="J15" s="1">
        <v>20491.712</v>
      </c>
      <c r="K15" s="1">
        <v>15033.337</v>
      </c>
      <c r="L15" s="1">
        <v>5186.8339999999998</v>
      </c>
      <c r="M15" s="1">
        <v>2595.9670000000001</v>
      </c>
      <c r="N15" s="1">
        <v>1120.9190000000001</v>
      </c>
      <c r="O15" s="1">
        <v>562.29999999999995</v>
      </c>
      <c r="P15" s="1">
        <v>310.17099999999999</v>
      </c>
      <c r="Q15" s="1">
        <v>122.599</v>
      </c>
      <c r="R15" s="1">
        <v>23.535</v>
      </c>
      <c r="S15" s="1">
        <v>18.792999999999999</v>
      </c>
      <c r="T15" s="1">
        <v>11.997999999999999</v>
      </c>
    </row>
    <row r="16" spans="1:20" x14ac:dyDescent="0.25">
      <c r="A16" s="1" t="s">
        <v>66</v>
      </c>
      <c r="B16" s="1">
        <v>257</v>
      </c>
      <c r="C16" s="1">
        <v>244</v>
      </c>
      <c r="D16" s="1">
        <v>253</v>
      </c>
      <c r="E16" s="1">
        <v>194</v>
      </c>
      <c r="F16" s="1">
        <v>200</v>
      </c>
      <c r="G16" s="1">
        <v>207</v>
      </c>
      <c r="H16" s="1">
        <v>198</v>
      </c>
      <c r="I16" s="1">
        <v>68</v>
      </c>
      <c r="J16" s="1">
        <v>60.237000000000002</v>
      </c>
      <c r="K16" s="1">
        <v>0</v>
      </c>
      <c r="L16" s="1">
        <v>0</v>
      </c>
      <c r="M16" s="1">
        <v>0</v>
      </c>
      <c r="N16" s="1">
        <v>0</v>
      </c>
      <c r="O16" s="1">
        <v>0</v>
      </c>
      <c r="P16" s="1">
        <v>0</v>
      </c>
      <c r="Q16" s="1">
        <v>0</v>
      </c>
      <c r="R16" s="1">
        <v>0</v>
      </c>
      <c r="S16" s="1">
        <v>0</v>
      </c>
      <c r="T16" s="1">
        <v>0</v>
      </c>
    </row>
    <row r="17" spans="1:20" x14ac:dyDescent="0.25">
      <c r="A17" s="1" t="s">
        <v>65</v>
      </c>
      <c r="B17" s="1">
        <v>135</v>
      </c>
      <c r="C17" s="1">
        <v>1226</v>
      </c>
      <c r="D17" s="1">
        <v>362</v>
      </c>
      <c r="E17" s="1">
        <v>399</v>
      </c>
      <c r="F17" s="1">
        <v>1517</v>
      </c>
      <c r="G17" s="1">
        <v>313</v>
      </c>
      <c r="H17" s="1">
        <v>339</v>
      </c>
      <c r="I17" s="1">
        <v>282</v>
      </c>
      <c r="J17" s="1">
        <v>361.50200000000001</v>
      </c>
      <c r="K17" s="1">
        <v>376.14499999999998</v>
      </c>
      <c r="L17" s="1">
        <v>12.816000000000001</v>
      </c>
      <c r="M17" s="1">
        <v>0</v>
      </c>
      <c r="N17" s="1">
        <v>13.93</v>
      </c>
      <c r="O17" s="1">
        <v>14.266999999999999</v>
      </c>
      <c r="P17" s="1">
        <v>14.507999999999999</v>
      </c>
      <c r="Q17" s="1">
        <v>0</v>
      </c>
      <c r="R17" s="1">
        <v>0</v>
      </c>
      <c r="S17" s="1">
        <v>0</v>
      </c>
      <c r="T17" s="1">
        <v>0</v>
      </c>
    </row>
    <row r="18" spans="1:20" x14ac:dyDescent="0.25">
      <c r="A18" s="1" t="s">
        <v>64</v>
      </c>
      <c r="B18" s="1">
        <v>392</v>
      </c>
      <c r="C18" s="1">
        <v>1470</v>
      </c>
      <c r="D18" s="1">
        <v>615</v>
      </c>
      <c r="E18" s="1">
        <v>593</v>
      </c>
      <c r="F18" s="1">
        <v>1717</v>
      </c>
      <c r="G18" s="1">
        <v>520</v>
      </c>
      <c r="H18" s="1">
        <v>537</v>
      </c>
      <c r="I18" s="1">
        <v>350</v>
      </c>
      <c r="J18" s="1">
        <v>421.73899999999998</v>
      </c>
      <c r="K18" s="1">
        <v>376.14499999999998</v>
      </c>
      <c r="L18" s="1">
        <v>12.816000000000001</v>
      </c>
      <c r="M18" s="1">
        <v>0</v>
      </c>
      <c r="N18" s="1">
        <v>13.93</v>
      </c>
      <c r="O18" s="1">
        <v>14.266999999999999</v>
      </c>
      <c r="P18" s="1">
        <v>14.507999999999999</v>
      </c>
      <c r="Q18" s="1">
        <v>0</v>
      </c>
      <c r="R18" s="1">
        <v>0</v>
      </c>
      <c r="S18" s="1">
        <v>0</v>
      </c>
      <c r="T18" s="1">
        <v>0</v>
      </c>
    </row>
    <row r="19" spans="1:20" x14ac:dyDescent="0.25">
      <c r="A19" s="1" t="s">
        <v>63</v>
      </c>
      <c r="B19" s="1">
        <v>0</v>
      </c>
      <c r="C19" s="1">
        <v>0</v>
      </c>
      <c r="D19" s="1">
        <v>0</v>
      </c>
      <c r="E19" s="1">
        <v>657</v>
      </c>
      <c r="F19" s="1">
        <v>522</v>
      </c>
      <c r="G19" s="1">
        <v>613</v>
      </c>
      <c r="H19" s="1">
        <v>1</v>
      </c>
      <c r="I19" s="1">
        <v>12</v>
      </c>
      <c r="J19" s="1">
        <v>5.3040000000000003</v>
      </c>
      <c r="K19" s="1">
        <v>774.46699999999998</v>
      </c>
      <c r="L19" s="1">
        <v>0</v>
      </c>
      <c r="M19" s="1">
        <v>0</v>
      </c>
      <c r="N19" s="1">
        <v>0</v>
      </c>
      <c r="O19" s="1">
        <v>5.1589999999999998</v>
      </c>
      <c r="P19" s="1">
        <v>0</v>
      </c>
      <c r="Q19" s="1">
        <v>4.867</v>
      </c>
      <c r="R19" s="1">
        <v>3.58</v>
      </c>
      <c r="S19" s="1">
        <v>1.22</v>
      </c>
      <c r="T19" s="1">
        <v>0</v>
      </c>
    </row>
    <row r="20" spans="1:20" x14ac:dyDescent="0.25">
      <c r="A20" s="1" t="s">
        <v>62</v>
      </c>
      <c r="B20" s="1">
        <v>6925</v>
      </c>
      <c r="C20" s="1">
        <v>6524</v>
      </c>
      <c r="D20" s="1">
        <v>6733</v>
      </c>
      <c r="E20" s="1">
        <v>328</v>
      </c>
      <c r="F20" s="1">
        <v>0</v>
      </c>
      <c r="G20" s="1">
        <v>0</v>
      </c>
      <c r="H20" s="1">
        <v>0</v>
      </c>
      <c r="I20" s="1">
        <v>0</v>
      </c>
      <c r="J20" s="1">
        <v>0</v>
      </c>
      <c r="K20" s="1">
        <v>0</v>
      </c>
      <c r="L20" s="1">
        <v>0</v>
      </c>
      <c r="M20" s="1">
        <v>0</v>
      </c>
      <c r="N20" s="1">
        <v>0</v>
      </c>
      <c r="O20" s="1">
        <v>0</v>
      </c>
      <c r="P20" s="1">
        <v>0</v>
      </c>
      <c r="Q20" s="1">
        <v>0</v>
      </c>
      <c r="R20" s="1">
        <v>0</v>
      </c>
      <c r="S20" s="1">
        <v>0</v>
      </c>
      <c r="T20" s="1">
        <v>0</v>
      </c>
    </row>
    <row r="21" spans="1:20" x14ac:dyDescent="0.25">
      <c r="A21" s="1" t="s">
        <v>61</v>
      </c>
      <c r="B21" s="1">
        <v>21204</v>
      </c>
      <c r="C21" s="1">
        <v>4215</v>
      </c>
      <c r="D21" s="1">
        <v>4532</v>
      </c>
      <c r="E21" s="1">
        <v>3208</v>
      </c>
      <c r="F21" s="1">
        <v>1612</v>
      </c>
      <c r="G21" s="1">
        <v>923</v>
      </c>
      <c r="H21" s="1">
        <v>1469</v>
      </c>
      <c r="I21" s="1">
        <v>1380</v>
      </c>
      <c r="J21" s="1">
        <v>1166.193</v>
      </c>
      <c r="K21" s="1">
        <v>216.751</v>
      </c>
      <c r="L21" s="1">
        <v>78.38</v>
      </c>
      <c r="M21" s="1">
        <v>54.582999999999998</v>
      </c>
      <c r="N21" s="1">
        <v>16.117000000000001</v>
      </c>
      <c r="O21" s="1">
        <v>7.6959999999999997</v>
      </c>
      <c r="P21" s="1">
        <v>15.930999999999999</v>
      </c>
      <c r="Q21" s="1">
        <v>22.73</v>
      </c>
      <c r="R21" s="1">
        <v>2.75</v>
      </c>
      <c r="S21" s="1">
        <v>0.25900000000000001</v>
      </c>
      <c r="T21" s="1">
        <v>0.53100000000000003</v>
      </c>
    </row>
    <row r="22" spans="1:20" x14ac:dyDescent="0.25">
      <c r="A22" s="6" t="s">
        <v>60</v>
      </c>
      <c r="B22" s="4">
        <v>69164</v>
      </c>
      <c r="C22" s="4">
        <v>63716</v>
      </c>
      <c r="D22" s="4">
        <v>57003</v>
      </c>
      <c r="E22" s="4">
        <v>41421</v>
      </c>
      <c r="F22" s="4">
        <v>35027</v>
      </c>
      <c r="G22" s="4">
        <v>25434</v>
      </c>
      <c r="H22" s="4">
        <v>22203</v>
      </c>
      <c r="I22" s="4">
        <v>21435</v>
      </c>
      <c r="J22" s="4">
        <v>22084.948</v>
      </c>
      <c r="K22" s="4">
        <v>16400.7</v>
      </c>
      <c r="L22" s="4">
        <v>5278.03</v>
      </c>
      <c r="M22" s="4">
        <v>2650.55</v>
      </c>
      <c r="N22" s="4">
        <v>1150.9659999999999</v>
      </c>
      <c r="O22" s="4">
        <v>589.42200000000003</v>
      </c>
      <c r="P22" s="4">
        <v>340.61</v>
      </c>
      <c r="Q22" s="4">
        <v>150.196</v>
      </c>
      <c r="R22" s="4">
        <v>29.864999999999998</v>
      </c>
      <c r="S22" s="4">
        <v>20.271999999999998</v>
      </c>
      <c r="T22" s="4">
        <v>12.529</v>
      </c>
    </row>
    <row r="24" spans="1:20" x14ac:dyDescent="0.25">
      <c r="A24" s="1" t="s">
        <v>59</v>
      </c>
      <c r="B24" s="1">
        <v>0</v>
      </c>
      <c r="C24" s="1">
        <v>-6</v>
      </c>
      <c r="D24" s="1">
        <v>-1</v>
      </c>
      <c r="E24" s="1">
        <v>0</v>
      </c>
      <c r="F24" s="1">
        <v>4</v>
      </c>
      <c r="G24" s="1">
        <v>-3</v>
      </c>
      <c r="H24" s="1">
        <v>3</v>
      </c>
      <c r="I24" s="1">
        <v>-2</v>
      </c>
      <c r="J24" s="1">
        <v>-9.6000000000000002E-2</v>
      </c>
      <c r="K24" s="1">
        <v>3.58</v>
      </c>
      <c r="L24" s="1">
        <v>7.9029999999999996</v>
      </c>
      <c r="M24" s="1">
        <v>4.3999999999999997E-2</v>
      </c>
      <c r="N24" s="1">
        <v>2.5000000000000001E-2</v>
      </c>
      <c r="O24" s="1">
        <v>0</v>
      </c>
      <c r="P24" s="1">
        <v>0</v>
      </c>
      <c r="Q24" s="1">
        <v>0</v>
      </c>
      <c r="R24" s="1">
        <v>0</v>
      </c>
      <c r="S24" s="1">
        <v>0</v>
      </c>
      <c r="T24" s="1">
        <v>0</v>
      </c>
    </row>
    <row r="25" spans="1:20" x14ac:dyDescent="0.25">
      <c r="A25" s="6" t="s">
        <v>58</v>
      </c>
      <c r="B25" s="5">
        <v>137806</v>
      </c>
      <c r="C25" s="5">
        <v>122070</v>
      </c>
      <c r="D25" s="5">
        <v>106618</v>
      </c>
      <c r="E25" s="5">
        <v>82338</v>
      </c>
      <c r="F25" s="5">
        <v>62131</v>
      </c>
      <c r="G25" s="5">
        <v>52148</v>
      </c>
      <c r="H25" s="5">
        <v>34309</v>
      </c>
      <c r="I25" s="5">
        <v>29740</v>
      </c>
      <c r="J25" s="5">
        <v>28655.371999999999</v>
      </c>
      <c r="K25" s="5">
        <v>22664.076000000001</v>
      </c>
      <c r="L25" s="5">
        <v>8067.9390000000003</v>
      </c>
      <c r="M25" s="5">
        <v>5830.6670000000004</v>
      </c>
      <c r="N25" s="5">
        <v>2416.9299999999998</v>
      </c>
      <c r="O25" s="5">
        <v>1114.19</v>
      </c>
      <c r="P25" s="5">
        <v>713.44799999999998</v>
      </c>
      <c r="Q25" s="5">
        <v>386.08199999999999</v>
      </c>
      <c r="R25" s="5">
        <v>130.42400000000001</v>
      </c>
      <c r="S25" s="5">
        <v>51.698999999999998</v>
      </c>
      <c r="T25" s="5">
        <v>34.837000000000003</v>
      </c>
    </row>
    <row r="27" spans="1:20" x14ac:dyDescent="0.25">
      <c r="A27" s="1" t="s">
        <v>57</v>
      </c>
      <c r="B27" s="1">
        <v>13371</v>
      </c>
      <c r="C27" s="1">
        <v>12474</v>
      </c>
      <c r="D27" s="1">
        <v>14431</v>
      </c>
      <c r="E27" s="1">
        <v>15255</v>
      </c>
      <c r="F27" s="1">
        <v>10025</v>
      </c>
      <c r="G27" s="1">
        <v>6051</v>
      </c>
      <c r="H27" s="1">
        <v>3771</v>
      </c>
      <c r="I27" s="1">
        <v>3404.451</v>
      </c>
      <c r="J27" s="1">
        <v>2390.25</v>
      </c>
      <c r="K27" s="1">
        <v>1860.3409999999999</v>
      </c>
      <c r="L27" s="1">
        <v>916.14800000000002</v>
      </c>
      <c r="M27" s="1">
        <v>777.94600000000003</v>
      </c>
      <c r="N27" s="1">
        <v>303.96899999999999</v>
      </c>
      <c r="O27" s="1">
        <v>303.38200000000001</v>
      </c>
      <c r="P27" s="1">
        <v>56.140999999999998</v>
      </c>
      <c r="Q27" s="1">
        <v>28.951000000000001</v>
      </c>
      <c r="R27" s="1">
        <v>15.086</v>
      </c>
      <c r="S27" s="1">
        <v>14.183999999999999</v>
      </c>
      <c r="T27" s="1">
        <v>5.3689999999999998</v>
      </c>
    </row>
    <row r="28" spans="1:20" x14ac:dyDescent="0.25">
      <c r="A28" s="1" t="s">
        <v>56</v>
      </c>
      <c r="B28" s="1">
        <v>1640</v>
      </c>
      <c r="C28" s="1">
        <v>3263</v>
      </c>
      <c r="D28" s="1">
        <v>3045</v>
      </c>
      <c r="E28" s="1">
        <v>1987</v>
      </c>
      <c r="F28" s="1">
        <v>1957</v>
      </c>
      <c r="G28" s="1">
        <v>2418</v>
      </c>
      <c r="H28" s="1">
        <v>2013</v>
      </c>
      <c r="I28" s="1">
        <v>2712</v>
      </c>
      <c r="J28" s="1">
        <v>978.77700000000004</v>
      </c>
      <c r="K28" s="1">
        <v>1262.9929999999999</v>
      </c>
      <c r="L28" s="1">
        <v>627.92700000000002</v>
      </c>
      <c r="M28" s="1">
        <v>641.66099999999994</v>
      </c>
      <c r="N28" s="1">
        <v>7.9039999999999999</v>
      </c>
      <c r="O28" s="1">
        <v>55.206000000000003</v>
      </c>
      <c r="P28" s="1">
        <v>8.9830000000000005</v>
      </c>
      <c r="Q28" s="1">
        <v>0.27900000000000003</v>
      </c>
      <c r="R28" s="1">
        <v>0.28999999999999998</v>
      </c>
      <c r="S28" s="1">
        <v>0.34100000000000003</v>
      </c>
      <c r="T28" s="1">
        <v>0.08</v>
      </c>
    </row>
    <row r="29" spans="1:20" x14ac:dyDescent="0.25">
      <c r="A29" s="1" t="s">
        <v>55</v>
      </c>
      <c r="B29" s="1">
        <v>0</v>
      </c>
      <c r="C29" s="1">
        <v>1367</v>
      </c>
      <c r="D29" s="1">
        <v>1204</v>
      </c>
      <c r="E29" s="1">
        <v>1235</v>
      </c>
      <c r="F29" s="1">
        <v>1122</v>
      </c>
      <c r="G29" s="1">
        <v>777</v>
      </c>
      <c r="H29" s="1">
        <v>611</v>
      </c>
      <c r="I29" s="1">
        <v>348.66300000000001</v>
      </c>
      <c r="J29" s="1">
        <v>185.80699999999999</v>
      </c>
      <c r="K29" s="1">
        <v>152.89699999999999</v>
      </c>
      <c r="L29" s="1">
        <v>101.206</v>
      </c>
      <c r="M29" s="1">
        <v>71.228999999999999</v>
      </c>
      <c r="N29" s="1">
        <v>38.067</v>
      </c>
      <c r="O29" s="1">
        <v>9.7100000000000009</v>
      </c>
      <c r="P29" s="1">
        <v>0.96699999999999997</v>
      </c>
      <c r="Q29" s="1">
        <v>2.6739999999999999</v>
      </c>
      <c r="R29" s="1">
        <v>0.45200000000000001</v>
      </c>
      <c r="S29" s="1">
        <v>1.8029999999999999</v>
      </c>
      <c r="T29" s="1">
        <v>0</v>
      </c>
    </row>
    <row r="30" spans="1:20" x14ac:dyDescent="0.25">
      <c r="A30" s="1" t="s">
        <v>54</v>
      </c>
      <c r="B30" s="1">
        <v>3424</v>
      </c>
      <c r="C30" s="1">
        <v>4161</v>
      </c>
      <c r="D30" s="1">
        <v>3740</v>
      </c>
      <c r="E30" s="1">
        <v>2810</v>
      </c>
      <c r="F30" s="1">
        <v>2372</v>
      </c>
      <c r="G30" s="1">
        <v>2210</v>
      </c>
      <c r="H30" s="1">
        <v>1889</v>
      </c>
      <c r="I30" s="1">
        <v>1423</v>
      </c>
      <c r="J30" s="1">
        <v>1869.172</v>
      </c>
      <c r="K30" s="1">
        <v>763.12599999999998</v>
      </c>
      <c r="L30" s="1">
        <v>707.33100000000002</v>
      </c>
      <c r="M30" s="1">
        <v>191.65100000000001</v>
      </c>
      <c r="N30" s="1">
        <v>91.882000000000005</v>
      </c>
      <c r="O30" s="1">
        <v>140.72200000000001</v>
      </c>
      <c r="P30" s="1">
        <v>94.105999999999995</v>
      </c>
      <c r="Q30" s="1">
        <v>4.6349999999999998</v>
      </c>
      <c r="R30" s="1">
        <v>1.377</v>
      </c>
      <c r="S30" s="1">
        <v>4.0730000000000004</v>
      </c>
      <c r="T30" s="1">
        <v>0</v>
      </c>
    </row>
    <row r="31" spans="1:20" x14ac:dyDescent="0.25">
      <c r="A31" s="1" t="s">
        <v>53</v>
      </c>
      <c r="B31" s="1">
        <v>13279</v>
      </c>
      <c r="C31" s="1">
        <v>7556</v>
      </c>
      <c r="D31" s="1">
        <v>6328</v>
      </c>
      <c r="E31" s="1">
        <v>5422</v>
      </c>
      <c r="F31" s="1">
        <v>4229</v>
      </c>
      <c r="G31" s="1">
        <v>2792</v>
      </c>
      <c r="H31" s="1">
        <v>2383</v>
      </c>
      <c r="I31" s="1">
        <v>2104.886</v>
      </c>
      <c r="J31" s="1">
        <v>2250.6640000000002</v>
      </c>
      <c r="K31" s="1">
        <v>1787.6479999999999</v>
      </c>
      <c r="L31" s="1">
        <v>458.423</v>
      </c>
      <c r="M31" s="1">
        <v>424.67899999999997</v>
      </c>
      <c r="N31" s="1">
        <v>233.33799999999999</v>
      </c>
      <c r="O31" s="1">
        <v>30.088000000000001</v>
      </c>
      <c r="P31" s="1">
        <v>31.141999999999999</v>
      </c>
      <c r="Q31" s="1">
        <v>49.026000000000003</v>
      </c>
      <c r="R31" s="1">
        <v>40.283999999999999</v>
      </c>
      <c r="S31" s="1">
        <v>67.534000000000006</v>
      </c>
      <c r="T31" s="1">
        <v>45.847000000000001</v>
      </c>
    </row>
    <row r="32" spans="1:20" x14ac:dyDescent="0.25">
      <c r="A32" s="6" t="s">
        <v>52</v>
      </c>
      <c r="B32" s="4">
        <v>31714</v>
      </c>
      <c r="C32" s="4">
        <v>28821</v>
      </c>
      <c r="D32" s="4">
        <v>28748</v>
      </c>
      <c r="E32" s="4">
        <v>26709</v>
      </c>
      <c r="F32" s="4">
        <v>19705</v>
      </c>
      <c r="G32" s="4">
        <v>14248</v>
      </c>
      <c r="H32" s="4">
        <v>10667</v>
      </c>
      <c r="I32" s="4">
        <v>9993</v>
      </c>
      <c r="J32" s="4">
        <v>7674.67</v>
      </c>
      <c r="K32" s="4">
        <v>5827.0050000000001</v>
      </c>
      <c r="L32" s="4">
        <v>2811.0349999999999</v>
      </c>
      <c r="M32" s="4">
        <v>2107.1660000000002</v>
      </c>
      <c r="N32" s="4">
        <v>675.16</v>
      </c>
      <c r="O32" s="4">
        <v>539.10799999999995</v>
      </c>
      <c r="P32" s="4">
        <v>191.339</v>
      </c>
      <c r="Q32" s="4">
        <v>85.564999999999998</v>
      </c>
      <c r="R32" s="4">
        <v>57.488999999999997</v>
      </c>
      <c r="S32" s="4">
        <v>87.935000000000002</v>
      </c>
      <c r="T32" s="4">
        <v>51.295999999999999</v>
      </c>
    </row>
    <row r="34" spans="1:20" x14ac:dyDescent="0.25">
      <c r="A34" s="1" t="s">
        <v>51</v>
      </c>
      <c r="B34" s="1">
        <v>6736</v>
      </c>
      <c r="C34" s="1">
        <v>10360</v>
      </c>
      <c r="D34" s="1">
        <v>6528</v>
      </c>
      <c r="E34" s="1">
        <v>3761</v>
      </c>
      <c r="F34" s="1">
        <v>6916</v>
      </c>
      <c r="G34" s="1">
        <v>10861</v>
      </c>
      <c r="H34" s="1">
        <v>12590</v>
      </c>
      <c r="I34" s="1">
        <v>11116</v>
      </c>
      <c r="J34" s="1">
        <v>11152.085999999999</v>
      </c>
      <c r="K34" s="1">
        <v>7538.9970000000003</v>
      </c>
      <c r="L34" s="1">
        <v>2269.7669999999998</v>
      </c>
      <c r="M34" s="1">
        <v>1889.248</v>
      </c>
      <c r="N34" s="1">
        <v>598.97400000000005</v>
      </c>
      <c r="O34" s="1">
        <v>411.46</v>
      </c>
      <c r="P34" s="1">
        <v>271.16500000000002</v>
      </c>
      <c r="Q34" s="1">
        <v>72.323999999999998</v>
      </c>
      <c r="R34" s="1">
        <v>0.8</v>
      </c>
      <c r="S34" s="1">
        <v>55.415999999999997</v>
      </c>
      <c r="T34" s="1">
        <v>1.7999999999999999E-2</v>
      </c>
    </row>
    <row r="35" spans="1:20" x14ac:dyDescent="0.25">
      <c r="A35" s="1" t="s">
        <v>50</v>
      </c>
      <c r="B35" s="1">
        <v>3631</v>
      </c>
      <c r="C35" s="1">
        <v>3317</v>
      </c>
      <c r="D35" s="1">
        <v>3251</v>
      </c>
      <c r="E35" s="1">
        <v>2804</v>
      </c>
      <c r="F35" s="1">
        <v>2052</v>
      </c>
      <c r="G35" s="1">
        <v>1284</v>
      </c>
      <c r="H35" s="1">
        <v>1207</v>
      </c>
      <c r="I35" s="1">
        <v>990.87300000000005</v>
      </c>
      <c r="J35" s="1">
        <v>1177.799</v>
      </c>
      <c r="K35" s="1">
        <v>851.79</v>
      </c>
      <c r="L35" s="1">
        <v>446.10500000000002</v>
      </c>
      <c r="M35" s="1">
        <v>292.27100000000002</v>
      </c>
      <c r="N35" s="1">
        <v>181.18</v>
      </c>
      <c r="O35" s="1">
        <v>3.06</v>
      </c>
      <c r="P35" s="1">
        <v>3.1459999999999999</v>
      </c>
      <c r="Q35" s="1">
        <v>2.7829999999999999</v>
      </c>
      <c r="R35" s="1">
        <v>1.24</v>
      </c>
      <c r="S35" s="1">
        <v>0</v>
      </c>
      <c r="T35" s="1">
        <v>0</v>
      </c>
    </row>
    <row r="36" spans="1:20" x14ac:dyDescent="0.25">
      <c r="A36" s="1" t="s">
        <v>49</v>
      </c>
      <c r="B36" s="1">
        <v>0</v>
      </c>
      <c r="C36" s="1">
        <v>0</v>
      </c>
      <c r="D36" s="1">
        <v>0</v>
      </c>
      <c r="E36" s="1">
        <v>82</v>
      </c>
      <c r="F36" s="1">
        <v>24</v>
      </c>
      <c r="G36" s="1">
        <v>151</v>
      </c>
      <c r="H36" s="1">
        <v>66</v>
      </c>
      <c r="I36" s="1">
        <v>0.127</v>
      </c>
      <c r="J36" s="1">
        <v>0</v>
      </c>
      <c r="K36" s="1">
        <v>-75.575999999999993</v>
      </c>
      <c r="L36" s="1">
        <v>0</v>
      </c>
      <c r="M36" s="1">
        <v>0</v>
      </c>
      <c r="N36" s="1">
        <v>6.8209999999999997</v>
      </c>
      <c r="O36" s="1">
        <v>0.33</v>
      </c>
      <c r="P36" s="1">
        <v>0</v>
      </c>
      <c r="Q36" s="1">
        <v>0</v>
      </c>
      <c r="R36" s="1">
        <v>0</v>
      </c>
      <c r="S36" s="1">
        <v>0</v>
      </c>
      <c r="T36" s="1">
        <v>0</v>
      </c>
    </row>
    <row r="37" spans="1:20" x14ac:dyDescent="0.25">
      <c r="A37" s="1" t="s">
        <v>48</v>
      </c>
      <c r="B37" s="1">
        <v>12860</v>
      </c>
      <c r="C37" s="1">
        <v>5892</v>
      </c>
      <c r="D37" s="1">
        <v>4482</v>
      </c>
      <c r="E37" s="1">
        <v>3084</v>
      </c>
      <c r="F37" s="1">
        <v>1851</v>
      </c>
      <c r="G37" s="1">
        <v>1925</v>
      </c>
      <c r="H37" s="1">
        <v>1669</v>
      </c>
      <c r="I37" s="1">
        <v>1327.127</v>
      </c>
      <c r="J37" s="1">
        <v>3018.4949999999999</v>
      </c>
      <c r="K37" s="1">
        <v>2618.643</v>
      </c>
      <c r="L37" s="1">
        <v>1457.328</v>
      </c>
      <c r="M37" s="1">
        <v>630.27200000000005</v>
      </c>
      <c r="N37" s="1">
        <v>287.67500000000001</v>
      </c>
      <c r="O37" s="1">
        <v>35.531999999999996</v>
      </c>
      <c r="P37" s="1">
        <v>23.753</v>
      </c>
      <c r="Q37" s="1">
        <v>18.361999999999998</v>
      </c>
      <c r="R37" s="1">
        <v>324.41800000000001</v>
      </c>
      <c r="S37" s="1">
        <v>108.062</v>
      </c>
      <c r="T37" s="1">
        <v>101.369</v>
      </c>
    </row>
    <row r="38" spans="1:20" x14ac:dyDescent="0.25">
      <c r="A38" s="6" t="s">
        <v>47</v>
      </c>
      <c r="B38" s="4">
        <v>23227</v>
      </c>
      <c r="C38" s="4">
        <v>19569</v>
      </c>
      <c r="D38" s="4">
        <v>14261</v>
      </c>
      <c r="E38" s="4">
        <v>9731</v>
      </c>
      <c r="F38" s="4">
        <v>10843</v>
      </c>
      <c r="G38" s="4">
        <v>14221</v>
      </c>
      <c r="H38" s="4">
        <v>15532</v>
      </c>
      <c r="I38" s="4">
        <v>13434</v>
      </c>
      <c r="J38" s="4">
        <v>15348.38</v>
      </c>
      <c r="K38" s="4">
        <v>10931.946</v>
      </c>
      <c r="L38" s="4">
        <v>4173.2</v>
      </c>
      <c r="M38" s="4">
        <v>2811.7910000000002</v>
      </c>
      <c r="N38" s="4">
        <v>1074.6500000000001</v>
      </c>
      <c r="O38" s="4">
        <v>450.38200000000001</v>
      </c>
      <c r="P38" s="4">
        <v>298.06400000000002</v>
      </c>
      <c r="Q38" s="4">
        <v>93.468999999999994</v>
      </c>
      <c r="R38" s="4">
        <v>326.45800000000003</v>
      </c>
      <c r="S38" s="4">
        <v>163.47800000000001</v>
      </c>
      <c r="T38" s="4">
        <v>101.387</v>
      </c>
    </row>
    <row r="40" spans="1:20" x14ac:dyDescent="0.25">
      <c r="A40" s="1" t="s">
        <v>46</v>
      </c>
      <c r="B40" s="1">
        <v>0</v>
      </c>
      <c r="C40" s="1">
        <v>0</v>
      </c>
      <c r="D40" s="1">
        <v>0</v>
      </c>
      <c r="E40" s="1">
        <v>0</v>
      </c>
      <c r="F40" s="1">
        <v>0</v>
      </c>
      <c r="G40" s="1">
        <v>0</v>
      </c>
      <c r="H40" s="1">
        <v>0</v>
      </c>
      <c r="I40" s="1">
        <v>0</v>
      </c>
      <c r="J40" s="1">
        <v>0</v>
      </c>
      <c r="K40" s="1">
        <v>0</v>
      </c>
      <c r="L40" s="1">
        <v>0</v>
      </c>
      <c r="M40" s="1">
        <v>0</v>
      </c>
      <c r="N40" s="1">
        <v>0</v>
      </c>
      <c r="O40" s="1">
        <v>0</v>
      </c>
      <c r="P40" s="1">
        <v>0</v>
      </c>
      <c r="Q40" s="1">
        <v>0</v>
      </c>
      <c r="R40" s="1">
        <v>0</v>
      </c>
      <c r="S40" s="1">
        <v>0</v>
      </c>
      <c r="T40" s="1">
        <v>0</v>
      </c>
    </row>
    <row r="41" spans="1:20" x14ac:dyDescent="0.25">
      <c r="A41" s="6" t="s">
        <v>45</v>
      </c>
      <c r="B41" s="5">
        <v>54941</v>
      </c>
      <c r="C41" s="5">
        <v>48390</v>
      </c>
      <c r="D41" s="5">
        <v>43009</v>
      </c>
      <c r="E41" s="5">
        <v>36440</v>
      </c>
      <c r="F41" s="5">
        <v>30548</v>
      </c>
      <c r="G41" s="5">
        <v>28469</v>
      </c>
      <c r="H41" s="5">
        <v>26199</v>
      </c>
      <c r="I41" s="5">
        <v>23427</v>
      </c>
      <c r="J41" s="5">
        <v>23023.05</v>
      </c>
      <c r="K41" s="5">
        <v>16758.951000000001</v>
      </c>
      <c r="L41" s="5">
        <v>6984.2349999999997</v>
      </c>
      <c r="M41" s="5">
        <v>4918.9570000000003</v>
      </c>
      <c r="N41" s="5">
        <v>1749.81</v>
      </c>
      <c r="O41" s="5">
        <v>989.49</v>
      </c>
      <c r="P41" s="5">
        <v>489.40300000000002</v>
      </c>
      <c r="Q41" s="5">
        <v>179.03399999999999</v>
      </c>
      <c r="R41" s="5">
        <v>383.947</v>
      </c>
      <c r="S41" s="5">
        <v>251.41300000000001</v>
      </c>
      <c r="T41" s="5">
        <v>152.68299999999999</v>
      </c>
    </row>
    <row r="43" spans="1:20" x14ac:dyDescent="0.25">
      <c r="A43" s="1" t="s">
        <v>44</v>
      </c>
      <c r="B43" s="1">
        <v>3</v>
      </c>
      <c r="C43" s="1">
        <v>3</v>
      </c>
      <c r="D43" s="1">
        <v>3</v>
      </c>
      <c r="E43" s="1">
        <v>3</v>
      </c>
      <c r="F43" s="1">
        <v>3</v>
      </c>
      <c r="G43" s="1">
        <v>1</v>
      </c>
      <c r="H43" s="1">
        <v>1</v>
      </c>
      <c r="I43" s="1">
        <v>0</v>
      </c>
      <c r="J43" s="1">
        <v>0.16900000000000001</v>
      </c>
      <c r="K43" s="1">
        <v>0.161</v>
      </c>
      <c r="L43" s="1">
        <v>0.13100000000000001</v>
      </c>
      <c r="M43" s="1">
        <v>0.126</v>
      </c>
      <c r="N43" s="1">
        <v>0.123</v>
      </c>
      <c r="O43" s="1">
        <v>0.115</v>
      </c>
      <c r="P43" s="1">
        <v>0.104</v>
      </c>
      <c r="Q43" s="1">
        <v>9.5000000000000001E-2</v>
      </c>
      <c r="R43" s="1">
        <v>7.0000000000000001E-3</v>
      </c>
      <c r="S43" s="1">
        <v>7.0000000000000001E-3</v>
      </c>
      <c r="T43" s="1">
        <v>1.7999999999999999E-2</v>
      </c>
    </row>
    <row r="44" spans="1:20" x14ac:dyDescent="0.25">
      <c r="A44" s="1" t="s">
        <v>43</v>
      </c>
      <c r="B44" s="1">
        <v>39003</v>
      </c>
      <c r="C44" s="1">
        <v>35209</v>
      </c>
      <c r="D44" s="1">
        <v>27882</v>
      </c>
      <c r="E44" s="1">
        <v>12885</v>
      </c>
      <c r="F44" s="1">
        <v>329</v>
      </c>
      <c r="G44" s="1">
        <v>-5399</v>
      </c>
      <c r="H44" s="1">
        <v>-6083</v>
      </c>
      <c r="I44" s="1">
        <v>-5318</v>
      </c>
      <c r="J44" s="1">
        <v>-4974.299</v>
      </c>
      <c r="K44" s="1">
        <v>-2997.2370000000001</v>
      </c>
      <c r="L44" s="1">
        <v>-2322.3229999999999</v>
      </c>
      <c r="M44" s="1">
        <v>-1433.682</v>
      </c>
      <c r="N44" s="1">
        <v>-1139.6199999999999</v>
      </c>
      <c r="O44" s="1">
        <v>-1065.606</v>
      </c>
      <c r="P44" s="1">
        <v>-669.39200000000005</v>
      </c>
      <c r="Q44" s="1">
        <v>-414.98200000000003</v>
      </c>
      <c r="R44" s="1">
        <v>-260.654</v>
      </c>
      <c r="S44" s="1">
        <v>-204.91399999999999</v>
      </c>
      <c r="T44" s="1">
        <v>-122.13200000000001</v>
      </c>
    </row>
    <row r="45" spans="1:20" x14ac:dyDescent="0.25">
      <c r="A45" s="1" t="s">
        <v>42</v>
      </c>
      <c r="B45" s="1">
        <v>361</v>
      </c>
      <c r="C45" s="1">
        <v>-670</v>
      </c>
      <c r="D45" s="1">
        <v>-143</v>
      </c>
      <c r="E45" s="1">
        <v>-361</v>
      </c>
      <c r="F45" s="1">
        <v>54</v>
      </c>
      <c r="G45" s="1">
        <v>363</v>
      </c>
      <c r="H45" s="1">
        <v>-36</v>
      </c>
      <c r="I45" s="1">
        <v>-8.218</v>
      </c>
      <c r="J45" s="1">
        <v>33.347999999999999</v>
      </c>
      <c r="K45" s="1">
        <v>-23.74</v>
      </c>
      <c r="L45" s="1">
        <v>-3.556</v>
      </c>
      <c r="M45" s="1">
        <v>-2.1999999999999999E-2</v>
      </c>
      <c r="N45" s="1">
        <v>0</v>
      </c>
      <c r="O45" s="1">
        <v>0</v>
      </c>
      <c r="P45" s="1">
        <v>-3.0000000000000001E-3</v>
      </c>
      <c r="Q45" s="1">
        <v>0</v>
      </c>
      <c r="R45" s="1">
        <v>0</v>
      </c>
      <c r="S45" s="1">
        <v>0</v>
      </c>
      <c r="T45" s="1">
        <v>0</v>
      </c>
    </row>
    <row r="46" spans="1:20" x14ac:dyDescent="0.25">
      <c r="A46" s="1" t="s">
        <v>41</v>
      </c>
      <c r="B46" s="1">
        <v>42770</v>
      </c>
      <c r="C46" s="1">
        <v>38371</v>
      </c>
      <c r="D46" s="1">
        <v>34892</v>
      </c>
      <c r="E46" s="1">
        <v>32177</v>
      </c>
      <c r="F46" s="1">
        <v>29803</v>
      </c>
      <c r="G46" s="1">
        <v>27260</v>
      </c>
      <c r="H46" s="1">
        <v>12736</v>
      </c>
      <c r="I46" s="1">
        <v>10249.218000000001</v>
      </c>
      <c r="J46" s="1">
        <v>9178.0239999999994</v>
      </c>
      <c r="K46" s="1">
        <v>7773.7269999999999</v>
      </c>
      <c r="L46" s="1">
        <v>3409.4520000000002</v>
      </c>
      <c r="M46" s="1">
        <v>2345.288</v>
      </c>
      <c r="N46" s="1">
        <v>1806.617</v>
      </c>
      <c r="O46" s="1">
        <v>1190.191</v>
      </c>
      <c r="P46" s="1">
        <v>893.33600000000001</v>
      </c>
      <c r="Q46" s="1">
        <v>621.93499999999995</v>
      </c>
      <c r="R46" s="1">
        <v>7.1239999999999997</v>
      </c>
      <c r="S46" s="1">
        <v>5.1929999999999996</v>
      </c>
      <c r="T46" s="1">
        <v>4.2679999999999998</v>
      </c>
    </row>
    <row r="47" spans="1:20" x14ac:dyDescent="0.25">
      <c r="A47" s="6" t="s">
        <v>40</v>
      </c>
      <c r="B47" s="5">
        <v>82137</v>
      </c>
      <c r="C47" s="5">
        <v>72913</v>
      </c>
      <c r="D47" s="5">
        <v>62634</v>
      </c>
      <c r="E47" s="5">
        <v>44704</v>
      </c>
      <c r="F47" s="5">
        <v>30189</v>
      </c>
      <c r="G47" s="5">
        <v>22225</v>
      </c>
      <c r="H47" s="5">
        <v>6618</v>
      </c>
      <c r="I47" s="5">
        <v>4923</v>
      </c>
      <c r="J47" s="5">
        <v>4237.2420000000002</v>
      </c>
      <c r="K47" s="5">
        <v>4752.9110000000001</v>
      </c>
      <c r="L47" s="5">
        <v>1083.704</v>
      </c>
      <c r="M47" s="5">
        <v>911.71</v>
      </c>
      <c r="N47" s="5">
        <v>667.12</v>
      </c>
      <c r="O47" s="5">
        <v>124.7</v>
      </c>
      <c r="P47" s="5">
        <v>224.04499999999999</v>
      </c>
      <c r="Q47" s="5">
        <v>207.048</v>
      </c>
      <c r="R47" s="5">
        <v>-253.523</v>
      </c>
      <c r="S47" s="5">
        <v>-199.714</v>
      </c>
      <c r="T47" s="5">
        <v>-117.846</v>
      </c>
    </row>
    <row r="49" spans="1:20" x14ac:dyDescent="0.25">
      <c r="A49" s="1" t="s">
        <v>39</v>
      </c>
      <c r="B49" s="1">
        <v>137806</v>
      </c>
      <c r="C49" s="1">
        <v>122070</v>
      </c>
      <c r="D49" s="1">
        <v>106618</v>
      </c>
      <c r="E49" s="1">
        <v>82338</v>
      </c>
      <c r="F49" s="1">
        <v>62131</v>
      </c>
      <c r="G49" s="1">
        <v>52148</v>
      </c>
      <c r="H49" s="1">
        <v>34309</v>
      </c>
      <c r="I49" s="1">
        <v>29740</v>
      </c>
      <c r="J49" s="1">
        <v>28655.371999999999</v>
      </c>
      <c r="K49" s="1">
        <v>22664.076000000001</v>
      </c>
      <c r="L49" s="1">
        <v>8067.9390000000003</v>
      </c>
      <c r="M49" s="1">
        <v>5830.6670000000004</v>
      </c>
      <c r="N49" s="1">
        <v>2416.9299999999998</v>
      </c>
      <c r="O49" s="1">
        <v>1114.19</v>
      </c>
      <c r="P49" s="1">
        <v>713.44799999999998</v>
      </c>
      <c r="Q49" s="1">
        <v>386.08199999999999</v>
      </c>
      <c r="R49" s="1">
        <v>130.42400000000001</v>
      </c>
      <c r="S49" s="1">
        <v>51.698999999999998</v>
      </c>
      <c r="T49" s="1">
        <v>34.837000000000003</v>
      </c>
    </row>
    <row r="50" spans="1:20" x14ac:dyDescent="0.25">
      <c r="A50" s="1" t="s">
        <v>38</v>
      </c>
      <c r="B50" s="1">
        <v>27546</v>
      </c>
      <c r="C50" s="1">
        <v>20424</v>
      </c>
      <c r="D50" s="1">
        <v>12696</v>
      </c>
      <c r="E50" s="1">
        <v>6589</v>
      </c>
      <c r="F50" s="1">
        <v>653</v>
      </c>
      <c r="G50" s="1">
        <v>613</v>
      </c>
      <c r="H50" s="1">
        <v>1</v>
      </c>
      <c r="I50" s="1">
        <v>12</v>
      </c>
      <c r="J50" s="1">
        <v>5.3040000000000003</v>
      </c>
      <c r="K50" s="1">
        <v>774.46699999999998</v>
      </c>
      <c r="L50" s="1">
        <v>0</v>
      </c>
      <c r="M50" s="1">
        <v>17.946999999999999</v>
      </c>
      <c r="N50" s="1">
        <v>3.012</v>
      </c>
      <c r="O50" s="1">
        <v>5.1589999999999998</v>
      </c>
      <c r="P50" s="1">
        <v>25.061</v>
      </c>
      <c r="Q50" s="1">
        <v>4.867</v>
      </c>
      <c r="R50" s="1">
        <v>3.58</v>
      </c>
      <c r="S50" s="1">
        <v>1.22</v>
      </c>
      <c r="T50" s="1">
        <v>0</v>
      </c>
    </row>
    <row r="51" spans="1:20" x14ac:dyDescent="0.25">
      <c r="A51" s="1" t="s">
        <v>37</v>
      </c>
      <c r="B51" s="1">
        <v>8376</v>
      </c>
      <c r="C51" s="1">
        <v>13623</v>
      </c>
      <c r="D51" s="1">
        <v>9573</v>
      </c>
      <c r="E51" s="1">
        <v>5748</v>
      </c>
      <c r="F51" s="1">
        <v>8873</v>
      </c>
      <c r="G51" s="1">
        <v>13279</v>
      </c>
      <c r="H51" s="1">
        <v>14603</v>
      </c>
      <c r="I51" s="1">
        <v>13828</v>
      </c>
      <c r="J51" s="1">
        <v>12130.862999999999</v>
      </c>
      <c r="K51" s="1">
        <v>8801.99</v>
      </c>
      <c r="L51" s="1">
        <v>2897.694</v>
      </c>
      <c r="M51" s="1">
        <v>2530.9090000000001</v>
      </c>
      <c r="N51" s="1">
        <v>606.87800000000004</v>
      </c>
      <c r="O51" s="1">
        <v>466.666</v>
      </c>
      <c r="P51" s="1">
        <v>280.14800000000002</v>
      </c>
      <c r="Q51" s="1">
        <v>72.602999999999994</v>
      </c>
      <c r="R51" s="1">
        <v>1.0900000000000001</v>
      </c>
      <c r="S51" s="1">
        <v>55.756999999999998</v>
      </c>
      <c r="T51" s="1">
        <v>9.8000000000000004E-2</v>
      </c>
    </row>
    <row r="52" spans="1:20" x14ac:dyDescent="0.25">
      <c r="A52" s="1" t="s">
        <v>36</v>
      </c>
      <c r="B52" s="1">
        <v>-8137</v>
      </c>
      <c r="C52" s="1">
        <v>-2516</v>
      </c>
      <c r="D52" s="1">
        <v>-6825</v>
      </c>
      <c r="E52" s="1">
        <v>-10505</v>
      </c>
      <c r="F52" s="1">
        <v>-8703</v>
      </c>
      <c r="G52" s="1">
        <v>-6105</v>
      </c>
      <c r="H52" s="1">
        <v>8335</v>
      </c>
      <c r="I52" s="1">
        <v>10142</v>
      </c>
      <c r="J52" s="1">
        <v>8762.9490000000005</v>
      </c>
      <c r="K52" s="1">
        <v>5408.7740000000003</v>
      </c>
      <c r="L52" s="1">
        <v>1700.7860000000001</v>
      </c>
      <c r="M52" s="1">
        <v>625.19600000000003</v>
      </c>
      <c r="N52" s="1">
        <v>-239.011</v>
      </c>
      <c r="O52" s="1">
        <v>264.77600000000001</v>
      </c>
      <c r="P52" s="1">
        <v>24.882000000000001</v>
      </c>
      <c r="Q52" s="1">
        <v>-26.954999999999998</v>
      </c>
      <c r="R52" s="1">
        <v>-68.537000000000006</v>
      </c>
      <c r="S52" s="1">
        <v>46.48</v>
      </c>
      <c r="T52" s="1">
        <v>-17.113</v>
      </c>
    </row>
  </sheetData>
  <mergeCells count="1">
    <mergeCell ref="B4:T4"/>
  </mergeCells>
  <pageMargins left="0.7" right="0.7" top="0.75" bottom="0.75" header="0.3" footer="0.3"/>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9FCB36-49D8-4C47-9011-A215BE07DD4F}">
  <sheetPr>
    <tabColor rgb="FFC6E0B4"/>
  </sheetPr>
  <dimension ref="A1:T39"/>
  <sheetViews>
    <sheetView workbookViewId="0"/>
  </sheetViews>
  <sheetFormatPr defaultRowHeight="15" x14ac:dyDescent="0.25"/>
  <cols>
    <col min="1" max="1" width="44.28515625" bestFit="1" customWidth="1"/>
    <col min="2" max="5" width="18" bestFit="1" customWidth="1"/>
    <col min="6" max="7" width="17.28515625" bestFit="1" customWidth="1"/>
    <col min="8" max="13" width="16.85546875" bestFit="1" customWidth="1"/>
    <col min="14" max="17" width="15.28515625" bestFit="1" customWidth="1"/>
    <col min="18" max="18" width="14.5703125" bestFit="1" customWidth="1"/>
    <col min="19" max="20" width="14.28515625" bestFit="1" customWidth="1"/>
  </cols>
  <sheetData>
    <row r="1" spans="1:20" x14ac:dyDescent="0.25">
      <c r="A1" s="10" t="s">
        <v>75</v>
      </c>
      <c r="B1" s="10"/>
      <c r="C1" s="10"/>
      <c r="D1" s="10"/>
      <c r="E1" s="10"/>
      <c r="F1" s="10"/>
      <c r="G1" s="10"/>
      <c r="H1" s="10"/>
      <c r="I1" s="10"/>
      <c r="J1" s="10"/>
      <c r="K1" s="10"/>
      <c r="L1" s="10"/>
      <c r="M1" s="10"/>
      <c r="N1" s="10"/>
      <c r="O1" s="10"/>
      <c r="P1" s="10"/>
      <c r="Q1" s="10"/>
      <c r="R1" s="10"/>
      <c r="S1" s="10"/>
      <c r="T1" s="10"/>
    </row>
    <row r="2" spans="1:20" x14ac:dyDescent="0.25">
      <c r="A2" t="s">
        <v>1</v>
      </c>
      <c r="B2" t="s">
        <v>195</v>
      </c>
    </row>
    <row r="3" spans="1:20" x14ac:dyDescent="0.25">
      <c r="A3" t="s">
        <v>3</v>
      </c>
      <c r="B3" t="str">
        <f>'TSLA - Income Statement FY'!B3</f>
        <v>USD</v>
      </c>
    </row>
    <row r="4" spans="1:20" x14ac:dyDescent="0.25">
      <c r="A4" t="s">
        <v>32</v>
      </c>
      <c r="B4" s="236" t="s">
        <v>33</v>
      </c>
      <c r="C4" s="236"/>
      <c r="D4" s="236"/>
      <c r="E4" s="236"/>
      <c r="F4" s="236"/>
      <c r="G4" s="236"/>
      <c r="H4" s="236"/>
      <c r="I4" s="236"/>
      <c r="J4" s="236"/>
      <c r="K4" s="236"/>
      <c r="L4" s="236"/>
      <c r="M4" s="236"/>
      <c r="N4" s="236"/>
      <c r="O4" s="236"/>
      <c r="P4" s="236"/>
      <c r="Q4" s="236"/>
      <c r="R4" s="236"/>
      <c r="S4" s="236"/>
      <c r="T4" s="236"/>
    </row>
    <row r="5" spans="1:20" x14ac:dyDescent="0.25">
      <c r="A5" t="s">
        <v>34</v>
      </c>
      <c r="B5" s="8">
        <v>46022</v>
      </c>
      <c r="C5" s="8">
        <v>45657</v>
      </c>
      <c r="D5" s="8">
        <v>45291</v>
      </c>
      <c r="E5" s="8">
        <v>44926</v>
      </c>
      <c r="F5" s="8">
        <v>44561</v>
      </c>
      <c r="G5" s="8">
        <v>44196</v>
      </c>
      <c r="H5" s="8">
        <v>43830</v>
      </c>
      <c r="I5" s="8">
        <v>43465</v>
      </c>
      <c r="J5" s="8">
        <v>43100</v>
      </c>
      <c r="K5" s="8">
        <v>42735</v>
      </c>
      <c r="L5" s="8">
        <v>42369</v>
      </c>
      <c r="M5" s="8">
        <v>42004</v>
      </c>
      <c r="N5" s="8">
        <v>41639</v>
      </c>
      <c r="O5" s="8">
        <v>41274</v>
      </c>
      <c r="P5" s="8">
        <v>40908</v>
      </c>
      <c r="Q5" s="8">
        <v>40543</v>
      </c>
      <c r="R5" s="8">
        <v>40178</v>
      </c>
      <c r="S5" s="8">
        <v>39813</v>
      </c>
      <c r="T5" s="8">
        <v>39447</v>
      </c>
    </row>
    <row r="7" spans="1:20" x14ac:dyDescent="0.25">
      <c r="A7" s="6" t="s">
        <v>10</v>
      </c>
      <c r="B7" s="5">
        <v>3855</v>
      </c>
      <c r="C7" s="5">
        <v>7130</v>
      </c>
      <c r="D7" s="5">
        <v>14999</v>
      </c>
      <c r="E7" s="5">
        <v>12583</v>
      </c>
      <c r="F7" s="5">
        <v>5519</v>
      </c>
      <c r="G7" s="5">
        <v>690</v>
      </c>
      <c r="H7" s="5">
        <v>-775</v>
      </c>
      <c r="I7" s="5">
        <v>-1062.5820000000001</v>
      </c>
      <c r="J7" s="5">
        <v>-2241</v>
      </c>
      <c r="K7" s="5">
        <v>-773.04600000000005</v>
      </c>
      <c r="L7" s="5">
        <v>-888.66300000000001</v>
      </c>
      <c r="M7" s="5">
        <v>-294.04000000000002</v>
      </c>
      <c r="N7" s="5">
        <v>-74.013999999999996</v>
      </c>
      <c r="O7" s="5">
        <v>-396.21300000000002</v>
      </c>
      <c r="P7" s="5">
        <v>-254.411</v>
      </c>
      <c r="Q7" s="5">
        <v>-154.328</v>
      </c>
      <c r="R7" s="5">
        <v>-55.74</v>
      </c>
      <c r="S7" s="5">
        <v>-82.781999999999996</v>
      </c>
      <c r="T7" s="5">
        <v>-78.156999999999996</v>
      </c>
    </row>
    <row r="8" spans="1:20" x14ac:dyDescent="0.25">
      <c r="A8" s="1" t="s">
        <v>19</v>
      </c>
      <c r="B8" s="1">
        <v>6148</v>
      </c>
      <c r="C8" s="1">
        <v>5368</v>
      </c>
      <c r="D8" s="1">
        <v>4667</v>
      </c>
      <c r="E8" s="1">
        <v>3543</v>
      </c>
      <c r="F8" s="1">
        <v>2911</v>
      </c>
      <c r="G8" s="1">
        <v>2322</v>
      </c>
      <c r="H8" s="1">
        <v>2154</v>
      </c>
      <c r="I8" s="1">
        <v>1901.05</v>
      </c>
      <c r="J8" s="1">
        <v>1636</v>
      </c>
      <c r="K8" s="1">
        <v>947.09900000000005</v>
      </c>
      <c r="L8" s="1">
        <v>422.59</v>
      </c>
      <c r="M8" s="1">
        <v>231.93100000000001</v>
      </c>
      <c r="N8" s="1">
        <v>120.78400000000001</v>
      </c>
      <c r="O8" s="1">
        <v>28.824999999999999</v>
      </c>
      <c r="P8" s="1">
        <v>0</v>
      </c>
      <c r="Q8" s="1">
        <v>10.622999999999999</v>
      </c>
      <c r="R8" s="1">
        <v>6.94</v>
      </c>
      <c r="S8" s="1">
        <v>4.157</v>
      </c>
      <c r="T8" s="1">
        <v>2.895</v>
      </c>
    </row>
    <row r="9" spans="1:20" x14ac:dyDescent="0.25">
      <c r="A9" s="1" t="s">
        <v>102</v>
      </c>
      <c r="B9" s="1">
        <v>123</v>
      </c>
      <c r="C9" s="1">
        <v>477</v>
      </c>
      <c r="D9" s="1">
        <v>-6349</v>
      </c>
      <c r="E9" s="1">
        <v>0</v>
      </c>
      <c r="F9" s="1">
        <v>-149</v>
      </c>
      <c r="G9" s="1">
        <v>0</v>
      </c>
      <c r="H9" s="1">
        <v>0</v>
      </c>
      <c r="I9" s="1">
        <v>0</v>
      </c>
      <c r="J9" s="1">
        <v>0</v>
      </c>
      <c r="K9" s="1">
        <v>0</v>
      </c>
      <c r="L9" s="1">
        <v>0</v>
      </c>
      <c r="M9" s="1">
        <v>0</v>
      </c>
      <c r="N9" s="1">
        <v>0</v>
      </c>
      <c r="O9" s="1">
        <v>39.506999999999998</v>
      </c>
      <c r="P9" s="1">
        <v>0</v>
      </c>
      <c r="Q9" s="1">
        <v>0</v>
      </c>
      <c r="R9" s="1">
        <v>0</v>
      </c>
      <c r="S9" s="1">
        <v>0</v>
      </c>
      <c r="T9" s="1">
        <v>0</v>
      </c>
    </row>
    <row r="10" spans="1:20" x14ac:dyDescent="0.25">
      <c r="A10" s="1" t="s">
        <v>101</v>
      </c>
      <c r="B10" s="1">
        <v>2825</v>
      </c>
      <c r="C10" s="1">
        <v>1999</v>
      </c>
      <c r="D10" s="1">
        <v>1812</v>
      </c>
      <c r="E10" s="1">
        <v>1560</v>
      </c>
      <c r="F10" s="1">
        <v>2121</v>
      </c>
      <c r="G10" s="1">
        <v>1734</v>
      </c>
      <c r="H10" s="1">
        <v>898</v>
      </c>
      <c r="I10" s="1">
        <v>749.024</v>
      </c>
      <c r="J10" s="1">
        <v>466.76</v>
      </c>
      <c r="K10" s="1">
        <v>334.22500000000002</v>
      </c>
      <c r="L10" s="1">
        <v>197.999</v>
      </c>
      <c r="M10" s="1">
        <v>156.49600000000001</v>
      </c>
      <c r="N10" s="1">
        <v>83.655000000000001</v>
      </c>
      <c r="O10" s="1">
        <v>50.145000000000003</v>
      </c>
      <c r="P10" s="1">
        <v>0</v>
      </c>
      <c r="Q10" s="1">
        <v>21.155999999999999</v>
      </c>
      <c r="R10" s="1">
        <v>1.4339999999999999</v>
      </c>
      <c r="S10" s="1">
        <v>0.437</v>
      </c>
      <c r="T10" s="1">
        <v>0.19800000000000001</v>
      </c>
    </row>
    <row r="11" spans="1:20" x14ac:dyDescent="0.25">
      <c r="A11" s="1" t="s">
        <v>100</v>
      </c>
      <c r="B11" s="1">
        <v>642</v>
      </c>
      <c r="C11" s="1">
        <v>81</v>
      </c>
      <c r="D11" s="1">
        <v>-2248</v>
      </c>
      <c r="E11" s="1">
        <v>-3712</v>
      </c>
      <c r="F11" s="1">
        <v>667</v>
      </c>
      <c r="G11" s="1">
        <v>184</v>
      </c>
      <c r="H11" s="1">
        <v>-349</v>
      </c>
      <c r="I11" s="1">
        <v>58</v>
      </c>
      <c r="J11" s="1">
        <v>-496.60300000000001</v>
      </c>
      <c r="K11" s="1">
        <v>-693.86099999999999</v>
      </c>
      <c r="L11" s="1">
        <v>-493.28899999999999</v>
      </c>
      <c r="M11" s="1">
        <v>-256.82499999999999</v>
      </c>
      <c r="N11" s="1">
        <v>148.958</v>
      </c>
      <c r="O11" s="1">
        <v>44.942</v>
      </c>
      <c r="P11" s="1">
        <v>75.227999999999994</v>
      </c>
      <c r="Q11" s="1">
        <v>-11.175000000000001</v>
      </c>
      <c r="R11" s="1">
        <v>-37.542999999999999</v>
      </c>
      <c r="S11" s="1">
        <v>16.231999999999999</v>
      </c>
      <c r="T11" s="1">
        <v>19.21</v>
      </c>
    </row>
    <row r="12" spans="1:20" x14ac:dyDescent="0.25">
      <c r="A12" s="1" t="s">
        <v>99</v>
      </c>
      <c r="B12" s="1">
        <v>-261</v>
      </c>
      <c r="C12" s="1">
        <v>-1083</v>
      </c>
      <c r="D12" s="1">
        <v>-586</v>
      </c>
      <c r="E12" s="1">
        <v>-1124</v>
      </c>
      <c r="F12" s="1">
        <v>-130</v>
      </c>
      <c r="G12" s="1">
        <v>-652</v>
      </c>
      <c r="H12" s="1">
        <v>0</v>
      </c>
      <c r="I12" s="1">
        <v>-496.73200000000003</v>
      </c>
      <c r="J12" s="1">
        <v>-25</v>
      </c>
      <c r="K12" s="1">
        <v>-216.565</v>
      </c>
      <c r="L12" s="1">
        <v>0</v>
      </c>
      <c r="M12" s="1">
        <v>-183.65799999999999</v>
      </c>
      <c r="N12" s="1">
        <v>-21.704999999999998</v>
      </c>
      <c r="O12" s="1">
        <v>-17.303000000000001</v>
      </c>
      <c r="P12" s="1">
        <v>-2.8290000000000002</v>
      </c>
      <c r="Q12" s="1">
        <v>-3.222</v>
      </c>
      <c r="R12" s="1">
        <v>-0.16800000000000001</v>
      </c>
      <c r="S12" s="1">
        <v>-3.2610000000000001</v>
      </c>
      <c r="T12" s="1">
        <v>-5.8999999999999997E-2</v>
      </c>
    </row>
    <row r="13" spans="1:20" x14ac:dyDescent="0.25">
      <c r="A13" s="1" t="s">
        <v>70</v>
      </c>
      <c r="B13" s="1">
        <v>-630</v>
      </c>
      <c r="C13" s="1">
        <v>937</v>
      </c>
      <c r="D13" s="1">
        <v>-1195</v>
      </c>
      <c r="E13" s="1">
        <v>-6465</v>
      </c>
      <c r="F13" s="1">
        <v>-1709</v>
      </c>
      <c r="G13" s="1">
        <v>-422</v>
      </c>
      <c r="H13" s="1">
        <v>-429</v>
      </c>
      <c r="I13" s="1">
        <v>-1023</v>
      </c>
      <c r="J13" s="1">
        <v>-179</v>
      </c>
      <c r="K13" s="1">
        <v>-632.86699999999996</v>
      </c>
      <c r="L13" s="1">
        <v>0</v>
      </c>
      <c r="M13" s="1">
        <v>-1050.2639999999999</v>
      </c>
      <c r="N13" s="1">
        <v>-460.56099999999998</v>
      </c>
      <c r="O13" s="1">
        <v>4.9290000000000003</v>
      </c>
      <c r="P13" s="1">
        <v>-13.638</v>
      </c>
      <c r="Q13" s="1">
        <v>-20.114999999999998</v>
      </c>
      <c r="R13" s="1">
        <v>-7.9249999999999998</v>
      </c>
      <c r="S13" s="1">
        <v>-18.838999999999999</v>
      </c>
      <c r="T13" s="1">
        <v>-2.1080000000000001</v>
      </c>
    </row>
    <row r="14" spans="1:20" x14ac:dyDescent="0.25">
      <c r="A14" s="1" t="s">
        <v>98</v>
      </c>
      <c r="B14" s="1">
        <v>4376</v>
      </c>
      <c r="C14" s="1">
        <v>3588</v>
      </c>
      <c r="D14" s="1">
        <v>2605</v>
      </c>
      <c r="E14" s="1">
        <v>6029</v>
      </c>
      <c r="F14" s="1">
        <v>4578</v>
      </c>
      <c r="G14" s="1">
        <v>930</v>
      </c>
      <c r="H14" s="1">
        <v>646</v>
      </c>
      <c r="I14" s="1">
        <v>1722.85</v>
      </c>
      <c r="J14" s="1">
        <v>0</v>
      </c>
      <c r="K14" s="1">
        <v>0</v>
      </c>
      <c r="L14" s="1">
        <v>0</v>
      </c>
      <c r="M14" s="1">
        <v>252.78100000000001</v>
      </c>
      <c r="N14" s="1">
        <v>0</v>
      </c>
      <c r="O14" s="1">
        <v>187.821</v>
      </c>
      <c r="P14" s="1">
        <v>19.890999999999998</v>
      </c>
      <c r="Q14" s="1">
        <v>-0.21199999999999999</v>
      </c>
      <c r="R14" s="1">
        <v>0.90200000000000002</v>
      </c>
      <c r="S14" s="1">
        <v>8.8149999999999995</v>
      </c>
      <c r="T14" s="1">
        <v>0.52300000000000002</v>
      </c>
    </row>
    <row r="15" spans="1:20" x14ac:dyDescent="0.25">
      <c r="A15" s="1" t="s">
        <v>97</v>
      </c>
      <c r="B15" s="1">
        <v>-2843</v>
      </c>
      <c r="C15" s="1">
        <v>-3361</v>
      </c>
      <c r="D15" s="1">
        <v>-3072</v>
      </c>
      <c r="E15" s="1">
        <v>-2152</v>
      </c>
      <c r="F15" s="1">
        <v>-2072</v>
      </c>
      <c r="G15" s="1">
        <v>328</v>
      </c>
      <c r="H15" s="1">
        <v>-566</v>
      </c>
      <c r="I15" s="1">
        <v>-145.11799999999999</v>
      </c>
      <c r="J15" s="1">
        <v>-292.60300000000001</v>
      </c>
      <c r="K15" s="1">
        <v>155.571</v>
      </c>
      <c r="L15" s="1">
        <v>-493.28899999999999</v>
      </c>
      <c r="M15" s="1">
        <v>724.31600000000003</v>
      </c>
      <c r="N15" s="1">
        <v>631.22400000000005</v>
      </c>
      <c r="O15" s="1">
        <v>-130.505</v>
      </c>
      <c r="P15" s="1">
        <v>71.804000000000002</v>
      </c>
      <c r="Q15" s="1">
        <v>12.374000000000001</v>
      </c>
      <c r="R15" s="1">
        <v>-30.352</v>
      </c>
      <c r="S15" s="1">
        <v>29.516999999999999</v>
      </c>
      <c r="T15" s="1">
        <v>20.853999999999999</v>
      </c>
    </row>
    <row r="16" spans="1:20" x14ac:dyDescent="0.25">
      <c r="A16" s="1" t="s">
        <v>96</v>
      </c>
      <c r="B16" s="1">
        <v>1154</v>
      </c>
      <c r="C16" s="1">
        <v>-155</v>
      </c>
      <c r="D16" s="1">
        <v>400</v>
      </c>
      <c r="E16" s="1">
        <v>777</v>
      </c>
      <c r="F16" s="1">
        <v>428</v>
      </c>
      <c r="G16" s="1">
        <v>1013</v>
      </c>
      <c r="H16" s="1">
        <v>477</v>
      </c>
      <c r="I16" s="1">
        <v>452.50799999999998</v>
      </c>
      <c r="J16" s="1">
        <v>573.84299999999996</v>
      </c>
      <c r="K16" s="1">
        <v>61.753999999999998</v>
      </c>
      <c r="L16" s="1">
        <v>236.864</v>
      </c>
      <c r="M16" s="1">
        <v>105.101</v>
      </c>
      <c r="N16" s="1">
        <v>-14.579000000000001</v>
      </c>
      <c r="O16" s="1">
        <v>-31.021000000000001</v>
      </c>
      <c r="P16" s="1">
        <v>64.819000000000003</v>
      </c>
      <c r="Q16" s="1">
        <v>5.907</v>
      </c>
      <c r="R16" s="1">
        <v>4.0839999999999996</v>
      </c>
      <c r="S16" s="1">
        <v>9.5440000000000005</v>
      </c>
      <c r="T16" s="1">
        <v>2.3849999999999998</v>
      </c>
    </row>
    <row r="17" spans="1:20" x14ac:dyDescent="0.25">
      <c r="A17" s="6" t="s">
        <v>95</v>
      </c>
      <c r="B17" s="4">
        <v>14747</v>
      </c>
      <c r="C17" s="4">
        <v>14923</v>
      </c>
      <c r="D17" s="4">
        <v>13256</v>
      </c>
      <c r="E17" s="4">
        <v>14724</v>
      </c>
      <c r="F17" s="4">
        <v>11497</v>
      </c>
      <c r="G17" s="4">
        <v>5943</v>
      </c>
      <c r="H17" s="4">
        <v>2405</v>
      </c>
      <c r="I17" s="4">
        <v>2098</v>
      </c>
      <c r="J17" s="4">
        <v>-61</v>
      </c>
      <c r="K17" s="4">
        <v>-123.82899999999999</v>
      </c>
      <c r="L17" s="4">
        <v>-524.49900000000002</v>
      </c>
      <c r="M17" s="4">
        <v>-57.337000000000003</v>
      </c>
      <c r="N17" s="4">
        <v>264.80399999999997</v>
      </c>
      <c r="O17" s="4">
        <v>-263.815</v>
      </c>
      <c r="P17" s="4">
        <v>-114.364</v>
      </c>
      <c r="Q17" s="4">
        <v>-127.81699999999999</v>
      </c>
      <c r="R17" s="4">
        <v>-80.825000000000003</v>
      </c>
      <c r="S17" s="4">
        <v>-52.411999999999999</v>
      </c>
      <c r="T17" s="4">
        <v>-53.469000000000001</v>
      </c>
    </row>
    <row r="19" spans="1:20" x14ac:dyDescent="0.25">
      <c r="A19" s="1" t="s">
        <v>94</v>
      </c>
      <c r="B19" s="1">
        <v>-8527</v>
      </c>
      <c r="C19" s="1">
        <v>-11342</v>
      </c>
      <c r="D19" s="1">
        <v>-8899</v>
      </c>
      <c r="E19" s="1">
        <v>-7163</v>
      </c>
      <c r="F19" s="1">
        <v>-6514</v>
      </c>
      <c r="G19" s="1">
        <v>-3232</v>
      </c>
      <c r="H19" s="1">
        <v>-1432</v>
      </c>
      <c r="I19" s="1">
        <v>-2319.5160000000001</v>
      </c>
      <c r="J19" s="1">
        <v>-4081.3539999999998</v>
      </c>
      <c r="K19" s="1">
        <v>-1440.471</v>
      </c>
      <c r="L19" s="1">
        <v>-1634.85</v>
      </c>
      <c r="M19" s="1">
        <v>-969.88499999999999</v>
      </c>
      <c r="N19" s="1">
        <v>-264.22399999999999</v>
      </c>
      <c r="O19" s="1">
        <v>-239.22800000000001</v>
      </c>
      <c r="P19" s="1">
        <v>-184.226</v>
      </c>
      <c r="Q19" s="1">
        <v>-40.203000000000003</v>
      </c>
      <c r="R19" s="1">
        <v>-11.884</v>
      </c>
      <c r="S19" s="1">
        <v>-10.63</v>
      </c>
      <c r="T19" s="1">
        <v>-9.8019999999999996</v>
      </c>
    </row>
    <row r="20" spans="1:20" x14ac:dyDescent="0.25">
      <c r="A20" s="1" t="s">
        <v>93</v>
      </c>
      <c r="B20" s="1">
        <v>0</v>
      </c>
      <c r="C20" s="1">
        <v>0</v>
      </c>
      <c r="D20" s="1">
        <v>-64</v>
      </c>
      <c r="E20" s="1">
        <v>0</v>
      </c>
      <c r="F20" s="1">
        <v>0</v>
      </c>
      <c r="G20" s="1">
        <v>-13</v>
      </c>
      <c r="H20" s="1">
        <v>-45</v>
      </c>
      <c r="I20" s="1">
        <v>-17.911999999999999</v>
      </c>
      <c r="J20" s="1">
        <v>-115</v>
      </c>
      <c r="K20" s="1">
        <v>342.71899999999999</v>
      </c>
      <c r="L20" s="1">
        <v>-12.26</v>
      </c>
      <c r="M20" s="1">
        <v>0</v>
      </c>
      <c r="N20" s="1">
        <v>0</v>
      </c>
      <c r="O20" s="1">
        <v>0</v>
      </c>
      <c r="P20" s="1">
        <v>0</v>
      </c>
      <c r="Q20" s="1">
        <v>0</v>
      </c>
      <c r="R20" s="1">
        <v>0</v>
      </c>
      <c r="S20" s="1">
        <v>0</v>
      </c>
      <c r="T20" s="1">
        <v>0</v>
      </c>
    </row>
    <row r="21" spans="1:20" x14ac:dyDescent="0.25">
      <c r="A21" s="1" t="s">
        <v>92</v>
      </c>
      <c r="B21" s="1">
        <v>-37109</v>
      </c>
      <c r="C21" s="1">
        <v>-35955</v>
      </c>
      <c r="D21" s="1">
        <v>-19112</v>
      </c>
      <c r="E21" s="1">
        <v>-5835</v>
      </c>
      <c r="F21" s="1">
        <v>-132</v>
      </c>
      <c r="G21" s="1">
        <v>0</v>
      </c>
      <c r="H21" s="1">
        <v>0</v>
      </c>
      <c r="I21" s="1">
        <v>0</v>
      </c>
      <c r="J21" s="1">
        <v>-223.09</v>
      </c>
      <c r="K21" s="1">
        <v>0</v>
      </c>
      <c r="L21" s="1">
        <v>0</v>
      </c>
      <c r="M21" s="1">
        <v>-205.84100000000001</v>
      </c>
      <c r="N21" s="1">
        <v>0</v>
      </c>
      <c r="O21" s="1">
        <v>-14.992000000000001</v>
      </c>
      <c r="P21" s="1">
        <v>-64.951999999999998</v>
      </c>
      <c r="Q21" s="1">
        <v>0</v>
      </c>
      <c r="R21" s="1">
        <v>0</v>
      </c>
      <c r="S21" s="1">
        <v>0</v>
      </c>
      <c r="T21" s="1">
        <v>0</v>
      </c>
    </row>
    <row r="22" spans="1:20" x14ac:dyDescent="0.25">
      <c r="A22" s="1" t="s">
        <v>91</v>
      </c>
      <c r="B22" s="1">
        <v>30158</v>
      </c>
      <c r="C22" s="1">
        <v>28510</v>
      </c>
      <c r="D22" s="1">
        <v>12491</v>
      </c>
      <c r="E22" s="1">
        <v>22</v>
      </c>
      <c r="F22" s="1">
        <v>0</v>
      </c>
      <c r="G22" s="1">
        <v>0</v>
      </c>
      <c r="H22" s="1">
        <v>0</v>
      </c>
      <c r="I22" s="1">
        <v>0</v>
      </c>
      <c r="J22" s="1">
        <v>0</v>
      </c>
      <c r="K22" s="1">
        <v>16.667000000000002</v>
      </c>
      <c r="L22" s="1">
        <v>0</v>
      </c>
      <c r="M22" s="1">
        <v>189.131</v>
      </c>
      <c r="N22" s="1">
        <v>0</v>
      </c>
      <c r="O22" s="1">
        <v>40</v>
      </c>
      <c r="P22" s="1">
        <v>40</v>
      </c>
      <c r="Q22" s="1">
        <v>0</v>
      </c>
      <c r="R22" s="1">
        <v>0</v>
      </c>
      <c r="S22" s="1">
        <v>0</v>
      </c>
      <c r="T22" s="1">
        <v>0</v>
      </c>
    </row>
    <row r="23" spans="1:20" x14ac:dyDescent="0.25">
      <c r="A23" s="1" t="s">
        <v>90</v>
      </c>
      <c r="B23" s="1">
        <v>0</v>
      </c>
      <c r="C23" s="1">
        <v>0</v>
      </c>
      <c r="D23" s="1">
        <v>0</v>
      </c>
      <c r="E23" s="1">
        <v>1003</v>
      </c>
      <c r="F23" s="1">
        <v>-1222</v>
      </c>
      <c r="G23" s="1">
        <v>113</v>
      </c>
      <c r="H23" s="1">
        <v>41</v>
      </c>
      <c r="I23" s="1">
        <v>0.42799999999999999</v>
      </c>
      <c r="J23" s="1">
        <v>223.44399999999999</v>
      </c>
      <c r="K23" s="1">
        <v>0</v>
      </c>
      <c r="L23" s="1">
        <v>-26.440999999999999</v>
      </c>
      <c r="M23" s="1">
        <v>-3.8490000000000002</v>
      </c>
      <c r="N23" s="1">
        <v>14.807</v>
      </c>
      <c r="O23" s="1">
        <v>7.29</v>
      </c>
      <c r="P23" s="1">
        <v>33.25</v>
      </c>
      <c r="Q23" s="1">
        <v>-140.09399999999999</v>
      </c>
      <c r="R23" s="1">
        <v>-2.36</v>
      </c>
      <c r="S23" s="1">
        <v>-0.96</v>
      </c>
      <c r="T23" s="1">
        <v>0.04</v>
      </c>
    </row>
    <row r="24" spans="1:20" x14ac:dyDescent="0.25">
      <c r="A24" s="6" t="s">
        <v>89</v>
      </c>
      <c r="B24" s="4">
        <v>-15478</v>
      </c>
      <c r="C24" s="4">
        <v>-18787</v>
      </c>
      <c r="D24" s="4">
        <v>-15584</v>
      </c>
      <c r="E24" s="4">
        <v>-11973</v>
      </c>
      <c r="F24" s="4">
        <v>-7868</v>
      </c>
      <c r="G24" s="4">
        <v>-3132</v>
      </c>
      <c r="H24" s="4">
        <v>-1436</v>
      </c>
      <c r="I24" s="4">
        <v>-2337</v>
      </c>
      <c r="J24" s="4">
        <v>-4196</v>
      </c>
      <c r="K24" s="4">
        <v>-1081.085</v>
      </c>
      <c r="L24" s="4">
        <v>-1673.5509999999999</v>
      </c>
      <c r="M24" s="4">
        <v>-990.44399999999996</v>
      </c>
      <c r="N24" s="4">
        <v>-249.417</v>
      </c>
      <c r="O24" s="4">
        <v>-206.93</v>
      </c>
      <c r="P24" s="4">
        <v>-175.928</v>
      </c>
      <c r="Q24" s="4">
        <v>-180.297</v>
      </c>
      <c r="R24" s="4">
        <v>-14.244</v>
      </c>
      <c r="S24" s="4">
        <v>-11.59</v>
      </c>
      <c r="T24" s="4">
        <v>-9.7620000000000005</v>
      </c>
    </row>
    <row r="26" spans="1:20" x14ac:dyDescent="0.25">
      <c r="A26" s="1" t="s">
        <v>88</v>
      </c>
      <c r="B26" s="1">
        <v>-3158</v>
      </c>
      <c r="C26" s="1">
        <v>2863</v>
      </c>
      <c r="D26" s="1">
        <v>2116</v>
      </c>
      <c r="E26" s="1">
        <v>-3866</v>
      </c>
      <c r="F26" s="1">
        <v>-5732</v>
      </c>
      <c r="G26" s="1">
        <v>-2488</v>
      </c>
      <c r="H26" s="1">
        <v>798</v>
      </c>
      <c r="I26" s="1">
        <v>89</v>
      </c>
      <c r="J26" s="1">
        <v>3385</v>
      </c>
      <c r="K26" s="1">
        <v>1718.19</v>
      </c>
      <c r="L26" s="1">
        <v>683.93700000000001</v>
      </c>
      <c r="M26" s="1">
        <v>1685.393</v>
      </c>
      <c r="N26" s="1">
        <v>199.238</v>
      </c>
      <c r="O26" s="1">
        <v>173.25399999999999</v>
      </c>
      <c r="P26" s="1">
        <v>204.423</v>
      </c>
      <c r="Q26" s="1">
        <v>71.513000000000005</v>
      </c>
      <c r="R26" s="1">
        <v>25.146000000000001</v>
      </c>
      <c r="S26" s="1">
        <v>55.591000000000001</v>
      </c>
      <c r="T26" s="1">
        <v>0</v>
      </c>
    </row>
    <row r="27" spans="1:20" x14ac:dyDescent="0.25">
      <c r="A27" s="1" t="s">
        <v>87</v>
      </c>
      <c r="B27" s="1">
        <v>222</v>
      </c>
      <c r="C27" s="1">
        <v>1241</v>
      </c>
      <c r="D27" s="1">
        <v>700</v>
      </c>
      <c r="E27" s="1">
        <v>541</v>
      </c>
      <c r="F27" s="1">
        <v>707</v>
      </c>
      <c r="G27" s="1">
        <v>12269</v>
      </c>
      <c r="H27" s="1">
        <v>848</v>
      </c>
      <c r="I27" s="1">
        <v>295.72199999999998</v>
      </c>
      <c r="J27" s="1">
        <v>400</v>
      </c>
      <c r="K27" s="1">
        <v>1701.7339999999999</v>
      </c>
      <c r="L27" s="1">
        <v>750</v>
      </c>
      <c r="M27" s="1">
        <v>489.61500000000001</v>
      </c>
      <c r="N27" s="1">
        <v>415</v>
      </c>
      <c r="O27" s="1">
        <v>221.49600000000001</v>
      </c>
      <c r="P27" s="1">
        <v>231.46799999999999</v>
      </c>
      <c r="Q27" s="1">
        <v>268.84199999999998</v>
      </c>
      <c r="R27" s="1">
        <v>132.31899999999999</v>
      </c>
      <c r="S27" s="1">
        <v>0.47699999999999998</v>
      </c>
      <c r="T27" s="1">
        <v>45.040999999999997</v>
      </c>
    </row>
    <row r="28" spans="1:20" x14ac:dyDescent="0.25">
      <c r="A28" s="1" t="s">
        <v>86</v>
      </c>
      <c r="B28" s="1">
        <v>0</v>
      </c>
      <c r="C28" s="1">
        <v>0</v>
      </c>
      <c r="D28" s="1">
        <v>0</v>
      </c>
      <c r="E28" s="1">
        <v>0</v>
      </c>
      <c r="F28" s="1">
        <v>0</v>
      </c>
      <c r="G28" s="1">
        <v>0</v>
      </c>
      <c r="H28" s="1">
        <v>0</v>
      </c>
      <c r="I28" s="1">
        <v>0</v>
      </c>
      <c r="J28" s="1">
        <v>0</v>
      </c>
      <c r="K28" s="1">
        <v>0</v>
      </c>
      <c r="L28" s="1">
        <v>0</v>
      </c>
      <c r="M28" s="1">
        <v>0</v>
      </c>
      <c r="N28" s="1">
        <v>0</v>
      </c>
      <c r="O28" s="1">
        <v>0</v>
      </c>
      <c r="P28" s="1">
        <v>0</v>
      </c>
      <c r="Q28" s="1">
        <v>0</v>
      </c>
      <c r="R28" s="1">
        <v>0</v>
      </c>
      <c r="S28" s="1">
        <v>0</v>
      </c>
      <c r="T28" s="1">
        <v>0</v>
      </c>
    </row>
    <row r="29" spans="1:20" x14ac:dyDescent="0.25">
      <c r="A29" s="1" t="s">
        <v>85</v>
      </c>
      <c r="B29" s="1">
        <v>0</v>
      </c>
      <c r="C29" s="1">
        <v>0</v>
      </c>
      <c r="D29" s="1">
        <v>0</v>
      </c>
      <c r="E29" s="1">
        <v>0</v>
      </c>
      <c r="F29" s="1">
        <v>0</v>
      </c>
      <c r="G29" s="1">
        <v>0</v>
      </c>
      <c r="H29" s="1">
        <v>0</v>
      </c>
      <c r="I29" s="1">
        <v>0</v>
      </c>
      <c r="J29" s="1">
        <v>0</v>
      </c>
      <c r="K29" s="1">
        <v>0</v>
      </c>
      <c r="L29" s="1">
        <v>0</v>
      </c>
      <c r="M29" s="1">
        <v>0</v>
      </c>
      <c r="N29" s="1">
        <v>0</v>
      </c>
      <c r="O29" s="1">
        <v>0</v>
      </c>
      <c r="P29" s="1">
        <v>0</v>
      </c>
      <c r="Q29" s="1">
        <v>0</v>
      </c>
      <c r="R29" s="1">
        <v>0</v>
      </c>
      <c r="S29" s="1">
        <v>0</v>
      </c>
      <c r="T29" s="1">
        <v>0</v>
      </c>
    </row>
    <row r="30" spans="1:20" x14ac:dyDescent="0.25">
      <c r="A30" s="1" t="s">
        <v>84</v>
      </c>
      <c r="B30" s="1">
        <v>4075</v>
      </c>
      <c r="C30" s="1">
        <v>-251</v>
      </c>
      <c r="D30" s="1">
        <v>-227</v>
      </c>
      <c r="E30" s="1">
        <v>-202</v>
      </c>
      <c r="F30" s="1">
        <v>-178</v>
      </c>
      <c r="G30" s="1">
        <v>192</v>
      </c>
      <c r="H30" s="1">
        <v>-117</v>
      </c>
      <c r="I30" s="1">
        <v>189.27799999999999</v>
      </c>
      <c r="J30" s="1">
        <v>630</v>
      </c>
      <c r="K30" s="1">
        <v>324.05200000000002</v>
      </c>
      <c r="L30" s="1">
        <v>89.585999999999999</v>
      </c>
      <c r="M30" s="1">
        <v>-31.878</v>
      </c>
      <c r="N30" s="1">
        <v>21.184000000000001</v>
      </c>
      <c r="O30" s="1">
        <v>24.885000000000002</v>
      </c>
      <c r="P30" s="1">
        <v>10.109</v>
      </c>
      <c r="Q30" s="1">
        <v>-2.31</v>
      </c>
      <c r="R30" s="1">
        <v>130.273</v>
      </c>
      <c r="S30" s="1">
        <v>0</v>
      </c>
      <c r="T30" s="1">
        <v>45.040999999999997</v>
      </c>
    </row>
    <row r="31" spans="1:20" x14ac:dyDescent="0.25">
      <c r="A31" s="6" t="s">
        <v>83</v>
      </c>
      <c r="B31" s="4">
        <v>1139</v>
      </c>
      <c r="C31" s="4">
        <v>3853</v>
      </c>
      <c r="D31" s="4">
        <v>2589</v>
      </c>
      <c r="E31" s="4">
        <v>-3527</v>
      </c>
      <c r="F31" s="4">
        <v>-5203</v>
      </c>
      <c r="G31" s="4">
        <v>9973</v>
      </c>
      <c r="H31" s="4">
        <v>1529</v>
      </c>
      <c r="I31" s="4">
        <v>574</v>
      </c>
      <c r="J31" s="4">
        <v>4415</v>
      </c>
      <c r="K31" s="4">
        <v>3743.9760000000001</v>
      </c>
      <c r="L31" s="4">
        <v>1523.5229999999999</v>
      </c>
      <c r="M31" s="4">
        <v>2143.13</v>
      </c>
      <c r="N31" s="4">
        <v>635.42200000000003</v>
      </c>
      <c r="O31" s="4">
        <v>419.63499999999999</v>
      </c>
      <c r="P31" s="4">
        <v>446</v>
      </c>
      <c r="Q31" s="4">
        <v>338.04500000000002</v>
      </c>
      <c r="R31" s="4">
        <v>155.41900000000001</v>
      </c>
      <c r="S31" s="4">
        <v>56.067999999999998</v>
      </c>
      <c r="T31" s="4">
        <v>45.040999999999997</v>
      </c>
    </row>
    <row r="33" spans="1:20" x14ac:dyDescent="0.25">
      <c r="A33" s="1" t="s">
        <v>82</v>
      </c>
      <c r="B33" s="1">
        <v>171</v>
      </c>
      <c r="C33" s="1">
        <v>-141</v>
      </c>
      <c r="D33" s="1">
        <v>4</v>
      </c>
      <c r="E33" s="1">
        <v>-444</v>
      </c>
      <c r="F33" s="1">
        <v>-183</v>
      </c>
      <c r="G33" s="1">
        <v>334</v>
      </c>
      <c r="H33" s="1">
        <v>8</v>
      </c>
      <c r="I33" s="1">
        <v>-23</v>
      </c>
      <c r="J33" s="1">
        <v>40</v>
      </c>
      <c r="K33" s="1">
        <v>-6.5529999999999999</v>
      </c>
      <c r="L33" s="1">
        <v>-34.277999999999999</v>
      </c>
      <c r="M33" s="1">
        <v>-35.524999999999999</v>
      </c>
      <c r="N33" s="1">
        <v>-6.81</v>
      </c>
      <c r="O33" s="1">
        <v>-2.266</v>
      </c>
      <c r="P33" s="1">
        <v>0</v>
      </c>
      <c r="Q33" s="1">
        <v>0</v>
      </c>
      <c r="R33" s="1">
        <v>0</v>
      </c>
      <c r="S33" s="1">
        <v>0</v>
      </c>
      <c r="T33" s="1">
        <v>0</v>
      </c>
    </row>
    <row r="34" spans="1:20" x14ac:dyDescent="0.25">
      <c r="A34" s="1" t="s">
        <v>81</v>
      </c>
      <c r="B34" s="1">
        <v>579</v>
      </c>
      <c r="C34" s="1">
        <v>-152</v>
      </c>
      <c r="D34" s="1">
        <v>265</v>
      </c>
      <c r="E34" s="1">
        <v>-1220</v>
      </c>
      <c r="F34" s="1">
        <v>-1757</v>
      </c>
      <c r="G34" s="1">
        <v>13118</v>
      </c>
      <c r="H34" s="1">
        <v>2506</v>
      </c>
      <c r="I34" s="1">
        <v>312</v>
      </c>
      <c r="J34" s="1">
        <v>198</v>
      </c>
      <c r="K34" s="1">
        <v>2532.509</v>
      </c>
      <c r="L34" s="1">
        <v>-708.80499999999995</v>
      </c>
      <c r="M34" s="1">
        <v>1059.8240000000001</v>
      </c>
      <c r="N34" s="1">
        <v>643.99900000000002</v>
      </c>
      <c r="O34" s="1">
        <v>-53.375999999999998</v>
      </c>
      <c r="P34" s="1">
        <v>155.708</v>
      </c>
      <c r="Q34" s="1">
        <v>29.931000000000001</v>
      </c>
      <c r="R34" s="1">
        <v>60.35</v>
      </c>
      <c r="S34" s="1">
        <v>-7.9340000000000002</v>
      </c>
      <c r="T34" s="1">
        <v>-18.190000000000001</v>
      </c>
    </row>
    <row r="35" spans="1:20" x14ac:dyDescent="0.25">
      <c r="A35" s="1" t="s">
        <v>80</v>
      </c>
      <c r="B35" s="1">
        <v>17616</v>
      </c>
      <c r="C35" s="1">
        <v>17037</v>
      </c>
      <c r="D35" s="1">
        <v>17189</v>
      </c>
      <c r="E35" s="1">
        <v>16924</v>
      </c>
      <c r="F35" s="1">
        <v>18144</v>
      </c>
      <c r="G35" s="1">
        <v>19901</v>
      </c>
      <c r="H35" s="1">
        <v>6783</v>
      </c>
      <c r="I35" s="1">
        <v>4277</v>
      </c>
      <c r="J35" s="1">
        <v>3965</v>
      </c>
      <c r="K35" s="1">
        <v>3766.9</v>
      </c>
      <c r="L35" s="1">
        <v>1196.9079999999999</v>
      </c>
      <c r="M35" s="1">
        <v>1905.713</v>
      </c>
      <c r="N35" s="1">
        <v>845.88900000000001</v>
      </c>
      <c r="O35" s="1">
        <v>201.89</v>
      </c>
      <c r="P35" s="1">
        <v>255.26599999999999</v>
      </c>
      <c r="Q35" s="1">
        <v>99.558000000000007</v>
      </c>
      <c r="R35" s="1">
        <v>69.626999999999995</v>
      </c>
      <c r="S35" s="1">
        <v>9.2769999999999992</v>
      </c>
      <c r="T35" s="1">
        <v>17.210999999999999</v>
      </c>
    </row>
    <row r="36" spans="1:20" x14ac:dyDescent="0.25">
      <c r="A36" s="1" t="s">
        <v>79</v>
      </c>
      <c r="B36" s="1">
        <v>17037</v>
      </c>
      <c r="C36" s="1">
        <v>17189</v>
      </c>
      <c r="D36" s="1">
        <v>16924</v>
      </c>
      <c r="E36" s="1">
        <v>18144</v>
      </c>
      <c r="F36" s="1">
        <v>19901</v>
      </c>
      <c r="G36" s="1">
        <v>6783</v>
      </c>
      <c r="H36" s="1">
        <v>4277</v>
      </c>
      <c r="I36" s="1">
        <v>3965</v>
      </c>
      <c r="J36" s="1">
        <v>3767</v>
      </c>
      <c r="K36" s="1">
        <v>1234.3910000000001</v>
      </c>
      <c r="L36" s="1">
        <v>1905.713</v>
      </c>
      <c r="M36" s="1">
        <v>845.88900000000001</v>
      </c>
      <c r="N36" s="1">
        <v>201.89</v>
      </c>
      <c r="O36" s="1">
        <v>255.26599999999999</v>
      </c>
      <c r="P36" s="1">
        <v>99.558000000000007</v>
      </c>
      <c r="Q36" s="1">
        <v>69.626999999999995</v>
      </c>
      <c r="R36" s="1">
        <v>9.2769999999999992</v>
      </c>
      <c r="S36" s="1">
        <v>17.210999999999999</v>
      </c>
      <c r="T36" s="1">
        <v>35.401000000000003</v>
      </c>
    </row>
    <row r="37" spans="1:20" x14ac:dyDescent="0.25">
      <c r="A37" s="1" t="s">
        <v>78</v>
      </c>
      <c r="B37" s="1">
        <v>14747</v>
      </c>
      <c r="C37" s="1">
        <v>14923</v>
      </c>
      <c r="D37" s="1">
        <v>13256</v>
      </c>
      <c r="E37" s="1">
        <v>14724</v>
      </c>
      <c r="F37" s="1">
        <v>11497</v>
      </c>
      <c r="G37" s="1">
        <v>5943</v>
      </c>
      <c r="H37" s="1">
        <v>2405</v>
      </c>
      <c r="I37" s="1">
        <v>2098</v>
      </c>
      <c r="J37" s="1">
        <v>-61</v>
      </c>
      <c r="K37" s="1">
        <v>-123.82899999999999</v>
      </c>
      <c r="L37" s="1">
        <v>-524.49900000000002</v>
      </c>
      <c r="M37" s="1">
        <v>-57.337000000000003</v>
      </c>
      <c r="N37" s="1">
        <v>264.80399999999997</v>
      </c>
      <c r="O37" s="1">
        <v>-263.815</v>
      </c>
      <c r="P37" s="1">
        <v>-114.364</v>
      </c>
      <c r="Q37" s="1">
        <v>-127.81699999999999</v>
      </c>
      <c r="R37" s="1">
        <v>-80.825000000000003</v>
      </c>
      <c r="S37" s="1">
        <v>-52.411999999999999</v>
      </c>
      <c r="T37" s="1">
        <v>-53.469000000000001</v>
      </c>
    </row>
    <row r="38" spans="1:20" x14ac:dyDescent="0.25">
      <c r="A38" s="1" t="s">
        <v>77</v>
      </c>
      <c r="B38" s="1">
        <v>-8527</v>
      </c>
      <c r="C38" s="1">
        <v>-11342</v>
      </c>
      <c r="D38" s="1">
        <v>-8899</v>
      </c>
      <c r="E38" s="1">
        <v>-7172</v>
      </c>
      <c r="F38" s="1">
        <v>-8014</v>
      </c>
      <c r="G38" s="1">
        <v>-3242</v>
      </c>
      <c r="H38" s="1">
        <v>-1437</v>
      </c>
      <c r="I38" s="1">
        <v>-2319</v>
      </c>
      <c r="J38" s="1">
        <v>-4081.3539999999998</v>
      </c>
      <c r="K38" s="1">
        <v>-1440.471</v>
      </c>
      <c r="L38" s="1">
        <v>-1634.85</v>
      </c>
      <c r="M38" s="1">
        <v>-969.88499999999999</v>
      </c>
      <c r="N38" s="1">
        <v>-264.22399999999999</v>
      </c>
      <c r="O38" s="1">
        <v>-239.22800000000001</v>
      </c>
      <c r="P38" s="1">
        <v>-197.89599999999999</v>
      </c>
      <c r="Q38" s="1">
        <v>-40.203000000000003</v>
      </c>
      <c r="R38" s="1">
        <v>-11.884</v>
      </c>
      <c r="S38" s="1">
        <v>-10.63</v>
      </c>
      <c r="T38" s="1">
        <v>-9.8019999999999996</v>
      </c>
    </row>
    <row r="39" spans="1:20" x14ac:dyDescent="0.25">
      <c r="A39" s="6" t="s">
        <v>76</v>
      </c>
      <c r="B39" s="5">
        <v>6220</v>
      </c>
      <c r="C39" s="5">
        <v>3581</v>
      </c>
      <c r="D39" s="5">
        <v>4357</v>
      </c>
      <c r="E39" s="5">
        <v>7552</v>
      </c>
      <c r="F39" s="5">
        <v>3483</v>
      </c>
      <c r="G39" s="5">
        <v>2701</v>
      </c>
      <c r="H39" s="5">
        <v>968</v>
      </c>
      <c r="I39" s="5">
        <v>-221</v>
      </c>
      <c r="J39" s="5">
        <v>-4142.0079999999998</v>
      </c>
      <c r="K39" s="5">
        <v>-1564.3</v>
      </c>
      <c r="L39" s="5">
        <v>-2159.3490000000002</v>
      </c>
      <c r="M39" s="5">
        <v>-1027.222</v>
      </c>
      <c r="N39" s="5">
        <v>0.57999999999999996</v>
      </c>
      <c r="O39" s="5">
        <v>-503.04300000000001</v>
      </c>
      <c r="P39" s="5">
        <v>-312.26</v>
      </c>
      <c r="Q39" s="5">
        <v>-168.02</v>
      </c>
      <c r="R39" s="5">
        <v>-92.709000000000003</v>
      </c>
      <c r="S39" s="5">
        <v>-63.042000000000002</v>
      </c>
      <c r="T39" s="5">
        <v>-63.271000000000001</v>
      </c>
    </row>
  </sheetData>
  <mergeCells count="1">
    <mergeCell ref="B4:T4"/>
  </mergeCells>
  <pageMargins left="0.7" right="0.7" top="0.75" bottom="0.75" header="0.3" footer="0.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F1011A-5B2A-4AAA-B713-2B31BFD7FB92}">
  <sheetPr>
    <tabColor rgb="FFC6E0B4"/>
  </sheetPr>
  <dimension ref="A1:T61"/>
  <sheetViews>
    <sheetView workbookViewId="0"/>
  </sheetViews>
  <sheetFormatPr defaultRowHeight="15" x14ac:dyDescent="0.25"/>
  <cols>
    <col min="1" max="1" width="41.28515625" bestFit="1" customWidth="1"/>
    <col min="2" max="3" width="19.85546875" bestFit="1" customWidth="1"/>
    <col min="4" max="5" width="18.28515625" bestFit="1" customWidth="1"/>
    <col min="6" max="6" width="19.85546875" bestFit="1" customWidth="1"/>
    <col min="7" max="7" width="18.28515625" bestFit="1" customWidth="1"/>
    <col min="8" max="11" width="18" bestFit="1" customWidth="1"/>
    <col min="12" max="14" width="17.28515625" bestFit="1" customWidth="1"/>
    <col min="15" max="20" width="16.140625" bestFit="1" customWidth="1"/>
  </cols>
  <sheetData>
    <row r="1" spans="1:20" x14ac:dyDescent="0.25">
      <c r="A1" s="10" t="s">
        <v>103</v>
      </c>
      <c r="B1" s="10"/>
      <c r="C1" s="10"/>
      <c r="D1" s="10"/>
      <c r="E1" s="10"/>
      <c r="F1" s="10"/>
      <c r="G1" s="10"/>
      <c r="H1" s="10"/>
      <c r="I1" s="10"/>
      <c r="J1" s="10"/>
      <c r="K1" s="10"/>
      <c r="L1" s="10"/>
      <c r="M1" s="10"/>
      <c r="N1" s="10"/>
      <c r="O1" s="10"/>
      <c r="P1" s="10"/>
      <c r="Q1" s="10"/>
      <c r="R1" s="10"/>
      <c r="S1" s="10"/>
      <c r="T1" s="10"/>
    </row>
    <row r="2" spans="1:20" x14ac:dyDescent="0.25">
      <c r="A2" t="s">
        <v>1</v>
      </c>
      <c r="B2" t="s">
        <v>195</v>
      </c>
    </row>
    <row r="3" spans="1:20" x14ac:dyDescent="0.25">
      <c r="A3" t="s">
        <v>3</v>
      </c>
      <c r="B3" t="str">
        <f>'TSLA - Income Statement FY'!B3</f>
        <v>USD</v>
      </c>
    </row>
    <row r="4" spans="1:20" x14ac:dyDescent="0.25">
      <c r="A4" t="s">
        <v>32</v>
      </c>
      <c r="B4" s="236" t="s">
        <v>33</v>
      </c>
      <c r="C4" s="236"/>
      <c r="D4" s="236"/>
      <c r="E4" s="236"/>
      <c r="F4" s="236"/>
      <c r="G4" s="236"/>
      <c r="H4" s="236"/>
      <c r="I4" s="236"/>
      <c r="J4" s="236"/>
      <c r="K4" s="236"/>
      <c r="L4" s="236"/>
      <c r="M4" s="236"/>
      <c r="N4" s="236"/>
      <c r="O4" s="236"/>
      <c r="P4" s="236"/>
      <c r="Q4" s="236"/>
      <c r="R4" s="236"/>
      <c r="S4" s="236"/>
      <c r="T4" s="236"/>
    </row>
    <row r="5" spans="1:20" x14ac:dyDescent="0.25">
      <c r="A5" t="s">
        <v>34</v>
      </c>
      <c r="B5" s="8">
        <v>46022</v>
      </c>
      <c r="C5" s="8">
        <v>45657</v>
      </c>
      <c r="D5" s="8">
        <v>45291</v>
      </c>
      <c r="E5" s="8">
        <v>44926</v>
      </c>
      <c r="F5" s="8">
        <v>44561</v>
      </c>
      <c r="G5" s="8">
        <v>44196</v>
      </c>
      <c r="H5" s="8">
        <v>43830</v>
      </c>
      <c r="I5" s="8">
        <v>43465</v>
      </c>
      <c r="J5" s="8">
        <v>43100</v>
      </c>
      <c r="K5" s="8">
        <v>42735</v>
      </c>
      <c r="L5" s="8">
        <v>42369</v>
      </c>
      <c r="M5" s="8">
        <v>42004</v>
      </c>
      <c r="N5" s="8">
        <v>41639</v>
      </c>
      <c r="O5" s="8">
        <v>41274</v>
      </c>
      <c r="P5" s="8">
        <v>40908</v>
      </c>
      <c r="Q5" s="8">
        <v>40543</v>
      </c>
      <c r="R5" s="8">
        <v>40178</v>
      </c>
      <c r="S5" s="8">
        <v>39813</v>
      </c>
      <c r="T5" s="8">
        <v>39447</v>
      </c>
    </row>
    <row r="6" spans="1:20" x14ac:dyDescent="0.25">
      <c r="A6" s="2" t="s">
        <v>159</v>
      </c>
      <c r="B6" s="2">
        <v>29.403720930232559</v>
      </c>
      <c r="C6" s="2">
        <v>30.556771973725368</v>
      </c>
      <c r="D6" s="2">
        <v>30.494091696864661</v>
      </c>
      <c r="E6" s="2">
        <v>26.026198083067094</v>
      </c>
      <c r="F6" s="2">
        <v>18.189591078066915</v>
      </c>
      <c r="G6" s="2">
        <v>11.266881028938906</v>
      </c>
      <c r="H6" s="2">
        <v>9.257250470809792</v>
      </c>
      <c r="I6" s="2">
        <v>8.3865838218053934</v>
      </c>
      <c r="J6" s="2">
        <v>4.7293846048657278</v>
      </c>
      <c r="K6" s="2">
        <v>3.2360376852596642</v>
      </c>
      <c r="L6" s="2">
        <v>2.103984337217828</v>
      </c>
      <c r="M6" s="2">
        <v>1.7121041066118512</v>
      </c>
      <c r="N6" s="2">
        <v>1.1240323449532885</v>
      </c>
      <c r="O6" s="2">
        <v>0.25664328498635292</v>
      </c>
      <c r="P6" s="2">
        <v>0.13563396812018683</v>
      </c>
      <c r="Q6" s="2">
        <v>0.15345413837658314</v>
      </c>
      <c r="R6" s="2">
        <v>5.4741191716178882E-2</v>
      </c>
      <c r="S6" s="2">
        <v>7.2089782146262747E-3</v>
      </c>
      <c r="T6" s="2">
        <v>3.5697694320154526E-5</v>
      </c>
    </row>
    <row r="7" spans="1:20" x14ac:dyDescent="0.25">
      <c r="A7" s="2" t="s">
        <v>158</v>
      </c>
      <c r="B7" s="2">
        <v>1.1764341085271317</v>
      </c>
      <c r="C7" s="2">
        <v>2.2302158273381294</v>
      </c>
      <c r="D7" s="2">
        <v>4.7263273987710726</v>
      </c>
      <c r="E7" s="2">
        <v>4.0201277955271566</v>
      </c>
      <c r="F7" s="2">
        <v>1.866846907739101</v>
      </c>
      <c r="G7" s="2">
        <v>0.25759199714183639</v>
      </c>
      <c r="H7" s="2">
        <v>-0.32467043314500943</v>
      </c>
      <c r="I7" s="2">
        <v>-0.38139898397811645</v>
      </c>
      <c r="J7" s="2">
        <v>-0.78910218511323738</v>
      </c>
      <c r="K7" s="2">
        <v>-0.31200085059958027</v>
      </c>
      <c r="L7" s="2">
        <v>-0.46211603563126941</v>
      </c>
      <c r="M7" s="2">
        <v>-0.15740183128712024</v>
      </c>
      <c r="N7" s="2">
        <v>-4.1318249442448704E-2</v>
      </c>
      <c r="O7" s="2">
        <v>-0.24605911559492868</v>
      </c>
      <c r="P7" s="2">
        <v>-0.16895042872389054</v>
      </c>
      <c r="Q7" s="2">
        <v>-0.20285642317704827</v>
      </c>
      <c r="R7" s="2">
        <v>-2.7257390156238539E-2</v>
      </c>
      <c r="S7" s="2">
        <v>-4.0481185359055233E-2</v>
      </c>
      <c r="T7" s="2">
        <v>-3.8219516369593386E-2</v>
      </c>
    </row>
    <row r="8" spans="1:20" x14ac:dyDescent="0.25">
      <c r="A8" s="2" t="s">
        <v>157</v>
      </c>
      <c r="B8" s="2">
        <v>4.572713178294574</v>
      </c>
      <c r="C8" s="2">
        <v>4.6678135752267753</v>
      </c>
      <c r="D8" s="2">
        <v>4.1770915393099104</v>
      </c>
      <c r="E8" s="2">
        <v>4.704153354632588</v>
      </c>
      <c r="F8" s="2">
        <v>3.8854342683338965</v>
      </c>
      <c r="G8" s="2">
        <v>2.1232583065380495</v>
      </c>
      <c r="H8" s="2">
        <v>0.90583804143126179</v>
      </c>
      <c r="I8" s="2">
        <v>0.81985150449394295</v>
      </c>
      <c r="J8" s="2">
        <v>-2.4533758048882508E-2</v>
      </c>
      <c r="K8" s="2">
        <v>-5.7243964903521669E-2</v>
      </c>
      <c r="L8" s="2">
        <v>-0.27274613500569411</v>
      </c>
      <c r="M8" s="2">
        <v>-3.069292885495039E-2</v>
      </c>
      <c r="N8" s="2">
        <v>0.14782659666222858</v>
      </c>
      <c r="O8" s="2">
        <v>-0.16383633444807746</v>
      </c>
      <c r="P8" s="2">
        <v>-7.5947371892642293E-2</v>
      </c>
      <c r="Q8" s="2">
        <v>-0.16800904204823996</v>
      </c>
      <c r="R8" s="2">
        <v>-3.9524193745568349E-2</v>
      </c>
      <c r="S8" s="2">
        <v>-2.5629966502848479E-2</v>
      </c>
      <c r="T8" s="2">
        <v>-2.6146849556223869E-2</v>
      </c>
    </row>
    <row r="9" spans="1:20" x14ac:dyDescent="0.25">
      <c r="A9" s="2" t="s">
        <v>156</v>
      </c>
      <c r="B9" s="2">
        <v>1.9286821705426356</v>
      </c>
      <c r="C9" s="2">
        <v>1.1201126055677197</v>
      </c>
      <c r="D9" s="2">
        <v>1.3729320939026313</v>
      </c>
      <c r="E9" s="2">
        <v>2.412779552715655</v>
      </c>
      <c r="F9" s="2">
        <v>1.1770868536667793</v>
      </c>
      <c r="G9" s="2">
        <v>0.96498749553411933</v>
      </c>
      <c r="H9" s="2">
        <v>0.36459510357815444</v>
      </c>
      <c r="I9" s="2">
        <v>-8.6361860101602184E-2</v>
      </c>
      <c r="J9" s="2">
        <v>-1.6658856083366513</v>
      </c>
      <c r="K9" s="2">
        <v>-0.72314832792462946</v>
      </c>
      <c r="L9" s="2">
        <v>-1.1228888784886351</v>
      </c>
      <c r="M9" s="2">
        <v>-0.54987968962868394</v>
      </c>
      <c r="N9" s="2">
        <v>3.2378448234955887E-4</v>
      </c>
      <c r="O9" s="2">
        <v>-0.31240346905886407</v>
      </c>
      <c r="P9" s="2">
        <v>-0.20736705910248401</v>
      </c>
      <c r="Q9" s="2">
        <v>-0.22085387112000188</v>
      </c>
      <c r="R9" s="2">
        <v>-4.5335582777085014E-2</v>
      </c>
      <c r="S9" s="2">
        <v>-3.082813760727646E-2</v>
      </c>
      <c r="T9" s="2">
        <v>-3.0940120785349277E-2</v>
      </c>
    </row>
    <row r="10" spans="1:20" x14ac:dyDescent="0.25">
      <c r="A10" s="2" t="s">
        <v>155</v>
      </c>
      <c r="B10" s="2">
        <v>13.661705426356589</v>
      </c>
      <c r="C10" s="2">
        <v>11.436659368157647</v>
      </c>
      <c r="D10" s="2">
        <v>9.1677958090436427</v>
      </c>
      <c r="E10" s="2">
        <v>7.0878594249201274</v>
      </c>
      <c r="F10" s="2">
        <v>5.9841162554917204</v>
      </c>
      <c r="G10" s="2">
        <v>6.9253304751697033</v>
      </c>
      <c r="H10" s="2">
        <v>2.3608286252354049</v>
      </c>
      <c r="I10" s="2">
        <v>1.4404064087534194</v>
      </c>
      <c r="J10" s="2">
        <v>1.3545506099253128</v>
      </c>
      <c r="K10" s="2">
        <v>1.5686239702659972</v>
      </c>
      <c r="L10" s="2">
        <v>0.62240734673926046</v>
      </c>
      <c r="M10" s="2">
        <v>1.0297497169561343</v>
      </c>
      <c r="N10" s="2">
        <v>0.47389822560521183</v>
      </c>
      <c r="O10" s="2">
        <v>0.1253792148351017</v>
      </c>
      <c r="P10" s="2">
        <v>0.18616084537571906</v>
      </c>
      <c r="Q10" s="2">
        <v>0.13086400250544666</v>
      </c>
      <c r="R10" s="2">
        <v>3.4048265238758896E-2</v>
      </c>
      <c r="S10" s="2">
        <v>4.536541235727035E-3</v>
      </c>
      <c r="T10" s="2">
        <v>8.416342697865474E-3</v>
      </c>
    </row>
    <row r="11" spans="1:20" x14ac:dyDescent="0.25">
      <c r="A11" s="2" t="s">
        <v>154</v>
      </c>
      <c r="B11" s="2">
        <v>25.694573643410852</v>
      </c>
      <c r="C11" s="2">
        <v>23.046606193306225</v>
      </c>
      <c r="D11" s="2">
        <v>20.043800220576649</v>
      </c>
      <c r="E11" s="2">
        <v>14.663897763578275</v>
      </c>
      <c r="F11" s="2">
        <v>10.673538357553227</v>
      </c>
      <c r="G11" s="2">
        <v>8.459807073954984</v>
      </c>
      <c r="H11" s="2">
        <v>3.0546139359698681</v>
      </c>
      <c r="I11" s="2">
        <v>2.4669792887846813</v>
      </c>
      <c r="J11" s="2">
        <v>2.2652791016622627</v>
      </c>
      <c r="K11" s="2">
        <v>2.7298352425595649</v>
      </c>
      <c r="L11" s="2">
        <v>0.56353983037186106</v>
      </c>
      <c r="M11" s="2">
        <v>0.48804524419392054</v>
      </c>
      <c r="N11" s="2">
        <v>0.37241914459489256</v>
      </c>
      <c r="O11" s="2">
        <v>7.7442112486686726E-2</v>
      </c>
      <c r="P11" s="2">
        <v>0.1487848355748928</v>
      </c>
      <c r="Q11" s="2">
        <v>0.27215422156680247</v>
      </c>
      <c r="R11" s="2">
        <v>-0.12397515831682926</v>
      </c>
      <c r="S11" s="2">
        <v>-9.7662045526785493E-2</v>
      </c>
      <c r="T11" s="2">
        <v>-5.7627814860999049E-2</v>
      </c>
    </row>
    <row r="12" spans="1:20" x14ac:dyDescent="0.25">
      <c r="A12" s="2" t="s">
        <v>153</v>
      </c>
      <c r="B12" s="2">
        <v>25.573023255813954</v>
      </c>
      <c r="C12" s="2">
        <v>22.586800125117296</v>
      </c>
      <c r="D12" s="2">
        <v>19.850007877737514</v>
      </c>
      <c r="E12" s="2">
        <v>14.474440894568691</v>
      </c>
      <c r="F12" s="2">
        <v>10.093274754984792</v>
      </c>
      <c r="G12" s="2">
        <v>8.2740264380135766</v>
      </c>
      <c r="H12" s="2">
        <v>2.8523540489642185</v>
      </c>
      <c r="I12" s="2">
        <v>2.3302071121531847</v>
      </c>
      <c r="J12" s="2">
        <v>2.0956587314036126</v>
      </c>
      <c r="K12" s="2">
        <v>2.5559500365203083</v>
      </c>
      <c r="L12" s="2">
        <v>0.55687534775848535</v>
      </c>
      <c r="M12" s="2">
        <v>0.48804524419392054</v>
      </c>
      <c r="N12" s="2">
        <v>0.36464273452742818</v>
      </c>
      <c r="O12" s="2">
        <v>6.8581915062087218E-2</v>
      </c>
      <c r="P12" s="2">
        <v>0.13915029610951513</v>
      </c>
      <c r="Q12" s="2">
        <v>0.27215422156680247</v>
      </c>
      <c r="R12" s="2">
        <v>-0.12397515831682926</v>
      </c>
      <c r="S12" s="2">
        <v>-9.7662045526785493E-2</v>
      </c>
      <c r="T12" s="2">
        <v>-5.7627814860999049E-2</v>
      </c>
    </row>
    <row r="13" spans="1:20" x14ac:dyDescent="0.25">
      <c r="A13" s="2" t="s">
        <v>152</v>
      </c>
      <c r="B13" s="2">
        <v>25.468837209302325</v>
      </c>
      <c r="C13" s="2">
        <v>22.806693775414452</v>
      </c>
      <c r="D13" s="2">
        <v>19.736568457538993</v>
      </c>
      <c r="E13" s="2">
        <v>14.282428115015975</v>
      </c>
      <c r="F13" s="2">
        <v>10.202433254477864</v>
      </c>
      <c r="G13" s="2">
        <v>7.9403358342265093</v>
      </c>
      <c r="H13" s="2">
        <v>2.4926553672316385</v>
      </c>
      <c r="I13" s="2">
        <v>1.9237983587338805</v>
      </c>
      <c r="J13" s="2">
        <v>1.7041880331567707</v>
      </c>
      <c r="K13" s="2">
        <v>2.1971870117142354</v>
      </c>
      <c r="L13" s="2">
        <v>0.56353983037186106</v>
      </c>
      <c r="M13" s="2">
        <v>0.48804524419392054</v>
      </c>
      <c r="N13" s="2">
        <v>0.37241914459489256</v>
      </c>
      <c r="O13" s="2">
        <v>7.7442112486686726E-2</v>
      </c>
      <c r="P13" s="2">
        <v>0.1487848355748928</v>
      </c>
      <c r="Q13" s="2">
        <v>0.27215422156680247</v>
      </c>
      <c r="R13" s="2">
        <v>-0.12397515831682926</v>
      </c>
      <c r="S13" s="2">
        <v>-9.7662045526785493E-2</v>
      </c>
      <c r="T13" s="2">
        <v>-5.7627814860999049E-2</v>
      </c>
    </row>
    <row r="14" spans="1:20" x14ac:dyDescent="0.25">
      <c r="A14" s="2" t="s">
        <v>151</v>
      </c>
      <c r="B14" s="2">
        <v>2.7020155038759688</v>
      </c>
      <c r="C14" s="2">
        <v>4.3706599937441348</v>
      </c>
      <c r="D14" s="2">
        <v>3.0657003308649755</v>
      </c>
      <c r="E14" s="2">
        <v>1.8974440894568689</v>
      </c>
      <c r="F14" s="2">
        <v>3.1240283879689086</v>
      </c>
      <c r="G14" s="2">
        <v>5.0114326545194716</v>
      </c>
      <c r="H14" s="2">
        <v>5.7581920903954806</v>
      </c>
      <c r="I14" s="2">
        <v>5.6627588901914807</v>
      </c>
      <c r="J14" s="2">
        <v>5.0683779968387652</v>
      </c>
      <c r="K14" s="2">
        <v>4.160911251028578</v>
      </c>
      <c r="L14" s="2">
        <v>1.5686416748568666</v>
      </c>
      <c r="M14" s="2">
        <v>1.408819727153743</v>
      </c>
      <c r="N14" s="2">
        <v>0.35717447796730334</v>
      </c>
      <c r="O14" s="2">
        <v>0.28997009753234776</v>
      </c>
      <c r="P14" s="2">
        <v>0.18607052986928874</v>
      </c>
      <c r="Q14" s="2">
        <v>9.6736939918322454E-2</v>
      </c>
      <c r="R14" s="2">
        <v>1.7707034401819115E-3</v>
      </c>
      <c r="S14" s="2">
        <v>2.9098021956527054E-2</v>
      </c>
      <c r="T14" s="2">
        <v>4.7922932101029363E-5</v>
      </c>
    </row>
    <row r="15" spans="1:20" x14ac:dyDescent="0.25">
      <c r="A15" s="1" t="s">
        <v>150</v>
      </c>
      <c r="B15" s="1">
        <v>1450347</v>
      </c>
      <c r="C15" s="1">
        <v>1291076.48</v>
      </c>
      <c r="D15" s="1">
        <v>788551.28</v>
      </c>
      <c r="E15" s="1">
        <v>385553.4</v>
      </c>
      <c r="F15" s="1">
        <v>1042337.34</v>
      </c>
      <c r="G15" s="1">
        <v>658380.78</v>
      </c>
      <c r="H15" s="1">
        <v>74047.95</v>
      </c>
      <c r="I15" s="1">
        <v>56784.21</v>
      </c>
      <c r="J15" s="1">
        <v>51617.0412</v>
      </c>
      <c r="K15" s="1">
        <v>30825.314999999999</v>
      </c>
      <c r="L15" s="1">
        <v>30768.48</v>
      </c>
      <c r="M15" s="1">
        <v>27703.700550000001</v>
      </c>
      <c r="N15" s="1">
        <v>17966.889449999999</v>
      </c>
      <c r="O15" s="1">
        <v>3639.1311000000001</v>
      </c>
      <c r="P15" s="1">
        <v>2861.0812274999998</v>
      </c>
      <c r="Q15" s="1">
        <v>1354.1786634</v>
      </c>
      <c r="R15" s="1">
        <v>3251.4704999999999</v>
      </c>
      <c r="S15" s="1">
        <v>3251.4704999999999</v>
      </c>
      <c r="T15" s="1">
        <v>3251.4704999999999</v>
      </c>
    </row>
    <row r="16" spans="1:20" x14ac:dyDescent="0.25">
      <c r="A16" s="1" t="s">
        <v>149</v>
      </c>
      <c r="B16" s="1">
        <v>1442210</v>
      </c>
      <c r="C16" s="1">
        <v>1288560.48</v>
      </c>
      <c r="D16" s="1">
        <v>781726.28</v>
      </c>
      <c r="E16" s="1">
        <v>375048.4</v>
      </c>
      <c r="F16" s="1">
        <v>1033634.34</v>
      </c>
      <c r="G16" s="1">
        <v>652275.78</v>
      </c>
      <c r="H16" s="1">
        <v>82382.95</v>
      </c>
      <c r="I16" s="1">
        <v>66926.210000000006</v>
      </c>
      <c r="J16" s="1">
        <v>60379.9902</v>
      </c>
      <c r="K16" s="1">
        <v>36234.089</v>
      </c>
      <c r="L16" s="1">
        <v>32469.266</v>
      </c>
      <c r="M16" s="1">
        <v>28328.896550000001</v>
      </c>
      <c r="N16" s="1">
        <v>17727.87845</v>
      </c>
      <c r="O16" s="1">
        <v>3903.9070999999999</v>
      </c>
      <c r="P16" s="1">
        <v>2885.9632274999999</v>
      </c>
      <c r="Q16" s="1">
        <v>1327.2236634000001</v>
      </c>
      <c r="R16" s="1">
        <v>3182.9335000000001</v>
      </c>
      <c r="S16" s="1">
        <v>3297.9504999999999</v>
      </c>
      <c r="T16" s="1">
        <v>3234.3575000000001</v>
      </c>
    </row>
    <row r="17" spans="1:20" x14ac:dyDescent="0.25">
      <c r="A17" s="2" t="s">
        <v>148</v>
      </c>
      <c r="B17" s="2">
        <v>381.11864406779699</v>
      </c>
      <c r="C17" s="2">
        <v>181.07793023047299</v>
      </c>
      <c r="D17" s="2">
        <v>52.5327695560254</v>
      </c>
      <c r="E17" s="2">
        <v>30.641791044776099</v>
      </c>
      <c r="F17" s="2">
        <v>188.374331550802</v>
      </c>
      <c r="G17" s="2">
        <v>940.88</v>
      </c>
      <c r="H17" s="2">
        <v>-84.515151515151501</v>
      </c>
      <c r="I17" s="2">
        <v>-58.394736842105303</v>
      </c>
      <c r="J17" s="2">
        <v>-26.278481012658201</v>
      </c>
      <c r="K17" s="2">
        <v>-45.9677419354839</v>
      </c>
      <c r="L17" s="2">
        <v>-34.7826086956522</v>
      </c>
      <c r="M17" s="2">
        <v>-92.6875</v>
      </c>
      <c r="N17" s="2">
        <v>-242.857142857143</v>
      </c>
      <c r="O17" s="2">
        <v>-9.0399999999999991</v>
      </c>
      <c r="P17" s="2">
        <v>-11.176470588235301</v>
      </c>
      <c r="Q17" s="2">
        <v>-8.9</v>
      </c>
      <c r="R17" s="2">
        <v>-58.241758241758198</v>
      </c>
      <c r="S17" s="2">
        <v>-39.259259259259302</v>
      </c>
      <c r="T17" s="2">
        <v>-41.623036649214697</v>
      </c>
    </row>
    <row r="18" spans="1:20" x14ac:dyDescent="0.25">
      <c r="A18" s="2" t="s">
        <v>147</v>
      </c>
      <c r="B18" s="2">
        <v>15.2946629124616</v>
      </c>
      <c r="C18" s="2">
        <v>13.2160556863548</v>
      </c>
      <c r="D18" s="2">
        <v>8.1484637243859304</v>
      </c>
      <c r="E18" s="2">
        <v>4.7329233262134496</v>
      </c>
      <c r="F18" s="2">
        <v>19.3660208461067</v>
      </c>
      <c r="G18" s="2">
        <v>20.877117579908699</v>
      </c>
      <c r="H18" s="2">
        <v>3.0127736186833798</v>
      </c>
      <c r="I18" s="2">
        <v>2.64589259124857</v>
      </c>
      <c r="J18" s="2">
        <v>4.3895774470618303</v>
      </c>
      <c r="K18" s="2">
        <v>4.4035333905132097</v>
      </c>
      <c r="L18" s="2">
        <v>7.6046193486199396</v>
      </c>
      <c r="M18" s="2">
        <v>8.6618564506265106</v>
      </c>
      <c r="N18" s="2">
        <v>8.9232307638058401</v>
      </c>
      <c r="O18" s="2">
        <v>8.8059970091178297</v>
      </c>
      <c r="P18" s="2">
        <v>14.008290300232099</v>
      </c>
      <c r="Q18" s="2">
        <v>11.599556837182201</v>
      </c>
      <c r="R18" s="2">
        <v>29.0457688287789</v>
      </c>
      <c r="S18" s="2">
        <v>220.55830280830301</v>
      </c>
      <c r="T18" s="2">
        <v>44540.6917808219</v>
      </c>
    </row>
    <row r="19" spans="1:20" x14ac:dyDescent="0.25">
      <c r="A19" s="2" t="s">
        <v>146</v>
      </c>
      <c r="B19" s="2">
        <v>98.348613277276698</v>
      </c>
      <c r="C19" s="2">
        <v>86.515880184949395</v>
      </c>
      <c r="D19" s="2">
        <v>59.4863669281835</v>
      </c>
      <c r="E19" s="2">
        <v>26.185370823145899</v>
      </c>
      <c r="F19" s="2">
        <v>90.6616804383752</v>
      </c>
      <c r="G19" s="2">
        <v>110.782564361434</v>
      </c>
      <c r="H19" s="2">
        <v>30.7891683991684</v>
      </c>
      <c r="I19" s="2">
        <v>27.0658770257388</v>
      </c>
      <c r="J19" s="2">
        <v>-846.18100327868899</v>
      </c>
      <c r="K19" s="2">
        <v>-248.93453875909501</v>
      </c>
      <c r="L19" s="2">
        <v>-58.662609461600503</v>
      </c>
      <c r="M19" s="2">
        <v>-483.17317875019597</v>
      </c>
      <c r="N19" s="2">
        <v>67.849766053382893</v>
      </c>
      <c r="O19" s="2">
        <v>-13.794253927941901</v>
      </c>
      <c r="P19" s="2">
        <v>-25.017323873771499</v>
      </c>
      <c r="Q19" s="2">
        <v>-10.594667872035799</v>
      </c>
      <c r="R19" s="2">
        <v>-40.2285245901639</v>
      </c>
      <c r="S19" s="2">
        <v>-62.036756849576399</v>
      </c>
      <c r="T19" s="2">
        <v>-60.810385456993799</v>
      </c>
    </row>
    <row r="20" spans="1:20" x14ac:dyDescent="0.25">
      <c r="A20" s="2" t="s">
        <v>145</v>
      </c>
      <c r="B20" s="2">
        <v>233.17475884244399</v>
      </c>
      <c r="C20" s="2">
        <v>360.53518011728602</v>
      </c>
      <c r="D20" s="2">
        <v>180.98491622676201</v>
      </c>
      <c r="E20" s="2">
        <v>51.053151483050797</v>
      </c>
      <c r="F20" s="2">
        <v>299.26423772609797</v>
      </c>
      <c r="G20" s="2">
        <v>243.75445390596099</v>
      </c>
      <c r="H20" s="2">
        <v>76.495816115702496</v>
      </c>
      <c r="I20" s="2">
        <v>-256.94212669683299</v>
      </c>
      <c r="J20" s="2">
        <v>-12.4618400543891</v>
      </c>
      <c r="K20" s="2">
        <v>-19.705500863005799</v>
      </c>
      <c r="L20" s="2">
        <v>-14.2489611452341</v>
      </c>
      <c r="M20" s="2">
        <v>-26.969535845221401</v>
      </c>
      <c r="N20" s="2">
        <v>30977.395603448302</v>
      </c>
      <c r="O20" s="2">
        <v>-7.2342346479326798</v>
      </c>
      <c r="P20" s="2">
        <v>-9.1624967254851697</v>
      </c>
      <c r="Q20" s="2">
        <v>-8.0596278026425399</v>
      </c>
      <c r="R20" s="2">
        <v>-35.0717891466848</v>
      </c>
      <c r="S20" s="2">
        <v>-51.576258684686401</v>
      </c>
      <c r="T20" s="2">
        <v>-51.389586066286299</v>
      </c>
    </row>
    <row r="21" spans="1:20" x14ac:dyDescent="0.25">
      <c r="A21" s="2" t="s">
        <v>144</v>
      </c>
      <c r="B21" s="2">
        <v>17.657657328609499</v>
      </c>
      <c r="C21" s="2">
        <v>17.707082138987602</v>
      </c>
      <c r="D21" s="2">
        <v>12.589827889005999</v>
      </c>
      <c r="E21" s="2">
        <v>8.6245839298496794</v>
      </c>
      <c r="F21" s="2">
        <v>34.527057537513699</v>
      </c>
      <c r="G21" s="2">
        <v>29.623432170978599</v>
      </c>
      <c r="H21" s="2">
        <v>11.1888712601995</v>
      </c>
      <c r="I21" s="2">
        <v>11.534472882388799</v>
      </c>
      <c r="J21" s="2">
        <v>12.1817543581415</v>
      </c>
      <c r="K21" s="2">
        <v>6.48556537246332</v>
      </c>
      <c r="L21" s="2">
        <v>28.391959428035701</v>
      </c>
      <c r="M21" s="2">
        <v>30.386527020653499</v>
      </c>
      <c r="N21" s="2">
        <v>26.9320204011272</v>
      </c>
      <c r="O21" s="2">
        <v>29.1830882117081</v>
      </c>
      <c r="P21" s="2">
        <v>12.7701186257225</v>
      </c>
      <c r="Q21" s="2">
        <v>6.5404092934971603</v>
      </c>
      <c r="R21" s="2">
        <v>-12.8251499863918</v>
      </c>
      <c r="S21" s="2">
        <v>-16.280633806343101</v>
      </c>
      <c r="T21" s="2">
        <v>-27.590843134259998</v>
      </c>
    </row>
    <row r="22" spans="1:20" x14ac:dyDescent="0.25">
      <c r="A22" s="2" t="s">
        <v>143</v>
      </c>
      <c r="B22" s="2">
        <v>17.657657328609499</v>
      </c>
      <c r="C22" s="2">
        <v>17.707082138987602</v>
      </c>
      <c r="D22" s="2">
        <v>12.589827889005999</v>
      </c>
      <c r="E22" s="2">
        <v>8.6245839298496794</v>
      </c>
      <c r="F22" s="2">
        <v>34.527057537513699</v>
      </c>
      <c r="G22" s="2">
        <v>29.623432170978599</v>
      </c>
      <c r="H22" s="2">
        <v>11.1888712601995</v>
      </c>
      <c r="I22" s="2">
        <v>11.534472882388799</v>
      </c>
      <c r="J22" s="2">
        <v>12.1817543581415</v>
      </c>
      <c r="K22" s="2">
        <v>6.48556537246332</v>
      </c>
      <c r="L22" s="2">
        <v>28.391959428035701</v>
      </c>
      <c r="M22" s="2">
        <v>30.386527020653499</v>
      </c>
      <c r="N22" s="2">
        <v>26.9320204011272</v>
      </c>
      <c r="O22" s="2">
        <v>29.1830882117081</v>
      </c>
      <c r="P22" s="2">
        <v>12.7701186257225</v>
      </c>
      <c r="Q22" s="2">
        <v>6.5404092934971603</v>
      </c>
      <c r="R22" s="2">
        <v>-12.8251499863918</v>
      </c>
      <c r="S22" s="2">
        <v>-16.280633806343101</v>
      </c>
      <c r="T22" s="2">
        <v>-27.590843134259998</v>
      </c>
    </row>
    <row r="23" spans="1:20" x14ac:dyDescent="0.25">
      <c r="A23" s="2" t="s">
        <v>142</v>
      </c>
      <c r="B23" s="2">
        <v>15.2088540183703</v>
      </c>
      <c r="C23" s="2">
        <v>13.1903007472617</v>
      </c>
      <c r="D23" s="2">
        <v>8.0779378545668692</v>
      </c>
      <c r="E23" s="2">
        <v>4.6039674940462998</v>
      </c>
      <c r="F23" s="2">
        <v>19.204324173680401</v>
      </c>
      <c r="G23" s="2">
        <v>20.683529299847802</v>
      </c>
      <c r="H23" s="2">
        <v>3.3518980388965698</v>
      </c>
      <c r="I23" s="2">
        <v>3.1184648549190999</v>
      </c>
      <c r="J23" s="2">
        <v>5.1347895399268699</v>
      </c>
      <c r="K23" s="2">
        <v>5.1762008202130998</v>
      </c>
      <c r="L23" s="2">
        <v>8.0249790844100097</v>
      </c>
      <c r="M23" s="2">
        <v>8.85733062548384</v>
      </c>
      <c r="N23" s="2">
        <v>8.8045262816514196</v>
      </c>
      <c r="O23" s="2">
        <v>9.4467039800994996</v>
      </c>
      <c r="P23" s="2">
        <v>14.130116369307</v>
      </c>
      <c r="Q23" s="2">
        <v>11.3686670269992</v>
      </c>
      <c r="R23" s="2">
        <v>28.433519737723699</v>
      </c>
      <c r="S23" s="2">
        <v>223.711199294533</v>
      </c>
      <c r="T23" s="2">
        <v>44306.267123287696</v>
      </c>
    </row>
    <row r="24" spans="1:20" x14ac:dyDescent="0.25">
      <c r="A24" s="2" t="s">
        <v>141</v>
      </c>
      <c r="B24" s="2">
        <v>122.595205712343</v>
      </c>
      <c r="C24" s="2">
        <v>87.609496872450407</v>
      </c>
      <c r="D24" s="2">
        <v>52.833622600702903</v>
      </c>
      <c r="E24" s="2">
        <v>21.2407770289404</v>
      </c>
      <c r="F24" s="2">
        <v>107.390580779221</v>
      </c>
      <c r="G24" s="2">
        <v>154.42134943181799</v>
      </c>
      <c r="H24" s="2">
        <v>37.9295349907919</v>
      </c>
      <c r="I24" s="2">
        <v>42.928935214881299</v>
      </c>
      <c r="J24" s="2">
        <v>-591.96068823529401</v>
      </c>
      <c r="K24" s="2">
        <v>90.684749012040697</v>
      </c>
      <c r="L24" s="2">
        <v>-97.160136811268103</v>
      </c>
      <c r="M24" s="2">
        <v>587.96821464892798</v>
      </c>
      <c r="N24" s="2">
        <v>262.28164178662797</v>
      </c>
      <c r="O24" s="2">
        <v>-10.637407015841999</v>
      </c>
      <c r="P24" s="2">
        <v>-12.179115578578701</v>
      </c>
      <c r="Q24" s="2">
        <v>-9.3112365890276401</v>
      </c>
      <c r="R24" s="2">
        <v>-68.8306013883182</v>
      </c>
      <c r="S24" s="2">
        <v>-44.101449566066201</v>
      </c>
      <c r="T24" s="2">
        <v>-43.037543911006999</v>
      </c>
    </row>
    <row r="25" spans="1:20" x14ac:dyDescent="0.25">
      <c r="A25" s="2" t="s">
        <v>140</v>
      </c>
      <c r="B25" s="2">
        <v>97.796840035261397</v>
      </c>
      <c r="C25" s="2">
        <v>86.347281377739094</v>
      </c>
      <c r="D25" s="2">
        <v>58.971505733252897</v>
      </c>
      <c r="E25" s="2">
        <v>25.471909807117601</v>
      </c>
      <c r="F25" s="2">
        <v>89.904700356614796</v>
      </c>
      <c r="G25" s="2">
        <v>109.755305401312</v>
      </c>
      <c r="H25" s="2">
        <v>34.254864864864899</v>
      </c>
      <c r="I25" s="2">
        <v>31.900004766444201</v>
      </c>
      <c r="J25" s="2">
        <v>-989.83590491803295</v>
      </c>
      <c r="K25" s="2">
        <v>-292.61391919501898</v>
      </c>
      <c r="L25" s="2">
        <v>-61.905296292271302</v>
      </c>
      <c r="M25" s="2">
        <v>-494.07706280412299</v>
      </c>
      <c r="N25" s="2">
        <v>66.947170171145402</v>
      </c>
      <c r="O25" s="2">
        <v>-14.7978966321096</v>
      </c>
      <c r="P25" s="2">
        <v>-25.2348923393725</v>
      </c>
      <c r="Q25" s="2">
        <v>-10.383780431398</v>
      </c>
      <c r="R25" s="2">
        <v>-39.380556758428703</v>
      </c>
      <c r="S25" s="2">
        <v>-62.923576661833202</v>
      </c>
      <c r="T25" s="2">
        <v>-60.490330845910698</v>
      </c>
    </row>
    <row r="26" spans="1:20" x14ac:dyDescent="0.25">
      <c r="A26" s="2" t="s">
        <v>139</v>
      </c>
      <c r="B26" s="2">
        <v>231.86655948553101</v>
      </c>
      <c r="C26" s="2">
        <v>359.83258307735298</v>
      </c>
      <c r="D26" s="2">
        <v>179.41847142529301</v>
      </c>
      <c r="E26" s="2">
        <v>49.662129237288099</v>
      </c>
      <c r="F26" s="2">
        <v>296.765529715762</v>
      </c>
      <c r="G26" s="2">
        <v>241.494179933358</v>
      </c>
      <c r="H26" s="2">
        <v>85.106353305785106</v>
      </c>
      <c r="I26" s="2">
        <v>-302.83352941176503</v>
      </c>
      <c r="J26" s="2">
        <v>-14.577468271427801</v>
      </c>
      <c r="K26" s="2">
        <v>-23.1631330307486</v>
      </c>
      <c r="L26" s="2">
        <v>-15.0365994565955</v>
      </c>
      <c r="M26" s="2">
        <v>-27.578163775697998</v>
      </c>
      <c r="N26" s="2">
        <v>30565.307672413801</v>
      </c>
      <c r="O26" s="2">
        <v>-7.76058329009647</v>
      </c>
      <c r="P26" s="2">
        <v>-9.2421803224876697</v>
      </c>
      <c r="Q26" s="2">
        <v>-7.8992004725627902</v>
      </c>
      <c r="R26" s="2">
        <v>-34.332518957166997</v>
      </c>
      <c r="S26" s="2">
        <v>-52.313544938295102</v>
      </c>
      <c r="T26" s="2">
        <v>-51.1191146022664</v>
      </c>
    </row>
    <row r="27" spans="1:20" x14ac:dyDescent="0.25">
      <c r="A27" s="3" t="s">
        <v>138</v>
      </c>
      <c r="B27" s="3">
        <v>2.6159257060551699E-3</v>
      </c>
      <c r="C27" s="3">
        <v>5.5225233442406096E-3</v>
      </c>
      <c r="D27" s="3">
        <v>1.9020957013727802E-2</v>
      </c>
      <c r="E27" s="3">
        <v>3.2636205516538001E-2</v>
      </c>
      <c r="F27" s="3">
        <v>5.2996278536850596E-3</v>
      </c>
      <c r="G27" s="3">
        <v>1.09511094780136E-3</v>
      </c>
      <c r="H27" s="3">
        <v>-1.1641105526891699E-2</v>
      </c>
      <c r="I27" s="3">
        <v>-1.71878767002306E-2</v>
      </c>
      <c r="J27" s="3">
        <v>-3.8010702558441099E-2</v>
      </c>
      <c r="K27" s="3">
        <v>-2.1894796533303899E-2</v>
      </c>
      <c r="L27" s="3">
        <v>-2.88822522269543E-2</v>
      </c>
      <c r="M27" s="3">
        <v>-1.06137445237438E-2</v>
      </c>
      <c r="N27" s="3">
        <v>-4.1194665446110399E-3</v>
      </c>
      <c r="O27" s="3">
        <v>-0.108875714865013</v>
      </c>
      <c r="P27" s="3">
        <v>-8.8921278275731902E-2</v>
      </c>
      <c r="Q27" s="3">
        <v>-0.113964282683735</v>
      </c>
      <c r="R27" s="3">
        <v>-1.71430126768796E-2</v>
      </c>
      <c r="S27" s="3">
        <v>-2.5459865005695099E-2</v>
      </c>
      <c r="T27" s="3">
        <v>-2.4037431678989599E-2</v>
      </c>
    </row>
    <row r="28" spans="1:20" x14ac:dyDescent="0.25">
      <c r="A28" s="3" t="s">
        <v>137</v>
      </c>
      <c r="B28" s="3">
        <v>4.2886288591626699E-3</v>
      </c>
      <c r="C28" s="3">
        <v>2.7736544313780699E-3</v>
      </c>
      <c r="D28" s="3">
        <v>5.5253223354098198E-3</v>
      </c>
      <c r="E28" s="3">
        <v>1.9587429393697502E-2</v>
      </c>
      <c r="F28" s="3">
        <v>3.3415285688604399E-3</v>
      </c>
      <c r="G28" s="3">
        <v>4.1024891400991397E-3</v>
      </c>
      <c r="H28" s="3">
        <v>1.3072610382866799E-2</v>
      </c>
      <c r="I28" s="3">
        <v>-3.8919269987202402E-3</v>
      </c>
      <c r="J28" s="3">
        <v>-8.0244971499838696E-2</v>
      </c>
      <c r="K28" s="3">
        <v>-5.0747251082430098E-2</v>
      </c>
      <c r="L28" s="3">
        <v>-7.0180554905539705E-2</v>
      </c>
      <c r="M28" s="3">
        <v>-3.7078873204901101E-2</v>
      </c>
      <c r="N28" s="3">
        <v>3.2281603424681802E-5</v>
      </c>
      <c r="O28" s="3">
        <v>-0.138231623477373</v>
      </c>
      <c r="P28" s="3">
        <v>-0.10914055742235999</v>
      </c>
      <c r="Q28" s="3">
        <v>-0.124075208494383</v>
      </c>
      <c r="R28" s="3">
        <v>-2.8512945142820802E-2</v>
      </c>
      <c r="S28" s="3">
        <v>-1.9388765790739899E-2</v>
      </c>
      <c r="T28" s="3">
        <v>-1.94591954624838E-2</v>
      </c>
    </row>
    <row r="29" spans="1:20" x14ac:dyDescent="0.25">
      <c r="A29" s="2" t="s">
        <v>136</v>
      </c>
      <c r="B29" s="2">
        <v>0.101975966981994</v>
      </c>
      <c r="C29" s="2">
        <v>0.18683910962379799</v>
      </c>
      <c r="D29" s="2">
        <v>0.152840310374557</v>
      </c>
      <c r="E29" s="2">
        <v>0.12857909806728701</v>
      </c>
      <c r="F29" s="2">
        <v>0.29391500215310201</v>
      </c>
      <c r="G29" s="2">
        <v>0.59748031496063003</v>
      </c>
      <c r="H29" s="2">
        <v>2.2065578724690198</v>
      </c>
      <c r="I29" s="2">
        <v>2.80885638838107</v>
      </c>
      <c r="J29" s="2">
        <v>2.8629148394167698</v>
      </c>
      <c r="K29" s="2">
        <v>1.8519155944641099</v>
      </c>
      <c r="L29" s="2">
        <v>2.6738795833548599</v>
      </c>
      <c r="M29" s="2">
        <v>2.7760022375536102</v>
      </c>
      <c r="N29" s="2">
        <v>0.90969840508454203</v>
      </c>
      <c r="O29" s="2">
        <v>3.7423095429029698</v>
      </c>
      <c r="P29" s="2">
        <v>1.25040951594546</v>
      </c>
      <c r="Q29" s="2">
        <v>0.35065781847687499</v>
      </c>
      <c r="R29" s="2">
        <v>-4.2994126765618897E-3</v>
      </c>
      <c r="S29" s="2">
        <v>-0.27918423345383903</v>
      </c>
      <c r="T29" s="2">
        <v>-8.3159377492659896E-4</v>
      </c>
    </row>
    <row r="30" spans="1:20" x14ac:dyDescent="0.25">
      <c r="A30" s="3" t="s">
        <v>135</v>
      </c>
      <c r="B30" s="3">
        <v>6.0781098065396298E-2</v>
      </c>
      <c r="C30" s="3">
        <v>0.111599901695748</v>
      </c>
      <c r="D30" s="3">
        <v>8.9787840702320404E-2</v>
      </c>
      <c r="E30" s="3">
        <v>6.9809808350943706E-2</v>
      </c>
      <c r="F30" s="3">
        <v>0.142811157071349</v>
      </c>
      <c r="G30" s="3">
        <v>0.25464063818363097</v>
      </c>
      <c r="H30" s="3">
        <v>0.42563175843073198</v>
      </c>
      <c r="I30" s="3">
        <v>0.46496301277740398</v>
      </c>
      <c r="J30" s="3">
        <v>0.423336434089915</v>
      </c>
      <c r="K30" s="3">
        <v>0.38836747635332702</v>
      </c>
      <c r="L30" s="3">
        <v>0.35916161488082599</v>
      </c>
      <c r="M30" s="3">
        <v>0.43406852080559599</v>
      </c>
      <c r="N30" s="3">
        <v>0.25109457038474398</v>
      </c>
      <c r="O30" s="3">
        <v>0.41883879769159699</v>
      </c>
      <c r="P30" s="3">
        <v>0.39266772070284001</v>
      </c>
      <c r="Q30" s="3">
        <v>0.188050724975523</v>
      </c>
      <c r="R30" s="3">
        <v>8.3573575415567692E-3</v>
      </c>
      <c r="S30" s="3">
        <v>1.0784928141743599</v>
      </c>
      <c r="T30" s="3">
        <v>2.81310101329047E-3</v>
      </c>
    </row>
    <row r="31" spans="1:20" x14ac:dyDescent="0.25">
      <c r="A31" s="3" t="s">
        <v>134</v>
      </c>
      <c r="B31" s="3">
        <v>-0.69168650119007102</v>
      </c>
      <c r="C31" s="3">
        <v>-0.17106336687516999</v>
      </c>
      <c r="D31" s="3">
        <v>-0.46127331711273301</v>
      </c>
      <c r="E31" s="3">
        <v>-0.59494817919238796</v>
      </c>
      <c r="F31" s="3">
        <v>-0.90420779220779202</v>
      </c>
      <c r="G31" s="3">
        <v>-1.4453125</v>
      </c>
      <c r="H31" s="3">
        <v>3.8374769797421702</v>
      </c>
      <c r="I31" s="3">
        <v>6.50545221295702</v>
      </c>
      <c r="J31" s="3">
        <v>-85.911264705882402</v>
      </c>
      <c r="K31" s="3">
        <v>13.536791628812599</v>
      </c>
      <c r="L31" s="3">
        <v>-5.0893851572342097</v>
      </c>
      <c r="M31" s="3">
        <v>12.975986384674499</v>
      </c>
      <c r="N31" s="3">
        <v>-3.5361364678729399</v>
      </c>
      <c r="O31" s="3">
        <v>-0.72146442214943995</v>
      </c>
      <c r="P31" s="3">
        <v>-0.105005064145847</v>
      </c>
      <c r="Q31" s="3">
        <v>0.18910481268415899</v>
      </c>
      <c r="R31" s="3">
        <v>1.4821053997361799</v>
      </c>
      <c r="S31" s="3">
        <v>-0.62154825423570204</v>
      </c>
      <c r="T31" s="3">
        <v>0.227711837342985</v>
      </c>
    </row>
    <row r="32" spans="1:20" x14ac:dyDescent="0.25">
      <c r="A32" s="2" t="s">
        <v>133</v>
      </c>
      <c r="B32" s="2">
        <v>2.1644068865485302</v>
      </c>
      <c r="C32" s="2">
        <v>2.02491239027098</v>
      </c>
      <c r="D32" s="2">
        <v>1.72589397523306</v>
      </c>
      <c r="E32" s="2">
        <v>1.53195552061103</v>
      </c>
      <c r="F32" s="2">
        <v>1.37528546054301</v>
      </c>
      <c r="G32" s="2">
        <v>1.8751403705783301</v>
      </c>
      <c r="H32" s="2">
        <v>1.1346207931002199</v>
      </c>
      <c r="I32" s="2">
        <v>0.83128189732812996</v>
      </c>
      <c r="J32" s="2">
        <v>0.85613062190296096</v>
      </c>
      <c r="K32" s="2">
        <v>1.0742733187975599</v>
      </c>
      <c r="L32" s="2">
        <v>0.989673198661703</v>
      </c>
      <c r="M32" s="2">
        <v>1.50917061114312</v>
      </c>
      <c r="N32" s="2">
        <v>1.8750207358255799</v>
      </c>
      <c r="O32" s="2">
        <v>0.97340050602105699</v>
      </c>
      <c r="P32" s="2">
        <v>1.9485729516721599</v>
      </c>
      <c r="Q32" s="2">
        <v>2.7568047683048</v>
      </c>
      <c r="R32" s="2">
        <v>1.7491868009532301</v>
      </c>
      <c r="S32" s="2">
        <v>0.357388980496958</v>
      </c>
      <c r="T32" s="2">
        <v>0.43488771054273201</v>
      </c>
    </row>
    <row r="33" spans="1:20" x14ac:dyDescent="0.25">
      <c r="A33" s="2" t="s">
        <v>132</v>
      </c>
      <c r="B33" s="2">
        <v>12.884615384615399</v>
      </c>
      <c r="C33" s="2">
        <v>20.2171428571429</v>
      </c>
      <c r="D33" s="2">
        <v>56.993589743589702</v>
      </c>
      <c r="E33" s="2">
        <v>71.497382198952906</v>
      </c>
      <c r="F33" s="2">
        <v>17.5822102425876</v>
      </c>
      <c r="G33" s="2">
        <v>2.6657754010695198</v>
      </c>
      <c r="H33" s="2">
        <v>-0.10072992700729901</v>
      </c>
      <c r="I33" s="2">
        <v>-0.58521870286576205</v>
      </c>
      <c r="J33" s="2">
        <v>-3.4649681528662399</v>
      </c>
      <c r="K33" s="2">
        <v>-3.3566721995875501</v>
      </c>
      <c r="L33" s="2">
        <v>-6.0296421569864798</v>
      </c>
      <c r="M33" s="2">
        <v>-1.8504946176872901</v>
      </c>
      <c r="N33" s="2">
        <v>-1.86078217040141</v>
      </c>
      <c r="O33" s="2">
        <v>-1552.2952755905501</v>
      </c>
      <c r="P33" s="2">
        <v>-5848.55813953488</v>
      </c>
      <c r="Q33" s="2">
        <v>-148.02217741935499</v>
      </c>
      <c r="R33" s="2">
        <v>-20.504543658633001</v>
      </c>
      <c r="S33" s="2">
        <v>-20.951160928743001</v>
      </c>
      <c r="T33" s="2">
        <v>0</v>
      </c>
    </row>
    <row r="34" spans="1:20" x14ac:dyDescent="0.25">
      <c r="A34" s="2" t="s">
        <v>131</v>
      </c>
      <c r="B34" s="2">
        <v>3.8254215304799</v>
      </c>
      <c r="C34" s="2">
        <v>2.0929873772790999</v>
      </c>
      <c r="D34" s="2">
        <v>0.88379225281685403</v>
      </c>
      <c r="E34" s="2">
        <v>1.17015020265437</v>
      </c>
      <c r="F34" s="2">
        <v>2.0831672404421102</v>
      </c>
      <c r="G34" s="2">
        <v>8.6130434782608702</v>
      </c>
      <c r="H34" s="2">
        <v>-3.1032258064516101</v>
      </c>
      <c r="I34" s="2">
        <v>-1.9744358553034</v>
      </c>
      <c r="J34" s="2">
        <v>2.72199910754128E-2</v>
      </c>
      <c r="K34" s="2">
        <v>0.16018322324932799</v>
      </c>
      <c r="L34" s="2">
        <v>0.59021136246248596</v>
      </c>
      <c r="M34" s="2">
        <v>0.19499727928173</v>
      </c>
      <c r="N34" s="2">
        <v>-3.5777555597589599</v>
      </c>
      <c r="O34" s="2">
        <v>0.665841353009619</v>
      </c>
      <c r="P34" s="2">
        <v>0.44952458816639201</v>
      </c>
      <c r="Q34" s="2">
        <v>0.82821652584106598</v>
      </c>
      <c r="R34" s="2">
        <v>1.4500358808754901</v>
      </c>
      <c r="S34" s="2">
        <v>0.63313280664878802</v>
      </c>
      <c r="T34" s="2">
        <v>0.68412298322607101</v>
      </c>
    </row>
    <row r="35" spans="1:20" x14ac:dyDescent="0.25">
      <c r="A35" s="3" t="s">
        <v>130</v>
      </c>
      <c r="B35" s="3">
        <v>0</v>
      </c>
      <c r="C35" s="3">
        <v>0</v>
      </c>
      <c r="D35" s="3">
        <v>0</v>
      </c>
      <c r="E35" s="3">
        <v>0</v>
      </c>
      <c r="F35" s="3">
        <v>0</v>
      </c>
      <c r="G35" s="3">
        <v>0</v>
      </c>
      <c r="H35" s="3">
        <v>0</v>
      </c>
      <c r="I35" s="3">
        <v>0</v>
      </c>
      <c r="J35" s="3">
        <v>0</v>
      </c>
      <c r="K35" s="3">
        <v>0</v>
      </c>
      <c r="L35" s="3">
        <v>0</v>
      </c>
      <c r="M35" s="3">
        <v>0</v>
      </c>
      <c r="N35" s="3">
        <v>0</v>
      </c>
      <c r="O35" s="3">
        <v>0</v>
      </c>
      <c r="P35" s="3">
        <v>0</v>
      </c>
      <c r="Q35" s="3">
        <v>0</v>
      </c>
      <c r="R35" s="3">
        <v>0</v>
      </c>
      <c r="S35" s="3">
        <v>0</v>
      </c>
      <c r="T35" s="3">
        <v>0</v>
      </c>
    </row>
    <row r="36" spans="1:20" x14ac:dyDescent="0.25">
      <c r="A36" s="3" t="s">
        <v>129</v>
      </c>
      <c r="B36" s="3">
        <v>0</v>
      </c>
      <c r="C36" s="3">
        <v>0</v>
      </c>
      <c r="D36" s="3">
        <v>0</v>
      </c>
      <c r="E36" s="3">
        <v>0</v>
      </c>
      <c r="F36" s="3">
        <v>0</v>
      </c>
      <c r="G36" s="3">
        <v>0</v>
      </c>
      <c r="H36" s="3">
        <v>0</v>
      </c>
      <c r="I36" s="3">
        <v>0</v>
      </c>
      <c r="J36" s="3">
        <v>0</v>
      </c>
      <c r="K36" s="3">
        <v>0</v>
      </c>
      <c r="L36" s="3">
        <v>0</v>
      </c>
      <c r="M36" s="3">
        <v>0</v>
      </c>
      <c r="N36" s="3">
        <v>0</v>
      </c>
      <c r="O36" s="3">
        <v>0</v>
      </c>
      <c r="P36" s="3">
        <v>0</v>
      </c>
      <c r="Q36" s="3">
        <v>0</v>
      </c>
      <c r="R36" s="3">
        <v>0</v>
      </c>
      <c r="S36" s="3">
        <v>0</v>
      </c>
      <c r="T36" s="3">
        <v>0</v>
      </c>
    </row>
    <row r="37" spans="1:20" x14ac:dyDescent="0.25">
      <c r="A37" s="3" t="s">
        <v>128</v>
      </c>
      <c r="B37" s="3">
        <v>6.1522562139474997E-2</v>
      </c>
      <c r="C37" s="3">
        <v>5.2717780734978001E-2</v>
      </c>
      <c r="D37" s="3">
        <v>4.9600611740878098E-2</v>
      </c>
      <c r="E37" s="3">
        <v>4.8439763325231401E-2</v>
      </c>
      <c r="F37" s="3">
        <v>8.3923229845976596E-2</v>
      </c>
      <c r="G37" s="3">
        <v>9.9727295788939602E-2</v>
      </c>
      <c r="H37" s="3">
        <v>0.10765725445520399</v>
      </c>
      <c r="I37" s="3">
        <v>0.132098438917961</v>
      </c>
      <c r="J37" s="3">
        <v>0.21064716387447899</v>
      </c>
      <c r="K37" s="3">
        <v>0.204594570502385</v>
      </c>
      <c r="L37" s="3">
        <v>0.227935319233074</v>
      </c>
      <c r="M37" s="3">
        <v>0.18874071554260999</v>
      </c>
      <c r="N37" s="3">
        <v>0.14182744837834299</v>
      </c>
      <c r="O37" s="3">
        <v>0.36387130495383002</v>
      </c>
      <c r="P37" s="3">
        <v>0.50969927830710604</v>
      </c>
      <c r="Q37" s="3">
        <v>0.72443123415336097</v>
      </c>
      <c r="R37" s="3">
        <v>0.37653091305396502</v>
      </c>
      <c r="S37" s="3">
        <v>1.6041921041920999</v>
      </c>
      <c r="T37" s="3">
        <v>236.219178082192</v>
      </c>
    </row>
    <row r="38" spans="1:20" x14ac:dyDescent="0.25">
      <c r="A38" s="3" t="s">
        <v>127</v>
      </c>
      <c r="B38" s="3">
        <v>6.7607327027112502E-2</v>
      </c>
      <c r="C38" s="3">
        <v>4.6473538745009702E-2</v>
      </c>
      <c r="D38" s="3">
        <v>4.1013505833238602E-2</v>
      </c>
      <c r="E38" s="3">
        <v>3.7747661486337201E-2</v>
      </c>
      <c r="F38" s="3">
        <v>4.81764301506791E-2</v>
      </c>
      <c r="G38" s="3">
        <v>4.7279299847792999E-2</v>
      </c>
      <c r="H38" s="3">
        <v>5.4642363088941298E-2</v>
      </c>
      <c r="I38" s="3">
        <v>6.8046771514152907E-2</v>
      </c>
      <c r="J38" s="3">
        <v>0.117186835615273</v>
      </c>
      <c r="K38" s="3">
        <v>0.119198895106549</v>
      </c>
      <c r="L38" s="3">
        <v>0.177433406862291</v>
      </c>
      <c r="M38" s="3">
        <v>0.14529339448141501</v>
      </c>
      <c r="N38" s="3">
        <v>0.115210559146877</v>
      </c>
      <c r="O38" s="3">
        <v>0.66297404030431495</v>
      </c>
      <c r="P38" s="3">
        <v>1.02320286718696</v>
      </c>
      <c r="Q38" s="3">
        <v>0.79658055231960501</v>
      </c>
      <c r="R38" s="3">
        <v>0.172248376405849</v>
      </c>
      <c r="S38" s="3">
        <v>3.6436033102699801</v>
      </c>
      <c r="T38" s="3">
        <v>859.63013698630095</v>
      </c>
    </row>
    <row r="39" spans="1:20" x14ac:dyDescent="0.25">
      <c r="A39" s="3" t="s">
        <v>126</v>
      </c>
      <c r="B39" s="3">
        <v>2.8445786105104299E-3</v>
      </c>
      <c r="C39" s="3">
        <v>1.2042270828213301E-2</v>
      </c>
      <c r="D39" s="3">
        <v>5.7682567671500096E-3</v>
      </c>
      <c r="E39" s="3">
        <v>7.2020209380844798E-3</v>
      </c>
      <c r="F39" s="3">
        <v>2.7635157972670601E-2</v>
      </c>
      <c r="G39" s="3">
        <v>9.9716192375546506E-3</v>
      </c>
      <c r="H39" s="3">
        <v>1.565186977178E-2</v>
      </c>
      <c r="I39" s="3">
        <v>1.1768661735037E-2</v>
      </c>
      <c r="J39" s="3">
        <v>1.47176243253795E-2</v>
      </c>
      <c r="K39" s="3">
        <v>1.6596529238606501E-2</v>
      </c>
      <c r="L39" s="3">
        <v>1.58850977926333E-3</v>
      </c>
      <c r="M39" s="3">
        <v>0</v>
      </c>
      <c r="N39" s="3">
        <v>5.7635099071963198E-3</v>
      </c>
      <c r="O39" s="3">
        <v>1.2804817849738401E-2</v>
      </c>
      <c r="P39" s="3">
        <v>2.0335048945403202E-2</v>
      </c>
      <c r="Q39" s="3">
        <v>0</v>
      </c>
      <c r="R39" s="3">
        <v>0</v>
      </c>
      <c r="S39" s="3">
        <v>0</v>
      </c>
      <c r="T39" s="3">
        <v>0</v>
      </c>
    </row>
    <row r="40" spans="1:20" x14ac:dyDescent="0.25">
      <c r="A40" s="2" t="s">
        <v>125</v>
      </c>
      <c r="B40" s="2">
        <v>0.57821929884044199</v>
      </c>
      <c r="C40" s="2">
        <v>0.76003484554044098</v>
      </c>
      <c r="D40" s="2">
        <v>0.67131864815932396</v>
      </c>
      <c r="E40" s="2">
        <v>0.487095897853844</v>
      </c>
      <c r="F40" s="2">
        <v>0.69705140471427296</v>
      </c>
      <c r="G40" s="2">
        <v>0.54551573279488497</v>
      </c>
      <c r="H40" s="2">
        <v>0.59750519750519704</v>
      </c>
      <c r="I40" s="2">
        <v>1.1053384175405101</v>
      </c>
      <c r="J40" s="2">
        <v>-66.907442622950796</v>
      </c>
      <c r="K40" s="2">
        <v>-11.6327435414967</v>
      </c>
      <c r="L40" s="2">
        <v>-3.1169744842220899</v>
      </c>
      <c r="M40" s="2">
        <v>-16.9155170308876</v>
      </c>
      <c r="N40" s="2">
        <v>0.99780970075980702</v>
      </c>
      <c r="O40" s="2">
        <v>-0.90680211511854902</v>
      </c>
      <c r="P40" s="2">
        <v>-1.73040467279913</v>
      </c>
      <c r="Q40" s="2">
        <v>-0.31453562515158401</v>
      </c>
      <c r="R40" s="2">
        <v>-0.14703371481596</v>
      </c>
      <c r="S40" s="2">
        <v>-0.20281614897351799</v>
      </c>
      <c r="T40" s="2">
        <v>-0.18332117675662499</v>
      </c>
    </row>
    <row r="41" spans="1:20" x14ac:dyDescent="0.25">
      <c r="A41" s="2" t="s">
        <v>124</v>
      </c>
      <c r="B41" s="2">
        <v>8.9921646788361995E-2</v>
      </c>
      <c r="C41" s="2">
        <v>0.116101955164295</v>
      </c>
      <c r="D41" s="2">
        <v>9.1957467475432195E-2</v>
      </c>
      <c r="E41" s="2">
        <v>8.8041049814637506E-2</v>
      </c>
      <c r="F41" s="2">
        <v>0.14889545361648401</v>
      </c>
      <c r="G41" s="2">
        <v>0.102803145611365</v>
      </c>
      <c r="H41" s="2">
        <v>5.8466921637236602E-2</v>
      </c>
      <c r="I41" s="2">
        <v>0.108055125167814</v>
      </c>
      <c r="J41" s="2">
        <v>0.34708342546134902</v>
      </c>
      <c r="K41" s="2">
        <v>0.205777691049255</v>
      </c>
      <c r="L41" s="2">
        <v>0.40406324726120102</v>
      </c>
      <c r="M41" s="2">
        <v>0.303244854544022</v>
      </c>
      <c r="N41" s="2">
        <v>0.13122648368807299</v>
      </c>
      <c r="O41" s="2">
        <v>0.57888572700698804</v>
      </c>
      <c r="P41" s="2">
        <v>0.96892901557955802</v>
      </c>
      <c r="Q41" s="2">
        <v>0.34436887548824802</v>
      </c>
      <c r="R41" s="2">
        <v>0.106161171310399</v>
      </c>
      <c r="S41" s="2">
        <v>0.721069054402388</v>
      </c>
      <c r="T41" s="2">
        <v>134.27397260274</v>
      </c>
    </row>
    <row r="42" spans="1:20" x14ac:dyDescent="0.25">
      <c r="A42" s="2" t="s">
        <v>123</v>
      </c>
      <c r="B42" s="2">
        <v>1.3869551073519799</v>
      </c>
      <c r="C42" s="2">
        <v>2.1128912071535</v>
      </c>
      <c r="D42" s="2">
        <v>1.9067923719734301</v>
      </c>
      <c r="E42" s="2">
        <v>2.02427321478973</v>
      </c>
      <c r="F42" s="2">
        <v>2.7530058399175501</v>
      </c>
      <c r="G42" s="2">
        <v>1.3962101636520201</v>
      </c>
      <c r="H42" s="2">
        <v>0.66713091922005596</v>
      </c>
      <c r="I42" s="2">
        <v>1.21985218694932</v>
      </c>
      <c r="J42" s="2">
        <v>2.49471515892421</v>
      </c>
      <c r="K42" s="2">
        <v>1.5209297021747501</v>
      </c>
      <c r="L42" s="2">
        <v>3.86864336591022</v>
      </c>
      <c r="M42" s="2">
        <v>4.1817825129025401</v>
      </c>
      <c r="N42" s="2">
        <v>2.1875745131805502</v>
      </c>
      <c r="O42" s="2">
        <v>8.2993235039028601</v>
      </c>
      <c r="P42" s="2">
        <v>0</v>
      </c>
      <c r="Q42" s="2">
        <v>3.7845241457215502</v>
      </c>
      <c r="R42" s="2">
        <v>1.71239193083573</v>
      </c>
      <c r="S42" s="2">
        <v>2.55713254751022</v>
      </c>
      <c r="T42" s="2">
        <v>3.38583765112263</v>
      </c>
    </row>
    <row r="43" spans="1:20" x14ac:dyDescent="0.25">
      <c r="A43" s="3" t="s">
        <v>122</v>
      </c>
      <c r="B43" s="3">
        <v>2.9791093254030999E-2</v>
      </c>
      <c r="C43" s="3">
        <v>2.0462688094994401E-2</v>
      </c>
      <c r="D43" s="3">
        <v>1.87242309321815E-2</v>
      </c>
      <c r="E43" s="3">
        <v>1.9150033144288099E-2</v>
      </c>
      <c r="F43" s="3">
        <v>3.9406944986344103E-2</v>
      </c>
      <c r="G43" s="3">
        <v>5.4984779299847797E-2</v>
      </c>
      <c r="H43" s="3">
        <v>3.65367401741395E-2</v>
      </c>
      <c r="I43" s="3">
        <v>3.4901199686803198E-2</v>
      </c>
      <c r="J43" s="3">
        <v>3.9693851517986198E-2</v>
      </c>
      <c r="K43" s="3">
        <v>4.7745528227181998E-2</v>
      </c>
      <c r="L43" s="3">
        <v>4.8936672413047402E-2</v>
      </c>
      <c r="M43" s="3">
        <v>4.8930137858324702E-2</v>
      </c>
      <c r="N43" s="3">
        <v>4.15471398999551E-2</v>
      </c>
      <c r="O43" s="3">
        <v>0.121341250943725</v>
      </c>
      <c r="P43" s="3">
        <v>0</v>
      </c>
      <c r="Q43" s="3">
        <v>0.18121702185979599</v>
      </c>
      <c r="R43" s="3">
        <v>1.28100908498075E-2</v>
      </c>
      <c r="S43" s="3">
        <v>2.9643196309863E-2</v>
      </c>
      <c r="T43" s="3">
        <v>2.7123287671232901</v>
      </c>
    </row>
    <row r="44" spans="1:20" x14ac:dyDescent="0.25">
      <c r="A44" s="2" t="s">
        <v>121</v>
      </c>
      <c r="B44" s="2">
        <v>25.964479543115001</v>
      </c>
      <c r="C44" s="2">
        <v>33.829522788706697</v>
      </c>
      <c r="D44" s="2">
        <v>45.8130264861231</v>
      </c>
      <c r="E44" s="2">
        <v>35.942825301969101</v>
      </c>
      <c r="F44" s="2">
        <v>20.701293966370098</v>
      </c>
      <c r="G44" s="2">
        <v>6.7838600165461997</v>
      </c>
      <c r="H44" s="2"/>
      <c r="I44" s="2"/>
      <c r="J44" s="2"/>
      <c r="K44" s="2"/>
      <c r="L44" s="2"/>
      <c r="M44" s="2"/>
      <c r="N44" s="2"/>
      <c r="O44" s="2"/>
      <c r="P44" s="2"/>
      <c r="Q44" s="2"/>
      <c r="R44" s="2"/>
      <c r="S44" s="2"/>
      <c r="T44" s="2"/>
    </row>
    <row r="45" spans="1:20" x14ac:dyDescent="0.25">
      <c r="A45" s="3" t="s">
        <v>120</v>
      </c>
      <c r="B45" s="3">
        <v>2.9525579713498101E-2</v>
      </c>
      <c r="C45" s="3">
        <v>5.8332157999611001E-2</v>
      </c>
      <c r="D45" s="3">
        <v>0.10987938108655899</v>
      </c>
      <c r="E45" s="3">
        <v>0.21746039881406701</v>
      </c>
      <c r="F45" s="3">
        <v>0.130786271891461</v>
      </c>
      <c r="G45" s="3">
        <v>3.6939866067013299E-2</v>
      </c>
      <c r="H45" s="3">
        <v>-2.6898487447372501E-3</v>
      </c>
      <c r="I45" s="3">
        <v>-1.7274386714750001E-2</v>
      </c>
      <c r="J45" s="3">
        <v>-7.4318378201763902E-2</v>
      </c>
      <c r="K45" s="3">
        <v>-3.6876776726351902E-2</v>
      </c>
      <c r="L45" s="3">
        <v>-0.12193938738061801</v>
      </c>
      <c r="M45" s="3">
        <v>-4.2768374188280799E-2</v>
      </c>
      <c r="N45" s="3">
        <v>-3.5025882334113898E-2</v>
      </c>
      <c r="O45" s="3">
        <v>-0.62556006143223397</v>
      </c>
      <c r="P45" s="3">
        <v>-0.47353000986646399</v>
      </c>
      <c r="Q45" s="3">
        <v>-0.48816473623319501</v>
      </c>
      <c r="R45" s="3">
        <v>-0.70873335609423005</v>
      </c>
      <c r="S45" s="3">
        <v>2.1870455495194299</v>
      </c>
      <c r="T45" s="3">
        <v>4.8802124671835898</v>
      </c>
    </row>
    <row r="46" spans="1:20" x14ac:dyDescent="0.25">
      <c r="A46" s="3" t="s">
        <v>119</v>
      </c>
      <c r="B46" s="3">
        <v>2.7609996070269399E-2</v>
      </c>
      <c r="C46" s="3">
        <v>5.9121061359867298E-2</v>
      </c>
      <c r="D46" s="3">
        <v>0.14149599539635699</v>
      </c>
      <c r="E46" s="3">
        <v>0.153929903969662</v>
      </c>
      <c r="F46" s="3">
        <v>9.1435759923196594E-2</v>
      </c>
      <c r="G46" s="3">
        <v>1.39652901526304E-2</v>
      </c>
      <c r="H46" s="3">
        <v>-2.55241028070591E-2</v>
      </c>
      <c r="I46" s="3">
        <v>-3.3208574345015299E-2</v>
      </c>
      <c r="J46" s="3">
        <v>-6.9491588277002803E-2</v>
      </c>
      <c r="K46" s="3">
        <v>-3.0281590516409999E-2</v>
      </c>
      <c r="L46" s="3">
        <v>-0.110322710156009</v>
      </c>
      <c r="M46" s="3">
        <v>-5.0429907933346202E-2</v>
      </c>
      <c r="N46" s="3">
        <v>-3.08006658343737E-2</v>
      </c>
      <c r="O46" s="3">
        <v>-0.36021885168325402</v>
      </c>
      <c r="P46" s="3">
        <v>-0.36399547886799999</v>
      </c>
      <c r="Q46" s="3">
        <v>-0.39972855507379301</v>
      </c>
      <c r="R46" s="3">
        <v>-0.427375329693921</v>
      </c>
      <c r="S46" s="3">
        <v>-1.60123019787617</v>
      </c>
      <c r="T46" s="3">
        <v>-2.2435054683239102</v>
      </c>
    </row>
    <row r="47" spans="1:20" x14ac:dyDescent="0.25">
      <c r="A47" s="2" t="s">
        <v>118</v>
      </c>
      <c r="B47" s="2">
        <v>-0.38883720930232601</v>
      </c>
      <c r="C47" s="2">
        <v>-0.78354707538317203</v>
      </c>
      <c r="D47" s="2">
        <v>-1.4088545769655001</v>
      </c>
      <c r="E47" s="2">
        <v>-1.7960063897763601</v>
      </c>
      <c r="F47" s="2">
        <v>-2.8819702602230501</v>
      </c>
      <c r="G47" s="2">
        <v>-2.0078599499821399</v>
      </c>
      <c r="H47" s="2">
        <v>-6.4640301318267399</v>
      </c>
      <c r="I47" s="2">
        <v>-6.8279601406799504</v>
      </c>
      <c r="J47" s="2">
        <v>-7.2945023266850901</v>
      </c>
      <c r="K47" s="2">
        <v>-5.5278116014386196</v>
      </c>
      <c r="L47" s="2">
        <v>-2.6113395266844499</v>
      </c>
      <c r="M47" s="2">
        <v>-1.25717325496431</v>
      </c>
      <c r="N47" s="2">
        <v>-0.38736891613144497</v>
      </c>
      <c r="O47" s="2">
        <v>-0.39324477483100301</v>
      </c>
      <c r="P47" s="2">
        <v>-0.11746378319138399</v>
      </c>
      <c r="Q47" s="2">
        <v>-6.8157513107069995E-2</v>
      </c>
      <c r="R47" s="2">
        <v>-0.146748331255043</v>
      </c>
      <c r="S47" s="2">
        <v>-0.11311816914839</v>
      </c>
      <c r="T47" s="2">
        <v>-6.5710041810313202E-2</v>
      </c>
    </row>
    <row r="48" spans="1:20" x14ac:dyDescent="0.25">
      <c r="A48" s="1" t="s">
        <v>117</v>
      </c>
      <c r="B48" s="1">
        <v>36928</v>
      </c>
      <c r="C48" s="1">
        <v>29539</v>
      </c>
      <c r="D48" s="1">
        <v>20868</v>
      </c>
      <c r="E48" s="1">
        <v>14208</v>
      </c>
      <c r="F48" s="1">
        <v>7395</v>
      </c>
      <c r="G48" s="1">
        <v>12469</v>
      </c>
      <c r="H48" s="1">
        <v>1436</v>
      </c>
      <c r="I48" s="1">
        <v>-1686</v>
      </c>
      <c r="J48" s="1">
        <v>-1104.1500000000001</v>
      </c>
      <c r="K48" s="1">
        <v>432.791</v>
      </c>
      <c r="L48" s="1">
        <v>-29.029</v>
      </c>
      <c r="M48" s="1">
        <v>1072.9069999999999</v>
      </c>
      <c r="N48" s="1">
        <v>590.779</v>
      </c>
      <c r="O48" s="1">
        <v>-14.34</v>
      </c>
      <c r="P48" s="1">
        <v>181.499</v>
      </c>
      <c r="Q48" s="1">
        <v>150.321</v>
      </c>
      <c r="R48" s="1">
        <v>43.07</v>
      </c>
      <c r="S48" s="1">
        <v>-56.508000000000003</v>
      </c>
      <c r="T48" s="1">
        <v>-28.988</v>
      </c>
    </row>
    <row r="49" spans="1:20" x14ac:dyDescent="0.25">
      <c r="A49" s="1" t="s">
        <v>116</v>
      </c>
      <c r="B49" s="1">
        <v>82473</v>
      </c>
      <c r="C49" s="1">
        <v>72210</v>
      </c>
      <c r="D49" s="1">
        <v>62994</v>
      </c>
      <c r="E49" s="1">
        <v>45305</v>
      </c>
      <c r="F49" s="1">
        <v>29866</v>
      </c>
      <c r="G49" s="1">
        <v>23159</v>
      </c>
      <c r="H49" s="1">
        <v>7573</v>
      </c>
      <c r="I49" s="1">
        <v>5963</v>
      </c>
      <c r="J49" s="1">
        <v>5210.5829999999996</v>
      </c>
      <c r="K49" s="1">
        <v>5528.98</v>
      </c>
      <c r="L49" s="1">
        <v>1070.8879999999999</v>
      </c>
      <c r="M49" s="1">
        <v>911.71</v>
      </c>
      <c r="N49" s="1">
        <v>653.19000000000005</v>
      </c>
      <c r="O49" s="1">
        <v>110.43300000000001</v>
      </c>
      <c r="P49" s="1">
        <v>209.53700000000001</v>
      </c>
      <c r="Q49" s="1">
        <v>207.048</v>
      </c>
      <c r="R49" s="1">
        <v>-253.523</v>
      </c>
      <c r="S49" s="1">
        <v>-199.714</v>
      </c>
      <c r="T49" s="1">
        <v>-117.846</v>
      </c>
    </row>
    <row r="50" spans="1:20" x14ac:dyDescent="0.25">
      <c r="A50" s="1" t="s">
        <v>115</v>
      </c>
      <c r="B50" s="1">
        <v>13701</v>
      </c>
      <c r="C50" s="1">
        <v>9970</v>
      </c>
      <c r="D50" s="1">
        <v>6607</v>
      </c>
      <c r="E50" s="1">
        <v>4477</v>
      </c>
      <c r="F50" s="1">
        <v>-3448</v>
      </c>
      <c r="G50" s="1">
        <v>-1752</v>
      </c>
      <c r="H50" s="1">
        <v>-14096</v>
      </c>
      <c r="I50" s="1">
        <v>-15120</v>
      </c>
      <c r="J50" s="1">
        <v>-16452.53</v>
      </c>
      <c r="K50" s="1">
        <v>-10499.155000000001</v>
      </c>
      <c r="L50" s="1">
        <v>-4202.2290000000003</v>
      </c>
      <c r="M50" s="1">
        <v>-1738.884</v>
      </c>
      <c r="N50" s="1">
        <v>-483.87099999999998</v>
      </c>
      <c r="O50" s="1">
        <v>-464.72199999999998</v>
      </c>
      <c r="P50" s="1">
        <v>-116.565</v>
      </c>
      <c r="Q50" s="1">
        <v>56.851999999999997</v>
      </c>
      <c r="R50" s="1">
        <v>-283.38799999999998</v>
      </c>
      <c r="S50" s="1">
        <v>-219.98599999999999</v>
      </c>
      <c r="T50" s="1">
        <v>-130.375</v>
      </c>
    </row>
    <row r="51" spans="1:20" x14ac:dyDescent="0.25">
      <c r="A51" s="1" t="s">
        <v>114</v>
      </c>
      <c r="B51" s="1">
        <v>4497</v>
      </c>
      <c r="C51" s="1">
        <v>3963</v>
      </c>
      <c r="D51" s="1">
        <v>3230</v>
      </c>
      <c r="E51" s="1">
        <v>2432.5</v>
      </c>
      <c r="F51" s="1">
        <v>1899.5</v>
      </c>
      <c r="G51" s="1">
        <v>1605</v>
      </c>
      <c r="H51" s="1">
        <v>1136.5</v>
      </c>
      <c r="I51" s="1">
        <v>732.19050000000004</v>
      </c>
      <c r="J51" s="1">
        <v>507.26150000000001</v>
      </c>
      <c r="K51" s="1">
        <v>334.05349999999999</v>
      </c>
      <c r="L51" s="1">
        <v>197.78450000000001</v>
      </c>
      <c r="M51" s="1">
        <v>137.85650000000001</v>
      </c>
      <c r="N51" s="1">
        <v>37.975499999999997</v>
      </c>
      <c r="O51" s="1">
        <v>18.1905</v>
      </c>
      <c r="P51" s="1">
        <v>8.1244999999999994</v>
      </c>
      <c r="Q51" s="1">
        <v>5.0990000000000002</v>
      </c>
      <c r="R51" s="1">
        <v>3.4039999999999999</v>
      </c>
      <c r="S51" s="1">
        <v>1.6895</v>
      </c>
      <c r="T51" s="1">
        <v>0</v>
      </c>
    </row>
    <row r="52" spans="1:20" x14ac:dyDescent="0.25">
      <c r="A52" s="1" t="s">
        <v>113</v>
      </c>
      <c r="B52" s="1">
        <v>12922.5</v>
      </c>
      <c r="C52" s="1">
        <v>13452.5</v>
      </c>
      <c r="D52" s="1">
        <v>14843</v>
      </c>
      <c r="E52" s="1">
        <v>12640</v>
      </c>
      <c r="F52" s="1">
        <v>8038</v>
      </c>
      <c r="G52" s="1">
        <v>4911</v>
      </c>
      <c r="H52" s="1">
        <v>3587.7255</v>
      </c>
      <c r="I52" s="1">
        <v>2897.3505</v>
      </c>
      <c r="J52" s="1">
        <v>2125.2955000000002</v>
      </c>
      <c r="K52" s="1">
        <v>1388.2445</v>
      </c>
      <c r="L52" s="1">
        <v>847.04700000000003</v>
      </c>
      <c r="M52" s="1">
        <v>540.95749999999998</v>
      </c>
      <c r="N52" s="1">
        <v>303.6755</v>
      </c>
      <c r="O52" s="1">
        <v>179.76150000000001</v>
      </c>
      <c r="P52" s="1">
        <v>42.545999999999999</v>
      </c>
      <c r="Q52" s="1">
        <v>22.0185</v>
      </c>
      <c r="R52" s="1">
        <v>14.635</v>
      </c>
      <c r="S52" s="1">
        <v>9.7765000000000004</v>
      </c>
      <c r="T52" s="1">
        <v>0</v>
      </c>
    </row>
    <row r="53" spans="1:20" x14ac:dyDescent="0.25">
      <c r="A53" s="1" t="s">
        <v>112</v>
      </c>
      <c r="B53" s="1">
        <v>12204.5</v>
      </c>
      <c r="C53" s="1">
        <v>12821.5</v>
      </c>
      <c r="D53" s="1">
        <v>13232.5</v>
      </c>
      <c r="E53" s="1">
        <v>9298</v>
      </c>
      <c r="F53" s="1">
        <v>4929</v>
      </c>
      <c r="G53" s="1">
        <v>3826.5</v>
      </c>
      <c r="H53" s="1">
        <v>3332.5</v>
      </c>
      <c r="I53" s="1">
        <v>2688.2685000000001</v>
      </c>
      <c r="J53" s="1">
        <v>2165.4955</v>
      </c>
      <c r="K53" s="1">
        <v>1672.646</v>
      </c>
      <c r="L53" s="1">
        <v>1115.7565</v>
      </c>
      <c r="M53" s="1">
        <v>647.01499999999999</v>
      </c>
      <c r="N53" s="1">
        <v>304.42950000000002</v>
      </c>
      <c r="O53" s="1">
        <v>159.29300000000001</v>
      </c>
      <c r="P53" s="1">
        <v>47.631999999999998</v>
      </c>
      <c r="Q53" s="1">
        <v>34.201999999999998</v>
      </c>
      <c r="R53" s="1">
        <v>19.936</v>
      </c>
      <c r="S53" s="1">
        <v>9.3789999999999996</v>
      </c>
      <c r="T53" s="1">
        <v>0</v>
      </c>
    </row>
    <row r="54" spans="1:20" x14ac:dyDescent="0.25">
      <c r="A54" s="2" t="s">
        <v>111</v>
      </c>
      <c r="B54" s="2">
        <v>17.613548883756735</v>
      </c>
      <c r="C54" s="2">
        <v>16.507011976660866</v>
      </c>
      <c r="D54" s="2">
        <v>13.23116985109483</v>
      </c>
      <c r="E54" s="2">
        <v>13.226780584812552</v>
      </c>
      <c r="F54" s="2">
        <v>12.972985526633597</v>
      </c>
      <c r="G54" s="2">
        <v>21.828703703703702</v>
      </c>
      <c r="H54" s="2">
        <v>19.662299617544146</v>
      </c>
      <c r="I54" s="2">
        <v>16.140006266172158</v>
      </c>
      <c r="J54" s="2">
        <v>15.997454290330809</v>
      </c>
      <c r="K54" s="2">
        <v>26.026199220243274</v>
      </c>
      <c r="L54" s="2">
        <v>15.242670275146594</v>
      </c>
      <c r="M54" s="2">
        <v>25.860304481427331</v>
      </c>
      <c r="N54" s="2">
        <v>8.9023196470218959</v>
      </c>
      <c r="O54" s="2">
        <v>23.707653367404223</v>
      </c>
      <c r="P54" s="2">
        <v>17.047105884196199</v>
      </c>
      <c r="Q54" s="2">
        <v>20.978808332762281</v>
      </c>
      <c r="R54" s="2">
        <v>11.372930866601754</v>
      </c>
      <c r="S54" s="2">
        <v>82.200515533848872</v>
      </c>
      <c r="T54" s="2">
        <v>295</v>
      </c>
    </row>
    <row r="55" spans="1:20" x14ac:dyDescent="0.25">
      <c r="A55" s="2" t="s">
        <v>110</v>
      </c>
      <c r="B55" s="2">
        <v>62.78433869785033</v>
      </c>
      <c r="C55" s="2">
        <v>56.742397806580257</v>
      </c>
      <c r="D55" s="2">
        <v>66.579639250186446</v>
      </c>
      <c r="E55" s="2">
        <v>91.868781864079594</v>
      </c>
      <c r="F55" s="2">
        <v>90.984533903573109</v>
      </c>
      <c r="G55" s="2">
        <v>88.678029390508314</v>
      </c>
      <c r="H55" s="2">
        <v>67.112730996148031</v>
      </c>
      <c r="I55" s="2">
        <v>71.336299152311241</v>
      </c>
      <c r="J55" s="2">
        <v>91.489225041946312</v>
      </c>
      <c r="K55" s="2">
        <v>125.72489920614716</v>
      </c>
      <c r="L55" s="2">
        <v>107.09100528354965</v>
      </c>
      <c r="M55" s="2">
        <v>122.56750054495971</v>
      </c>
      <c r="N55" s="2">
        <v>71.247278829000649</v>
      </c>
      <c r="O55" s="2">
        <v>288.98123380368435</v>
      </c>
      <c r="P55" s="2">
        <v>143.65156645425421</v>
      </c>
      <c r="Q55" s="2">
        <v>122.85485914919838</v>
      </c>
      <c r="R55" s="2">
        <v>53.769139129755494</v>
      </c>
      <c r="S55" s="2">
        <v>325.95605364225901</v>
      </c>
      <c r="T55" s="2">
        <v>217742.77777777778</v>
      </c>
    </row>
    <row r="56" spans="1:20" x14ac:dyDescent="0.25">
      <c r="A56" s="2" t="s">
        <v>109</v>
      </c>
      <c r="B56" s="2">
        <v>58.187385023091863</v>
      </c>
      <c r="C56" s="2">
        <v>54.663571784646059</v>
      </c>
      <c r="D56" s="2">
        <v>62.865647870767134</v>
      </c>
      <c r="E56" s="2">
        <v>77.319127522315171</v>
      </c>
      <c r="F56" s="2">
        <v>52.249173235199045</v>
      </c>
      <c r="G56" s="2">
        <v>60.100578173933997</v>
      </c>
      <c r="H56" s="2">
        <v>63.215173826125117</v>
      </c>
      <c r="I56" s="2">
        <v>65.229283447212154</v>
      </c>
      <c r="J56" s="2">
        <v>86.639157403523484</v>
      </c>
      <c r="K56" s="2">
        <v>139.72193579744024</v>
      </c>
      <c r="L56" s="2">
        <v>149.36992277396286</v>
      </c>
      <c r="M56" s="2">
        <v>150.25408072310219</v>
      </c>
      <c r="N56" s="2">
        <v>79.775791563759853</v>
      </c>
      <c r="O56" s="2">
        <v>255.75880309716615</v>
      </c>
      <c r="P56" s="2">
        <v>128.1480157311405</v>
      </c>
      <c r="Q56" s="2">
        <v>191.73183123481334</v>
      </c>
      <c r="R56" s="2">
        <v>82.767264276228431</v>
      </c>
      <c r="S56" s="2">
        <v>382.62607819681421</v>
      </c>
      <c r="T56" s="2">
        <v>85491.111111111109</v>
      </c>
    </row>
    <row r="57" spans="1:20" x14ac:dyDescent="0.25">
      <c r="A57" s="2" t="s">
        <v>108</v>
      </c>
      <c r="B57" s="2">
        <v>20.722683566433567</v>
      </c>
      <c r="C57" s="2">
        <v>22.111815301041194</v>
      </c>
      <c r="D57" s="2">
        <v>27.5863740022805</v>
      </c>
      <c r="E57" s="2">
        <v>27.595528455284551</v>
      </c>
      <c r="F57" s="2">
        <v>28.135389440669105</v>
      </c>
      <c r="G57" s="2">
        <v>16.721102863202546</v>
      </c>
      <c r="H57" s="2">
        <v>18.563444108761328</v>
      </c>
      <c r="I57" s="2">
        <v>22.614613277133824</v>
      </c>
      <c r="J57" s="2">
        <v>22.816130202704407</v>
      </c>
      <c r="K57" s="2">
        <v>14.024329749850743</v>
      </c>
      <c r="L57" s="2">
        <v>23.945935548782291</v>
      </c>
      <c r="M57" s="2">
        <v>14.114296305449153</v>
      </c>
      <c r="N57" s="2">
        <v>41.000549797389482</v>
      </c>
      <c r="O57" s="2">
        <v>15.395872140675062</v>
      </c>
      <c r="P57" s="2">
        <v>21.411259041828284</v>
      </c>
      <c r="Q57" s="2">
        <v>17.398509687034277</v>
      </c>
      <c r="R57" s="2">
        <v>32.09375</v>
      </c>
      <c r="S57" s="2">
        <v>4.4403614457831324</v>
      </c>
      <c r="T57" s="2">
        <v>1.2372881355932204</v>
      </c>
    </row>
    <row r="58" spans="1:20" x14ac:dyDescent="0.25">
      <c r="A58" s="2" t="s">
        <v>107</v>
      </c>
      <c r="B58" s="2">
        <v>5.8135517164011663</v>
      </c>
      <c r="C58" s="2">
        <v>6.4325797659130997</v>
      </c>
      <c r="D58" s="2">
        <v>5.4821564687131872</v>
      </c>
      <c r="E58" s="2">
        <v>3.9730580137659786</v>
      </c>
      <c r="F58" s="2">
        <v>4.0116708229426434</v>
      </c>
      <c r="G58" s="2">
        <v>4.1160138820029744</v>
      </c>
      <c r="H58" s="2">
        <v>5.4386104481569877</v>
      </c>
      <c r="I58" s="2">
        <v>5.1166096971288466</v>
      </c>
      <c r="J58" s="2">
        <v>3.9895408430080535</v>
      </c>
      <c r="K58" s="2">
        <v>2.9031639898276715</v>
      </c>
      <c r="L58" s="2">
        <v>3.4083161235957511</v>
      </c>
      <c r="M58" s="2">
        <v>2.9779509117599421</v>
      </c>
      <c r="N58" s="2">
        <v>5.1230026746148454</v>
      </c>
      <c r="O58" s="2">
        <v>1.2630577951229802</v>
      </c>
      <c r="P58" s="2">
        <v>2.5408703086870559</v>
      </c>
      <c r="Q58" s="2">
        <v>2.9709854581879727</v>
      </c>
      <c r="R58" s="2">
        <v>6.7882805249900571</v>
      </c>
      <c r="S58" s="2">
        <v>1.1197828539199097</v>
      </c>
      <c r="T58" s="2">
        <v>1.6762898118830322E-3</v>
      </c>
    </row>
    <row r="59" spans="1:20" x14ac:dyDescent="0.25">
      <c r="A59" s="2" t="s">
        <v>106</v>
      </c>
      <c r="B59" s="2">
        <v>6.2728373143963845</v>
      </c>
      <c r="C59" s="2">
        <v>6.6772072896729631</v>
      </c>
      <c r="D59" s="2">
        <v>5.806032584764421</v>
      </c>
      <c r="E59" s="2">
        <v>4.7206947581587348</v>
      </c>
      <c r="F59" s="2">
        <v>6.9857564703838806</v>
      </c>
      <c r="G59" s="2">
        <v>6.0731528895391369</v>
      </c>
      <c r="H59" s="2">
        <v>5.7739301801801801</v>
      </c>
      <c r="I59" s="2">
        <v>5.5956463218760035</v>
      </c>
      <c r="J59" s="2">
        <v>4.2128756896838881</v>
      </c>
      <c r="K59" s="2">
        <v>2.6123313989089962</v>
      </c>
      <c r="L59" s="2">
        <v>2.4435977017431005</v>
      </c>
      <c r="M59" s="2">
        <v>2.4292185492961438</v>
      </c>
      <c r="N59" s="2">
        <v>4.575322824697742</v>
      </c>
      <c r="O59" s="2">
        <v>1.4271258528737003</v>
      </c>
      <c r="P59" s="2">
        <v>2.8482688391038695</v>
      </c>
      <c r="Q59" s="2">
        <v>1.9037005887300251</v>
      </c>
      <c r="R59" s="2">
        <v>4.4099560761346996</v>
      </c>
      <c r="S59" s="2">
        <v>0.95393393393393389</v>
      </c>
      <c r="T59" s="2">
        <v>4.2694497153700191E-3</v>
      </c>
    </row>
    <row r="60" spans="1:20" x14ac:dyDescent="0.25">
      <c r="A60" s="3" t="s">
        <v>105</v>
      </c>
      <c r="B60" s="3">
        <v>4.6191119714623127E-2</v>
      </c>
      <c r="C60" s="3">
        <v>9.7787774470944819E-2</v>
      </c>
      <c r="D60" s="3">
        <v>0.23947057508701344</v>
      </c>
      <c r="E60" s="3">
        <v>0.28147369362920543</v>
      </c>
      <c r="F60" s="3">
        <v>0.18298055583159428</v>
      </c>
      <c r="G60" s="3">
        <v>3.2440944881889762E-2</v>
      </c>
      <c r="H60" s="3">
        <v>-0.13025083106678756</v>
      </c>
      <c r="I60" s="3">
        <v>-0.19825309770465163</v>
      </c>
      <c r="J60" s="3">
        <v>-0.46303704154730835</v>
      </c>
      <c r="K60" s="3">
        <v>-0.1420001342335255</v>
      </c>
      <c r="L60" s="3">
        <v>-0.82002373341798129</v>
      </c>
      <c r="M60" s="3">
        <v>-0.32251483476105341</v>
      </c>
      <c r="N60" s="3">
        <v>-0.11094555702122556</v>
      </c>
      <c r="O60" s="3">
        <v>-3.1773295910184443</v>
      </c>
      <c r="P60" s="3">
        <v>-1.135535271931978</v>
      </c>
      <c r="Q60" s="3">
        <v>-0.74537305359143768</v>
      </c>
      <c r="R60" s="3">
        <v>0.2198617087995961</v>
      </c>
      <c r="S60" s="3">
        <v>0.41450273891665079</v>
      </c>
      <c r="T60" s="3">
        <v>0.66321300680549189</v>
      </c>
    </row>
    <row r="61" spans="1:20" x14ac:dyDescent="0.25">
      <c r="A61" s="2" t="s">
        <v>104</v>
      </c>
      <c r="B61" s="2">
        <v>2.6440310077519378</v>
      </c>
      <c r="C61" s="2">
        <v>3.5477009696590556</v>
      </c>
      <c r="D61" s="2">
        <v>2.8041594454072789</v>
      </c>
      <c r="E61" s="2">
        <v>2.291373801916933</v>
      </c>
      <c r="F61" s="2">
        <v>2.7083474146671174</v>
      </c>
      <c r="G61" s="2">
        <v>1.1582708110039299</v>
      </c>
      <c r="H61" s="2">
        <v>0.5412429378531074</v>
      </c>
      <c r="I61" s="2">
        <v>0.90621336459554513</v>
      </c>
      <c r="J61" s="2">
        <v>1.6414910089809642</v>
      </c>
      <c r="K61" s="2">
        <v>0.66590436302110778</v>
      </c>
      <c r="L61" s="2">
        <v>0.85014274348294094</v>
      </c>
      <c r="M61" s="2">
        <v>0.51918676077373349</v>
      </c>
      <c r="N61" s="2">
        <v>0.14750281217987904</v>
      </c>
      <c r="O61" s="2">
        <v>0.14856713461078663</v>
      </c>
      <c r="P61" s="2">
        <v>0.13141968720984171</v>
      </c>
      <c r="Q61" s="2">
        <v>5.2844829071761905E-2</v>
      </c>
      <c r="R61" s="2">
        <v>5.8113890315166627E-3</v>
      </c>
      <c r="S61" s="2">
        <v>5.1981711044279807E-3</v>
      </c>
      <c r="T61" s="2">
        <v>4.7932712291254061E-3</v>
      </c>
    </row>
  </sheetData>
  <mergeCells count="1">
    <mergeCell ref="B4:T4"/>
  </mergeCells>
  <pageMargins left="0.7" right="0.7" top="0.75" bottom="0.75" header="0.3" footer="0.3"/>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FC5B6D-8F40-4694-A51B-E72D0DD9CD46}">
  <sheetPr>
    <tabColor rgb="FFC6E0B4"/>
  </sheetPr>
  <dimension ref="A1:T40"/>
  <sheetViews>
    <sheetView workbookViewId="0"/>
  </sheetViews>
  <sheetFormatPr defaultRowHeight="15" x14ac:dyDescent="0.25"/>
  <cols>
    <col min="1" max="1" width="41.140625" bestFit="1" customWidth="1"/>
    <col min="2" max="2" width="14.42578125" bestFit="1" customWidth="1"/>
    <col min="3" max="8" width="10.42578125" bestFit="1" customWidth="1"/>
    <col min="9" max="9" width="11.140625" bestFit="1" customWidth="1"/>
    <col min="10" max="10" width="13.28515625" bestFit="1" customWidth="1"/>
    <col min="11" max="11" width="10.42578125" bestFit="1" customWidth="1"/>
    <col min="12" max="12" width="10.85546875" bestFit="1" customWidth="1"/>
    <col min="13" max="13" width="11.85546875" bestFit="1" customWidth="1"/>
    <col min="14" max="14" width="10.42578125" bestFit="1" customWidth="1"/>
    <col min="15" max="15" width="11.140625" bestFit="1" customWidth="1"/>
    <col min="16" max="16" width="10.42578125" bestFit="1" customWidth="1"/>
    <col min="17" max="17" width="11.140625" bestFit="1" customWidth="1"/>
    <col min="18" max="20" width="10.42578125" bestFit="1" customWidth="1"/>
  </cols>
  <sheetData>
    <row r="1" spans="1:20" x14ac:dyDescent="0.25">
      <c r="A1" s="10" t="s">
        <v>160</v>
      </c>
      <c r="B1" s="10"/>
      <c r="C1" s="10"/>
      <c r="D1" s="10"/>
      <c r="E1" s="10"/>
      <c r="F1" s="10"/>
      <c r="G1" s="10"/>
      <c r="H1" s="10"/>
      <c r="I1" s="10"/>
      <c r="J1" s="10"/>
      <c r="K1" s="10"/>
      <c r="L1" s="10"/>
      <c r="M1" s="10"/>
      <c r="N1" s="10"/>
      <c r="O1" s="10"/>
      <c r="P1" s="10"/>
      <c r="Q1" s="10"/>
      <c r="R1" s="10"/>
      <c r="S1" s="10"/>
      <c r="T1" s="10"/>
    </row>
    <row r="2" spans="1:20" x14ac:dyDescent="0.25">
      <c r="A2" t="s">
        <v>1</v>
      </c>
      <c r="B2" t="s">
        <v>195</v>
      </c>
    </row>
    <row r="3" spans="1:20" x14ac:dyDescent="0.25">
      <c r="A3" t="s">
        <v>3</v>
      </c>
      <c r="B3" t="str">
        <f>'TSLA - Income Statement FY'!B3</f>
        <v>USD</v>
      </c>
    </row>
    <row r="4" spans="1:20" x14ac:dyDescent="0.25">
      <c r="A4" t="s">
        <v>32</v>
      </c>
      <c r="B4" s="236" t="s">
        <v>33</v>
      </c>
      <c r="C4" s="236"/>
      <c r="D4" s="236"/>
      <c r="E4" s="236"/>
      <c r="F4" s="236"/>
      <c r="G4" s="236"/>
      <c r="H4" s="236"/>
      <c r="I4" s="236"/>
      <c r="J4" s="236"/>
      <c r="K4" s="236"/>
      <c r="L4" s="236"/>
      <c r="M4" s="236"/>
      <c r="N4" s="236"/>
      <c r="O4" s="236"/>
      <c r="P4" s="236"/>
      <c r="Q4" s="236"/>
      <c r="R4" s="236"/>
      <c r="S4" s="236"/>
      <c r="T4" s="236"/>
    </row>
    <row r="5" spans="1:20" x14ac:dyDescent="0.25">
      <c r="A5" t="s">
        <v>34</v>
      </c>
      <c r="B5" s="8">
        <v>46022</v>
      </c>
      <c r="C5" s="8">
        <v>45657</v>
      </c>
      <c r="D5" s="8">
        <v>45291</v>
      </c>
      <c r="E5" s="8">
        <v>44926</v>
      </c>
      <c r="F5" s="8">
        <v>44561</v>
      </c>
      <c r="G5" s="8">
        <v>44196</v>
      </c>
      <c r="H5" s="8">
        <v>43830</v>
      </c>
      <c r="I5" s="8">
        <v>43465</v>
      </c>
      <c r="J5" s="8">
        <v>43100</v>
      </c>
      <c r="K5" s="8">
        <v>42735</v>
      </c>
      <c r="L5" s="8">
        <v>42369</v>
      </c>
      <c r="M5" s="8">
        <v>42004</v>
      </c>
      <c r="N5" s="8">
        <v>41639</v>
      </c>
      <c r="O5" s="8">
        <v>41274</v>
      </c>
      <c r="P5" s="8">
        <v>40908</v>
      </c>
      <c r="Q5" s="8">
        <v>40543</v>
      </c>
      <c r="R5" s="8">
        <v>40178</v>
      </c>
      <c r="S5" s="8">
        <v>39813</v>
      </c>
      <c r="T5" s="8">
        <v>39447</v>
      </c>
    </row>
    <row r="7" spans="1:20" x14ac:dyDescent="0.25">
      <c r="A7" s="3" t="s">
        <v>194</v>
      </c>
      <c r="B7" s="3">
        <v>-2.9306991503736307E-2</v>
      </c>
      <c r="C7" s="3">
        <v>9.4757835346635944E-3</v>
      </c>
      <c r="D7" s="3">
        <v>0.18795266504627925</v>
      </c>
      <c r="E7" s="3">
        <v>0.51351652639206291</v>
      </c>
      <c r="F7" s="3">
        <v>0.70671613394216137</v>
      </c>
      <c r="G7" s="3">
        <v>0.28309870615998045</v>
      </c>
      <c r="H7" s="3">
        <v>0.14522590184326481</v>
      </c>
      <c r="I7" s="3">
        <v>0.8250929500807892</v>
      </c>
      <c r="J7" s="3">
        <v>0.6798254661483526</v>
      </c>
      <c r="K7" s="3">
        <v>0.73012574069611536</v>
      </c>
      <c r="L7" s="3">
        <v>0.26503272306147285</v>
      </c>
      <c r="M7" s="3">
        <v>0.58845907814070653</v>
      </c>
      <c r="N7" s="3">
        <v>3.8722728768608321</v>
      </c>
      <c r="O7" s="3">
        <v>1.0233644402228728</v>
      </c>
      <c r="P7" s="3">
        <v>0.74948605495785647</v>
      </c>
      <c r="Q7" s="3">
        <v>4.2887898305387563E-2</v>
      </c>
      <c r="R7" s="3">
        <v>6.5934744268077603</v>
      </c>
      <c r="S7" s="3">
        <v>200.94520547945206</v>
      </c>
      <c r="T7" s="3">
        <v>0</v>
      </c>
    </row>
    <row r="8" spans="1:20" x14ac:dyDescent="0.25">
      <c r="A8" s="3" t="s">
        <v>193</v>
      </c>
      <c r="B8" s="3">
        <v>-2.0401146131805159E-2</v>
      </c>
      <c r="C8" s="3">
        <v>-1.189127972819932E-2</v>
      </c>
      <c r="D8" s="3">
        <v>-0.15311945523425885</v>
      </c>
      <c r="E8" s="3">
        <v>0.53263266206085547</v>
      </c>
      <c r="F8" s="3">
        <v>1.0521870286576169</v>
      </c>
      <c r="G8" s="3">
        <v>0.62939297124600635</v>
      </c>
      <c r="H8" s="3">
        <v>6.6746313292286212E-3</v>
      </c>
      <c r="I8" s="3">
        <v>0.81827305443094922</v>
      </c>
      <c r="J8" s="3">
        <v>0.39002049076539919</v>
      </c>
      <c r="K8" s="3">
        <v>0.73172907938577347</v>
      </c>
      <c r="L8" s="3">
        <v>4.7446269640262641E-2</v>
      </c>
      <c r="M8" s="3">
        <v>0.93237876483248661</v>
      </c>
      <c r="N8" s="3">
        <v>14.174842850966176</v>
      </c>
      <c r="O8" s="3">
        <v>-0.51185972887409692</v>
      </c>
      <c r="P8" s="3">
        <v>1.0043278773876541</v>
      </c>
      <c r="Q8" s="3">
        <v>2.2229680125852123</v>
      </c>
      <c r="R8" s="3">
        <v>9.3567046450482039</v>
      </c>
      <c r="S8" s="3">
        <v>-18.828125</v>
      </c>
      <c r="T8" s="3">
        <v>1.1040650406504064</v>
      </c>
    </row>
    <row r="9" spans="1:20" x14ac:dyDescent="0.25">
      <c r="A9" s="3" t="s">
        <v>192</v>
      </c>
      <c r="B9" s="3">
        <v>-0.39871520342612421</v>
      </c>
      <c r="C9" s="3">
        <v>-7.7895152532332909E-2</v>
      </c>
      <c r="D9" s="3">
        <v>-0.27181883537023727</v>
      </c>
      <c r="E9" s="3">
        <v>1.0717902889484658</v>
      </c>
      <c r="F9" s="3">
        <v>2.5299684542586749</v>
      </c>
      <c r="G9" s="3">
        <v>94.1</v>
      </c>
      <c r="H9" s="3">
        <v>1.0584795321637428</v>
      </c>
      <c r="I9" s="3">
        <v>0.80322209436133485</v>
      </c>
      <c r="J9" s="3">
        <v>-2.1742089133539588</v>
      </c>
      <c r="K9" s="3">
        <v>0.27648317262904465</v>
      </c>
      <c r="L9" s="3">
        <v>-3.1184925170068025</v>
      </c>
      <c r="M9" s="3">
        <v>-3.7737192143822091</v>
      </c>
      <c r="N9" s="3">
        <v>0.90275451401257634</v>
      </c>
      <c r="O9" s="3">
        <v>-0.55910098905384065</v>
      </c>
      <c r="P9" s="3">
        <v>-0.6575739571567546</v>
      </c>
      <c r="Q9" s="3">
        <v>-1.8799240358761258</v>
      </c>
      <c r="R9" s="3">
        <v>0.32626871722111023</v>
      </c>
      <c r="S9" s="3">
        <v>-1.1416197932015324E-2</v>
      </c>
      <c r="T9" s="3">
        <v>-1.6515933953930828</v>
      </c>
    </row>
    <row r="10" spans="1:20" x14ac:dyDescent="0.25">
      <c r="A10" s="3" t="s">
        <v>191</v>
      </c>
      <c r="B10" s="3">
        <v>-0.38453928773318258</v>
      </c>
      <c r="C10" s="3">
        <v>-0.20413901698346643</v>
      </c>
      <c r="D10" s="3">
        <v>-0.34893087287639135</v>
      </c>
      <c r="E10" s="3">
        <v>1.0935152537176145</v>
      </c>
      <c r="F10" s="3">
        <v>2.2713139418254764</v>
      </c>
      <c r="G10" s="3">
        <v>29.89855072463768</v>
      </c>
      <c r="H10" s="3">
        <v>0.82216494845360821</v>
      </c>
      <c r="I10" s="3">
        <v>0.76225490196078427</v>
      </c>
      <c r="J10" s="3">
        <v>-1.445530014685168</v>
      </c>
      <c r="K10" s="3">
        <v>6.8778963731582168E-2</v>
      </c>
      <c r="L10" s="3">
        <v>-2.8386246645490627</v>
      </c>
      <c r="M10" s="3">
        <v>-2.0463423787999933</v>
      </c>
      <c r="N10" s="3">
        <v>0.84457103146724566</v>
      </c>
      <c r="O10" s="3">
        <v>-0.56780045171141369</v>
      </c>
      <c r="P10" s="3">
        <v>-0.71269017556763237</v>
      </c>
      <c r="Q10" s="3">
        <v>-1.8294121047459391</v>
      </c>
      <c r="R10" s="3">
        <v>0.33892540507490065</v>
      </c>
      <c r="S10" s="3">
        <v>1.7877472383120863E-2</v>
      </c>
      <c r="T10" s="3">
        <v>-1.6266964608458481</v>
      </c>
    </row>
    <row r="11" spans="1:20" x14ac:dyDescent="0.25">
      <c r="A11" s="3" t="s">
        <v>190</v>
      </c>
      <c r="B11" s="3">
        <v>-0.4678821879382889</v>
      </c>
      <c r="C11" s="3">
        <v>-0.52463497566504436</v>
      </c>
      <c r="D11" s="3">
        <v>0.19200508622744974</v>
      </c>
      <c r="E11" s="3">
        <v>1.2778783490224475</v>
      </c>
      <c r="F11" s="3">
        <v>6.6615811373092928</v>
      </c>
      <c r="G11" s="3">
        <v>1.8364269141531322</v>
      </c>
      <c r="H11" s="3">
        <v>0.11680327868852459</v>
      </c>
      <c r="I11" s="3">
        <v>0.50254841997961264</v>
      </c>
      <c r="J11" s="3">
        <v>-1.9070370447197718</v>
      </c>
      <c r="K11" s="3">
        <v>0.24052874936843324</v>
      </c>
      <c r="L11" s="3">
        <v>-2.0222520745476804</v>
      </c>
      <c r="M11" s="3">
        <v>-2.972761909908936</v>
      </c>
      <c r="N11" s="3">
        <v>0.81319643726985236</v>
      </c>
      <c r="O11" s="3">
        <v>-0.55737369846429596</v>
      </c>
      <c r="P11" s="3">
        <v>-0.64850837177958631</v>
      </c>
      <c r="Q11" s="3">
        <v>-1.7687118765697882</v>
      </c>
      <c r="R11" s="3">
        <v>0.32666521707617596</v>
      </c>
      <c r="S11" s="3">
        <v>-5.9175761608045344E-2</v>
      </c>
      <c r="T11" s="3">
        <v>-1.6089728611009113</v>
      </c>
    </row>
    <row r="12" spans="1:20" x14ac:dyDescent="0.25">
      <c r="A12" s="3" t="s">
        <v>189</v>
      </c>
      <c r="B12" s="3">
        <v>-0.47089947089947093</v>
      </c>
      <c r="C12" s="3">
        <v>-0.52849894291754762</v>
      </c>
      <c r="D12" s="3">
        <v>0.1766169154228858</v>
      </c>
      <c r="E12" s="3">
        <v>1.1497326203208553</v>
      </c>
      <c r="F12" s="3">
        <v>6.48</v>
      </c>
      <c r="G12" s="3">
        <v>1.7575757575757578</v>
      </c>
      <c r="H12" s="3">
        <v>0.13157894736842102</v>
      </c>
      <c r="I12" s="3">
        <v>0.51898734177215189</v>
      </c>
      <c r="J12" s="3">
        <v>-1.5483870967741937</v>
      </c>
      <c r="K12" s="3">
        <v>0.32608695652173919</v>
      </c>
      <c r="L12" s="3">
        <v>-1.8750000000000002</v>
      </c>
      <c r="M12" s="3">
        <v>-2.8740920096852296</v>
      </c>
      <c r="N12" s="3">
        <v>0.83479999999999999</v>
      </c>
      <c r="O12" s="3">
        <v>-0.47058823529411753</v>
      </c>
      <c r="P12" s="3">
        <v>0.15</v>
      </c>
      <c r="Q12" s="3">
        <v>-6.3260073260073266</v>
      </c>
      <c r="R12" s="3">
        <v>0.3259259259259259</v>
      </c>
      <c r="S12" s="3">
        <v>-6.0209424083769725E-2</v>
      </c>
      <c r="T12" s="3">
        <v>-1.6164383561643834</v>
      </c>
    </row>
    <row r="13" spans="1:20" x14ac:dyDescent="0.25">
      <c r="A13" s="3" t="s">
        <v>188</v>
      </c>
      <c r="B13" s="3">
        <v>-0.47014669086984245</v>
      </c>
      <c r="C13" s="3">
        <v>-0.52707656612528997</v>
      </c>
      <c r="D13" s="3">
        <v>0.19060773480662968</v>
      </c>
      <c r="E13" s="3">
        <v>1.2208588957055218</v>
      </c>
      <c r="F13" s="3">
        <v>6.7619047619047619</v>
      </c>
      <c r="G13" s="3">
        <v>1.6363636363636365</v>
      </c>
      <c r="H13" s="3">
        <v>0.13157894736842102</v>
      </c>
      <c r="I13" s="3">
        <v>0.51898734177215189</v>
      </c>
      <c r="J13" s="3">
        <v>-1.5483870967741937</v>
      </c>
      <c r="K13" s="3">
        <v>0.32608695652173919</v>
      </c>
      <c r="L13" s="3">
        <v>-1.8750000000000002</v>
      </c>
      <c r="M13" s="3">
        <v>-2.8740920096852296</v>
      </c>
      <c r="N13" s="3">
        <v>0.83479999999999999</v>
      </c>
      <c r="O13" s="3">
        <v>-0.47058823529411753</v>
      </c>
      <c r="P13" s="3">
        <v>0.15</v>
      </c>
      <c r="Q13" s="3">
        <v>-6.3260073260073266</v>
      </c>
      <c r="R13" s="3">
        <v>0.3259259259259259</v>
      </c>
      <c r="S13" s="3">
        <v>-6.0209424083769725E-2</v>
      </c>
      <c r="T13" s="3">
        <v>-0.78504672897196259</v>
      </c>
    </row>
    <row r="14" spans="1:20" x14ac:dyDescent="0.25">
      <c r="A14" s="3" t="s">
        <v>187</v>
      </c>
      <c r="B14" s="3">
        <v>8.7582108226462313E-3</v>
      </c>
      <c r="C14" s="3">
        <v>7.4050732629588785E-3</v>
      </c>
      <c r="D14" s="3">
        <v>1.389776357827476E-2</v>
      </c>
      <c r="E14" s="3">
        <v>5.7789793849273401E-2</v>
      </c>
      <c r="F14" s="3">
        <v>5.71632725973562E-2</v>
      </c>
      <c r="G14" s="3">
        <v>5.4237288135593219E-2</v>
      </c>
      <c r="H14" s="3">
        <v>3.7514654161781943E-2</v>
      </c>
      <c r="I14" s="3">
        <v>2.9211259788366171E-2</v>
      </c>
      <c r="J14" s="3">
        <v>0.14940504257620726</v>
      </c>
      <c r="K14" s="3">
        <v>0.12488104709754919</v>
      </c>
      <c r="L14" s="3">
        <v>2.9412473201165901E-2</v>
      </c>
      <c r="M14" s="3">
        <v>4.2856783982716605E-2</v>
      </c>
      <c r="N14" s="3">
        <v>0.11245563535757203</v>
      </c>
      <c r="O14" s="3">
        <v>6.9332275712189653E-2</v>
      </c>
      <c r="P14" s="3">
        <v>0.97934100790677103</v>
      </c>
      <c r="Q14" s="3">
        <v>-0.62797401892466809</v>
      </c>
      <c r="R14" s="3">
        <v>0</v>
      </c>
      <c r="S14" s="3">
        <v>0</v>
      </c>
      <c r="T14" s="3">
        <v>0</v>
      </c>
    </row>
    <row r="15" spans="1:20" x14ac:dyDescent="0.25">
      <c r="A15" s="3" t="s">
        <v>186</v>
      </c>
      <c r="B15" s="3">
        <v>8.5763293310463125E-3</v>
      </c>
      <c r="C15" s="3">
        <v>4.3787237097121529E-3</v>
      </c>
      <c r="D15" s="3">
        <v>2.2302158273381297E-3</v>
      </c>
      <c r="E15" s="3">
        <v>2.6284701712935617E-2</v>
      </c>
      <c r="F15" s="3">
        <v>4.2166820560172361E-2</v>
      </c>
      <c r="G15" s="3">
        <v>0.22372881355932203</v>
      </c>
      <c r="H15" s="3">
        <v>3.7514654161781943E-2</v>
      </c>
      <c r="I15" s="3">
        <v>2.9211259788366171E-2</v>
      </c>
      <c r="J15" s="3">
        <v>0.14940504257620726</v>
      </c>
      <c r="K15" s="3">
        <v>0.12488104709754919</v>
      </c>
      <c r="L15" s="3">
        <v>2.9412473201165901E-2</v>
      </c>
      <c r="M15" s="3">
        <v>4.2856783982716605E-2</v>
      </c>
      <c r="N15" s="3">
        <v>0.11245563535757203</v>
      </c>
      <c r="O15" s="3">
        <v>6.9332275712189653E-2</v>
      </c>
      <c r="P15" s="3">
        <v>0.97934100790677103</v>
      </c>
      <c r="Q15" s="3">
        <v>-0.62797401892466809</v>
      </c>
      <c r="R15" s="3">
        <v>0</v>
      </c>
      <c r="S15" s="3">
        <v>0</v>
      </c>
      <c r="T15" s="3">
        <v>0</v>
      </c>
    </row>
    <row r="16" spans="1:20" x14ac:dyDescent="0.25">
      <c r="A16" s="3" t="s">
        <v>185</v>
      </c>
      <c r="B16" s="3">
        <v>0</v>
      </c>
      <c r="C16" s="3">
        <v>0</v>
      </c>
      <c r="D16" s="3">
        <v>0</v>
      </c>
      <c r="E16" s="3">
        <v>0</v>
      </c>
      <c r="F16" s="3">
        <v>0</v>
      </c>
      <c r="G16" s="3">
        <v>0</v>
      </c>
      <c r="H16" s="3">
        <v>0</v>
      </c>
      <c r="I16" s="3">
        <v>0</v>
      </c>
      <c r="J16" s="3">
        <v>0</v>
      </c>
      <c r="K16" s="3">
        <v>0</v>
      </c>
      <c r="L16" s="3">
        <v>0</v>
      </c>
      <c r="M16" s="3">
        <v>0</v>
      </c>
      <c r="N16" s="3">
        <v>0</v>
      </c>
      <c r="O16" s="3">
        <v>0</v>
      </c>
      <c r="P16" s="3">
        <v>0</v>
      </c>
      <c r="Q16" s="3">
        <v>0</v>
      </c>
      <c r="R16" s="3">
        <v>0</v>
      </c>
      <c r="S16" s="3">
        <v>0</v>
      </c>
      <c r="T16" s="3">
        <v>0</v>
      </c>
    </row>
    <row r="17" spans="1:20" x14ac:dyDescent="0.25">
      <c r="A17" s="3" t="s">
        <v>184</v>
      </c>
      <c r="B17" s="3">
        <v>-1.179387522616096E-2</v>
      </c>
      <c r="C17" s="3">
        <v>0.1257543753771877</v>
      </c>
      <c r="D17" s="3">
        <v>-9.9701168160825859E-2</v>
      </c>
      <c r="E17" s="3">
        <v>0.28068191702183176</v>
      </c>
      <c r="F17" s="3">
        <v>0.93454484267205118</v>
      </c>
      <c r="G17" s="3">
        <v>1.4711018711018711</v>
      </c>
      <c r="H17" s="3">
        <v>0.1463298379408961</v>
      </c>
      <c r="I17" s="3">
        <v>35.393442622950822</v>
      </c>
      <c r="J17" s="3">
        <v>0.50738518440752978</v>
      </c>
      <c r="K17" s="3">
        <v>0.76390994072438656</v>
      </c>
      <c r="L17" s="3">
        <v>-8.1476533477510156</v>
      </c>
      <c r="M17" s="3">
        <v>-1.2165261854050542</v>
      </c>
      <c r="N17" s="3">
        <v>2.003748839148646</v>
      </c>
      <c r="O17" s="3">
        <v>-1.3068010912524921</v>
      </c>
      <c r="P17" s="3">
        <v>0.10525204002597463</v>
      </c>
      <c r="Q17" s="3">
        <v>-0.58140426848128668</v>
      </c>
      <c r="R17" s="3">
        <v>-0.54210867740212165</v>
      </c>
      <c r="S17" s="3">
        <v>1.976846396977688E-2</v>
      </c>
      <c r="T17" s="3">
        <v>-14.597724620770128</v>
      </c>
    </row>
    <row r="18" spans="1:20" x14ac:dyDescent="0.25">
      <c r="A18" s="3" t="s">
        <v>183</v>
      </c>
      <c r="B18" s="3">
        <v>0.73694498743367776</v>
      </c>
      <c r="C18" s="3">
        <v>-0.17810420013770945</v>
      </c>
      <c r="D18" s="3">
        <v>-0.4230667372881356</v>
      </c>
      <c r="E18" s="3">
        <v>1.16824576514499</v>
      </c>
      <c r="F18" s="3">
        <v>0.28952239911144023</v>
      </c>
      <c r="G18" s="3">
        <v>1.790289256198347</v>
      </c>
      <c r="H18" s="3">
        <v>5.380090497737557</v>
      </c>
      <c r="I18" s="3">
        <v>0.94664423632209305</v>
      </c>
      <c r="J18" s="3">
        <v>-1.6478348142939334</v>
      </c>
      <c r="K18" s="3">
        <v>0.27556870149290363</v>
      </c>
      <c r="L18" s="3">
        <v>-1.1021249544889031</v>
      </c>
      <c r="M18" s="3">
        <v>-1772.0724137931034</v>
      </c>
      <c r="N18" s="3">
        <v>1.0011529829457919</v>
      </c>
      <c r="O18" s="3">
        <v>-0.61097482866841735</v>
      </c>
      <c r="P18" s="3">
        <v>-0.85846922985358887</v>
      </c>
      <c r="Q18" s="3">
        <v>-0.81233752925821656</v>
      </c>
      <c r="R18" s="3">
        <v>-0.47059103454839629</v>
      </c>
      <c r="S18" s="3">
        <v>3.6193516777038456E-3</v>
      </c>
      <c r="T18" s="3">
        <v>-5.3697775093123932</v>
      </c>
    </row>
    <row r="19" spans="1:20" x14ac:dyDescent="0.25">
      <c r="A19" s="3" t="s">
        <v>182</v>
      </c>
      <c r="B19" s="3">
        <v>12.975256569216731</v>
      </c>
      <c r="C19" s="3">
        <v>16.847496455221606</v>
      </c>
      <c r="D19" s="3">
        <v>26.129194131981947</v>
      </c>
      <c r="E19" s="3">
        <v>100.41000994610494</v>
      </c>
      <c r="F19" s="3">
        <v>133.10793277056459</v>
      </c>
      <c r="G19" s="3">
        <v>72.421812849970124</v>
      </c>
      <c r="H19" s="3">
        <v>168.10940702216737</v>
      </c>
      <c r="I19" s="3">
        <v>1162.3526377968349</v>
      </c>
      <c r="J19" s="3">
        <v>132483.31572219409</v>
      </c>
      <c r="K19" s="3">
        <v>0</v>
      </c>
      <c r="L19" s="3">
        <v>0</v>
      </c>
      <c r="M19" s="3">
        <v>0</v>
      </c>
      <c r="N19" s="3">
        <v>0</v>
      </c>
      <c r="O19" s="3">
        <v>0</v>
      </c>
      <c r="P19" s="3">
        <v>0</v>
      </c>
      <c r="Q19" s="3">
        <v>0</v>
      </c>
      <c r="R19" s="3">
        <v>0</v>
      </c>
      <c r="S19" s="3">
        <v>0</v>
      </c>
      <c r="T19" s="3">
        <v>0</v>
      </c>
    </row>
    <row r="20" spans="1:20" x14ac:dyDescent="0.25">
      <c r="A20" s="3" t="s">
        <v>181</v>
      </c>
      <c r="B20" s="3">
        <v>1.6097480620155042</v>
      </c>
      <c r="C20" s="3">
        <v>2.3008474892277992</v>
      </c>
      <c r="D20" s="3">
        <v>2.6360563901572203</v>
      </c>
      <c r="E20" s="3">
        <v>4.5030834363292396</v>
      </c>
      <c r="F20" s="3">
        <v>4.6209453804946516</v>
      </c>
      <c r="G20" s="3">
        <v>4.3550213419542354</v>
      </c>
      <c r="H20" s="3">
        <v>4.4069436753640652</v>
      </c>
      <c r="I20" s="3">
        <v>6.4611587997976292</v>
      </c>
      <c r="J20" s="3">
        <v>17.42785251567059</v>
      </c>
      <c r="K20" s="3">
        <v>22.858608061899165</v>
      </c>
      <c r="L20" s="3">
        <v>12.710834777583898</v>
      </c>
      <c r="M20" s="3">
        <v>30.276339680157804</v>
      </c>
      <c r="N20" s="3">
        <v>154.92117377643652</v>
      </c>
      <c r="O20" s="3">
        <v>7188.351857984142</v>
      </c>
      <c r="P20" s="3">
        <v>0</v>
      </c>
      <c r="Q20" s="3">
        <v>0</v>
      </c>
      <c r="R20" s="3">
        <v>0</v>
      </c>
      <c r="S20" s="3">
        <v>0</v>
      </c>
      <c r="T20" s="3">
        <v>0</v>
      </c>
    </row>
    <row r="21" spans="1:20" x14ac:dyDescent="0.25">
      <c r="A21" s="3" t="s">
        <v>180</v>
      </c>
      <c r="B21" s="3">
        <v>0.12977396223549517</v>
      </c>
      <c r="C21" s="3">
        <v>0.67990428386105128</v>
      </c>
      <c r="D21" s="3">
        <v>1.7065246911315382</v>
      </c>
      <c r="E21" s="3">
        <v>1.8114393323518241</v>
      </c>
      <c r="F21" s="3">
        <v>1.1688915850066841</v>
      </c>
      <c r="G21" s="3">
        <v>1.3823143961155566</v>
      </c>
      <c r="H21" s="3">
        <v>1.8606744949161425</v>
      </c>
      <c r="I21" s="3">
        <v>2.9860486000077677</v>
      </c>
      <c r="J21" s="3">
        <v>1.7623230308260223</v>
      </c>
      <c r="K21" s="3">
        <v>1.8789542398747827</v>
      </c>
      <c r="L21" s="3">
        <v>7.1980883985712234</v>
      </c>
      <c r="M21" s="3">
        <v>11.622974394546475</v>
      </c>
      <c r="N21" s="3">
        <v>6.3248747596162191</v>
      </c>
      <c r="O21" s="3">
        <v>3.6883028472780106</v>
      </c>
      <c r="P21" s="3">
        <v>17.814589818706828</v>
      </c>
      <c r="Q21" s="3">
        <v>4297.7128804547083</v>
      </c>
      <c r="R21" s="3">
        <v>0</v>
      </c>
      <c r="S21" s="3">
        <v>0</v>
      </c>
      <c r="T21" s="3">
        <v>0</v>
      </c>
    </row>
    <row r="22" spans="1:20" x14ac:dyDescent="0.25">
      <c r="A22" s="3" t="s">
        <v>179</v>
      </c>
      <c r="B22" s="3">
        <v>17.765455459888038</v>
      </c>
      <c r="C22" s="3">
        <v>153.08107369896422</v>
      </c>
      <c r="D22" s="3">
        <v>27.25669827774102</v>
      </c>
      <c r="E22" s="3">
        <v>29.712515880434413</v>
      </c>
      <c r="F22" s="3">
        <v>52.159561832189134</v>
      </c>
      <c r="G22" s="3">
        <v>13.637762114781919</v>
      </c>
      <c r="H22" s="3">
        <v>23.918571021649971</v>
      </c>
      <c r="I22" s="3">
        <v>32.988005306320858</v>
      </c>
      <c r="J22" s="3">
        <v>6.1693532288573098E-2</v>
      </c>
      <c r="K22" s="3">
        <v>-33.148496508009522</v>
      </c>
      <c r="L22" s="3">
        <v>-161.70484503497497</v>
      </c>
      <c r="M22" s="3">
        <v>-17.309657194262194</v>
      </c>
      <c r="N22" s="3">
        <v>89.184947154149455</v>
      </c>
      <c r="O22" s="3">
        <v>-96.73544694562311</v>
      </c>
      <c r="P22" s="3">
        <v>-44.305886275338054</v>
      </c>
      <c r="Q22" s="3">
        <v>-99.224647181023428</v>
      </c>
      <c r="R22" s="3">
        <v>-22.577887981330221</v>
      </c>
      <c r="S22" s="3">
        <v>-14.289381563593931</v>
      </c>
      <c r="T22" s="3">
        <v>-14.597724620770128</v>
      </c>
    </row>
    <row r="23" spans="1:20" x14ac:dyDescent="0.25">
      <c r="A23" s="3" t="s">
        <v>178</v>
      </c>
      <c r="B23" s="3">
        <v>1.15363018442647</v>
      </c>
      <c r="C23" s="3">
        <v>4.1530332815913047</v>
      </c>
      <c r="D23" s="3">
        <v>4.0949367250210011</v>
      </c>
      <c r="E23" s="3">
        <v>192.74206190750536</v>
      </c>
      <c r="F23" s="3">
        <v>68.875002629226742</v>
      </c>
      <c r="G23" s="3">
        <v>8.7847420514088022</v>
      </c>
      <c r="H23" s="3">
        <v>30.512922853081232</v>
      </c>
      <c r="I23" s="3">
        <v>4.5460351723258245</v>
      </c>
      <c r="J23" s="3">
        <v>0.85025447418894939</v>
      </c>
      <c r="K23" s="3">
        <v>0.24626799483673237</v>
      </c>
      <c r="L23" s="3">
        <v>-0.62340152458807119</v>
      </c>
      <c r="M23" s="3">
        <v>0.22343946969463901</v>
      </c>
      <c r="N23" s="3">
        <v>6.7677249264371593</v>
      </c>
      <c r="O23" s="3">
        <v>-5.2660066978921618</v>
      </c>
      <c r="P23" s="3">
        <v>-44.305886275338054</v>
      </c>
      <c r="Q23" s="3">
        <v>-99.224647181023428</v>
      </c>
      <c r="R23" s="3">
        <v>-22.577887981330221</v>
      </c>
      <c r="S23" s="3">
        <v>-14.289381563593931</v>
      </c>
      <c r="T23" s="3">
        <v>-14.597724620770128</v>
      </c>
    </row>
    <row r="24" spans="1:20" x14ac:dyDescent="0.25">
      <c r="A24" s="3" t="s">
        <v>177</v>
      </c>
      <c r="B24" s="3">
        <v>-2.7941303445937496E-2</v>
      </c>
      <c r="C24" s="3">
        <v>0.2013621265631059</v>
      </c>
      <c r="D24" s="3">
        <v>0.9673025775750359</v>
      </c>
      <c r="E24" s="3">
        <v>4.1931505848438757</v>
      </c>
      <c r="F24" s="3">
        <v>3.7391927038448243</v>
      </c>
      <c r="G24" s="3">
        <v>87.544356649623126</v>
      </c>
      <c r="H24" s="3">
        <v>16.824166669061988</v>
      </c>
      <c r="I24" s="3">
        <v>4.0059142890396116</v>
      </c>
      <c r="J24" s="3">
        <v>0.20067067679253045</v>
      </c>
      <c r="K24" s="3">
        <v>-1.3872372509144573</v>
      </c>
      <c r="L24" s="3">
        <v>-0.66474754165189176</v>
      </c>
      <c r="M24" s="3">
        <v>0.59586582010583189</v>
      </c>
      <c r="N24" s="3">
        <v>1.8798728619605101</v>
      </c>
      <c r="O24" s="3">
        <v>-3.1452163579288097</v>
      </c>
      <c r="P24" s="3">
        <v>-1.9632255619296892</v>
      </c>
      <c r="Q24" s="3">
        <v>-5.4255940925872617</v>
      </c>
      <c r="R24" s="3">
        <v>-22.577887981330221</v>
      </c>
      <c r="S24" s="3">
        <v>-14.289381563593931</v>
      </c>
      <c r="T24" s="3">
        <v>-14.597724620770128</v>
      </c>
    </row>
    <row r="25" spans="1:20" x14ac:dyDescent="0.25">
      <c r="A25" s="3" t="s">
        <v>176</v>
      </c>
      <c r="B25" s="3">
        <v>3.545754784120561</v>
      </c>
      <c r="C25" s="3">
        <v>15.168931892983775</v>
      </c>
      <c r="D25" s="3">
        <v>115.3883746903235</v>
      </c>
      <c r="E25" s="3">
        <v>17.338056754398952</v>
      </c>
      <c r="F25" s="3">
        <v>12.049672509502891</v>
      </c>
      <c r="G25" s="3">
        <v>2.2698242091995096</v>
      </c>
      <c r="H25" s="3">
        <v>-10.911280987798477</v>
      </c>
      <c r="I25" s="3">
        <v>-8.4216357696848263</v>
      </c>
      <c r="J25" s="3">
        <v>-19.646576934213375</v>
      </c>
      <c r="K25" s="3">
        <v>-20.298065207918405</v>
      </c>
      <c r="L25" s="3">
        <v>-30.545354577032558</v>
      </c>
      <c r="M25" s="3">
        <v>-9.7446965614245933</v>
      </c>
      <c r="N25" s="3">
        <v>-1.8205011916191702</v>
      </c>
      <c r="O25" s="3">
        <v>-15.796694877185613</v>
      </c>
      <c r="P25" s="3">
        <v>-10.533036659843107</v>
      </c>
      <c r="Q25" s="3">
        <v>-12.847556249821572</v>
      </c>
      <c r="R25" s="3">
        <v>-0.86066695597022402</v>
      </c>
      <c r="S25" s="3">
        <v>-1.7633608171712789</v>
      </c>
      <c r="T25" s="3">
        <v>-1.6089728611009113</v>
      </c>
    </row>
    <row r="26" spans="1:20" x14ac:dyDescent="0.25">
      <c r="A26" s="3" t="s">
        <v>175</v>
      </c>
      <c r="B26" s="3">
        <v>3.5670444795664933</v>
      </c>
      <c r="C26" s="3">
        <v>7.8691682384950505</v>
      </c>
      <c r="D26" s="3">
        <v>13.392081776081122</v>
      </c>
      <c r="E26" s="3">
        <v>6.0945591982491623</v>
      </c>
      <c r="F26" s="3">
        <v>6.9834673660393305</v>
      </c>
      <c r="G26" s="3">
        <v>1.5574184345062927</v>
      </c>
      <c r="H26" s="3">
        <v>-1.0626852336474457</v>
      </c>
      <c r="I26" s="3">
        <v>-8.2307633823973791</v>
      </c>
      <c r="J26" s="3">
        <v>-2.2069618034890675</v>
      </c>
      <c r="K26" s="3">
        <v>-0.84670055563736835</v>
      </c>
      <c r="L26" s="3">
        <v>-1.2780448772279964</v>
      </c>
      <c r="M26" s="3">
        <v>-4.7746479169464751</v>
      </c>
      <c r="N26" s="3">
        <v>-2.0677855057083409E-2</v>
      </c>
      <c r="O26" s="3">
        <v>-5.4380489071465057</v>
      </c>
      <c r="P26" s="3">
        <v>-10.533036659843107</v>
      </c>
      <c r="Q26" s="3">
        <v>-12.847556249821572</v>
      </c>
      <c r="R26" s="3">
        <v>-0.86066695597022402</v>
      </c>
      <c r="S26" s="3">
        <v>-1.7633608171712789</v>
      </c>
      <c r="T26" s="3">
        <v>-1.6089728611009113</v>
      </c>
    </row>
    <row r="27" spans="1:20" x14ac:dyDescent="0.25">
      <c r="A27" s="3" t="s">
        <v>174</v>
      </c>
      <c r="B27" s="3">
        <v>-0.70736400224986706</v>
      </c>
      <c r="C27" s="3">
        <v>0.1946431269177272</v>
      </c>
      <c r="D27" s="3">
        <v>17.348114270679933</v>
      </c>
      <c r="E27" s="3">
        <v>13.382180159077263</v>
      </c>
      <c r="F27" s="3">
        <v>5.8947348738774172</v>
      </c>
      <c r="G27" s="3">
        <v>1.3264368062862117</v>
      </c>
      <c r="H27" s="3">
        <v>-4.0607525656041282E-2</v>
      </c>
      <c r="I27" s="3">
        <v>0.17466836341848679</v>
      </c>
      <c r="J27" s="3">
        <v>-4.0132973591254997</v>
      </c>
      <c r="K27" s="3">
        <v>-6.5511633433105505</v>
      </c>
      <c r="L27" s="3">
        <v>-0.87806915632429305</v>
      </c>
      <c r="M27" s="3">
        <v>6.8354946027652616E-2</v>
      </c>
      <c r="N27" s="3">
        <v>0.79631776605669946</v>
      </c>
      <c r="O27" s="3">
        <v>-8.0272441412961868</v>
      </c>
      <c r="P27" s="3">
        <v>-3.173554386447778</v>
      </c>
      <c r="Q27" s="3">
        <v>-4.3076658850250764</v>
      </c>
      <c r="R27" s="3">
        <v>-0.86066695597022402</v>
      </c>
      <c r="S27" s="3">
        <v>-1.7633608171712789</v>
      </c>
      <c r="T27" s="3">
        <v>-1.6089728611009113</v>
      </c>
    </row>
    <row r="28" spans="1:20" x14ac:dyDescent="0.25">
      <c r="A28" s="3" t="s">
        <v>173</v>
      </c>
      <c r="B28" s="3">
        <v>44.194387045359846</v>
      </c>
      <c r="C28" s="3">
        <v>45.730695661389156</v>
      </c>
      <c r="D28" s="3">
        <v>51.995579695581696</v>
      </c>
      <c r="E28" s="3">
        <v>183.42715024685444</v>
      </c>
      <c r="F28" s="3">
        <v>67.571727858262378</v>
      </c>
      <c r="G28" s="3">
        <v>28.175868698687406</v>
      </c>
      <c r="H28" s="3">
        <v>21.106087389390073</v>
      </c>
      <c r="I28" s="3">
        <v>20.698526160874298</v>
      </c>
      <c r="J28" s="3">
        <v>30.572317417680175</v>
      </c>
      <c r="K28" s="3">
        <v>0</v>
      </c>
      <c r="L28" s="3">
        <v>0</v>
      </c>
      <c r="M28" s="3">
        <v>0</v>
      </c>
      <c r="N28" s="3">
        <v>0</v>
      </c>
      <c r="O28" s="3">
        <v>0</v>
      </c>
      <c r="P28" s="3">
        <v>0</v>
      </c>
      <c r="Q28" s="3">
        <v>0</v>
      </c>
      <c r="R28" s="3">
        <v>0</v>
      </c>
      <c r="S28" s="3">
        <v>0</v>
      </c>
      <c r="T28" s="3">
        <v>0</v>
      </c>
    </row>
    <row r="29" spans="1:20" x14ac:dyDescent="0.25">
      <c r="A29" s="3" t="s">
        <v>172</v>
      </c>
      <c r="B29" s="3">
        <v>2.207526449891438</v>
      </c>
      <c r="C29" s="3">
        <v>8.1495575662927422</v>
      </c>
      <c r="D29" s="3">
        <v>9.2591669069352598</v>
      </c>
      <c r="E29" s="3">
        <v>7.3807818369430569</v>
      </c>
      <c r="F29" s="3">
        <v>3.6434068652708684</v>
      </c>
      <c r="G29" s="3">
        <v>13.090105803146066</v>
      </c>
      <c r="H29" s="3">
        <v>4.107426815209787</v>
      </c>
      <c r="I29" s="3">
        <v>4.1656806226396768</v>
      </c>
      <c r="J29" s="3">
        <v>21.005960044668747</v>
      </c>
      <c r="K29" s="3">
        <v>13.767546727625023</v>
      </c>
      <c r="L29" s="3">
        <v>1.0706635639437827</v>
      </c>
      <c r="M29" s="3">
        <v>4.9366373942969988</v>
      </c>
      <c r="N29" s="3">
        <v>4.8133457330949536</v>
      </c>
      <c r="O29" s="3">
        <v>2.3438321871735148</v>
      </c>
      <c r="P29" s="3">
        <v>0</v>
      </c>
      <c r="Q29" s="3">
        <v>0</v>
      </c>
      <c r="R29" s="3">
        <v>0</v>
      </c>
      <c r="S29" s="3">
        <v>0</v>
      </c>
      <c r="T29" s="3">
        <v>0</v>
      </c>
    </row>
    <row r="30" spans="1:20" x14ac:dyDescent="0.25">
      <c r="A30" s="3" t="s">
        <v>171</v>
      </c>
      <c r="B30" s="3">
        <v>0.7832288042483061</v>
      </c>
      <c r="C30" s="3">
        <v>1.2354171016413715</v>
      </c>
      <c r="D30" s="3">
        <v>1.4856087789719525</v>
      </c>
      <c r="E30" s="3">
        <v>4.7298045701673335</v>
      </c>
      <c r="F30" s="3">
        <v>4.3032757867578413</v>
      </c>
      <c r="G30" s="3">
        <v>3.6593073532608629</v>
      </c>
      <c r="H30" s="3">
        <v>0.1344757428212176</v>
      </c>
      <c r="I30" s="3">
        <v>2.4137753093058754</v>
      </c>
      <c r="J30" s="3">
        <v>2.49186484948028</v>
      </c>
      <c r="K30" s="3">
        <v>4.8997692347536956</v>
      </c>
      <c r="L30" s="3">
        <v>6.2769170710411677</v>
      </c>
      <c r="M30" s="3">
        <v>2.2802082437242506</v>
      </c>
      <c r="N30" s="3">
        <v>0.36841215414870665</v>
      </c>
      <c r="O30" s="3">
        <v>1.6246583068583522</v>
      </c>
      <c r="P30" s="3">
        <v>2.5234663043596193</v>
      </c>
      <c r="Q30" s="3">
        <v>5.7226191418718724</v>
      </c>
      <c r="R30" s="3">
        <v>0</v>
      </c>
      <c r="S30" s="3">
        <v>0</v>
      </c>
      <c r="T30" s="3">
        <v>0</v>
      </c>
    </row>
    <row r="31" spans="1:20" x14ac:dyDescent="0.25">
      <c r="A31" s="3" t="s">
        <v>170</v>
      </c>
      <c r="B31" s="3">
        <v>0</v>
      </c>
      <c r="C31" s="3">
        <v>0</v>
      </c>
      <c r="D31" s="3">
        <v>0</v>
      </c>
      <c r="E31" s="3">
        <v>0</v>
      </c>
      <c r="F31" s="3">
        <v>0</v>
      </c>
      <c r="G31" s="3">
        <v>0</v>
      </c>
      <c r="H31" s="3">
        <v>0</v>
      </c>
      <c r="I31" s="3">
        <v>0</v>
      </c>
      <c r="J31" s="3">
        <v>0</v>
      </c>
      <c r="K31" s="3">
        <v>0</v>
      </c>
      <c r="L31" s="3">
        <v>0</v>
      </c>
      <c r="M31" s="3">
        <v>0</v>
      </c>
      <c r="N31" s="3">
        <v>0</v>
      </c>
      <c r="O31" s="3">
        <v>0</v>
      </c>
      <c r="P31" s="3">
        <v>0</v>
      </c>
      <c r="Q31" s="3">
        <v>0</v>
      </c>
      <c r="R31" s="3">
        <v>0</v>
      </c>
      <c r="S31" s="3">
        <v>0</v>
      </c>
      <c r="T31" s="3">
        <v>0</v>
      </c>
    </row>
    <row r="32" spans="1:20" x14ac:dyDescent="0.25">
      <c r="A32" s="3" t="s">
        <v>169</v>
      </c>
      <c r="B32" s="3">
        <v>0</v>
      </c>
      <c r="C32" s="3">
        <v>0</v>
      </c>
      <c r="D32" s="3">
        <v>0</v>
      </c>
      <c r="E32" s="3">
        <v>0</v>
      </c>
      <c r="F32" s="3">
        <v>0</v>
      </c>
      <c r="G32" s="3">
        <v>0</v>
      </c>
      <c r="H32" s="3">
        <v>0</v>
      </c>
      <c r="I32" s="3">
        <v>0</v>
      </c>
      <c r="J32" s="3">
        <v>0</v>
      </c>
      <c r="K32" s="3">
        <v>0</v>
      </c>
      <c r="L32" s="3">
        <v>0</v>
      </c>
      <c r="M32" s="3">
        <v>0</v>
      </c>
      <c r="N32" s="3">
        <v>0</v>
      </c>
      <c r="O32" s="3">
        <v>0</v>
      </c>
      <c r="P32" s="3">
        <v>0</v>
      </c>
      <c r="Q32" s="3">
        <v>0</v>
      </c>
      <c r="R32" s="3">
        <v>0</v>
      </c>
      <c r="S32" s="3">
        <v>0</v>
      </c>
      <c r="T32" s="3">
        <v>0</v>
      </c>
    </row>
    <row r="33" spans="1:20" x14ac:dyDescent="0.25">
      <c r="A33" s="3" t="s">
        <v>168</v>
      </c>
      <c r="B33" s="3">
        <v>0</v>
      </c>
      <c r="C33" s="3">
        <v>0</v>
      </c>
      <c r="D33" s="3">
        <v>0</v>
      </c>
      <c r="E33" s="3">
        <v>0</v>
      </c>
      <c r="F33" s="3">
        <v>0</v>
      </c>
      <c r="G33" s="3">
        <v>0</v>
      </c>
      <c r="H33" s="3">
        <v>0</v>
      </c>
      <c r="I33" s="3">
        <v>0</v>
      </c>
      <c r="J33" s="3">
        <v>0</v>
      </c>
      <c r="K33" s="3">
        <v>0</v>
      </c>
      <c r="L33" s="3">
        <v>0</v>
      </c>
      <c r="M33" s="3">
        <v>0</v>
      </c>
      <c r="N33" s="3">
        <v>0</v>
      </c>
      <c r="O33" s="3">
        <v>0</v>
      </c>
      <c r="P33" s="3">
        <v>0</v>
      </c>
      <c r="Q33" s="3">
        <v>0</v>
      </c>
      <c r="R33" s="3">
        <v>0</v>
      </c>
      <c r="S33" s="3">
        <v>0</v>
      </c>
      <c r="T33" s="3">
        <v>0</v>
      </c>
    </row>
    <row r="34" spans="1:20" x14ac:dyDescent="0.25">
      <c r="A34" s="3" t="s">
        <v>167</v>
      </c>
      <c r="B34" s="3">
        <v>3.5762788592123132E-2</v>
      </c>
      <c r="C34" s="3">
        <v>0.25940706955530218</v>
      </c>
      <c r="D34" s="3">
        <v>0.18834688346883469</v>
      </c>
      <c r="E34" s="3">
        <v>0.54312598013591218</v>
      </c>
      <c r="F34" s="3">
        <v>1.4316012725344645E-2</v>
      </c>
      <c r="G34" s="3">
        <v>0.42447129909365561</v>
      </c>
      <c r="H34" s="3">
        <v>0.39515279241306639</v>
      </c>
      <c r="I34" s="3">
        <v>0.84135620055842186</v>
      </c>
      <c r="J34" s="3">
        <v>3.253382804893197E-2</v>
      </c>
      <c r="K34" s="3">
        <v>1.9541147574941555</v>
      </c>
      <c r="L34" s="3">
        <v>-0.25436002894918008</v>
      </c>
      <c r="M34" s="3">
        <v>3.6143069498462603</v>
      </c>
      <c r="N34" s="3">
        <v>0.82955815513002007</v>
      </c>
      <c r="O34" s="3">
        <v>1.8139217947373938</v>
      </c>
      <c r="P34" s="3">
        <v>0.42160953800298062</v>
      </c>
      <c r="Q34" s="3">
        <v>0.92373853211009171</v>
      </c>
      <c r="R34" s="3">
        <v>5.0602409638554217E-2</v>
      </c>
      <c r="S34" s="3">
        <v>55.271186440677965</v>
      </c>
      <c r="T34" s="3">
        <v>0</v>
      </c>
    </row>
    <row r="35" spans="1:20" x14ac:dyDescent="0.25">
      <c r="A35" s="3" t="s">
        <v>165</v>
      </c>
      <c r="B35" s="3">
        <v>0.12890964200868354</v>
      </c>
      <c r="C35" s="3">
        <v>0.14492862368455608</v>
      </c>
      <c r="D35" s="3">
        <v>0.29488207146153661</v>
      </c>
      <c r="E35" s="3">
        <v>0.32523217073602551</v>
      </c>
      <c r="F35" s="3">
        <v>0.19143591317020786</v>
      </c>
      <c r="G35" s="3">
        <v>0.51995103325657988</v>
      </c>
      <c r="H35" s="3">
        <v>0.15363147276395428</v>
      </c>
      <c r="I35" s="3">
        <v>3.7850773669942238E-2</v>
      </c>
      <c r="J35" s="3">
        <v>0.26435209624252937</v>
      </c>
      <c r="K35" s="3">
        <v>1.8091531182870868</v>
      </c>
      <c r="L35" s="3">
        <v>0.38370773017906873</v>
      </c>
      <c r="M35" s="3">
        <v>1.4124269217561121</v>
      </c>
      <c r="N35" s="3">
        <v>1.169226074547429</v>
      </c>
      <c r="O35" s="3">
        <v>0.56169755889707451</v>
      </c>
      <c r="P35" s="3">
        <v>0.84791831787029703</v>
      </c>
      <c r="Q35" s="3">
        <v>1.9602067104213949</v>
      </c>
      <c r="R35" s="3">
        <v>1.5227567264357145</v>
      </c>
      <c r="S35" s="3">
        <v>0.48402560496024344</v>
      </c>
      <c r="T35" s="3">
        <v>0</v>
      </c>
    </row>
    <row r="36" spans="1:20" x14ac:dyDescent="0.25">
      <c r="A36" s="3" t="s">
        <v>166</v>
      </c>
      <c r="B36" s="3">
        <v>3.1205791794957145E-2</v>
      </c>
      <c r="C36" s="3">
        <v>-0.11808307647145164</v>
      </c>
      <c r="D36" s="3">
        <v>6.1297608848041127E-2</v>
      </c>
      <c r="E36" s="3">
        <v>1.2301545944068091</v>
      </c>
      <c r="F36" s="3">
        <v>0.4038039502560351</v>
      </c>
      <c r="G36" s="3">
        <v>0.1545608108108108</v>
      </c>
      <c r="H36" s="3">
        <v>0.14102152264696435</v>
      </c>
      <c r="I36" s="3">
        <v>0.37528125230557308</v>
      </c>
      <c r="J36" s="3">
        <v>9.48427389436476E-2</v>
      </c>
      <c r="K36" s="3">
        <v>0.61793122445881243</v>
      </c>
      <c r="L36" s="3">
        <v>0.33990929824101501</v>
      </c>
      <c r="M36" s="3">
        <v>1.8020008520515345</v>
      </c>
      <c r="N36" s="3">
        <v>0.2675975032029318</v>
      </c>
      <c r="O36" s="3">
        <v>4.3612874885188289</v>
      </c>
      <c r="P36" s="3">
        <v>0.10845026780576336</v>
      </c>
      <c r="Q36" s="3">
        <v>0.94565498234432865</v>
      </c>
      <c r="R36" s="3">
        <v>0.3947147147147147</v>
      </c>
      <c r="S36" s="3">
        <v>6.8984819734345351</v>
      </c>
      <c r="T36" s="3">
        <v>0</v>
      </c>
    </row>
    <row r="37" spans="1:20" x14ac:dyDescent="0.25">
      <c r="A37" s="3" t="s">
        <v>164</v>
      </c>
      <c r="B37" s="3">
        <v>0.1148961989411576</v>
      </c>
      <c r="C37" s="3">
        <v>0.14981220824816155</v>
      </c>
      <c r="D37" s="3">
        <v>0.36688079416107267</v>
      </c>
      <c r="E37" s="3">
        <v>0.37385534884045585</v>
      </c>
      <c r="F37" s="3">
        <v>0.26167633188865586</v>
      </c>
      <c r="G37" s="3">
        <v>1.7695176055919213</v>
      </c>
      <c r="H37" s="3">
        <v>0.23820007320559053</v>
      </c>
      <c r="I37" s="3">
        <v>8.9039883418520482E-2</v>
      </c>
      <c r="J37" s="3">
        <v>-0.17017735490209374</v>
      </c>
      <c r="K37" s="3">
        <v>3.8440857157483226</v>
      </c>
      <c r="L37" s="3">
        <v>0.15468767921841159</v>
      </c>
      <c r="M37" s="3">
        <v>0.31047302824564216</v>
      </c>
      <c r="N37" s="3">
        <v>3.8090003311688596</v>
      </c>
      <c r="O37" s="3">
        <v>-0.47950265100971784</v>
      </c>
      <c r="P37" s="3">
        <v>-0.45330689813175523</v>
      </c>
      <c r="Q37" s="3">
        <v>3.1952318937257478</v>
      </c>
      <c r="R37" s="3">
        <v>-0.26943028530799046</v>
      </c>
      <c r="S37" s="3">
        <v>-0.69470325679276335</v>
      </c>
      <c r="T37" s="3">
        <v>0</v>
      </c>
    </row>
    <row r="38" spans="1:20" x14ac:dyDescent="0.25">
      <c r="A38" s="3" t="s">
        <v>163</v>
      </c>
      <c r="B38" s="3">
        <v>-0.38515745430521914</v>
      </c>
      <c r="C38" s="3">
        <v>0.42306486994672515</v>
      </c>
      <c r="D38" s="3">
        <v>0.66544885177453028</v>
      </c>
      <c r="E38" s="3">
        <v>-0.35219204327735826</v>
      </c>
      <c r="F38" s="3">
        <v>-0.33180209353113937</v>
      </c>
      <c r="G38" s="3">
        <v>-9.0666301444908587E-2</v>
      </c>
      <c r="H38" s="3">
        <v>5.604570436794909E-2</v>
      </c>
      <c r="I38" s="3">
        <v>0.13990241254888461</v>
      </c>
      <c r="J38" s="3">
        <v>0.37819549897239146</v>
      </c>
      <c r="K38" s="3">
        <v>2.0375843688118898</v>
      </c>
      <c r="L38" s="3">
        <v>0.14492223940094251</v>
      </c>
      <c r="M38" s="3">
        <v>3.1703752648802559</v>
      </c>
      <c r="N38" s="3">
        <v>0.30045471493530707</v>
      </c>
      <c r="O38" s="3">
        <v>0.66578379999143311</v>
      </c>
      <c r="P38" s="3">
        <v>2.8586284313320385</v>
      </c>
      <c r="Q38" s="3">
        <v>65.608256880733947</v>
      </c>
      <c r="R38" s="3">
        <v>-0.98045088509066125</v>
      </c>
      <c r="S38" s="3">
        <v>567.94897959183675</v>
      </c>
      <c r="T38" s="3">
        <v>0</v>
      </c>
    </row>
    <row r="39" spans="1:20" x14ac:dyDescent="0.25">
      <c r="A39" s="3" t="s">
        <v>162</v>
      </c>
      <c r="B39" s="3">
        <v>0.41211453744493393</v>
      </c>
      <c r="C39" s="3">
        <v>0.1438649533887629</v>
      </c>
      <c r="D39" s="3">
        <v>0.29073170731707315</v>
      </c>
      <c r="E39" s="3">
        <v>0.18588507520246819</v>
      </c>
      <c r="F39" s="3">
        <v>0.73910127431254191</v>
      </c>
      <c r="G39" s="3">
        <v>0.11020104244229337</v>
      </c>
      <c r="H39" s="3">
        <v>-8.0370043208228048E-2</v>
      </c>
      <c r="I39" s="3">
        <v>5.977503628447025E-2</v>
      </c>
      <c r="J39" s="3">
        <v>0.6514702639476132</v>
      </c>
      <c r="K39" s="3">
        <v>0.16229001253656497</v>
      </c>
      <c r="L39" s="3">
        <v>0.5448676565526146</v>
      </c>
      <c r="M39" s="3">
        <v>1.0032244714970515</v>
      </c>
      <c r="N39" s="3">
        <v>-0.15330427990568585</v>
      </c>
      <c r="O39" s="3">
        <v>0.31101870504974138</v>
      </c>
      <c r="P39" s="3">
        <v>1.2472041808249816</v>
      </c>
      <c r="Q39" s="3">
        <v>3.822943678041697</v>
      </c>
      <c r="R39" s="3">
        <v>-0.64102468630152287</v>
      </c>
      <c r="S39" s="3">
        <v>-0.144040922346342</v>
      </c>
      <c r="T39" s="3">
        <v>1.510622124424885</v>
      </c>
    </row>
    <row r="40" spans="1:20" x14ac:dyDescent="0.25">
      <c r="A40" s="3" t="s">
        <v>161</v>
      </c>
      <c r="B40" s="3">
        <v>0.13281553398058252</v>
      </c>
      <c r="C40" s="3">
        <v>7.2916666666666671E-2</v>
      </c>
      <c r="D40" s="3">
        <v>0.21642169285352256</v>
      </c>
      <c r="E40" s="3">
        <v>-0.12641133495682974</v>
      </c>
      <c r="F40" s="3">
        <v>0.43624801271860097</v>
      </c>
      <c r="G40" s="3">
        <v>0.18858654572940287</v>
      </c>
      <c r="H40" s="3">
        <v>-6.6666666666666666E-2</v>
      </c>
      <c r="I40" s="3">
        <v>0.144529672991522</v>
      </c>
      <c r="J40" s="3">
        <v>0.7295203356540233</v>
      </c>
      <c r="K40" s="3">
        <v>0.5529595589829891</v>
      </c>
      <c r="L40" s="3">
        <v>0.5277341549879071</v>
      </c>
      <c r="M40" s="3">
        <v>1.1138849104769775</v>
      </c>
      <c r="N40" s="3">
        <v>0.89908360599047699</v>
      </c>
      <c r="O40" s="3">
        <v>0.44446792568826726</v>
      </c>
      <c r="P40" s="3">
        <v>0.23091293911768532</v>
      </c>
      <c r="Q40" s="3">
        <v>1.0064768683274021</v>
      </c>
      <c r="R40" s="3">
        <v>0.78231637701382717</v>
      </c>
      <c r="S40" s="3">
        <v>0.37143354210160057</v>
      </c>
      <c r="T40" s="3">
        <v>2.5768512756689486</v>
      </c>
    </row>
  </sheetData>
  <mergeCells count="1">
    <mergeCell ref="B4:T4"/>
  </mergeCells>
  <pageMargins left="0.7" right="0.7" top="0.75" bottom="0.75" header="0.3" footer="0.3"/>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0A4875-7263-45B5-A72C-9E1D6076D477}">
  <sheetPr>
    <tabColor rgb="FF806000"/>
  </sheetPr>
  <dimension ref="A1:A3"/>
  <sheetViews>
    <sheetView workbookViewId="0"/>
  </sheetViews>
  <sheetFormatPr defaultRowHeight="15" x14ac:dyDescent="0.25"/>
  <cols>
    <col min="1" max="1" width="133.28515625" customWidth="1"/>
  </cols>
  <sheetData>
    <row r="1" spans="1:1" ht="26.25" x14ac:dyDescent="0.4">
      <c r="A1" s="108" t="s">
        <v>1228</v>
      </c>
    </row>
    <row r="3" spans="1:1" x14ac:dyDescent="0.25">
      <c r="A3" s="33" t="s">
        <v>1229</v>
      </c>
    </row>
  </sheetData>
  <pageMargins left="0.7" right="0.7" top="0.75" bottom="0.75" header="0.3" footer="0.3"/>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956667-DAC1-4AC5-B041-39222189BC69}">
  <sheetPr>
    <tabColor rgb="FFFFE699"/>
  </sheetPr>
  <dimension ref="A1:H156"/>
  <sheetViews>
    <sheetView workbookViewId="0">
      <pane xSplit="1" topLeftCell="B1" activePane="topRight" state="frozen"/>
      <selection pane="topRight"/>
    </sheetView>
  </sheetViews>
  <sheetFormatPr defaultRowHeight="15" x14ac:dyDescent="0.25"/>
  <cols>
    <col min="1" max="1" width="61.7109375" bestFit="1" customWidth="1"/>
    <col min="2" max="8" width="16.7109375" customWidth="1"/>
  </cols>
  <sheetData>
    <row r="1" spans="1:8" ht="15.75" x14ac:dyDescent="0.25">
      <c r="A1" s="16" t="s">
        <v>280</v>
      </c>
      <c r="B1" s="16"/>
      <c r="C1" s="16"/>
      <c r="D1" s="16"/>
      <c r="E1" s="16"/>
      <c r="F1" s="16"/>
      <c r="G1" s="16"/>
      <c r="H1" s="16"/>
    </row>
    <row r="2" spans="1:8" x14ac:dyDescent="0.25">
      <c r="A2" s="17" t="s">
        <v>1</v>
      </c>
      <c r="B2" s="149" t="str">
        <f>'AAPL - Income Statement FY'!B2</f>
        <v>AAPL (NASDAQ)</v>
      </c>
      <c r="C2" s="17"/>
      <c r="D2" s="17"/>
      <c r="E2" s="17"/>
      <c r="F2" s="17"/>
      <c r="G2" s="17"/>
      <c r="H2" s="17"/>
    </row>
    <row r="3" spans="1:8" x14ac:dyDescent="0.25">
      <c r="A3" s="17" t="s">
        <v>3</v>
      </c>
      <c r="B3" s="149" t="str">
        <f>'AAPL - Income Statement FY'!B3</f>
        <v>USD</v>
      </c>
      <c r="C3" s="17"/>
      <c r="D3" s="17"/>
      <c r="E3" s="17"/>
      <c r="F3" s="17"/>
      <c r="G3" s="17"/>
      <c r="H3" s="17"/>
    </row>
    <row r="4" spans="1:8" x14ac:dyDescent="0.25">
      <c r="A4" s="17" t="s">
        <v>32</v>
      </c>
      <c r="B4" s="150" t="str">
        <f>'AAPL - Income Statement FY'!B4</f>
        <v>FY</v>
      </c>
      <c r="C4" s="150">
        <f>'AAPL - Income Statement FY'!C4</f>
        <v>0</v>
      </c>
      <c r="D4" s="150">
        <f>'AAPL - Income Statement FY'!D4</f>
        <v>0</v>
      </c>
      <c r="E4" s="150">
        <f>'AAPL - Income Statement FY'!E4</f>
        <v>0</v>
      </c>
      <c r="F4" s="150">
        <f>'AAPL - Income Statement FY'!F4</f>
        <v>0</v>
      </c>
      <c r="G4" s="150">
        <f>'AAPL - Income Statement FY'!G4</f>
        <v>0</v>
      </c>
      <c r="H4" s="150">
        <f>'AAPL - Income Statement FY'!H4</f>
        <v>0</v>
      </c>
    </row>
    <row r="5" spans="1:8" x14ac:dyDescent="0.25">
      <c r="A5" s="17" t="s">
        <v>34</v>
      </c>
      <c r="B5" s="151">
        <f>'AAPL - Income Statement FY'!B5</f>
        <v>45927</v>
      </c>
      <c r="C5" s="151">
        <f>'AAPL - Income Statement FY'!C5</f>
        <v>45563</v>
      </c>
      <c r="D5" s="151">
        <f>'AAPL - Income Statement FY'!D5</f>
        <v>45199</v>
      </c>
      <c r="E5" s="151">
        <f>'AAPL - Income Statement FY'!E5</f>
        <v>44828</v>
      </c>
      <c r="F5" s="151">
        <f>'AAPL - Income Statement FY'!F5</f>
        <v>44464</v>
      </c>
      <c r="G5" s="151">
        <f>'AAPL - Income Statement FY'!G5</f>
        <v>44100</v>
      </c>
      <c r="H5" s="151">
        <f>'AAPL - Income Statement FY'!H5</f>
        <v>43736</v>
      </c>
    </row>
    <row r="6" spans="1:8" x14ac:dyDescent="0.25">
      <c r="A6" s="17"/>
      <c r="B6" s="17"/>
      <c r="C6" s="17"/>
      <c r="D6" s="17"/>
      <c r="E6" s="17"/>
      <c r="F6" s="17"/>
      <c r="G6" s="17"/>
      <c r="H6" s="17"/>
    </row>
    <row r="7" spans="1:8" x14ac:dyDescent="0.25">
      <c r="A7" s="20" t="s">
        <v>222</v>
      </c>
      <c r="B7" s="20"/>
      <c r="C7" s="20"/>
      <c r="D7" s="20"/>
      <c r="E7" s="20"/>
      <c r="F7" s="20"/>
      <c r="G7" s="20"/>
      <c r="H7" s="20"/>
    </row>
    <row r="8" spans="1:8" x14ac:dyDescent="0.25">
      <c r="A8" s="17" t="s">
        <v>223</v>
      </c>
      <c r="B8" s="21">
        <v>0.02</v>
      </c>
      <c r="C8" s="17"/>
      <c r="D8" s="17"/>
      <c r="E8" s="17"/>
      <c r="F8" s="17"/>
      <c r="G8" s="17"/>
      <c r="H8" s="17"/>
    </row>
    <row r="9" spans="1:8" x14ac:dyDescent="0.25">
      <c r="A9" s="17" t="s">
        <v>224</v>
      </c>
      <c r="B9" s="180">
        <f>'Valuation Dashboard'!$B$12</f>
        <v>0.21</v>
      </c>
      <c r="C9" s="17"/>
      <c r="D9" s="17"/>
      <c r="E9" s="17"/>
      <c r="F9" s="17"/>
      <c r="G9" s="17"/>
      <c r="H9" s="17"/>
    </row>
    <row r="10" spans="1:8" x14ac:dyDescent="0.25">
      <c r="A10" s="17"/>
      <c r="B10" s="17"/>
      <c r="C10" s="17"/>
      <c r="D10" s="17"/>
      <c r="E10" s="17"/>
      <c r="F10" s="17"/>
      <c r="G10" s="17"/>
      <c r="H10" s="17"/>
    </row>
    <row r="11" spans="1:8" x14ac:dyDescent="0.25">
      <c r="A11" s="20" t="s">
        <v>225</v>
      </c>
      <c r="B11" s="20"/>
      <c r="C11" s="20"/>
      <c r="D11" s="20"/>
      <c r="E11" s="20"/>
      <c r="F11" s="20"/>
      <c r="G11" s="20"/>
      <c r="H11" s="20"/>
    </row>
    <row r="12" spans="1:8" x14ac:dyDescent="0.25">
      <c r="A12" s="17" t="s">
        <v>226</v>
      </c>
      <c r="B12" s="152">
        <f>MIN('AAPL - Balance Sheet FY'!B7,$B$8*'AAPL - Income Statement FY'!B7)</f>
        <v>8323.2199999999993</v>
      </c>
      <c r="C12" s="152">
        <f>MIN('AAPL - Balance Sheet FY'!C7,$B$8*'AAPL - Income Statement FY'!C7)</f>
        <v>7820.7</v>
      </c>
      <c r="D12" s="152">
        <f>MIN('AAPL - Balance Sheet FY'!D7,$B$8*'AAPL - Income Statement FY'!D7)</f>
        <v>7665.7</v>
      </c>
      <c r="E12" s="152">
        <f>MIN('AAPL - Balance Sheet FY'!E7,$B$8*'AAPL - Income Statement FY'!E7)</f>
        <v>7886.56</v>
      </c>
      <c r="F12" s="152">
        <f>MIN('AAPL - Balance Sheet FY'!F7,$B$8*'AAPL - Income Statement FY'!F7)</f>
        <v>7316.34</v>
      </c>
      <c r="G12" s="152">
        <f>MIN('AAPL - Balance Sheet FY'!G7,$B$8*'AAPL - Income Statement FY'!G7)</f>
        <v>5490.3</v>
      </c>
      <c r="H12" s="152">
        <f>MIN('AAPL - Balance Sheet FY'!H7,$B$8*'AAPL - Income Statement FY'!H7)</f>
        <v>5203.4800000000005</v>
      </c>
    </row>
    <row r="13" spans="1:8" x14ac:dyDescent="0.25">
      <c r="A13" s="17" t="s">
        <v>227</v>
      </c>
      <c r="B13" s="152">
        <f>'AAPL - Balance Sheet FY'!B10</f>
        <v>72957</v>
      </c>
      <c r="C13" s="152">
        <f>'AAPL - Balance Sheet FY'!C10</f>
        <v>66243</v>
      </c>
      <c r="D13" s="152">
        <f>'AAPL - Balance Sheet FY'!D10</f>
        <v>60985</v>
      </c>
      <c r="E13" s="152">
        <f>'AAPL - Balance Sheet FY'!E10</f>
        <v>60932</v>
      </c>
      <c r="F13" s="152">
        <f>'AAPL - Balance Sheet FY'!F10</f>
        <v>51506</v>
      </c>
      <c r="G13" s="152">
        <f>'AAPL - Balance Sheet FY'!G10</f>
        <v>37445</v>
      </c>
      <c r="H13" s="152">
        <f>'AAPL - Balance Sheet FY'!H10</f>
        <v>45804</v>
      </c>
    </row>
    <row r="14" spans="1:8" x14ac:dyDescent="0.25">
      <c r="A14" s="17" t="s">
        <v>70</v>
      </c>
      <c r="B14" s="152">
        <f>'AAPL - Balance Sheet FY'!B11</f>
        <v>5718</v>
      </c>
      <c r="C14" s="152">
        <f>'AAPL - Balance Sheet FY'!C11</f>
        <v>7286</v>
      </c>
      <c r="D14" s="152">
        <f>'AAPL - Balance Sheet FY'!D11</f>
        <v>6331</v>
      </c>
      <c r="E14" s="152">
        <f>'AAPL - Balance Sheet FY'!E11</f>
        <v>4946</v>
      </c>
      <c r="F14" s="152">
        <f>'AAPL - Balance Sheet FY'!F11</f>
        <v>6580</v>
      </c>
      <c r="G14" s="152">
        <f>'AAPL - Balance Sheet FY'!G11</f>
        <v>4061</v>
      </c>
      <c r="H14" s="152">
        <f>'AAPL - Balance Sheet FY'!H11</f>
        <v>4106</v>
      </c>
    </row>
    <row r="15" spans="1:8" x14ac:dyDescent="0.25">
      <c r="A15" s="17" t="s">
        <v>228</v>
      </c>
      <c r="B15" s="152">
        <f>'AAPL - Balance Sheet FY'!B12</f>
        <v>14585</v>
      </c>
      <c r="C15" s="152">
        <f>'AAPL - Balance Sheet FY'!C12</f>
        <v>14287</v>
      </c>
      <c r="D15" s="152">
        <f>'AAPL - Balance Sheet FY'!D12</f>
        <v>14695</v>
      </c>
      <c r="E15" s="152">
        <f>'AAPL - Balance Sheet FY'!E12</f>
        <v>21223</v>
      </c>
      <c r="F15" s="152">
        <f>'AAPL - Balance Sheet FY'!F12</f>
        <v>14111</v>
      </c>
      <c r="G15" s="152">
        <f>'AAPL - Balance Sheet FY'!G12</f>
        <v>11264</v>
      </c>
      <c r="H15" s="152">
        <f>'AAPL - Balance Sheet FY'!H12</f>
        <v>12352</v>
      </c>
    </row>
    <row r="16" spans="1:8" x14ac:dyDescent="0.25">
      <c r="A16" s="19" t="s">
        <v>229</v>
      </c>
      <c r="B16" s="153">
        <f t="shared" ref="B16:H16" si="0">SUM(B12:B15)</f>
        <v>101583.22</v>
      </c>
      <c r="C16" s="153">
        <f t="shared" si="0"/>
        <v>95636.7</v>
      </c>
      <c r="D16" s="153">
        <f t="shared" si="0"/>
        <v>89676.7</v>
      </c>
      <c r="E16" s="153">
        <f t="shared" si="0"/>
        <v>94987.56</v>
      </c>
      <c r="F16" s="153">
        <f t="shared" si="0"/>
        <v>79513.34</v>
      </c>
      <c r="G16" s="153">
        <f t="shared" si="0"/>
        <v>58260.3</v>
      </c>
      <c r="H16" s="153">
        <f t="shared" si="0"/>
        <v>67465.48000000001</v>
      </c>
    </row>
    <row r="17" spans="1:8" x14ac:dyDescent="0.25">
      <c r="A17" s="17" t="s">
        <v>230</v>
      </c>
      <c r="B17" s="152">
        <f>-'AAPL - Balance Sheet FY'!B27</f>
        <v>-69860</v>
      </c>
      <c r="C17" s="152">
        <f>-'AAPL - Balance Sheet FY'!C27</f>
        <v>-68960</v>
      </c>
      <c r="D17" s="152">
        <f>-'AAPL - Balance Sheet FY'!D27</f>
        <v>-62611</v>
      </c>
      <c r="E17" s="152">
        <f>-'AAPL - Balance Sheet FY'!E27</f>
        <v>-64115</v>
      </c>
      <c r="F17" s="152">
        <f>-'AAPL - Balance Sheet FY'!F27</f>
        <v>-54763</v>
      </c>
      <c r="G17" s="152">
        <f>-'AAPL - Balance Sheet FY'!G27</f>
        <v>-42296</v>
      </c>
      <c r="H17" s="152">
        <f>-'AAPL - Balance Sheet FY'!H27</f>
        <v>-46236</v>
      </c>
    </row>
    <row r="18" spans="1:8" x14ac:dyDescent="0.25">
      <c r="A18" s="17" t="s">
        <v>231</v>
      </c>
      <c r="B18" s="152">
        <f>-'AAPL - Balance Sheet FY'!B29</f>
        <v>0</v>
      </c>
      <c r="C18" s="152">
        <f>-'AAPL - Balance Sheet FY'!C29</f>
        <v>-26601</v>
      </c>
      <c r="D18" s="152">
        <f>-'AAPL - Balance Sheet FY'!D29</f>
        <v>-8819</v>
      </c>
      <c r="E18" s="152">
        <f>-'AAPL - Balance Sheet FY'!E29</f>
        <v>-6552</v>
      </c>
      <c r="F18" s="152">
        <f>-'AAPL - Balance Sheet FY'!F29</f>
        <v>0</v>
      </c>
      <c r="G18" s="152">
        <f>-'AAPL - Balance Sheet FY'!G29</f>
        <v>0</v>
      </c>
      <c r="H18" s="152">
        <f>-'AAPL - Balance Sheet FY'!H29</f>
        <v>0</v>
      </c>
    </row>
    <row r="19" spans="1:8" x14ac:dyDescent="0.25">
      <c r="A19" s="17" t="s">
        <v>232</v>
      </c>
      <c r="B19" s="152">
        <f>-'AAPL - Balance Sheet FY'!B30</f>
        <v>-9055</v>
      </c>
      <c r="C19" s="152">
        <f>-'AAPL - Balance Sheet FY'!C30</f>
        <v>-8249</v>
      </c>
      <c r="D19" s="152">
        <f>-'AAPL - Balance Sheet FY'!D30</f>
        <v>-8061</v>
      </c>
      <c r="E19" s="152">
        <f>-'AAPL - Balance Sheet FY'!E30</f>
        <v>-7912</v>
      </c>
      <c r="F19" s="152">
        <f>-'AAPL - Balance Sheet FY'!F30</f>
        <v>-7612</v>
      </c>
      <c r="G19" s="152">
        <f>-'AAPL - Balance Sheet FY'!G30</f>
        <v>-6643</v>
      </c>
      <c r="H19" s="152">
        <f>-'AAPL - Balance Sheet FY'!H30</f>
        <v>-5522</v>
      </c>
    </row>
    <row r="20" spans="1:8" x14ac:dyDescent="0.25">
      <c r="A20" s="17" t="s">
        <v>233</v>
      </c>
      <c r="B20" s="152">
        <f>-'AAPL - Balance Sheet FY'!B31</f>
        <v>-64270</v>
      </c>
      <c r="C20" s="152">
        <f>-'AAPL - Balance Sheet FY'!C31</f>
        <v>-50071</v>
      </c>
      <c r="D20" s="152">
        <f>-'AAPL - Balance Sheet FY'!D31</f>
        <v>-48435</v>
      </c>
      <c r="E20" s="152">
        <f>-'AAPL - Balance Sheet FY'!E31</f>
        <v>-52630</v>
      </c>
      <c r="F20" s="152">
        <f>-'AAPL - Balance Sheet FY'!F31</f>
        <v>-45965</v>
      </c>
      <c r="G20" s="152">
        <f>-'AAPL - Balance Sheet FY'!G31</f>
        <v>-41224</v>
      </c>
      <c r="H20" s="152">
        <f>-'AAPL - Balance Sheet FY'!H31</f>
        <v>-37720</v>
      </c>
    </row>
    <row r="21" spans="1:8" x14ac:dyDescent="0.25">
      <c r="A21" s="19" t="s">
        <v>234</v>
      </c>
      <c r="B21" s="153">
        <f t="shared" ref="B21:H21" si="1">SUM(B17:B20)+B127</f>
        <v>-141068</v>
      </c>
      <c r="C21" s="153">
        <f t="shared" si="1"/>
        <v>-152249</v>
      </c>
      <c r="D21" s="153">
        <f t="shared" si="1"/>
        <v>-126351</v>
      </c>
      <c r="E21" s="153">
        <f t="shared" si="1"/>
        <v>-129546</v>
      </c>
      <c r="F21" s="153">
        <f t="shared" si="1"/>
        <v>-106812</v>
      </c>
      <c r="G21" s="153">
        <f t="shared" si="1"/>
        <v>-88703</v>
      </c>
      <c r="H21" s="153">
        <f t="shared" si="1"/>
        <v>-89478</v>
      </c>
    </row>
    <row r="22" spans="1:8" x14ac:dyDescent="0.25">
      <c r="A22" s="19" t="s">
        <v>235</v>
      </c>
      <c r="B22" s="154">
        <f t="shared" ref="B22:H22" si="2">B16+B21</f>
        <v>-39484.78</v>
      </c>
      <c r="C22" s="154">
        <f t="shared" si="2"/>
        <v>-56612.3</v>
      </c>
      <c r="D22" s="154">
        <f t="shared" si="2"/>
        <v>-36674.300000000003</v>
      </c>
      <c r="E22" s="154">
        <f t="shared" si="2"/>
        <v>-34558.44</v>
      </c>
      <c r="F22" s="154">
        <f t="shared" si="2"/>
        <v>-27298.660000000003</v>
      </c>
      <c r="G22" s="154">
        <f t="shared" si="2"/>
        <v>-30442.699999999997</v>
      </c>
      <c r="H22" s="154">
        <f t="shared" si="2"/>
        <v>-22012.51999999999</v>
      </c>
    </row>
    <row r="23" spans="1:8" x14ac:dyDescent="0.25">
      <c r="A23" s="17"/>
      <c r="B23" s="17"/>
      <c r="C23" s="17"/>
      <c r="D23" s="17"/>
      <c r="E23" s="17"/>
      <c r="F23" s="17"/>
      <c r="G23" s="17"/>
      <c r="H23" s="17"/>
    </row>
    <row r="24" spans="1:8" x14ac:dyDescent="0.25">
      <c r="A24" s="17" t="s">
        <v>236</v>
      </c>
      <c r="B24" s="152">
        <f>'AAPL - Balance Sheet FY'!B15</f>
        <v>49834</v>
      </c>
      <c r="C24" s="152">
        <f>'AAPL - Balance Sheet FY'!C15</f>
        <v>45680</v>
      </c>
      <c r="D24" s="152">
        <f>'AAPL - Balance Sheet FY'!D15</f>
        <v>54376</v>
      </c>
      <c r="E24" s="152">
        <f>'AAPL - Balance Sheet FY'!E15</f>
        <v>52534</v>
      </c>
      <c r="F24" s="152">
        <f>'AAPL - Balance Sheet FY'!F15</f>
        <v>49527</v>
      </c>
      <c r="G24" s="152">
        <f>'AAPL - Balance Sheet FY'!G15</f>
        <v>45336</v>
      </c>
      <c r="H24" s="152">
        <f>'AAPL - Balance Sheet FY'!H15</f>
        <v>37378</v>
      </c>
    </row>
    <row r="25" spans="1:8" x14ac:dyDescent="0.25">
      <c r="A25" s="17" t="s">
        <v>66</v>
      </c>
      <c r="B25" s="152">
        <f>'AAPL - Balance Sheet FY'!B16</f>
        <v>0</v>
      </c>
      <c r="C25" s="152">
        <f>'AAPL - Balance Sheet FY'!C16</f>
        <v>0</v>
      </c>
      <c r="D25" s="152">
        <f>'AAPL - Balance Sheet FY'!D16</f>
        <v>0</v>
      </c>
      <c r="E25" s="152">
        <f>'AAPL - Balance Sheet FY'!E16</f>
        <v>0</v>
      </c>
      <c r="F25" s="152">
        <f>'AAPL - Balance Sheet FY'!F16</f>
        <v>0</v>
      </c>
      <c r="G25" s="152">
        <f>'AAPL - Balance Sheet FY'!G16</f>
        <v>0</v>
      </c>
      <c r="H25" s="152">
        <f>'AAPL - Balance Sheet FY'!H16</f>
        <v>0</v>
      </c>
    </row>
    <row r="26" spans="1:8" x14ac:dyDescent="0.25">
      <c r="A26" s="17" t="s">
        <v>237</v>
      </c>
      <c r="B26" s="152">
        <f>'AAPL - Balance Sheet FY'!B17</f>
        <v>0</v>
      </c>
      <c r="C26" s="152">
        <f>'AAPL - Balance Sheet FY'!C17</f>
        <v>0</v>
      </c>
      <c r="D26" s="152">
        <f>'AAPL - Balance Sheet FY'!D17</f>
        <v>0</v>
      </c>
      <c r="E26" s="152">
        <f>'AAPL - Balance Sheet FY'!E17</f>
        <v>0</v>
      </c>
      <c r="F26" s="152">
        <f>'AAPL - Balance Sheet FY'!F17</f>
        <v>0</v>
      </c>
      <c r="G26" s="152">
        <f>'AAPL - Balance Sheet FY'!G17</f>
        <v>0</v>
      </c>
      <c r="H26" s="152">
        <f>'AAPL - Balance Sheet FY'!H17</f>
        <v>0</v>
      </c>
    </row>
    <row r="27" spans="1:8" x14ac:dyDescent="0.25">
      <c r="A27" s="17" t="s">
        <v>238</v>
      </c>
      <c r="B27" s="152">
        <f>'AAPL - Balance Sheet FY'!B21</f>
        <v>62950</v>
      </c>
      <c r="C27" s="152">
        <f>'AAPL - Balance Sheet FY'!C21</f>
        <v>55335</v>
      </c>
      <c r="D27" s="152">
        <f>'AAPL - Balance Sheet FY'!D21</f>
        <v>36245</v>
      </c>
      <c r="E27" s="152">
        <f>'AAPL - Balance Sheet FY'!E21</f>
        <v>28636</v>
      </c>
      <c r="F27" s="152">
        <f>'AAPL - Balance Sheet FY'!F21</f>
        <v>38762</v>
      </c>
      <c r="G27" s="152">
        <f>'AAPL - Balance Sheet FY'!G21</f>
        <v>33952</v>
      </c>
      <c r="H27" s="152">
        <f>'AAPL - Balance Sheet FY'!H21</f>
        <v>32978</v>
      </c>
    </row>
    <row r="28" spans="1:8" x14ac:dyDescent="0.25">
      <c r="A28" s="17" t="s">
        <v>239</v>
      </c>
      <c r="B28" s="152">
        <f>-'AAPL - Balance Sheet FY'!B35</f>
        <v>0</v>
      </c>
      <c r="C28" s="152">
        <f>-'AAPL - Balance Sheet FY'!C35</f>
        <v>0</v>
      </c>
      <c r="D28" s="152">
        <f>-'AAPL - Balance Sheet FY'!D35</f>
        <v>0</v>
      </c>
      <c r="E28" s="152">
        <f>-'AAPL - Balance Sheet FY'!E35</f>
        <v>0</v>
      </c>
      <c r="F28" s="152">
        <f>-'AAPL - Balance Sheet FY'!F35</f>
        <v>0</v>
      </c>
      <c r="G28" s="152">
        <f>-'AAPL - Balance Sheet FY'!G35</f>
        <v>0</v>
      </c>
      <c r="H28" s="152">
        <f>-'AAPL - Balance Sheet FY'!H35</f>
        <v>0</v>
      </c>
    </row>
    <row r="29" spans="1:8" x14ac:dyDescent="0.25">
      <c r="A29" s="17" t="s">
        <v>240</v>
      </c>
      <c r="B29" s="152">
        <f>-'AAPL - Balance Sheet FY'!B36</f>
        <v>0</v>
      </c>
      <c r="C29" s="152">
        <f>-'AAPL - Balance Sheet FY'!C36</f>
        <v>0</v>
      </c>
      <c r="D29" s="152">
        <f>-'AAPL - Balance Sheet FY'!D36</f>
        <v>0</v>
      </c>
      <c r="E29" s="152">
        <f>-'AAPL - Balance Sheet FY'!E36</f>
        <v>0</v>
      </c>
      <c r="F29" s="152">
        <f>-'AAPL - Balance Sheet FY'!F36</f>
        <v>0</v>
      </c>
      <c r="G29" s="152">
        <f>-'AAPL - Balance Sheet FY'!G36</f>
        <v>0</v>
      </c>
      <c r="H29" s="152">
        <f>-'AAPL - Balance Sheet FY'!H36</f>
        <v>0</v>
      </c>
    </row>
    <row r="30" spans="1:8" x14ac:dyDescent="0.25">
      <c r="A30" s="17" t="s">
        <v>241</v>
      </c>
      <c r="B30" s="152">
        <f>-'AAPL - Balance Sheet FY'!B37+B128</f>
        <v>-18343</v>
      </c>
      <c r="C30" s="152">
        <f>-'AAPL - Balance Sheet FY'!C37+C128</f>
        <v>-24292</v>
      </c>
      <c r="D30" s="152">
        <f>-'AAPL - Balance Sheet FY'!D37+D128</f>
        <v>-27314</v>
      </c>
      <c r="E30" s="152">
        <f>-'AAPL - Balance Sheet FY'!E37+E128</f>
        <v>-27646</v>
      </c>
      <c r="F30" s="152">
        <f>-'AAPL - Balance Sheet FY'!F37+F128</f>
        <v>-32775</v>
      </c>
      <c r="G30" s="152">
        <f>-'AAPL - Balance Sheet FY'!G37+G128</f>
        <v>-37726</v>
      </c>
      <c r="H30" s="152">
        <f>-'AAPL - Balance Sheet FY'!H37+H128</f>
        <v>-50503</v>
      </c>
    </row>
    <row r="31" spans="1:8" x14ac:dyDescent="0.25">
      <c r="A31" s="19" t="s">
        <v>242</v>
      </c>
      <c r="B31" s="154">
        <f t="shared" ref="B31:H31" si="3">B22+B24+B26+B27+B28+B29+B30</f>
        <v>54956.22</v>
      </c>
      <c r="C31" s="154">
        <f t="shared" si="3"/>
        <v>20110.699999999997</v>
      </c>
      <c r="D31" s="154">
        <f t="shared" si="3"/>
        <v>26632.699999999997</v>
      </c>
      <c r="E31" s="154">
        <f t="shared" si="3"/>
        <v>18965.559999999998</v>
      </c>
      <c r="F31" s="154">
        <f t="shared" si="3"/>
        <v>28215.339999999997</v>
      </c>
      <c r="G31" s="154">
        <f t="shared" si="3"/>
        <v>11119.300000000003</v>
      </c>
      <c r="H31" s="154">
        <f t="shared" si="3"/>
        <v>-2159.5199999999895</v>
      </c>
    </row>
    <row r="32" spans="1:8" x14ac:dyDescent="0.25">
      <c r="A32" s="19" t="s">
        <v>243</v>
      </c>
      <c r="B32" s="154">
        <f t="shared" ref="B32:H32" si="4">B31+B25</f>
        <v>54956.22</v>
      </c>
      <c r="C32" s="154">
        <f t="shared" si="4"/>
        <v>20110.699999999997</v>
      </c>
      <c r="D32" s="154">
        <f t="shared" si="4"/>
        <v>26632.699999999997</v>
      </c>
      <c r="E32" s="154">
        <f t="shared" si="4"/>
        <v>18965.559999999998</v>
      </c>
      <c r="F32" s="154">
        <f t="shared" si="4"/>
        <v>28215.339999999997</v>
      </c>
      <c r="G32" s="154">
        <f t="shared" si="4"/>
        <v>11119.300000000003</v>
      </c>
      <c r="H32" s="154">
        <f t="shared" si="4"/>
        <v>-2159.5199999999895</v>
      </c>
    </row>
    <row r="33" spans="1:8" x14ac:dyDescent="0.25">
      <c r="A33" s="17"/>
      <c r="B33" s="17"/>
      <c r="C33" s="17"/>
      <c r="D33" s="17"/>
      <c r="E33" s="17"/>
      <c r="F33" s="17"/>
      <c r="G33" s="17"/>
      <c r="H33" s="17"/>
    </row>
    <row r="34" spans="1:8" x14ac:dyDescent="0.25">
      <c r="A34" s="20" t="s">
        <v>244</v>
      </c>
      <c r="B34" s="20"/>
      <c r="C34" s="20"/>
      <c r="D34" s="20"/>
      <c r="E34" s="20"/>
      <c r="F34" s="20"/>
      <c r="G34" s="20"/>
      <c r="H34" s="20"/>
    </row>
    <row r="35" spans="1:8" x14ac:dyDescent="0.25">
      <c r="A35" s="17" t="s">
        <v>245</v>
      </c>
      <c r="B35" s="152">
        <f>'AAPL - Balance Sheet FY'!B7-B12</f>
        <v>27610.78</v>
      </c>
      <c r="C35" s="152">
        <f>'AAPL - Balance Sheet FY'!C7-C12</f>
        <v>22122.3</v>
      </c>
      <c r="D35" s="152">
        <f>'AAPL - Balance Sheet FY'!D7-D12</f>
        <v>22299.3</v>
      </c>
      <c r="E35" s="152">
        <f>'AAPL - Balance Sheet FY'!E7-E12</f>
        <v>15759.439999999999</v>
      </c>
      <c r="F35" s="152">
        <f>'AAPL - Balance Sheet FY'!F7-F12</f>
        <v>27623.66</v>
      </c>
      <c r="G35" s="152">
        <f>'AAPL - Balance Sheet FY'!G7-G12</f>
        <v>32525.7</v>
      </c>
      <c r="H35" s="152">
        <f>'AAPL - Balance Sheet FY'!H7-H12</f>
        <v>43640.52</v>
      </c>
    </row>
    <row r="36" spans="1:8" x14ac:dyDescent="0.25">
      <c r="A36" s="17" t="s">
        <v>246</v>
      </c>
      <c r="B36" s="152">
        <f>'AAPL - Balance Sheet FY'!B8</f>
        <v>18763</v>
      </c>
      <c r="C36" s="152">
        <f>'AAPL - Balance Sheet FY'!C8</f>
        <v>35228</v>
      </c>
      <c r="D36" s="152">
        <f>'AAPL - Balance Sheet FY'!D8</f>
        <v>31590</v>
      </c>
      <c r="E36" s="152">
        <f>'AAPL - Balance Sheet FY'!E8</f>
        <v>24658</v>
      </c>
      <c r="F36" s="152">
        <f>'AAPL - Balance Sheet FY'!F8</f>
        <v>27699</v>
      </c>
      <c r="G36" s="152">
        <f>'AAPL - Balance Sheet FY'!G8</f>
        <v>52927</v>
      </c>
      <c r="H36" s="152">
        <f>'AAPL - Balance Sheet FY'!H8</f>
        <v>51713</v>
      </c>
    </row>
    <row r="37" spans="1:8" x14ac:dyDescent="0.25">
      <c r="A37" s="17" t="s">
        <v>247</v>
      </c>
      <c r="B37" s="152">
        <f>'AAPL - Balance Sheet FY'!B19</f>
        <v>77723</v>
      </c>
      <c r="C37" s="152">
        <f>'AAPL - Balance Sheet FY'!C19</f>
        <v>91479</v>
      </c>
      <c r="D37" s="152">
        <f>'AAPL - Balance Sheet FY'!D19</f>
        <v>100544</v>
      </c>
      <c r="E37" s="152">
        <f>'AAPL - Balance Sheet FY'!E19</f>
        <v>120805</v>
      </c>
      <c r="F37" s="152">
        <f>'AAPL - Balance Sheet FY'!F19</f>
        <v>127877</v>
      </c>
      <c r="G37" s="152">
        <f>'AAPL - Balance Sheet FY'!G19</f>
        <v>100887</v>
      </c>
      <c r="H37" s="152">
        <f>'AAPL - Balance Sheet FY'!H19</f>
        <v>105341</v>
      </c>
    </row>
    <row r="38" spans="1:8" x14ac:dyDescent="0.25">
      <c r="A38" s="17" t="s">
        <v>248</v>
      </c>
      <c r="B38" s="152">
        <f>'AAPL - Balance Sheet FY'!B20</f>
        <v>20777</v>
      </c>
      <c r="C38" s="152">
        <f>'AAPL - Balance Sheet FY'!C20</f>
        <v>19499</v>
      </c>
      <c r="D38" s="152">
        <f>'AAPL - Balance Sheet FY'!D20</f>
        <v>17852</v>
      </c>
      <c r="E38" s="152">
        <f>'AAPL - Balance Sheet FY'!E20</f>
        <v>15375</v>
      </c>
      <c r="F38" s="152">
        <f>'AAPL - Balance Sheet FY'!F20</f>
        <v>0</v>
      </c>
      <c r="G38" s="152">
        <f>'AAPL - Balance Sheet FY'!G20</f>
        <v>0</v>
      </c>
      <c r="H38" s="152">
        <f>'AAPL - Balance Sheet FY'!H20</f>
        <v>0</v>
      </c>
    </row>
    <row r="39" spans="1:8" x14ac:dyDescent="0.25">
      <c r="A39" s="17" t="s">
        <v>249</v>
      </c>
      <c r="B39" s="152">
        <f>'AAPL - Balance Sheet FY'!B24</f>
        <v>0</v>
      </c>
      <c r="C39" s="152">
        <f>'AAPL - Balance Sheet FY'!C24</f>
        <v>0</v>
      </c>
      <c r="D39" s="152">
        <f>'AAPL - Balance Sheet FY'!D24</f>
        <v>0</v>
      </c>
      <c r="E39" s="152">
        <f>'AAPL - Balance Sheet FY'!E24</f>
        <v>0</v>
      </c>
      <c r="F39" s="152">
        <f>'AAPL - Balance Sheet FY'!F24</f>
        <v>0</v>
      </c>
      <c r="G39" s="152">
        <f>'AAPL - Balance Sheet FY'!G24</f>
        <v>0</v>
      </c>
      <c r="H39" s="152">
        <f>'AAPL - Balance Sheet FY'!H24</f>
        <v>0</v>
      </c>
    </row>
    <row r="40" spans="1:8" x14ac:dyDescent="0.25">
      <c r="A40" s="19" t="s">
        <v>250</v>
      </c>
      <c r="B40" s="154">
        <f t="shared" ref="B40:H40" si="5">SUM(B35:B39)</f>
        <v>144873.78</v>
      </c>
      <c r="C40" s="154">
        <f t="shared" si="5"/>
        <v>168328.3</v>
      </c>
      <c r="D40" s="154">
        <f t="shared" si="5"/>
        <v>172285.3</v>
      </c>
      <c r="E40" s="154">
        <f t="shared" si="5"/>
        <v>176597.44</v>
      </c>
      <c r="F40" s="154">
        <f t="shared" si="5"/>
        <v>183199.66</v>
      </c>
      <c r="G40" s="154">
        <f t="shared" si="5"/>
        <v>186339.7</v>
      </c>
      <c r="H40" s="154">
        <f t="shared" si="5"/>
        <v>200694.52</v>
      </c>
    </row>
    <row r="41" spans="1:8" x14ac:dyDescent="0.25">
      <c r="A41" s="17"/>
      <c r="B41" s="17"/>
      <c r="C41" s="17"/>
      <c r="D41" s="17"/>
      <c r="E41" s="17"/>
      <c r="F41" s="17"/>
      <c r="G41" s="17"/>
      <c r="H41" s="17"/>
    </row>
    <row r="42" spans="1:8" x14ac:dyDescent="0.25">
      <c r="A42" s="20" t="s">
        <v>251</v>
      </c>
      <c r="B42" s="155">
        <f t="shared" ref="B42:H42" si="6">B32+B40</f>
        <v>199830</v>
      </c>
      <c r="C42" s="155">
        <f t="shared" si="6"/>
        <v>188439</v>
      </c>
      <c r="D42" s="155">
        <f t="shared" si="6"/>
        <v>198918</v>
      </c>
      <c r="E42" s="155">
        <f t="shared" si="6"/>
        <v>195563</v>
      </c>
      <c r="F42" s="155">
        <f t="shared" si="6"/>
        <v>211415</v>
      </c>
      <c r="G42" s="155">
        <f t="shared" si="6"/>
        <v>197459</v>
      </c>
      <c r="H42" s="155">
        <f t="shared" si="6"/>
        <v>198535</v>
      </c>
    </row>
    <row r="43" spans="1:8" x14ac:dyDescent="0.25">
      <c r="A43" s="17"/>
      <c r="B43" s="17"/>
      <c r="C43" s="17"/>
      <c r="D43" s="17"/>
      <c r="E43" s="17"/>
      <c r="F43" s="17"/>
      <c r="G43" s="17"/>
      <c r="H43" s="17"/>
    </row>
    <row r="44" spans="1:8" x14ac:dyDescent="0.25">
      <c r="A44" s="20" t="s">
        <v>252</v>
      </c>
      <c r="B44" s="20"/>
      <c r="C44" s="20"/>
      <c r="D44" s="20"/>
      <c r="E44" s="20"/>
      <c r="F44" s="20"/>
      <c r="G44" s="20"/>
      <c r="H44" s="20"/>
    </row>
    <row r="45" spans="1:8" x14ac:dyDescent="0.25">
      <c r="A45" s="17" t="s">
        <v>253</v>
      </c>
      <c r="B45" s="152">
        <f>'AAPL - Balance Sheet FY'!B28</f>
        <v>22446</v>
      </c>
      <c r="C45" s="152">
        <f>'AAPL - Balance Sheet FY'!C28</f>
        <v>22511</v>
      </c>
      <c r="D45" s="152">
        <f>'AAPL - Balance Sheet FY'!D28</f>
        <v>17382</v>
      </c>
      <c r="E45" s="152">
        <f>'AAPL - Balance Sheet FY'!E28</f>
        <v>22773</v>
      </c>
      <c r="F45" s="152">
        <f>'AAPL - Balance Sheet FY'!F28</f>
        <v>17141</v>
      </c>
      <c r="G45" s="152">
        <f>'AAPL - Balance Sheet FY'!G28</f>
        <v>15229</v>
      </c>
      <c r="H45" s="152">
        <f>'AAPL - Balance Sheet FY'!H28</f>
        <v>16240</v>
      </c>
    </row>
    <row r="46" spans="1:8" x14ac:dyDescent="0.25">
      <c r="A46" s="17" t="s">
        <v>254</v>
      </c>
      <c r="B46" s="152">
        <f>'AAPL - Balance Sheet FY'!B34</f>
        <v>89931</v>
      </c>
      <c r="C46" s="152">
        <f>'AAPL - Balance Sheet FY'!C34</f>
        <v>96548</v>
      </c>
      <c r="D46" s="152">
        <f>'AAPL - Balance Sheet FY'!D34</f>
        <v>106548</v>
      </c>
      <c r="E46" s="152">
        <f>'AAPL - Balance Sheet FY'!E34</f>
        <v>109707</v>
      </c>
      <c r="F46" s="152">
        <f>'AAPL - Balance Sheet FY'!F34</f>
        <v>119381</v>
      </c>
      <c r="G46" s="152">
        <f>'AAPL - Balance Sheet FY'!G34</f>
        <v>107049</v>
      </c>
      <c r="H46" s="152">
        <f>'AAPL - Balance Sheet FY'!H34</f>
        <v>91807</v>
      </c>
    </row>
    <row r="47" spans="1:8" x14ac:dyDescent="0.25">
      <c r="A47" s="19" t="s">
        <v>255</v>
      </c>
      <c r="B47" s="153">
        <f t="shared" ref="B47:H47" si="7">B45+B46</f>
        <v>112377</v>
      </c>
      <c r="C47" s="153">
        <f t="shared" si="7"/>
        <v>119059</v>
      </c>
      <c r="D47" s="153">
        <f t="shared" si="7"/>
        <v>123930</v>
      </c>
      <c r="E47" s="153">
        <f t="shared" si="7"/>
        <v>132480</v>
      </c>
      <c r="F47" s="153">
        <f t="shared" si="7"/>
        <v>136522</v>
      </c>
      <c r="G47" s="153">
        <f t="shared" si="7"/>
        <v>122278</v>
      </c>
      <c r="H47" s="153">
        <f t="shared" si="7"/>
        <v>108047</v>
      </c>
    </row>
    <row r="48" spans="1:8" x14ac:dyDescent="0.25">
      <c r="A48" s="17" t="s">
        <v>256</v>
      </c>
      <c r="B48" s="152">
        <f>'AAPL - Balance Sheet FY'!B47</f>
        <v>73733</v>
      </c>
      <c r="C48" s="152">
        <f>'AAPL - Balance Sheet FY'!C47</f>
        <v>56950</v>
      </c>
      <c r="D48" s="152">
        <f>'AAPL - Balance Sheet FY'!D47</f>
        <v>62146</v>
      </c>
      <c r="E48" s="152">
        <f>'AAPL - Balance Sheet FY'!E47</f>
        <v>50672</v>
      </c>
      <c r="F48" s="152">
        <f>'AAPL - Balance Sheet FY'!F47</f>
        <v>63090</v>
      </c>
      <c r="G48" s="152">
        <f>'AAPL - Balance Sheet FY'!G47</f>
        <v>65339</v>
      </c>
      <c r="H48" s="152">
        <f>'AAPL - Balance Sheet FY'!H47</f>
        <v>90488</v>
      </c>
    </row>
    <row r="49" spans="1:8" x14ac:dyDescent="0.25">
      <c r="A49" s="17" t="s">
        <v>283</v>
      </c>
      <c r="B49" s="152">
        <f>'AAPL - Balance Sheet FY'!B40+('AAPL - Balance Sheet FY'!B49-'AAPL - Balance Sheet FY'!B41-'AAPL - Balance Sheet FY'!B47)</f>
        <v>0</v>
      </c>
      <c r="C49" s="152">
        <f>'AAPL - Balance Sheet FY'!C40+('AAPL - Balance Sheet FY'!C49-'AAPL - Balance Sheet FY'!C41-'AAPL - Balance Sheet FY'!C47)</f>
        <v>0</v>
      </c>
      <c r="D49" s="152">
        <f>'AAPL - Balance Sheet FY'!D40+('AAPL - Balance Sheet FY'!D49-'AAPL - Balance Sheet FY'!D41-'AAPL - Balance Sheet FY'!D47)</f>
        <v>0</v>
      </c>
      <c r="E49" s="152">
        <f>'AAPL - Balance Sheet FY'!E40+('AAPL - Balance Sheet FY'!E49-'AAPL - Balance Sheet FY'!E41-'AAPL - Balance Sheet FY'!E47)</f>
        <v>0</v>
      </c>
      <c r="F49" s="152">
        <f>'AAPL - Balance Sheet FY'!F40+('AAPL - Balance Sheet FY'!F49-'AAPL - Balance Sheet FY'!F41-'AAPL - Balance Sheet FY'!F47)</f>
        <v>0</v>
      </c>
      <c r="G49" s="152">
        <f>'AAPL - Balance Sheet FY'!G40+('AAPL - Balance Sheet FY'!G49-'AAPL - Balance Sheet FY'!G41-'AAPL - Balance Sheet FY'!G47)</f>
        <v>0</v>
      </c>
      <c r="H49" s="152">
        <f>'AAPL - Balance Sheet FY'!H40+('AAPL - Balance Sheet FY'!H49-'AAPL - Balance Sheet FY'!H41-'AAPL - Balance Sheet FY'!H47)</f>
        <v>0</v>
      </c>
    </row>
    <row r="50" spans="1:8" x14ac:dyDescent="0.25">
      <c r="A50" s="19" t="s">
        <v>257</v>
      </c>
      <c r="B50" s="154">
        <f t="shared" ref="B50:H50" si="8">B47+B48+B49+B129</f>
        <v>199830</v>
      </c>
      <c r="C50" s="154">
        <f t="shared" si="8"/>
        <v>188439</v>
      </c>
      <c r="D50" s="154">
        <f t="shared" si="8"/>
        <v>198918</v>
      </c>
      <c r="E50" s="154">
        <f t="shared" si="8"/>
        <v>195563</v>
      </c>
      <c r="F50" s="154">
        <f t="shared" si="8"/>
        <v>211415</v>
      </c>
      <c r="G50" s="154">
        <f t="shared" si="8"/>
        <v>197459</v>
      </c>
      <c r="H50" s="154">
        <f t="shared" si="8"/>
        <v>198535</v>
      </c>
    </row>
    <row r="51" spans="1:8" x14ac:dyDescent="0.25">
      <c r="A51" s="22" t="s">
        <v>258</v>
      </c>
      <c r="B51" s="156">
        <f t="shared" ref="B51:H51" si="9">B42-B50</f>
        <v>0</v>
      </c>
      <c r="C51" s="156">
        <f t="shared" si="9"/>
        <v>0</v>
      </c>
      <c r="D51" s="156">
        <f t="shared" si="9"/>
        <v>0</v>
      </c>
      <c r="E51" s="156">
        <f t="shared" si="9"/>
        <v>0</v>
      </c>
      <c r="F51" s="156">
        <f t="shared" si="9"/>
        <v>0</v>
      </c>
      <c r="G51" s="156">
        <f t="shared" si="9"/>
        <v>0</v>
      </c>
      <c r="H51" s="156">
        <f t="shared" si="9"/>
        <v>0</v>
      </c>
    </row>
    <row r="52" spans="1:8" x14ac:dyDescent="0.25">
      <c r="A52" s="17"/>
      <c r="B52" s="17"/>
      <c r="C52" s="17"/>
      <c r="D52" s="17"/>
      <c r="E52" s="17"/>
      <c r="F52" s="17"/>
      <c r="G52" s="17"/>
      <c r="H52" s="17"/>
    </row>
    <row r="53" spans="1:8" x14ac:dyDescent="0.25">
      <c r="A53" s="20" t="s">
        <v>259</v>
      </c>
      <c r="B53" s="20"/>
      <c r="C53" s="20"/>
      <c r="D53" s="20"/>
      <c r="E53" s="20"/>
      <c r="F53" s="20"/>
      <c r="G53" s="20"/>
      <c r="H53" s="20"/>
    </row>
    <row r="54" spans="1:8" x14ac:dyDescent="0.25">
      <c r="A54" s="17" t="s">
        <v>260</v>
      </c>
      <c r="B54" s="152">
        <f>'AAPL - Income Statement FY'!B25</f>
        <v>133050</v>
      </c>
      <c r="C54" s="152">
        <f>'AAPL - Income Statement FY'!C25</f>
        <v>123216</v>
      </c>
      <c r="D54" s="152">
        <f>'AAPL - Income Statement FY'!D25</f>
        <v>114301</v>
      </c>
      <c r="E54" s="152">
        <f>'AAPL - Income Statement FY'!E25</f>
        <v>119437</v>
      </c>
      <c r="F54" s="152">
        <f>'AAPL - Income Statement FY'!F25</f>
        <v>108949</v>
      </c>
      <c r="G54" s="152">
        <f>'AAPL - Income Statement FY'!G25</f>
        <v>66288</v>
      </c>
      <c r="H54" s="152">
        <f>'AAPL - Income Statement FY'!H25</f>
        <v>63930</v>
      </c>
    </row>
    <row r="55" spans="1:8" x14ac:dyDescent="0.25">
      <c r="A55" s="17" t="s">
        <v>261</v>
      </c>
      <c r="B55" s="156">
        <f t="shared" ref="B55:H55" si="10">-B54*$B$9</f>
        <v>-27940.5</v>
      </c>
      <c r="C55" s="156">
        <f t="shared" si="10"/>
        <v>-25875.360000000001</v>
      </c>
      <c r="D55" s="156">
        <f t="shared" si="10"/>
        <v>-24003.21</v>
      </c>
      <c r="E55" s="156">
        <f t="shared" si="10"/>
        <v>-25081.77</v>
      </c>
      <c r="F55" s="156">
        <f t="shared" si="10"/>
        <v>-22879.29</v>
      </c>
      <c r="G55" s="156">
        <f t="shared" si="10"/>
        <v>-13920.48</v>
      </c>
      <c r="H55" s="156">
        <f t="shared" si="10"/>
        <v>-13425.3</v>
      </c>
    </row>
    <row r="56" spans="1:8" x14ac:dyDescent="0.25">
      <c r="A56" s="19" t="s">
        <v>259</v>
      </c>
      <c r="B56" s="154">
        <f t="shared" ref="B56:H56" si="11">B54+B55</f>
        <v>105109.5</v>
      </c>
      <c r="C56" s="154">
        <f t="shared" si="11"/>
        <v>97340.64</v>
      </c>
      <c r="D56" s="154">
        <f t="shared" si="11"/>
        <v>90297.790000000008</v>
      </c>
      <c r="E56" s="154">
        <f t="shared" si="11"/>
        <v>94355.23</v>
      </c>
      <c r="F56" s="154">
        <f t="shared" si="11"/>
        <v>86069.709999999992</v>
      </c>
      <c r="G56" s="154">
        <f t="shared" si="11"/>
        <v>52367.520000000004</v>
      </c>
      <c r="H56" s="154">
        <f t="shared" si="11"/>
        <v>50504.7</v>
      </c>
    </row>
    <row r="57" spans="1:8" x14ac:dyDescent="0.25">
      <c r="A57" s="17"/>
      <c r="B57" s="17"/>
      <c r="C57" s="17"/>
      <c r="D57" s="17"/>
      <c r="E57" s="17"/>
      <c r="F57" s="17"/>
      <c r="G57" s="17"/>
      <c r="H57" s="17"/>
    </row>
    <row r="58" spans="1:8" x14ac:dyDescent="0.25">
      <c r="A58" s="17" t="s">
        <v>259</v>
      </c>
      <c r="B58" s="156">
        <f t="shared" ref="B58:H58" si="12">B56</f>
        <v>105109.5</v>
      </c>
      <c r="C58" s="156">
        <f t="shared" si="12"/>
        <v>97340.64</v>
      </c>
      <c r="D58" s="156">
        <f t="shared" si="12"/>
        <v>90297.790000000008</v>
      </c>
      <c r="E58" s="156">
        <f t="shared" si="12"/>
        <v>94355.23</v>
      </c>
      <c r="F58" s="156">
        <f t="shared" si="12"/>
        <v>86069.709999999992</v>
      </c>
      <c r="G58" s="156">
        <f t="shared" si="12"/>
        <v>52367.520000000004</v>
      </c>
      <c r="H58" s="156">
        <f t="shared" si="12"/>
        <v>50504.7</v>
      </c>
    </row>
    <row r="59" spans="1:8" x14ac:dyDescent="0.25">
      <c r="A59" s="17" t="s">
        <v>262</v>
      </c>
      <c r="B59" s="152">
        <f>'AAPL - Income Statement FY'!B28</f>
        <v>-321</v>
      </c>
      <c r="C59" s="152">
        <f>'AAPL - Income Statement FY'!C28</f>
        <v>269</v>
      </c>
      <c r="D59" s="152">
        <f>'AAPL - Income Statement FY'!D28</f>
        <v>-565</v>
      </c>
      <c r="E59" s="152">
        <f>'AAPL - Income Statement FY'!E28</f>
        <v>-334</v>
      </c>
      <c r="F59" s="152">
        <f>'AAPL - Income Statement FY'!F28</f>
        <v>258</v>
      </c>
      <c r="G59" s="152">
        <f>'AAPL - Income Statement FY'!G28</f>
        <v>803</v>
      </c>
      <c r="H59" s="152">
        <f>'AAPL - Income Statement FY'!H28</f>
        <v>1807</v>
      </c>
    </row>
    <row r="60" spans="1:8" x14ac:dyDescent="0.25">
      <c r="A60" s="17" t="s">
        <v>263</v>
      </c>
      <c r="B60" s="156">
        <f t="shared" ref="B60:H60" si="13">-B55</f>
        <v>27940.5</v>
      </c>
      <c r="C60" s="156">
        <f t="shared" si="13"/>
        <v>25875.360000000001</v>
      </c>
      <c r="D60" s="156">
        <f t="shared" si="13"/>
        <v>24003.21</v>
      </c>
      <c r="E60" s="156">
        <f t="shared" si="13"/>
        <v>25081.77</v>
      </c>
      <c r="F60" s="156">
        <f t="shared" si="13"/>
        <v>22879.29</v>
      </c>
      <c r="G60" s="156">
        <f t="shared" si="13"/>
        <v>13920.48</v>
      </c>
      <c r="H60" s="156">
        <f t="shared" si="13"/>
        <v>13425.3</v>
      </c>
    </row>
    <row r="61" spans="1:8" x14ac:dyDescent="0.25">
      <c r="A61" s="17" t="s">
        <v>264</v>
      </c>
      <c r="B61" s="152">
        <f>-'AAPL - Income Statement FY'!B31</f>
        <v>-20719</v>
      </c>
      <c r="C61" s="152">
        <f>-'AAPL - Income Statement FY'!C31</f>
        <v>-29749</v>
      </c>
      <c r="D61" s="152">
        <f>-'AAPL - Income Statement FY'!D31</f>
        <v>-16741</v>
      </c>
      <c r="E61" s="152">
        <f>-'AAPL - Income Statement FY'!E31</f>
        <v>-19300</v>
      </c>
      <c r="F61" s="152">
        <f>-'AAPL - Income Statement FY'!F31</f>
        <v>-14527</v>
      </c>
      <c r="G61" s="152">
        <f>-'AAPL - Income Statement FY'!G31</f>
        <v>-9680</v>
      </c>
      <c r="H61" s="152">
        <f>-'AAPL - Income Statement FY'!H31</f>
        <v>-10481</v>
      </c>
    </row>
    <row r="62" spans="1:8" x14ac:dyDescent="0.25">
      <c r="A62" s="19" t="s">
        <v>284</v>
      </c>
      <c r="B62" s="154">
        <f t="shared" ref="B62:H62" si="14">SUM(B58:B61)</f>
        <v>112010</v>
      </c>
      <c r="C62" s="154">
        <f t="shared" si="14"/>
        <v>93736</v>
      </c>
      <c r="D62" s="154">
        <f t="shared" si="14"/>
        <v>96995</v>
      </c>
      <c r="E62" s="154">
        <f t="shared" si="14"/>
        <v>99803</v>
      </c>
      <c r="F62" s="154">
        <f t="shared" si="14"/>
        <v>94680</v>
      </c>
      <c r="G62" s="154">
        <f t="shared" si="14"/>
        <v>57411</v>
      </c>
      <c r="H62" s="154">
        <f t="shared" si="14"/>
        <v>55256</v>
      </c>
    </row>
    <row r="63" spans="1:8" x14ac:dyDescent="0.25">
      <c r="A63" s="22" t="s">
        <v>285</v>
      </c>
      <c r="B63" s="157">
        <f>B62-'AAPL - Income Statement FY'!B32</f>
        <v>0</v>
      </c>
      <c r="C63" s="157">
        <f>C62-'AAPL - Income Statement FY'!C32</f>
        <v>0</v>
      </c>
      <c r="D63" s="157">
        <f>D62-'AAPL - Income Statement FY'!D32</f>
        <v>0</v>
      </c>
      <c r="E63" s="157">
        <f>E62-'AAPL - Income Statement FY'!E32</f>
        <v>0</v>
      </c>
      <c r="F63" s="157">
        <f>F62-'AAPL - Income Statement FY'!F32</f>
        <v>0</v>
      </c>
      <c r="G63" s="157">
        <f>G62-'AAPL - Income Statement FY'!G32</f>
        <v>0</v>
      </c>
      <c r="H63" s="157">
        <f>H62-'AAPL - Income Statement FY'!H32</f>
        <v>0</v>
      </c>
    </row>
    <row r="64" spans="1:8" x14ac:dyDescent="0.25">
      <c r="A64" s="17"/>
      <c r="B64" s="17"/>
      <c r="C64" s="17"/>
      <c r="D64" s="17"/>
      <c r="E64" s="17"/>
      <c r="F64" s="17"/>
      <c r="G64" s="17"/>
      <c r="H64" s="17"/>
    </row>
    <row r="65" spans="1:8" x14ac:dyDescent="0.25">
      <c r="A65" s="20" t="s">
        <v>265</v>
      </c>
      <c r="B65" s="20"/>
      <c r="C65" s="20"/>
      <c r="D65" s="20"/>
      <c r="E65" s="20"/>
      <c r="F65" s="20"/>
      <c r="G65" s="20"/>
      <c r="H65" s="20"/>
    </row>
    <row r="66" spans="1:8" x14ac:dyDescent="0.25">
      <c r="A66" s="17" t="s">
        <v>259</v>
      </c>
      <c r="B66" s="156">
        <f t="shared" ref="B66:H66" si="15">B56</f>
        <v>105109.5</v>
      </c>
      <c r="C66" s="156">
        <f t="shared" si="15"/>
        <v>97340.64</v>
      </c>
      <c r="D66" s="156">
        <f t="shared" si="15"/>
        <v>90297.790000000008</v>
      </c>
      <c r="E66" s="156">
        <f t="shared" si="15"/>
        <v>94355.23</v>
      </c>
      <c r="F66" s="156">
        <f t="shared" si="15"/>
        <v>86069.709999999992</v>
      </c>
      <c r="G66" s="156">
        <f t="shared" si="15"/>
        <v>52367.520000000004</v>
      </c>
      <c r="H66" s="156">
        <f t="shared" si="15"/>
        <v>50504.7</v>
      </c>
    </row>
    <row r="67" spans="1:8" x14ac:dyDescent="0.25">
      <c r="A67" s="17" t="s">
        <v>266</v>
      </c>
      <c r="B67" s="152">
        <f>'AAPL - Cash Flow FY'!B8</f>
        <v>11698</v>
      </c>
      <c r="C67" s="152">
        <f>'AAPL - Cash Flow FY'!C8</f>
        <v>11445</v>
      </c>
      <c r="D67" s="152">
        <f>'AAPL - Cash Flow FY'!D8</f>
        <v>11519</v>
      </c>
      <c r="E67" s="152">
        <f>'AAPL - Cash Flow FY'!E8</f>
        <v>11104</v>
      </c>
      <c r="F67" s="152">
        <f>'AAPL - Cash Flow FY'!F8</f>
        <v>11284</v>
      </c>
      <c r="G67" s="152">
        <f>'AAPL - Cash Flow FY'!G8</f>
        <v>11056</v>
      </c>
      <c r="H67" s="152">
        <f>'AAPL - Cash Flow FY'!H8</f>
        <v>12547</v>
      </c>
    </row>
    <row r="68" spans="1:8" x14ac:dyDescent="0.25">
      <c r="A68" s="19" t="s">
        <v>267</v>
      </c>
      <c r="B68" s="153">
        <f t="shared" ref="B68:H68" si="16">B66+B67</f>
        <v>116807.5</v>
      </c>
      <c r="C68" s="153">
        <f t="shared" si="16"/>
        <v>108785.64</v>
      </c>
      <c r="D68" s="153">
        <f t="shared" si="16"/>
        <v>101816.79000000001</v>
      </c>
      <c r="E68" s="153">
        <f t="shared" si="16"/>
        <v>105459.23</v>
      </c>
      <c r="F68" s="153">
        <f t="shared" si="16"/>
        <v>97353.709999999992</v>
      </c>
      <c r="G68" s="153">
        <f t="shared" si="16"/>
        <v>63423.520000000004</v>
      </c>
      <c r="H68" s="153">
        <f t="shared" si="16"/>
        <v>63051.7</v>
      </c>
    </row>
    <row r="69" spans="1:8" x14ac:dyDescent="0.25">
      <c r="A69" s="17" t="s">
        <v>268</v>
      </c>
      <c r="B69" s="156">
        <f t="shared" ref="B69:G69" si="17">-(B22-C22)</f>
        <v>-17127.520000000004</v>
      </c>
      <c r="C69" s="156">
        <f t="shared" si="17"/>
        <v>19938</v>
      </c>
      <c r="D69" s="156">
        <f t="shared" si="17"/>
        <v>2115.8600000000006</v>
      </c>
      <c r="E69" s="156">
        <f t="shared" si="17"/>
        <v>7259.7799999999988</v>
      </c>
      <c r="F69" s="156">
        <f t="shared" si="17"/>
        <v>-3144.0399999999936</v>
      </c>
      <c r="G69" s="156">
        <f t="shared" si="17"/>
        <v>8430.1800000000076</v>
      </c>
      <c r="H69" s="18"/>
    </row>
    <row r="70" spans="1:8" x14ac:dyDescent="0.25">
      <c r="A70" s="17" t="s">
        <v>269</v>
      </c>
      <c r="B70" s="152">
        <f>'AAPL - Cash Flow FY'!B19</f>
        <v>-12715</v>
      </c>
      <c r="C70" s="152">
        <f>'AAPL - Cash Flow FY'!C19</f>
        <v>-9447</v>
      </c>
      <c r="D70" s="152">
        <f>'AAPL - Cash Flow FY'!D19</f>
        <v>-10959</v>
      </c>
      <c r="E70" s="152">
        <f>'AAPL - Cash Flow FY'!E19</f>
        <v>-10708</v>
      </c>
      <c r="F70" s="152">
        <f>'AAPL - Cash Flow FY'!F19</f>
        <v>-11085</v>
      </c>
      <c r="G70" s="152">
        <f>'AAPL - Cash Flow FY'!G19</f>
        <v>-7309</v>
      </c>
      <c r="H70" s="152">
        <f>'AAPL - Cash Flow FY'!H19</f>
        <v>-10495</v>
      </c>
    </row>
    <row r="71" spans="1:8" x14ac:dyDescent="0.25">
      <c r="A71" s="19" t="s">
        <v>270</v>
      </c>
      <c r="B71" s="154">
        <f t="shared" ref="B71:G71" si="18">B68+B69+B70</f>
        <v>86964.98</v>
      </c>
      <c r="C71" s="154">
        <f t="shared" si="18"/>
        <v>119276.64</v>
      </c>
      <c r="D71" s="154">
        <f t="shared" si="18"/>
        <v>92973.650000000009</v>
      </c>
      <c r="E71" s="154">
        <f t="shared" si="18"/>
        <v>102011.01</v>
      </c>
      <c r="F71" s="154">
        <f t="shared" si="18"/>
        <v>83124.67</v>
      </c>
      <c r="G71" s="154">
        <f t="shared" si="18"/>
        <v>64544.700000000012</v>
      </c>
      <c r="H71" s="154">
        <f>H68+H70</f>
        <v>52556.7</v>
      </c>
    </row>
    <row r="72" spans="1:8" x14ac:dyDescent="0.25">
      <c r="A72" s="17" t="s">
        <v>271</v>
      </c>
      <c r="B72" s="152">
        <f>'AAPL - Cash Flow FY'!B39</f>
        <v>98767</v>
      </c>
      <c r="C72" s="152">
        <f>'AAPL - Cash Flow FY'!C39</f>
        <v>108807</v>
      </c>
      <c r="D72" s="152">
        <f>'AAPL - Cash Flow FY'!D39</f>
        <v>99584</v>
      </c>
      <c r="E72" s="152">
        <f>'AAPL - Cash Flow FY'!E39</f>
        <v>111443</v>
      </c>
      <c r="F72" s="152">
        <f>'AAPL - Cash Flow FY'!F39</f>
        <v>92953</v>
      </c>
      <c r="G72" s="152">
        <f>'AAPL - Cash Flow FY'!G39</f>
        <v>73365</v>
      </c>
      <c r="H72" s="152">
        <f>'AAPL - Cash Flow FY'!H39</f>
        <v>58896</v>
      </c>
    </row>
    <row r="73" spans="1:8" x14ac:dyDescent="0.25">
      <c r="A73" s="17" t="s">
        <v>272</v>
      </c>
      <c r="B73" s="156">
        <f t="shared" ref="B73:H73" si="19">B71-B72</f>
        <v>-11802.020000000004</v>
      </c>
      <c r="C73" s="156">
        <f t="shared" si="19"/>
        <v>10469.64</v>
      </c>
      <c r="D73" s="156">
        <f t="shared" si="19"/>
        <v>-6610.3499999999913</v>
      </c>
      <c r="E73" s="156">
        <f t="shared" si="19"/>
        <v>-9431.9900000000052</v>
      </c>
      <c r="F73" s="156">
        <f t="shared" si="19"/>
        <v>-9828.3300000000017</v>
      </c>
      <c r="G73" s="156">
        <f t="shared" si="19"/>
        <v>-8820.2999999999884</v>
      </c>
      <c r="H73" s="156">
        <f t="shared" si="19"/>
        <v>-6339.3000000000029</v>
      </c>
    </row>
    <row r="74" spans="1:8" x14ac:dyDescent="0.25">
      <c r="A74" s="17"/>
      <c r="B74" s="17"/>
      <c r="C74" s="17"/>
      <c r="D74" s="17"/>
      <c r="E74" s="17"/>
      <c r="F74" s="17"/>
      <c r="G74" s="17"/>
      <c r="H74" s="17"/>
    </row>
    <row r="75" spans="1:8" x14ac:dyDescent="0.25">
      <c r="A75" s="20" t="s">
        <v>273</v>
      </c>
      <c r="B75" s="20"/>
      <c r="C75" s="20"/>
      <c r="D75" s="20"/>
      <c r="E75" s="20"/>
      <c r="F75" s="20"/>
      <c r="G75" s="20"/>
      <c r="H75" s="20"/>
    </row>
    <row r="76" spans="1:8" x14ac:dyDescent="0.25">
      <c r="A76" s="17" t="s">
        <v>274</v>
      </c>
      <c r="B76" s="156">
        <f t="shared" ref="B76:G76" si="20">AVERAGE(B32,C32)</f>
        <v>37533.46</v>
      </c>
      <c r="C76" s="156">
        <f t="shared" si="20"/>
        <v>23371.699999999997</v>
      </c>
      <c r="D76" s="156">
        <f t="shared" si="20"/>
        <v>22799.129999999997</v>
      </c>
      <c r="E76" s="156">
        <f t="shared" si="20"/>
        <v>23590.449999999997</v>
      </c>
      <c r="F76" s="156">
        <f t="shared" si="20"/>
        <v>19667.32</v>
      </c>
      <c r="G76" s="156">
        <f t="shared" si="20"/>
        <v>4479.8900000000067</v>
      </c>
      <c r="H76" s="156">
        <f>H32</f>
        <v>-2159.5199999999895</v>
      </c>
    </row>
    <row r="77" spans="1:8" x14ac:dyDescent="0.25">
      <c r="A77" s="17" t="s">
        <v>275</v>
      </c>
      <c r="B77" s="158">
        <f t="shared" ref="B77:H77" si="21">IF(B76&lt;=0,"",B56/B76)</f>
        <v>2.8004212774415147</v>
      </c>
      <c r="C77" s="158">
        <f t="shared" si="21"/>
        <v>4.1648934395016202</v>
      </c>
      <c r="D77" s="158">
        <f t="shared" si="21"/>
        <v>3.9605805133792393</v>
      </c>
      <c r="E77" s="158">
        <f t="shared" si="21"/>
        <v>3.9997214974703752</v>
      </c>
      <c r="F77" s="158">
        <f t="shared" si="21"/>
        <v>4.3762805506800113</v>
      </c>
      <c r="G77" s="158">
        <f t="shared" si="21"/>
        <v>11.689465589556869</v>
      </c>
      <c r="H77" s="158" t="str">
        <f t="shared" si="21"/>
        <v/>
      </c>
    </row>
    <row r="78" spans="1:8" x14ac:dyDescent="0.25">
      <c r="A78" s="17" t="s">
        <v>276</v>
      </c>
      <c r="B78" s="156">
        <f t="shared" ref="B78:G78" si="22">AVERAGE(B31,C31)</f>
        <v>37533.46</v>
      </c>
      <c r="C78" s="156">
        <f t="shared" si="22"/>
        <v>23371.699999999997</v>
      </c>
      <c r="D78" s="156">
        <f t="shared" si="22"/>
        <v>22799.129999999997</v>
      </c>
      <c r="E78" s="156">
        <f t="shared" si="22"/>
        <v>23590.449999999997</v>
      </c>
      <c r="F78" s="156">
        <f t="shared" si="22"/>
        <v>19667.32</v>
      </c>
      <c r="G78" s="156">
        <f t="shared" si="22"/>
        <v>4479.8900000000067</v>
      </c>
      <c r="H78" s="156">
        <f>H31</f>
        <v>-2159.5199999999895</v>
      </c>
    </row>
    <row r="79" spans="1:8" x14ac:dyDescent="0.25">
      <c r="A79" s="17" t="s">
        <v>277</v>
      </c>
      <c r="B79" s="158">
        <f t="shared" ref="B79:H79" si="23">IF(B78&lt;=0,"",B56/B78)</f>
        <v>2.8004212774415147</v>
      </c>
      <c r="C79" s="158">
        <f t="shared" si="23"/>
        <v>4.1648934395016202</v>
      </c>
      <c r="D79" s="158">
        <f t="shared" si="23"/>
        <v>3.9605805133792393</v>
      </c>
      <c r="E79" s="158">
        <f t="shared" si="23"/>
        <v>3.9997214974703752</v>
      </c>
      <c r="F79" s="158">
        <f t="shared" si="23"/>
        <v>4.3762805506800113</v>
      </c>
      <c r="G79" s="158">
        <f t="shared" si="23"/>
        <v>11.689465589556869</v>
      </c>
      <c r="H79" s="158" t="str">
        <f t="shared" si="23"/>
        <v/>
      </c>
    </row>
    <row r="80" spans="1:8" x14ac:dyDescent="0.25">
      <c r="A80" s="17" t="s">
        <v>278</v>
      </c>
      <c r="B80" s="159">
        <f>B56/'AAPL - Income Statement FY'!B7</f>
        <v>0.25256931812447586</v>
      </c>
      <c r="C80" s="159">
        <f>C56/'AAPL - Income Statement FY'!C7</f>
        <v>0.24893076067359698</v>
      </c>
      <c r="D80" s="159">
        <f>D56/'AAPL - Income Statement FY'!D7</f>
        <v>0.23558915689369531</v>
      </c>
      <c r="E80" s="159">
        <f>E56/'AAPL - Income Statement FY'!E7</f>
        <v>0.23928108072467588</v>
      </c>
      <c r="F80" s="159">
        <f>F56/'AAPL - Income Statement FY'!F7</f>
        <v>0.23528078246773657</v>
      </c>
      <c r="G80" s="159">
        <f>G56/'AAPL - Income Statement FY'!G7</f>
        <v>0.19076378339981423</v>
      </c>
      <c r="H80" s="159">
        <f>H56/'AAPL - Income Statement FY'!H7</f>
        <v>0.19411893578912573</v>
      </c>
    </row>
    <row r="81" spans="1:8" x14ac:dyDescent="0.25">
      <c r="A81" s="17" t="s">
        <v>279</v>
      </c>
      <c r="B81" s="160">
        <f>IF(B76&lt;=0,"",'AAPL - Income Statement FY'!B7/B76)</f>
        <v>11.087733451698831</v>
      </c>
      <c r="C81" s="160">
        <f>IF(C76&lt;=0,"",'AAPL - Income Statement FY'!C7/C76)</f>
        <v>16.731132095654146</v>
      </c>
      <c r="D81" s="160">
        <f>IF(D76&lt;=0,"",'AAPL - Income Statement FY'!D7/D76)</f>
        <v>16.811387101174475</v>
      </c>
      <c r="E81" s="160">
        <f>IF(E76&lt;=0,"",'AAPL - Income Statement FY'!E7/E76)</f>
        <v>16.715577701993816</v>
      </c>
      <c r="F81" s="160">
        <f>IF(F76&lt;=0,"",'AAPL - Income Statement FY'!F7/F76)</f>
        <v>18.600246500285753</v>
      </c>
      <c r="G81" s="160">
        <f>IF(G76&lt;=0,"",'AAPL - Income Statement FY'!G7/G76)</f>
        <v>61.277174216331112</v>
      </c>
      <c r="H81" s="160" t="str">
        <f>IF(H76&lt;=0,"",'AAPL - Income Statement FY'!H7/H76)</f>
        <v/>
      </c>
    </row>
    <row r="83" spans="1:8" x14ac:dyDescent="0.25">
      <c r="A83" s="24" t="s">
        <v>309</v>
      </c>
      <c r="B83" s="24"/>
      <c r="C83" s="24"/>
      <c r="D83" s="24"/>
      <c r="E83" s="24"/>
      <c r="F83" s="24"/>
      <c r="G83" s="24"/>
      <c r="H83" s="24"/>
    </row>
    <row r="84" spans="1:8" x14ac:dyDescent="0.25">
      <c r="A84" t="s">
        <v>310</v>
      </c>
      <c r="B84" s="11">
        <f t="shared" ref="B84:G84" si="24">B56-C56</f>
        <v>7768.8600000000006</v>
      </c>
      <c r="C84" s="11">
        <f t="shared" si="24"/>
        <v>7042.8499999999913</v>
      </c>
      <c r="D84" s="11">
        <f t="shared" si="24"/>
        <v>-4057.4399999999878</v>
      </c>
      <c r="E84" s="11">
        <f t="shared" si="24"/>
        <v>8285.5200000000041</v>
      </c>
      <c r="F84" s="11">
        <f t="shared" si="24"/>
        <v>33702.189999999988</v>
      </c>
      <c r="G84" s="11">
        <f t="shared" si="24"/>
        <v>1862.820000000007</v>
      </c>
      <c r="H84" s="1"/>
    </row>
    <row r="85" spans="1:8" x14ac:dyDescent="0.25">
      <c r="A85" t="s">
        <v>311</v>
      </c>
      <c r="B85" s="11">
        <f t="shared" ref="B85:G85" si="25">B32-C32</f>
        <v>34845.520000000004</v>
      </c>
      <c r="C85" s="11">
        <f t="shared" si="25"/>
        <v>-6522</v>
      </c>
      <c r="D85" s="11">
        <f t="shared" si="25"/>
        <v>7667.1399999999994</v>
      </c>
      <c r="E85" s="11">
        <f t="shared" si="25"/>
        <v>-9249.7799999999988</v>
      </c>
      <c r="F85" s="11">
        <f t="shared" si="25"/>
        <v>17096.039999999994</v>
      </c>
      <c r="G85" s="11">
        <f t="shared" si="25"/>
        <v>13278.819999999992</v>
      </c>
      <c r="H85" s="1"/>
    </row>
    <row r="86" spans="1:8" x14ac:dyDescent="0.25">
      <c r="A86" s="9" t="s">
        <v>312</v>
      </c>
      <c r="B86" s="137">
        <f t="shared" ref="B86:G86" si="26">IF(B85=0,"",B84/B85)</f>
        <v>0.22295147267137927</v>
      </c>
      <c r="C86" s="137">
        <f t="shared" si="26"/>
        <v>-1.0798604722477754</v>
      </c>
      <c r="D86" s="137">
        <f t="shared" si="26"/>
        <v>-0.52919863208445239</v>
      </c>
      <c r="E86" s="137">
        <f t="shared" si="26"/>
        <v>-0.89575319629223671</v>
      </c>
      <c r="F86" s="137">
        <f t="shared" si="26"/>
        <v>1.9713448260532849</v>
      </c>
      <c r="G86" s="137">
        <f t="shared" si="26"/>
        <v>0.14028505544920467</v>
      </c>
      <c r="H86" s="30"/>
    </row>
    <row r="88" spans="1:8" x14ac:dyDescent="0.25">
      <c r="A88" s="24" t="s">
        <v>313</v>
      </c>
      <c r="B88" s="24"/>
      <c r="C88" s="24"/>
      <c r="D88" s="24"/>
      <c r="E88" s="24"/>
      <c r="F88" s="24"/>
      <c r="G88" s="24"/>
      <c r="H88" s="24"/>
    </row>
    <row r="89" spans="1:8" x14ac:dyDescent="0.25">
      <c r="A89" t="s">
        <v>278</v>
      </c>
      <c r="B89" s="134">
        <f t="shared" ref="B89:H89" si="27">B80</f>
        <v>0.25256931812447586</v>
      </c>
      <c r="C89" s="134">
        <f t="shared" si="27"/>
        <v>0.24893076067359698</v>
      </c>
      <c r="D89" s="134">
        <f t="shared" si="27"/>
        <v>0.23558915689369531</v>
      </c>
      <c r="E89" s="134">
        <f t="shared" si="27"/>
        <v>0.23928108072467588</v>
      </c>
      <c r="F89" s="134">
        <f t="shared" si="27"/>
        <v>0.23528078246773657</v>
      </c>
      <c r="G89" s="134">
        <f t="shared" si="27"/>
        <v>0.19076378339981423</v>
      </c>
      <c r="H89" s="134">
        <f t="shared" si="27"/>
        <v>0.19411893578912573</v>
      </c>
    </row>
    <row r="90" spans="1:8" x14ac:dyDescent="0.25">
      <c r="A90" t="s">
        <v>314</v>
      </c>
      <c r="B90" s="161">
        <f>IF(B76&lt;=0,"",'AAPL - Income Statement FY'!B7/B76)</f>
        <v>11.087733451698831</v>
      </c>
      <c r="C90" s="161">
        <f>IF(C76&lt;=0,"",'AAPL - Income Statement FY'!C7/C76)</f>
        <v>16.731132095654146</v>
      </c>
      <c r="D90" s="161">
        <f>IF(D76&lt;=0,"",'AAPL - Income Statement FY'!D7/D76)</f>
        <v>16.811387101174475</v>
      </c>
      <c r="E90" s="161">
        <f>IF(E76&lt;=0,"",'AAPL - Income Statement FY'!E7/E76)</f>
        <v>16.715577701993816</v>
      </c>
      <c r="F90" s="161">
        <f>IF(F76&lt;=0,"",'AAPL - Income Statement FY'!F7/F76)</f>
        <v>18.600246500285753</v>
      </c>
      <c r="G90" s="161">
        <f>IF(G76&lt;=0,"",'AAPL - Income Statement FY'!G7/G76)</f>
        <v>61.277174216331112</v>
      </c>
      <c r="H90" s="161" t="str">
        <f>IF(H76&lt;=0,"",'AAPL - Income Statement FY'!H7/H76)</f>
        <v/>
      </c>
    </row>
    <row r="91" spans="1:8" x14ac:dyDescent="0.25">
      <c r="A91" s="9" t="s">
        <v>315</v>
      </c>
      <c r="B91" s="137">
        <f t="shared" ref="B91:H91" si="28">IF(B90="","",B89*B90)</f>
        <v>2.8004212774415151</v>
      </c>
      <c r="C91" s="137">
        <f t="shared" si="28"/>
        <v>4.1648934395016193</v>
      </c>
      <c r="D91" s="137">
        <f t="shared" si="28"/>
        <v>3.9605805133792389</v>
      </c>
      <c r="E91" s="137">
        <f t="shared" si="28"/>
        <v>3.9997214974703743</v>
      </c>
      <c r="F91" s="137">
        <f t="shared" si="28"/>
        <v>4.3762805506800104</v>
      </c>
      <c r="G91" s="137">
        <f t="shared" si="28"/>
        <v>11.689465589556869</v>
      </c>
      <c r="H91" s="137" t="str">
        <f t="shared" si="28"/>
        <v/>
      </c>
    </row>
    <row r="93" spans="1:8" x14ac:dyDescent="0.25">
      <c r="A93" s="24" t="s">
        <v>316</v>
      </c>
      <c r="B93" s="24"/>
      <c r="C93" s="24"/>
      <c r="D93" s="24"/>
      <c r="E93" s="24"/>
      <c r="F93" s="24"/>
      <c r="G93" s="24"/>
      <c r="H93" s="24"/>
    </row>
    <row r="94" spans="1:8" x14ac:dyDescent="0.25">
      <c r="A94" t="s">
        <v>317</v>
      </c>
      <c r="B94" s="113">
        <f>'AAPL - Income Statement FY'!B10/'AAPL - Income Statement FY'!B7</f>
        <v>0.46905164107160452</v>
      </c>
      <c r="C94" s="113">
        <f>'AAPL - Income Statement FY'!C10/'AAPL - Income Statement FY'!C7</f>
        <v>0.46206349815233932</v>
      </c>
      <c r="D94" s="113">
        <f>'AAPL - Income Statement FY'!D10/'AAPL - Income Statement FY'!D7</f>
        <v>0.44131129577207562</v>
      </c>
      <c r="E94" s="113">
        <f>'AAPL - Income Statement FY'!E10/'AAPL - Income Statement FY'!E7</f>
        <v>0.43309630561360085</v>
      </c>
      <c r="F94" s="113">
        <f>'AAPL - Income Statement FY'!F10/'AAPL - Income Statement FY'!F7</f>
        <v>0.41779359625167778</v>
      </c>
      <c r="G94" s="113">
        <f>'AAPL - Income Statement FY'!G10/'AAPL - Income Statement FY'!G7</f>
        <v>0.38233247727810865</v>
      </c>
      <c r="H94" s="113">
        <f>'AAPL - Income Statement FY'!H10/'AAPL - Income Statement FY'!H7</f>
        <v>0.37817768109034722</v>
      </c>
    </row>
    <row r="95" spans="1:8" x14ac:dyDescent="0.25">
      <c r="A95" t="s">
        <v>318</v>
      </c>
      <c r="B95" s="113">
        <f>'AAPL - Income Statement FY'!B13/'AAPL - Income Statement FY'!B7</f>
        <v>8.3020753987038676E-2</v>
      </c>
      <c r="C95" s="113">
        <f>'AAPL - Income Statement FY'!C13/'AAPL - Income Statement FY'!C7</f>
        <v>8.0222997941360744E-2</v>
      </c>
      <c r="D95" s="113">
        <f>'AAPL - Income Statement FY'!D13/'AAPL - Income Statement FY'!D7</f>
        <v>7.8048971392045086E-2</v>
      </c>
      <c r="E95" s="113">
        <f>'AAPL - Income Statement FY'!E13/'AAPL - Income Statement FY'!E7</f>
        <v>6.657148363798665E-2</v>
      </c>
      <c r="F95" s="113">
        <f>'AAPL - Income Statement FY'!F13/'AAPL - Income Statement FY'!F7</f>
        <v>5.9904269074427925E-2</v>
      </c>
      <c r="G95" s="113">
        <f>'AAPL - Income Statement FY'!G13/'AAPL - Income Statement FY'!G7</f>
        <v>6.8309564140393061E-2</v>
      </c>
      <c r="H95" s="113">
        <f>'AAPL - Income Statement FY'!H13/'AAPL - Income Statement FY'!H7</f>
        <v>6.233136285716482E-2</v>
      </c>
    </row>
    <row r="96" spans="1:8" x14ac:dyDescent="0.25">
      <c r="A96" t="s">
        <v>319</v>
      </c>
      <c r="B96" s="113">
        <f>'AAPL - Income Statement FY'!B14/'AAPL - Income Statement FY'!B7</f>
        <v>6.6322889458647019E-2</v>
      </c>
      <c r="C96" s="113">
        <f>'AAPL - Income Statement FY'!C14/'AAPL - Income Statement FY'!C7</f>
        <v>6.6738271510222866E-2</v>
      </c>
      <c r="D96" s="113">
        <f>'AAPL - Income Statement FY'!D14/'AAPL - Income Statement FY'!D7</f>
        <v>6.5048201729783317E-2</v>
      </c>
      <c r="E96" s="113">
        <f>'AAPL - Income Statement FY'!E14/'AAPL - Income Statement FY'!E7</f>
        <v>6.3637378020328261E-2</v>
      </c>
      <c r="F96" s="113">
        <f>'AAPL - Income Statement FY'!F14/'AAPL - Income Statement FY'!F7</f>
        <v>6.006555190163388E-2</v>
      </c>
      <c r="G96" s="113">
        <f>'AAPL - Income Statement FY'!G14/'AAPL - Income Statement FY'!G7</f>
        <v>7.2549769593646979E-2</v>
      </c>
      <c r="H96" s="113">
        <f>'AAPL - Income Statement FY'!H14/'AAPL - Income Statement FY'!H7</f>
        <v>7.0126146348213125E-2</v>
      </c>
    </row>
    <row r="97" spans="1:8" x14ac:dyDescent="0.25">
      <c r="A97" t="s">
        <v>320</v>
      </c>
      <c r="B97" s="113">
        <f>'AAPL - Income Statement FY'!B25/'AAPL - Income Statement FY'!B7</f>
        <v>0.31970799762591884</v>
      </c>
      <c r="C97" s="113">
        <f>'AAPL - Income Statement FY'!C25/'AAPL - Income Statement FY'!C7</f>
        <v>0.31510222870075566</v>
      </c>
      <c r="D97" s="113">
        <f>'AAPL - Income Statement FY'!D25/'AAPL - Income Statement FY'!D7</f>
        <v>0.29821412265024722</v>
      </c>
      <c r="E97" s="113">
        <f>'AAPL - Income Statement FY'!E25/'AAPL - Income Statement FY'!E7</f>
        <v>0.30288744395528594</v>
      </c>
      <c r="F97" s="113">
        <f>'AAPL - Income Statement FY'!F25/'AAPL - Income Statement FY'!F7</f>
        <v>0.29782377527561593</v>
      </c>
      <c r="G97" s="113">
        <f>'AAPL - Income Statement FY'!G25/'AAPL - Income Statement FY'!G7</f>
        <v>0.24147314354406862</v>
      </c>
      <c r="H97" s="113">
        <f>'AAPL - Income Statement FY'!H25/'AAPL - Income Statement FY'!H7</f>
        <v>0.24572017188496928</v>
      </c>
    </row>
    <row r="98" spans="1:8" x14ac:dyDescent="0.25">
      <c r="A98" t="s">
        <v>321</v>
      </c>
      <c r="B98" s="134">
        <f t="shared" ref="B98:H98" si="29">1-$B$9</f>
        <v>0.79</v>
      </c>
      <c r="C98" s="134">
        <f t="shared" si="29"/>
        <v>0.79</v>
      </c>
      <c r="D98" s="134">
        <f t="shared" si="29"/>
        <v>0.79</v>
      </c>
      <c r="E98" s="134">
        <f t="shared" si="29"/>
        <v>0.79</v>
      </c>
      <c r="F98" s="134">
        <f t="shared" si="29"/>
        <v>0.79</v>
      </c>
      <c r="G98" s="134">
        <f t="shared" si="29"/>
        <v>0.79</v>
      </c>
      <c r="H98" s="134">
        <f t="shared" si="29"/>
        <v>0.79</v>
      </c>
    </row>
    <row r="99" spans="1:8" x14ac:dyDescent="0.25">
      <c r="A99" t="s">
        <v>831</v>
      </c>
      <c r="B99" s="134">
        <f t="shared" ref="B99:H99" si="30">B97*B98</f>
        <v>0.25256931812447592</v>
      </c>
      <c r="C99" s="134">
        <f t="shared" si="30"/>
        <v>0.24893076067359698</v>
      </c>
      <c r="D99" s="134">
        <f t="shared" si="30"/>
        <v>0.23558915689369531</v>
      </c>
      <c r="E99" s="134">
        <f t="shared" si="30"/>
        <v>0.23928108072467591</v>
      </c>
      <c r="F99" s="134">
        <f t="shared" si="30"/>
        <v>0.23528078246773659</v>
      </c>
      <c r="G99" s="134">
        <f t="shared" si="30"/>
        <v>0.19076378339981423</v>
      </c>
      <c r="H99" s="134">
        <f t="shared" si="30"/>
        <v>0.19411893578912573</v>
      </c>
    </row>
    <row r="101" spans="1:8" x14ac:dyDescent="0.25">
      <c r="A101" s="24" t="s">
        <v>322</v>
      </c>
      <c r="B101" s="24"/>
      <c r="C101" s="24"/>
      <c r="D101" s="24"/>
      <c r="E101" s="24"/>
      <c r="F101" s="24"/>
      <c r="G101" s="24"/>
      <c r="H101" s="24"/>
    </row>
    <row r="102" spans="1:8" x14ac:dyDescent="0.25">
      <c r="A102" t="s">
        <v>323</v>
      </c>
      <c r="B102" s="161">
        <f>IF(B22=0,"",'AAPL - Income Statement FY'!B7/B22)</f>
        <v>-10.539782670689821</v>
      </c>
      <c r="C102" s="161">
        <f>IF(C22=0,"",'AAPL - Income Statement FY'!C7/C22)</f>
        <v>-6.907244538730982</v>
      </c>
      <c r="D102" s="161">
        <f>IF(D22=0,"",'AAPL - Income Statement FY'!D7/D22)</f>
        <v>-10.451051553812887</v>
      </c>
      <c r="E102" s="161">
        <f>IF(E22=0,"",'AAPL - Income Statement FY'!E7/E22)</f>
        <v>-11.410468759585212</v>
      </c>
      <c r="F102" s="161">
        <f>IF(F22=0,"",'AAPL - Income Statement FY'!F7/F22)</f>
        <v>-13.400547865719414</v>
      </c>
      <c r="G102" s="161">
        <f>IF(G22=0,"",'AAPL - Income Statement FY'!G7/G22)</f>
        <v>-9.0174327507087089</v>
      </c>
      <c r="H102" s="161">
        <f>IF(H22=0,"",'AAPL - Income Statement FY'!H7/H22)</f>
        <v>-11.819364616136641</v>
      </c>
    </row>
    <row r="103" spans="1:8" x14ac:dyDescent="0.25">
      <c r="A103" t="s">
        <v>324</v>
      </c>
      <c r="B103" s="161">
        <f>IF(B24=0,"",'AAPL - Income Statement FY'!B7/B24)</f>
        <v>8.3509451378576873</v>
      </c>
      <c r="C103" s="161">
        <f>IF(C24=0,"",'AAPL - Income Statement FY'!C7/C24)</f>
        <v>8.5603108581436071</v>
      </c>
      <c r="D103" s="161">
        <f>IF(D24=0,"",'AAPL - Income Statement FY'!D7/D24)</f>
        <v>7.0487899073120497</v>
      </c>
      <c r="E103" s="161">
        <f>IF(E24=0,"",'AAPL - Income Statement FY'!E7/E24)</f>
        <v>7.5061483991319911</v>
      </c>
      <c r="F103" s="161">
        <f>IF(F24=0,"",'AAPL - Income Statement FY'!F7/F24)</f>
        <v>7.3862135804712583</v>
      </c>
      <c r="G103" s="161">
        <f>IF(G24=0,"",'AAPL - Income Statement FY'!G7/G24)</f>
        <v>6.0551217575436738</v>
      </c>
      <c r="H103" s="161">
        <f>IF(H24=0,"",'AAPL - Income Statement FY'!H7/H24)</f>
        <v>6.9606185456685754</v>
      </c>
    </row>
    <row r="104" spans="1:8" x14ac:dyDescent="0.25">
      <c r="A104" t="s">
        <v>325</v>
      </c>
      <c r="B104" s="161" t="str">
        <f>IF(B25+B26=0,"",'AAPL - Income Statement FY'!B7/(B25+B26))</f>
        <v/>
      </c>
      <c r="C104" s="161" t="str">
        <f>IF(C25+C26=0,"",'AAPL - Income Statement FY'!C7/(C25+C26))</f>
        <v/>
      </c>
      <c r="D104" s="161" t="str">
        <f>IF(D25+D26=0,"",'AAPL - Income Statement FY'!D7/(D25+D26))</f>
        <v/>
      </c>
      <c r="E104" s="161" t="str">
        <f>IF(E25+E26=0,"",'AAPL - Income Statement FY'!E7/(E25+E26))</f>
        <v/>
      </c>
      <c r="F104" s="161" t="str">
        <f>IF(F25+F26=0,"",'AAPL - Income Statement FY'!F7/(F25+F26))</f>
        <v/>
      </c>
      <c r="G104" s="161" t="str">
        <f>IF(G25+G26=0,"",'AAPL - Income Statement FY'!G7/(G25+G26))</f>
        <v/>
      </c>
      <c r="H104" s="161" t="str">
        <f>IF(H25+H26=0,"",'AAPL - Income Statement FY'!H7/(H25+H26))</f>
        <v/>
      </c>
    </row>
    <row r="105" spans="1:8" x14ac:dyDescent="0.25">
      <c r="A105" t="s">
        <v>326</v>
      </c>
      <c r="B105" s="161">
        <f>IF(B32&lt;=0,"",'AAPL - Income Statement FY'!B7/B32)</f>
        <v>7.5725914191332659</v>
      </c>
      <c r="C105" s="161">
        <f>IF(C32&lt;=0,"",'AAPL - Income Statement FY'!C7/C32)</f>
        <v>19.444126758392301</v>
      </c>
      <c r="D105" s="161">
        <f>IF(D32&lt;=0,"",'AAPL - Income Statement FY'!D7/D32)</f>
        <v>14.39151869694023</v>
      </c>
      <c r="E105" s="161">
        <f>IF(E32&lt;=0,"",'AAPL - Income Statement FY'!E7/E32)</f>
        <v>20.791793123957323</v>
      </c>
      <c r="F105" s="161">
        <f>IF(F32&lt;=0,"",'AAPL - Income Statement FY'!F7/F32)</f>
        <v>12.965181351704429</v>
      </c>
      <c r="G105" s="161">
        <f>IF(G32&lt;=0,"",'AAPL - Income Statement FY'!G7/G32)</f>
        <v>24.688154829890365</v>
      </c>
      <c r="H105" s="161" t="str">
        <f>IF(H32&lt;=0,"",'AAPL - Income Statement FY'!H7/H32)</f>
        <v/>
      </c>
    </row>
    <row r="107" spans="1:8" x14ac:dyDescent="0.25">
      <c r="A107" s="24" t="s">
        <v>399</v>
      </c>
      <c r="B107" s="24"/>
      <c r="C107" s="24"/>
      <c r="D107" s="24"/>
      <c r="E107" s="24"/>
      <c r="F107" s="24"/>
      <c r="G107" s="24"/>
      <c r="H107" s="24"/>
    </row>
    <row r="108" spans="1:8" x14ac:dyDescent="0.25">
      <c r="A108" t="s">
        <v>255</v>
      </c>
      <c r="B108" s="162">
        <f>'AAPL - Balance Sheet FY'!B51</f>
        <v>112377</v>
      </c>
      <c r="C108" s="162">
        <f>'AAPL - Balance Sheet FY'!C51</f>
        <v>119059</v>
      </c>
      <c r="D108" s="162">
        <f>'AAPL - Balance Sheet FY'!D51</f>
        <v>123930</v>
      </c>
      <c r="E108" s="162">
        <f>'AAPL - Balance Sheet FY'!E51</f>
        <v>132480</v>
      </c>
      <c r="F108" s="162">
        <f>'AAPL - Balance Sheet FY'!F51</f>
        <v>136522</v>
      </c>
      <c r="G108" s="162">
        <f>'AAPL - Balance Sheet FY'!G51</f>
        <v>122278</v>
      </c>
      <c r="H108" s="162">
        <f>'AAPL - Balance Sheet FY'!H51</f>
        <v>108047</v>
      </c>
    </row>
    <row r="109" spans="1:8" x14ac:dyDescent="0.25">
      <c r="A109" t="s">
        <v>400</v>
      </c>
      <c r="B109" s="162">
        <f>'AAPL - Balance Sheet FY'!B52</f>
        <v>76443</v>
      </c>
      <c r="C109" s="162">
        <f>'AAPL - Balance Sheet FY'!C52</f>
        <v>89116</v>
      </c>
      <c r="D109" s="162">
        <f>'AAPL - Balance Sheet FY'!D52</f>
        <v>93965</v>
      </c>
      <c r="E109" s="162">
        <f>'AAPL - Balance Sheet FY'!E52</f>
        <v>108834</v>
      </c>
      <c r="F109" s="162">
        <f>'AAPL - Balance Sheet FY'!F52</f>
        <v>101582</v>
      </c>
      <c r="G109" s="162">
        <f>'AAPL - Balance Sheet FY'!G52</f>
        <v>84262</v>
      </c>
      <c r="H109" s="162">
        <f>'AAPL - Balance Sheet FY'!H52</f>
        <v>59203</v>
      </c>
    </row>
    <row r="110" spans="1:8" x14ac:dyDescent="0.25">
      <c r="A110" t="s">
        <v>401</v>
      </c>
      <c r="B110" s="162">
        <f>'AAPL - Balance Sheet FY'!B41</f>
        <v>285508</v>
      </c>
      <c r="C110" s="162">
        <f>'AAPL - Balance Sheet FY'!C41</f>
        <v>308030</v>
      </c>
      <c r="D110" s="162">
        <f>'AAPL - Balance Sheet FY'!D41</f>
        <v>290437</v>
      </c>
      <c r="E110" s="162">
        <f>'AAPL - Balance Sheet FY'!E41</f>
        <v>302083</v>
      </c>
      <c r="F110" s="162">
        <f>'AAPL - Balance Sheet FY'!F41</f>
        <v>287912</v>
      </c>
      <c r="G110" s="162">
        <f>'AAPL - Balance Sheet FY'!G41</f>
        <v>258549</v>
      </c>
      <c r="H110" s="162">
        <f>'AAPL - Balance Sheet FY'!H41</f>
        <v>248028</v>
      </c>
    </row>
    <row r="111" spans="1:8" x14ac:dyDescent="0.25">
      <c r="A111" t="s">
        <v>256</v>
      </c>
      <c r="B111" s="162">
        <f>'AAPL - Balance Sheet FY'!B47</f>
        <v>73733</v>
      </c>
      <c r="C111" s="162">
        <f>'AAPL - Balance Sheet FY'!C47</f>
        <v>56950</v>
      </c>
      <c r="D111" s="162">
        <f>'AAPL - Balance Sheet FY'!D47</f>
        <v>62146</v>
      </c>
      <c r="E111" s="162">
        <f>'AAPL - Balance Sheet FY'!E47</f>
        <v>50672</v>
      </c>
      <c r="F111" s="162">
        <f>'AAPL - Balance Sheet FY'!F47</f>
        <v>63090</v>
      </c>
      <c r="G111" s="162">
        <f>'AAPL - Balance Sheet FY'!G47</f>
        <v>65339</v>
      </c>
      <c r="H111" s="162">
        <f>'AAPL - Balance Sheet FY'!H47</f>
        <v>90488</v>
      </c>
    </row>
    <row r="113" spans="1:8" x14ac:dyDescent="0.25">
      <c r="A113" t="s">
        <v>402</v>
      </c>
      <c r="B113" s="163">
        <f t="shared" ref="B113:H113" si="31">IFERROR(B108/B111,"")</f>
        <v>1.5241072518411023</v>
      </c>
      <c r="C113" s="163">
        <f t="shared" si="31"/>
        <v>2.0905882352941179</v>
      </c>
      <c r="D113" s="163">
        <f t="shared" si="31"/>
        <v>1.9941750072410132</v>
      </c>
      <c r="E113" s="163">
        <f t="shared" si="31"/>
        <v>2.6144616356173036</v>
      </c>
      <c r="F113" s="163">
        <f t="shared" si="31"/>
        <v>2.1639245522269772</v>
      </c>
      <c r="G113" s="163">
        <f t="shared" si="31"/>
        <v>1.871439722064923</v>
      </c>
      <c r="H113" s="163">
        <f t="shared" si="31"/>
        <v>1.1940478295464592</v>
      </c>
    </row>
    <row r="114" spans="1:8" x14ac:dyDescent="0.25">
      <c r="A114" t="s">
        <v>403</v>
      </c>
      <c r="B114" s="163">
        <f t="shared" ref="B114:H114" si="32">IFERROR(B110/B111,"")</f>
        <v>3.8721874872852049</v>
      </c>
      <c r="C114" s="163">
        <f t="shared" si="32"/>
        <v>5.408779631255487</v>
      </c>
      <c r="D114" s="163">
        <f t="shared" si="32"/>
        <v>4.6734624915521517</v>
      </c>
      <c r="E114" s="163">
        <f t="shared" si="32"/>
        <v>5.9615369434796337</v>
      </c>
      <c r="F114" s="163">
        <f t="shared" si="32"/>
        <v>4.5635124425423994</v>
      </c>
      <c r="G114" s="163">
        <f t="shared" si="32"/>
        <v>3.9570394404566951</v>
      </c>
      <c r="H114" s="163">
        <f t="shared" si="32"/>
        <v>2.7410043320661304</v>
      </c>
    </row>
    <row r="115" spans="1:8" x14ac:dyDescent="0.25">
      <c r="A115" t="s">
        <v>404</v>
      </c>
      <c r="B115" s="113">
        <f>IFERROR(B108/'AAPL - Balance Sheet FY'!B25,"")</f>
        <v>0.31281785764987852</v>
      </c>
      <c r="C115" s="113">
        <f>IFERROR(C108/'AAPL - Balance Sheet FY'!C25,"")</f>
        <v>0.32620691544742175</v>
      </c>
      <c r="D115" s="113">
        <f>IFERROR(D108/'AAPL - Balance Sheet FY'!D25,"")</f>
        <v>0.35149170549913072</v>
      </c>
      <c r="E115" s="113">
        <f>IFERROR(E108/'AAPL - Balance Sheet FY'!E25,"")</f>
        <v>0.37555810690139046</v>
      </c>
      <c r="F115" s="113">
        <f>IFERROR(F108/'AAPL - Balance Sheet FY'!F25,"")</f>
        <v>0.38894935071595033</v>
      </c>
      <c r="G115" s="113">
        <f>IFERROR(G108/'AAPL - Balance Sheet FY'!G25,"")</f>
        <v>0.37753173936669465</v>
      </c>
      <c r="H115" s="113">
        <f>IFERROR(H108/'AAPL - Balance Sheet FY'!H25,"")</f>
        <v>0.31917841401883518</v>
      </c>
    </row>
    <row r="116" spans="1:8" x14ac:dyDescent="0.25">
      <c r="A116" t="s">
        <v>405</v>
      </c>
      <c r="B116" s="113">
        <f>IFERROR(B111/'AAPL - Balance Sheet FY'!B25,"")</f>
        <v>0.20524661717342954</v>
      </c>
      <c r="C116" s="113">
        <f>IFERROR(C111/'AAPL - Balance Sheet FY'!C25,"")</f>
        <v>0.15603594717518768</v>
      </c>
      <c r="D116" s="113">
        <f>IFERROR(D111/'AAPL - Balance Sheet FY'!D25,"")</f>
        <v>0.17625920705195655</v>
      </c>
      <c r="E116" s="113">
        <f>IFERROR(E111/'AAPL - Balance Sheet FY'!E25,"")</f>
        <v>0.14364644016385311</v>
      </c>
      <c r="F116" s="113">
        <f>IFERROR(F111/'AAPL - Balance Sheet FY'!F25,"")</f>
        <v>0.17974256556942694</v>
      </c>
      <c r="G116" s="113">
        <f>IFERROR(G111/'AAPL - Balance Sheet FY'!G25,"")</f>
        <v>0.20173331522007606</v>
      </c>
      <c r="H116" s="113">
        <f>IFERROR(H111/'AAPL - Balance Sheet FY'!H25,"")</f>
        <v>0.26730789682023892</v>
      </c>
    </row>
    <row r="118" spans="1:8" x14ac:dyDescent="0.25">
      <c r="A118" t="s">
        <v>406</v>
      </c>
      <c r="B118" s="162">
        <f>'AAPL - Income Statement FY'!B21</f>
        <v>144427</v>
      </c>
      <c r="C118" s="162">
        <f>'AAPL - Income Statement FY'!C21</f>
        <v>134930</v>
      </c>
      <c r="D118" s="162">
        <f>'AAPL - Income Statement FY'!D21</f>
        <v>129188</v>
      </c>
      <c r="E118" s="162">
        <f>'AAPL - Income Statement FY'!E21</f>
        <v>133138</v>
      </c>
      <c r="F118" s="162">
        <f>'AAPL - Income Statement FY'!F21</f>
        <v>123136</v>
      </c>
      <c r="G118" s="162">
        <f>'AAPL - Income Statement FY'!G21</f>
        <v>81020</v>
      </c>
      <c r="H118" s="162">
        <f>'AAPL - Income Statement FY'!H21</f>
        <v>81860</v>
      </c>
    </row>
    <row r="119" spans="1:8" x14ac:dyDescent="0.25">
      <c r="A119" t="s">
        <v>407</v>
      </c>
      <c r="B119" s="163">
        <f t="shared" ref="B119:H119" si="33">IFERROR(B108/B118,"")</f>
        <v>0.77808858454444119</v>
      </c>
      <c r="C119" s="163">
        <f t="shared" si="33"/>
        <v>0.88237604683910176</v>
      </c>
      <c r="D119" s="163">
        <f t="shared" si="33"/>
        <v>0.95929962535219993</v>
      </c>
      <c r="E119" s="163">
        <f t="shared" si="33"/>
        <v>0.99505775961784015</v>
      </c>
      <c r="F119" s="163">
        <f t="shared" si="33"/>
        <v>1.1087090696465696</v>
      </c>
      <c r="G119" s="163">
        <f t="shared" si="33"/>
        <v>1.5092322883238707</v>
      </c>
      <c r="H119" s="163">
        <f t="shared" si="33"/>
        <v>1.3198998289763011</v>
      </c>
    </row>
    <row r="120" spans="1:8" x14ac:dyDescent="0.25">
      <c r="A120" t="s">
        <v>408</v>
      </c>
      <c r="B120" s="163">
        <f t="shared" ref="B120:H120" si="34">IFERROR(B109/B118,"")</f>
        <v>0.52928469053570315</v>
      </c>
      <c r="C120" s="163">
        <f t="shared" si="34"/>
        <v>0.66046097976728679</v>
      </c>
      <c r="D120" s="163">
        <f t="shared" si="34"/>
        <v>0.72735083753909036</v>
      </c>
      <c r="E120" s="163">
        <f t="shared" si="34"/>
        <v>0.81745256801213784</v>
      </c>
      <c r="F120" s="163">
        <f t="shared" si="34"/>
        <v>0.82495777027027029</v>
      </c>
      <c r="G120" s="163">
        <f t="shared" si="34"/>
        <v>1.0400148111577387</v>
      </c>
      <c r="H120" s="163">
        <f t="shared" si="34"/>
        <v>0.72322257512826782</v>
      </c>
    </row>
    <row r="121" spans="1:8" x14ac:dyDescent="0.25">
      <c r="A121" t="s">
        <v>409</v>
      </c>
      <c r="B121" s="161" t="str">
        <f>IF('AAPL - Income Statement FY'!B23=0,"",B118/'AAPL - Income Statement FY'!B23)</f>
        <v/>
      </c>
      <c r="C121" s="161" t="str">
        <f>IF('AAPL - Income Statement FY'!C23=0,"",C118/'AAPL - Income Statement FY'!C23)</f>
        <v/>
      </c>
      <c r="D121" s="161">
        <f>IF('AAPL - Income Statement FY'!D23=0,"",D118/'AAPL - Income Statement FY'!D23)</f>
        <v>32.847190439867788</v>
      </c>
      <c r="E121" s="161">
        <f>IF('AAPL - Income Statement FY'!E23=0,"",E118/'AAPL - Income Statement FY'!E23)</f>
        <v>45.424087342204025</v>
      </c>
      <c r="F121" s="161">
        <f>IF('AAPL - Income Statement FY'!F23=0,"",F118/'AAPL - Income Statement FY'!F23)</f>
        <v>46.554253308128544</v>
      </c>
      <c r="G121" s="161">
        <f>IF('AAPL - Income Statement FY'!G23=0,"",G118/'AAPL - Income Statement FY'!G23)</f>
        <v>28.20048729550992</v>
      </c>
      <c r="H121" s="161">
        <f>IF('AAPL - Income Statement FY'!H23=0,"",H118/'AAPL - Income Statement FY'!H23)</f>
        <v>22.891498881431769</v>
      </c>
    </row>
    <row r="122" spans="1:8" x14ac:dyDescent="0.25">
      <c r="A122" t="s">
        <v>410</v>
      </c>
      <c r="B122" s="161">
        <f>IFERROR('AAPL - Balance Sheet FY'!B13/'AAPL - Balance Sheet FY'!B32,"")</f>
        <v>0.89329292221866674</v>
      </c>
      <c r="C122" s="161">
        <f>IFERROR('AAPL - Balance Sheet FY'!C13/'AAPL - Balance Sheet FY'!C32,"")</f>
        <v>0.86731257653408322</v>
      </c>
      <c r="D122" s="161">
        <f>IFERROR('AAPL - Balance Sheet FY'!D13/'AAPL - Balance Sheet FY'!D32,"")</f>
        <v>0.98801167175929749</v>
      </c>
      <c r="E122" s="161">
        <f>IFERROR('AAPL - Balance Sheet FY'!E13/'AAPL - Balance Sheet FY'!E32,"")</f>
        <v>0.87935602862672257</v>
      </c>
      <c r="F122" s="161">
        <f>IFERROR('AAPL - Balance Sheet FY'!F13/'AAPL - Balance Sheet FY'!F32,"")</f>
        <v>1.0745531195957954</v>
      </c>
      <c r="G122" s="161">
        <f>IFERROR('AAPL - Balance Sheet FY'!G13/'AAPL - Balance Sheet FY'!G32,"")</f>
        <v>1.3636044481554577</v>
      </c>
      <c r="H122" s="161">
        <f>IFERROR('AAPL - Balance Sheet FY'!H13/'AAPL - Balance Sheet FY'!H32,"")</f>
        <v>1.540125617208044</v>
      </c>
    </row>
    <row r="125" spans="1:8" x14ac:dyDescent="0.25">
      <c r="A125" s="9" t="s">
        <v>913</v>
      </c>
    </row>
    <row r="126" spans="1:8" x14ac:dyDescent="0.25">
      <c r="A126" t="s">
        <v>914</v>
      </c>
      <c r="B126" t="s">
        <v>296</v>
      </c>
    </row>
    <row r="127" spans="1:8" x14ac:dyDescent="0.25">
      <c r="A127" t="s">
        <v>915</v>
      </c>
      <c r="B127" s="80">
        <f>SUMIFS(mag7_leases_fy2019_fy2026!$D:$D,mag7_leases_fy2019_fy2026!$A:$A,$B$126,mag7_leases_fy2019_fy2026!$B:$B,YEAR(B$5))+SUMIFS(mag7_leases_fy2019_fy2026!$F:$F,mag7_leases_fy2019_fy2026!$A:$A,$B$126,mag7_leases_fy2019_fy2026!$B:$B,YEAR(B$5))</f>
        <v>2117</v>
      </c>
      <c r="C127" s="80">
        <f>SUMIFS(mag7_leases_fy2019_fy2026!$D:$D,mag7_leases_fy2019_fy2026!$A:$A,$B$126,mag7_leases_fy2019_fy2026!$B:$B,YEAR(C$5))+SUMIFS(mag7_leases_fy2019_fy2026!$F:$F,mag7_leases_fy2019_fy2026!$A:$A,$B$126,mag7_leases_fy2019_fy2026!$B:$B,YEAR(C$5))</f>
        <v>1632</v>
      </c>
      <c r="D127" s="80">
        <f>SUMIFS(mag7_leases_fy2019_fy2026!$D:$D,mag7_leases_fy2019_fy2026!$A:$A,$B$126,mag7_leases_fy2019_fy2026!$B:$B,YEAR(D$5))+SUMIFS(mag7_leases_fy2019_fy2026!$F:$F,mag7_leases_fy2019_fy2026!$A:$A,$B$126,mag7_leases_fy2019_fy2026!$B:$B,YEAR(D$5))</f>
        <v>1575</v>
      </c>
      <c r="E127" s="80">
        <f>SUMIFS(mag7_leases_fy2019_fy2026!$D:$D,mag7_leases_fy2019_fy2026!$A:$A,$B$126,mag7_leases_fy2019_fy2026!$B:$B,YEAR(E$5))+SUMIFS(mag7_leases_fy2019_fy2026!$F:$F,mag7_leases_fy2019_fy2026!$A:$A,$B$126,mag7_leases_fy2019_fy2026!$B:$B,YEAR(E$5))</f>
        <v>1663</v>
      </c>
      <c r="F127" s="80">
        <f>SUMIFS(mag7_leases_fy2019_fy2026!$D:$D,mag7_leases_fy2019_fy2026!$A:$A,$B$126,mag7_leases_fy2019_fy2026!$B:$B,YEAR(F$5))+SUMIFS(mag7_leases_fy2019_fy2026!$F:$F,mag7_leases_fy2019_fy2026!$A:$A,$B$126,mag7_leases_fy2019_fy2026!$B:$B,YEAR(F$5))</f>
        <v>1528</v>
      </c>
      <c r="G127" s="80">
        <f>SUMIFS(mag7_leases_fy2019_fy2026!$D:$D,mag7_leases_fy2019_fy2026!$A:$A,$B$126,mag7_leases_fy2019_fy2026!$B:$B,YEAR(G$5))+SUMIFS(mag7_leases_fy2019_fy2026!$F:$F,mag7_leases_fy2019_fy2026!$A:$A,$B$126,mag7_leases_fy2019_fy2026!$B:$B,YEAR(G$5))</f>
        <v>1460</v>
      </c>
      <c r="H127" s="80">
        <f>SUMIFS(mag7_leases_fy2019_fy2026!$D:$D,mag7_leases_fy2019_fy2026!$A:$A,$B$126,mag7_leases_fy2019_fy2026!$B:$B,YEAR(H$5))+SUMIFS(mag7_leases_fy2019_fy2026!$F:$F,mag7_leases_fy2019_fy2026!$A:$A,$B$126,mag7_leases_fy2019_fy2026!$B:$B,YEAR(H$5))</f>
        <v>0</v>
      </c>
    </row>
    <row r="128" spans="1:8" x14ac:dyDescent="0.25">
      <c r="A128" t="s">
        <v>916</v>
      </c>
      <c r="B128" s="80">
        <f>SUMIFS(mag7_leases_fy2019_fy2026!$E:$E,mag7_leases_fy2019_fy2026!$A:$A,$B$126,mag7_leases_fy2019_fy2026!$B:$B,YEAR(B$5))+SUMIFS(mag7_leases_fy2019_fy2026!$G:$G,mag7_leases_fy2019_fy2026!$A:$A,$B$126,mag7_leases_fy2019_fy2026!$B:$B,YEAR(B$5))</f>
        <v>11603</v>
      </c>
      <c r="C128" s="80">
        <f>SUMIFS(mag7_leases_fy2019_fy2026!$E:$E,mag7_leases_fy2019_fy2026!$A:$A,$B$126,mag7_leases_fy2019_fy2026!$B:$B,YEAR(C$5))+SUMIFS(mag7_leases_fy2019_fy2026!$G:$G,mag7_leases_fy2019_fy2026!$A:$A,$B$126,mag7_leases_fy2019_fy2026!$B:$B,YEAR(C$5))</f>
        <v>10798</v>
      </c>
      <c r="D128" s="80">
        <f>SUMIFS(mag7_leases_fy2019_fy2026!$E:$E,mag7_leases_fy2019_fy2026!$A:$A,$B$126,mag7_leases_fy2019_fy2026!$B:$B,YEAR(D$5))+SUMIFS(mag7_leases_fy2019_fy2026!$G:$G,mag7_leases_fy2019_fy2026!$A:$A,$B$126,mag7_leases_fy2019_fy2026!$B:$B,YEAR(D$5))</f>
        <v>11267</v>
      </c>
      <c r="E128" s="80">
        <f>SUMIFS(mag7_leases_fy2019_fy2026!$E:$E,mag7_leases_fy2019_fy2026!$A:$A,$B$126,mag7_leases_fy2019_fy2026!$B:$B,YEAR(E$5))+SUMIFS(mag7_leases_fy2019_fy2026!$G:$G,mag7_leases_fy2019_fy2026!$A:$A,$B$126,mag7_leases_fy2019_fy2026!$B:$B,YEAR(E$5))</f>
        <v>10748</v>
      </c>
      <c r="F128" s="80">
        <f>SUMIFS(mag7_leases_fy2019_fy2026!$E:$E,mag7_leases_fy2019_fy2026!$A:$A,$B$126,mag7_leases_fy2019_fy2026!$B:$B,YEAR(F$5))+SUMIFS(mag7_leases_fy2019_fy2026!$G:$G,mag7_leases_fy2019_fy2026!$A:$A,$B$126,mag7_leases_fy2019_fy2026!$B:$B,YEAR(F$5))</f>
        <v>10275</v>
      </c>
      <c r="G128" s="80">
        <f>SUMIFS(mag7_leases_fy2019_fy2026!$E:$E,mag7_leases_fy2019_fy2026!$A:$A,$B$126,mag7_leases_fy2019_fy2026!$B:$B,YEAR(G$5))+SUMIFS(mag7_leases_fy2019_fy2026!$G:$G,mag7_leases_fy2019_fy2026!$A:$A,$B$126,mag7_leases_fy2019_fy2026!$B:$B,YEAR(G$5))</f>
        <v>8382</v>
      </c>
      <c r="H128" s="80">
        <f>SUMIFS(mag7_leases_fy2019_fy2026!$E:$E,mag7_leases_fy2019_fy2026!$A:$A,$B$126,mag7_leases_fy2019_fy2026!$B:$B,YEAR(H$5))+SUMIFS(mag7_leases_fy2019_fy2026!$G:$G,mag7_leases_fy2019_fy2026!$A:$A,$B$126,mag7_leases_fy2019_fy2026!$B:$B,YEAR(H$5))</f>
        <v>0</v>
      </c>
    </row>
    <row r="129" spans="1:8" x14ac:dyDescent="0.25">
      <c r="A129" t="s">
        <v>917</v>
      </c>
      <c r="B129" s="135">
        <f t="shared" ref="B129:H129" si="35">B127+B128</f>
        <v>13720</v>
      </c>
      <c r="C129" s="135">
        <f t="shared" si="35"/>
        <v>12430</v>
      </c>
      <c r="D129" s="135">
        <f t="shared" si="35"/>
        <v>12842</v>
      </c>
      <c r="E129" s="135">
        <f t="shared" si="35"/>
        <v>12411</v>
      </c>
      <c r="F129" s="135">
        <f t="shared" si="35"/>
        <v>11803</v>
      </c>
      <c r="G129" s="135">
        <f t="shared" si="35"/>
        <v>9842</v>
      </c>
      <c r="H129" s="135">
        <f t="shared" si="35"/>
        <v>0</v>
      </c>
    </row>
    <row r="130" spans="1:8" x14ac:dyDescent="0.25">
      <c r="A130" t="s">
        <v>918</v>
      </c>
      <c r="B130" s="80">
        <f>SUMIFS(mag7_leases_fy2019_fy2026!$H:$H,mag7_leases_fy2019_fy2026!$A:$A,$B$126,mag7_leases_fy2019_fy2026!$B:$B,YEAR(B$5))</f>
        <v>11205</v>
      </c>
      <c r="C130" s="80">
        <f>SUMIFS(mag7_leases_fy2019_fy2026!$H:$H,mag7_leases_fy2019_fy2026!$A:$A,$B$126,mag7_leases_fy2019_fy2026!$B:$B,YEAR(C$5))</f>
        <v>10234</v>
      </c>
      <c r="D130" s="80">
        <f>SUMIFS(mag7_leases_fy2019_fy2026!$H:$H,mag7_leases_fy2019_fy2026!$A:$A,$B$126,mag7_leases_fy2019_fy2026!$B:$B,YEAR(D$5))</f>
        <v>10661</v>
      </c>
      <c r="E130" s="80">
        <f>SUMIFS(mag7_leases_fy2019_fy2026!$H:$H,mag7_leases_fy2019_fy2026!$A:$A,$B$126,mag7_leases_fy2019_fy2026!$B:$B,YEAR(E$5))</f>
        <v>10417</v>
      </c>
      <c r="F130" s="80">
        <f>SUMIFS(mag7_leases_fy2019_fy2026!$H:$H,mag7_leases_fy2019_fy2026!$A:$A,$B$126,mag7_leases_fy2019_fy2026!$B:$B,YEAR(F$5))</f>
        <v>10087</v>
      </c>
      <c r="G130" s="80">
        <f>SUMIFS(mag7_leases_fy2019_fy2026!$H:$H,mag7_leases_fy2019_fy2026!$A:$A,$B$126,mag7_leases_fy2019_fy2026!$B:$B,YEAR(G$5))</f>
        <v>8570</v>
      </c>
      <c r="H130" s="80">
        <f>SUMIFS(mag7_leases_fy2019_fy2026!$H:$H,mag7_leases_fy2019_fy2026!$A:$A,$B$126,mag7_leases_fy2019_fy2026!$B:$B,YEAR(H$5))</f>
        <v>0</v>
      </c>
    </row>
    <row r="135" spans="1:8" x14ac:dyDescent="0.25">
      <c r="A135" s="67" t="s">
        <v>1358</v>
      </c>
    </row>
    <row r="136" spans="1:8" x14ac:dyDescent="0.25">
      <c r="A136" t="s">
        <v>1359</v>
      </c>
      <c r="B136" s="190">
        <v>5</v>
      </c>
    </row>
    <row r="137" spans="1:8" x14ac:dyDescent="0.25">
      <c r="A137" t="s">
        <v>1360</v>
      </c>
      <c r="B137" s="35">
        <f>'AAPL - Income Statement FY'!B13</f>
        <v>34550</v>
      </c>
      <c r="C137" s="35">
        <f>'AAPL - Income Statement FY'!C13</f>
        <v>31370</v>
      </c>
      <c r="D137" s="35">
        <f>'AAPL - Income Statement FY'!D13</f>
        <v>29915</v>
      </c>
      <c r="E137" s="35">
        <f>'AAPL - Income Statement FY'!E13</f>
        <v>26251</v>
      </c>
      <c r="F137" s="35">
        <f>'AAPL - Income Statement FY'!F13</f>
        <v>21914</v>
      </c>
      <c r="G137" s="35">
        <f>'AAPL - Income Statement FY'!G13</f>
        <v>18752</v>
      </c>
      <c r="H137" s="35">
        <f>'AAPL - Income Statement FY'!H13</f>
        <v>16217</v>
      </c>
    </row>
    <row r="138" spans="1:8" x14ac:dyDescent="0.25">
      <c r="A138" t="s">
        <v>1361</v>
      </c>
      <c r="B138" s="35">
        <f>B137*MAX(0,($B$136-0)/$B$136)+C137*MAX(0,($B$136-1)/$B$136)+D137*MAX(0,($B$136-2)/$B$136)+E137*MAX(0,($B$136-3)/$B$136)+F137*MAX(0,($B$136-4)/$B$136)</f>
        <v>92478.2</v>
      </c>
      <c r="C138" s="35">
        <f>C137*MAX(0,($B$136-0)/$B$136)+D137*MAX(0,($B$136-1)/$B$136)+E137*MAX(0,($B$136-2)/$B$136)+F137*MAX(0,($B$136-3)/$B$136)+G137*MAX(0,($B$136-4)/$B$136)</f>
        <v>83568.600000000006</v>
      </c>
      <c r="D138" s="35">
        <f>D137*MAX(0,($B$136-0)/$B$136)+E137*MAX(0,($B$136-1)/$B$136)+F137*MAX(0,($B$136-2)/$B$136)+G137*MAX(0,($B$136-3)/$B$136)+H137*MAX(0,($B$136-4)/$B$136)</f>
        <v>74808.399999999994</v>
      </c>
      <c r="E138" s="35" t="str">
        <f>""</f>
        <v/>
      </c>
      <c r="F138" s="35" t="str">
        <f>""</f>
        <v/>
      </c>
      <c r="G138" s="35" t="str">
        <f>""</f>
        <v/>
      </c>
      <c r="H138" s="35" t="str">
        <f>""</f>
        <v/>
      </c>
    </row>
    <row r="139" spans="1:8" x14ac:dyDescent="0.25">
      <c r="A139" t="s">
        <v>1362</v>
      </c>
      <c r="B139" s="35">
        <f>(C137*IF($B$136&gt;=1,1,0)+D137*IF($B$136&gt;=2,1,0)+E137*IF($B$136&gt;=3,1,0)+F137*IF($B$136&gt;=4,1,0)+G137*IF($B$136&gt;=5,1,0))/$B$136</f>
        <v>25640.400000000001</v>
      </c>
      <c r="C139" s="35">
        <f>(D137*IF($B$136&gt;=1,1,0)+E137*IF($B$136&gt;=2,1,0)+F137*IF($B$136&gt;=3,1,0)+G137*IF($B$136&gt;=4,1,0)+H137*IF($B$136&gt;=5,1,0))/$B$136</f>
        <v>22609.8</v>
      </c>
      <c r="D139" s="35" t="str">
        <f>""</f>
        <v/>
      </c>
      <c r="E139" s="35" t="str">
        <f>""</f>
        <v/>
      </c>
      <c r="F139" s="35" t="str">
        <f>""</f>
        <v/>
      </c>
      <c r="G139" s="35" t="str">
        <f>""</f>
        <v/>
      </c>
      <c r="H139" s="35" t="str">
        <f>""</f>
        <v/>
      </c>
    </row>
    <row r="140" spans="1:8" x14ac:dyDescent="0.25">
      <c r="A140" t="s">
        <v>1363</v>
      </c>
      <c r="B140" s="35">
        <f t="shared" ref="B140:H140" si="36">B54</f>
        <v>133050</v>
      </c>
      <c r="C140" s="35">
        <f t="shared" si="36"/>
        <v>123216</v>
      </c>
      <c r="D140" s="35">
        <f t="shared" si="36"/>
        <v>114301</v>
      </c>
      <c r="E140" s="35">
        <f t="shared" si="36"/>
        <v>119437</v>
      </c>
      <c r="F140" s="35">
        <f t="shared" si="36"/>
        <v>108949</v>
      </c>
      <c r="G140" s="35">
        <f t="shared" si="36"/>
        <v>66288</v>
      </c>
      <c r="H140" s="35">
        <f t="shared" si="36"/>
        <v>63930</v>
      </c>
    </row>
    <row r="141" spans="1:8" x14ac:dyDescent="0.25">
      <c r="A141" t="s">
        <v>1364</v>
      </c>
      <c r="B141" s="35">
        <f>B140+B137-B139</f>
        <v>141959.6</v>
      </c>
      <c r="C141" s="35">
        <f>C140+C137-C139</f>
        <v>131976.20000000001</v>
      </c>
      <c r="D141" s="35" t="str">
        <f>""</f>
        <v/>
      </c>
      <c r="E141" s="35" t="str">
        <f>""</f>
        <v/>
      </c>
      <c r="F141" s="35" t="str">
        <f>""</f>
        <v/>
      </c>
      <c r="G141" s="35" t="str">
        <f>""</f>
        <v/>
      </c>
      <c r="H141" s="35" t="str">
        <f>""</f>
        <v/>
      </c>
    </row>
    <row r="142" spans="1:8" x14ac:dyDescent="0.25">
      <c r="A142" t="s">
        <v>1365</v>
      </c>
      <c r="B142" s="35">
        <f>B141*(1-$B$9)</f>
        <v>112148.084</v>
      </c>
      <c r="C142" s="35">
        <f>C141*(1-$B$9)</f>
        <v>104261.19800000002</v>
      </c>
      <c r="D142" s="35" t="str">
        <f>""</f>
        <v/>
      </c>
      <c r="E142" s="35" t="str">
        <f>""</f>
        <v/>
      </c>
      <c r="F142" s="35" t="str">
        <f>""</f>
        <v/>
      </c>
      <c r="G142" s="35" t="str">
        <f>""</f>
        <v/>
      </c>
      <c r="H142" s="35" t="str">
        <f>""</f>
        <v/>
      </c>
    </row>
    <row r="143" spans="1:8" x14ac:dyDescent="0.25">
      <c r="A143" t="s">
        <v>1366</v>
      </c>
      <c r="B143" s="35">
        <f t="shared" ref="B143:H143" si="37">B32</f>
        <v>54956.22</v>
      </c>
      <c r="C143" s="35">
        <f t="shared" si="37"/>
        <v>20110.699999999997</v>
      </c>
      <c r="D143" s="35">
        <f t="shared" si="37"/>
        <v>26632.699999999997</v>
      </c>
      <c r="E143" s="35">
        <f t="shared" si="37"/>
        <v>18965.559999999998</v>
      </c>
      <c r="F143" s="35">
        <f t="shared" si="37"/>
        <v>28215.339999999997</v>
      </c>
      <c r="G143" s="35">
        <f t="shared" si="37"/>
        <v>11119.300000000003</v>
      </c>
      <c r="H143" s="35">
        <f t="shared" si="37"/>
        <v>-2159.5199999999895</v>
      </c>
    </row>
    <row r="144" spans="1:8" x14ac:dyDescent="0.25">
      <c r="A144" t="s">
        <v>1367</v>
      </c>
      <c r="B144" s="35">
        <f>B32+B138</f>
        <v>147434.41999999998</v>
      </c>
      <c r="C144" s="35">
        <f>C32+C138</f>
        <v>103679.3</v>
      </c>
      <c r="D144" s="35">
        <f>D32+D138</f>
        <v>101441.09999999999</v>
      </c>
      <c r="E144" s="35" t="str">
        <f>""</f>
        <v/>
      </c>
      <c r="F144" s="35" t="str">
        <f>""</f>
        <v/>
      </c>
      <c r="G144" s="35" t="str">
        <f>""</f>
        <v/>
      </c>
      <c r="H144" s="35" t="str">
        <f>""</f>
        <v/>
      </c>
    </row>
    <row r="145" spans="1:8" x14ac:dyDescent="0.25">
      <c r="A145" t="s">
        <v>1368</v>
      </c>
      <c r="B145" s="28">
        <f t="shared" ref="B145:H145" si="38">IFERROR(B56/B32,"")</f>
        <v>1.9126042511657462</v>
      </c>
      <c r="C145" s="28">
        <f t="shared" si="38"/>
        <v>4.8402412646004374</v>
      </c>
      <c r="D145" s="28">
        <f t="shared" si="38"/>
        <v>3.390485756232001</v>
      </c>
      <c r="E145" s="28">
        <f t="shared" si="38"/>
        <v>4.9750827289043933</v>
      </c>
      <c r="F145" s="28">
        <f t="shared" si="38"/>
        <v>3.0504580132651244</v>
      </c>
      <c r="G145" s="28">
        <f t="shared" si="38"/>
        <v>4.7096058205102826</v>
      </c>
      <c r="H145" s="28">
        <f t="shared" si="38"/>
        <v>-23.387002667259502</v>
      </c>
    </row>
    <row r="146" spans="1:8" x14ac:dyDescent="0.25">
      <c r="A146" t="s">
        <v>1369</v>
      </c>
      <c r="B146" s="28">
        <f>IFERROR(B142/B144,"")</f>
        <v>0.76066419225578408</v>
      </c>
      <c r="C146" s="28">
        <f>IFERROR(C142/C144,"")</f>
        <v>1.0056124800225312</v>
      </c>
      <c r="D146" s="28" t="str">
        <f>""</f>
        <v/>
      </c>
      <c r="E146" s="28" t="str">
        <f>""</f>
        <v/>
      </c>
      <c r="F146" s="28" t="str">
        <f>""</f>
        <v/>
      </c>
      <c r="G146" s="28" t="str">
        <f>""</f>
        <v/>
      </c>
      <c r="H146" s="28" t="str">
        <f>""</f>
        <v/>
      </c>
    </row>
    <row r="148" spans="1:8" x14ac:dyDescent="0.25">
      <c r="A148" s="67" t="s">
        <v>1497</v>
      </c>
    </row>
    <row r="149" spans="1:8" x14ac:dyDescent="0.25">
      <c r="A149" t="s">
        <v>1498</v>
      </c>
      <c r="B149" s="3">
        <f>IF(COUNTIFS(mag7_leases_fy2019_fy2026!$A:$A,$B$126,mag7_leases_fy2019_fy2026!$B:$B,YEAR(B$5),mag7_leases_fy2019_fy2026!$L:$L,"&gt;0")=0,"",SUMIFS(mag7_leases_fy2019_fy2026!$L:$L,mag7_leases_fy2019_fy2026!$A:$A,$B$126,mag7_leases_fy2019_fy2026!$B:$B,YEAR(B$5))/100)</f>
        <v>3.4000000000000002E-2</v>
      </c>
      <c r="C149" s="3">
        <f>IF(COUNTIFS(mag7_leases_fy2019_fy2026!$A:$A,$B$126,mag7_leases_fy2019_fy2026!$B:$B,YEAR(C$5),mag7_leases_fy2019_fy2026!$L:$L,"&gt;0")=0,"",SUMIFS(mag7_leases_fy2019_fy2026!$L:$L,mag7_leases_fy2019_fy2026!$A:$A,$B$126,mag7_leases_fy2019_fy2026!$B:$B,YEAR(C$5))/100)</f>
        <v>3.1E-2</v>
      </c>
      <c r="D149" s="3" t="str">
        <f>IF(COUNTIFS(mag7_leases_fy2019_fy2026!$A:$A,$B$126,mag7_leases_fy2019_fy2026!$B:$B,YEAR(D$5),mag7_leases_fy2019_fy2026!$L:$L,"&gt;0")=0,"",SUMIFS(mag7_leases_fy2019_fy2026!$L:$L,mag7_leases_fy2019_fy2026!$A:$A,$B$126,mag7_leases_fy2019_fy2026!$B:$B,YEAR(D$5))/100)</f>
        <v/>
      </c>
      <c r="E149" s="3" t="str">
        <f>IF(COUNTIFS(mag7_leases_fy2019_fy2026!$A:$A,$B$126,mag7_leases_fy2019_fy2026!$B:$B,YEAR(E$5),mag7_leases_fy2019_fy2026!$L:$L,"&gt;0")=0,"",SUMIFS(mag7_leases_fy2019_fy2026!$L:$L,mag7_leases_fy2019_fy2026!$A:$A,$B$126,mag7_leases_fy2019_fy2026!$B:$B,YEAR(E$5))/100)</f>
        <v/>
      </c>
      <c r="F149" s="3" t="str">
        <f>IF(COUNTIFS(mag7_leases_fy2019_fy2026!$A:$A,$B$126,mag7_leases_fy2019_fy2026!$B:$B,YEAR(F$5),mag7_leases_fy2019_fy2026!$L:$L,"&gt;0")=0,"",SUMIFS(mag7_leases_fy2019_fy2026!$L:$L,mag7_leases_fy2019_fy2026!$A:$A,$B$126,mag7_leases_fy2019_fy2026!$B:$B,YEAR(F$5))/100)</f>
        <v/>
      </c>
      <c r="G149" s="3" t="str">
        <f>IF(COUNTIFS(mag7_leases_fy2019_fy2026!$A:$A,$B$126,mag7_leases_fy2019_fy2026!$B:$B,YEAR(G$5),mag7_leases_fy2019_fy2026!$L:$L,"&gt;0")=0,"",SUMIFS(mag7_leases_fy2019_fy2026!$L:$L,mag7_leases_fy2019_fy2026!$A:$A,$B$126,mag7_leases_fy2019_fy2026!$B:$B,YEAR(G$5))/100)</f>
        <v/>
      </c>
      <c r="H149" s="3" t="str">
        <f>IF(COUNTIFS(mag7_leases_fy2019_fy2026!$A:$A,$B$126,mag7_leases_fy2019_fy2026!$B:$B,YEAR(H$5),mag7_leases_fy2019_fy2026!$L:$L,"&gt;0")=0,"",SUMIFS(mag7_leases_fy2019_fy2026!$L:$L,mag7_leases_fy2019_fy2026!$A:$A,$B$126,mag7_leases_fy2019_fy2026!$B:$B,YEAR(H$5))/100)</f>
        <v/>
      </c>
    </row>
    <row r="150" spans="1:8" x14ac:dyDescent="0.25">
      <c r="A150" t="s">
        <v>917</v>
      </c>
      <c r="B150" s="35">
        <f t="shared" ref="B150:H150" si="39">B129</f>
        <v>13720</v>
      </c>
      <c r="C150" s="35">
        <f t="shared" si="39"/>
        <v>12430</v>
      </c>
      <c r="D150" s="35">
        <f t="shared" si="39"/>
        <v>12842</v>
      </c>
      <c r="E150" s="35">
        <f t="shared" si="39"/>
        <v>12411</v>
      </c>
      <c r="F150" s="35">
        <f t="shared" si="39"/>
        <v>11803</v>
      </c>
      <c r="G150" s="35">
        <f t="shared" si="39"/>
        <v>9842</v>
      </c>
      <c r="H150" s="35">
        <f t="shared" si="39"/>
        <v>0</v>
      </c>
    </row>
    <row r="151" spans="1:8" x14ac:dyDescent="0.25">
      <c r="A151" t="s">
        <v>1499</v>
      </c>
      <c r="B151" s="35">
        <f t="shared" ref="B151:H151" si="40">IF(B149="","",B149*B150)</f>
        <v>466.48</v>
      </c>
      <c r="C151" s="35">
        <f t="shared" si="40"/>
        <v>385.33</v>
      </c>
      <c r="D151" s="35" t="str">
        <f t="shared" si="40"/>
        <v/>
      </c>
      <c r="E151" s="35" t="str">
        <f t="shared" si="40"/>
        <v/>
      </c>
      <c r="F151" s="35" t="str">
        <f t="shared" si="40"/>
        <v/>
      </c>
      <c r="G151" s="35" t="str">
        <f t="shared" si="40"/>
        <v/>
      </c>
      <c r="H151" s="35" t="str">
        <f t="shared" si="40"/>
        <v/>
      </c>
    </row>
    <row r="152" spans="1:8" x14ac:dyDescent="0.25">
      <c r="A152" t="s">
        <v>1500</v>
      </c>
      <c r="B152" s="3">
        <f>IF(B151="","",B151/'AAPL - Income Statement FY'!B7)</f>
        <v>1.1209123392148712E-3</v>
      </c>
      <c r="C152" s="3">
        <f>IF(C151="","",C151/'AAPL - Income Statement FY'!C7)</f>
        <v>9.8541051312542359E-4</v>
      </c>
      <c r="D152" s="3" t="str">
        <f>IF(D151="","",D151/'AAPL - Income Statement FY'!D7)</f>
        <v/>
      </c>
      <c r="E152" s="3" t="str">
        <f>IF(E151="","",E151/'AAPL - Income Statement FY'!E7)</f>
        <v/>
      </c>
      <c r="F152" s="3" t="str">
        <f>IF(F151="","",F151/'AAPL - Income Statement FY'!F7)</f>
        <v/>
      </c>
      <c r="G152" s="3" t="str">
        <f>IF(G151="","",G151/'AAPL - Income Statement FY'!G7)</f>
        <v/>
      </c>
      <c r="H152" s="3" t="str">
        <f>IF(H151="","",H151/'AAPL - Income Statement FY'!H7)</f>
        <v/>
      </c>
    </row>
    <row r="153" spans="1:8" x14ac:dyDescent="0.25">
      <c r="A153" t="s">
        <v>1363</v>
      </c>
      <c r="B153" s="35">
        <f t="shared" ref="B153:H153" si="41">B54</f>
        <v>133050</v>
      </c>
      <c r="C153" s="35">
        <f t="shared" si="41"/>
        <v>123216</v>
      </c>
      <c r="D153" s="35">
        <f t="shared" si="41"/>
        <v>114301</v>
      </c>
      <c r="E153" s="35">
        <f t="shared" si="41"/>
        <v>119437</v>
      </c>
      <c r="F153" s="35">
        <f t="shared" si="41"/>
        <v>108949</v>
      </c>
      <c r="G153" s="35">
        <f t="shared" si="41"/>
        <v>66288</v>
      </c>
      <c r="H153" s="35">
        <f t="shared" si="41"/>
        <v>63930</v>
      </c>
    </row>
    <row r="154" spans="1:8" x14ac:dyDescent="0.25">
      <c r="A154" t="s">
        <v>1501</v>
      </c>
      <c r="B154" s="35">
        <f t="shared" ref="B154:H154" si="42">IF(B151="",B153,B153+B151)</f>
        <v>133516.48000000001</v>
      </c>
      <c r="C154" s="35">
        <f t="shared" si="42"/>
        <v>123601.33</v>
      </c>
      <c r="D154" s="35">
        <f t="shared" si="42"/>
        <v>114301</v>
      </c>
      <c r="E154" s="35">
        <f t="shared" si="42"/>
        <v>119437</v>
      </c>
      <c r="F154" s="35">
        <f t="shared" si="42"/>
        <v>108949</v>
      </c>
      <c r="G154" s="35">
        <f t="shared" si="42"/>
        <v>66288</v>
      </c>
      <c r="H154" s="35">
        <f t="shared" si="42"/>
        <v>63930</v>
      </c>
    </row>
    <row r="155" spans="1:8" x14ac:dyDescent="0.25">
      <c r="A155" t="s">
        <v>1365</v>
      </c>
      <c r="B155" s="35">
        <f t="shared" ref="B155:H155" si="43">B154*(1-$B$9)</f>
        <v>105478.01920000001</v>
      </c>
      <c r="C155" s="35">
        <f t="shared" si="43"/>
        <v>97645.050700000007</v>
      </c>
      <c r="D155" s="35">
        <f t="shared" si="43"/>
        <v>90297.790000000008</v>
      </c>
      <c r="E155" s="35">
        <f t="shared" si="43"/>
        <v>94355.23000000001</v>
      </c>
      <c r="F155" s="35">
        <f t="shared" si="43"/>
        <v>86069.71</v>
      </c>
      <c r="G155" s="35">
        <f t="shared" si="43"/>
        <v>52367.520000000004</v>
      </c>
      <c r="H155" s="35">
        <f t="shared" si="43"/>
        <v>50504.700000000004</v>
      </c>
    </row>
    <row r="156" spans="1:8" x14ac:dyDescent="0.25">
      <c r="A156" t="s">
        <v>1502</v>
      </c>
      <c r="B156" s="62" t="str">
        <f t="shared" ref="B156:H156" si="44">IF(B149="","MISSING - add-back omitted","ok")</f>
        <v>ok</v>
      </c>
      <c r="C156" s="62" t="str">
        <f t="shared" si="44"/>
        <v>ok</v>
      </c>
      <c r="D156" s="62" t="str">
        <f t="shared" si="44"/>
        <v>MISSING - add-back omitted</v>
      </c>
      <c r="E156" s="62" t="str">
        <f t="shared" si="44"/>
        <v>MISSING - add-back omitted</v>
      </c>
      <c r="F156" s="62" t="str">
        <f t="shared" si="44"/>
        <v>MISSING - add-back omitted</v>
      </c>
      <c r="G156" s="62" t="str">
        <f t="shared" si="44"/>
        <v>MISSING - add-back omitted</v>
      </c>
      <c r="H156" s="62" t="str">
        <f t="shared" si="44"/>
        <v>MISSING - add-back omitted</v>
      </c>
    </row>
  </sheetData>
  <conditionalFormatting sqref="B51:H51">
    <cfRule type="cellIs" dxfId="13" priority="1" operator="notBetween">
      <formula>0.5</formula>
      <formula>-0.5</formula>
    </cfRule>
  </conditionalFormatting>
  <conditionalFormatting sqref="B156:H156">
    <cfRule type="containsText" dxfId="12" priority="2" operator="containsText" text="MISSING">
      <formula>NOT(ISERROR(SEARCH("MISSING",B156)))</formula>
    </cfRule>
  </conditionalFormatting>
  <pageMargins left="0.7" right="0.7" top="0.75" bottom="0.75" header="0.3" footer="0.3"/>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423BB2-2E79-44F0-8B8A-50B9BB6B1EBE}">
  <sheetPr>
    <tabColor rgb="FFFFE699"/>
  </sheetPr>
  <dimension ref="A1:H156"/>
  <sheetViews>
    <sheetView workbookViewId="0">
      <pane xSplit="1" topLeftCell="B1" activePane="topRight" state="frozen"/>
      <selection pane="topRight"/>
    </sheetView>
  </sheetViews>
  <sheetFormatPr defaultRowHeight="15" x14ac:dyDescent="0.25"/>
  <cols>
    <col min="1" max="1" width="61.7109375" bestFit="1" customWidth="1"/>
    <col min="2" max="8" width="16.7109375" customWidth="1"/>
  </cols>
  <sheetData>
    <row r="1" spans="1:8" ht="15.75" x14ac:dyDescent="0.25">
      <c r="A1" s="16" t="s">
        <v>221</v>
      </c>
      <c r="B1" s="16"/>
      <c r="C1" s="16"/>
      <c r="D1" s="16"/>
      <c r="E1" s="16"/>
      <c r="F1" s="16"/>
      <c r="G1" s="16"/>
      <c r="H1" s="16"/>
    </row>
    <row r="2" spans="1:8" x14ac:dyDescent="0.25">
      <c r="A2" s="17" t="s">
        <v>1</v>
      </c>
      <c r="B2" s="149" t="str">
        <f>'MSFT - Income Statement FY'!B2</f>
        <v>MSFT (NASDAQ)</v>
      </c>
      <c r="C2" s="17"/>
      <c r="D2" s="17"/>
      <c r="E2" s="17"/>
      <c r="F2" s="17"/>
      <c r="G2" s="17"/>
      <c r="H2" s="17"/>
    </row>
    <row r="3" spans="1:8" x14ac:dyDescent="0.25">
      <c r="A3" s="17" t="s">
        <v>3</v>
      </c>
      <c r="B3" s="149" t="str">
        <f>'MSFT - Income Statement FY'!B3</f>
        <v>USD</v>
      </c>
      <c r="C3" s="17"/>
      <c r="D3" s="17"/>
      <c r="E3" s="17"/>
      <c r="F3" s="17"/>
      <c r="G3" s="17"/>
      <c r="H3" s="17"/>
    </row>
    <row r="4" spans="1:8" x14ac:dyDescent="0.25">
      <c r="A4" s="17" t="s">
        <v>32</v>
      </c>
      <c r="B4" s="150" t="str">
        <f>'MSFT - Income Statement FY'!B4</f>
        <v>FY</v>
      </c>
      <c r="C4" s="150">
        <f>'MSFT - Income Statement FY'!C4</f>
        <v>0</v>
      </c>
      <c r="D4" s="150">
        <f>'MSFT - Income Statement FY'!D4</f>
        <v>0</v>
      </c>
      <c r="E4" s="150">
        <f>'MSFT - Income Statement FY'!E4</f>
        <v>0</v>
      </c>
      <c r="F4" s="150">
        <f>'MSFT - Income Statement FY'!F4</f>
        <v>0</v>
      </c>
      <c r="G4" s="150">
        <f>'MSFT - Income Statement FY'!G4</f>
        <v>0</v>
      </c>
      <c r="H4" s="150">
        <f>'MSFT - Income Statement FY'!H4</f>
        <v>0</v>
      </c>
    </row>
    <row r="5" spans="1:8" x14ac:dyDescent="0.25">
      <c r="A5" s="17" t="s">
        <v>34</v>
      </c>
      <c r="B5" s="151">
        <f>'MSFT - Income Statement FY'!B5</f>
        <v>45838</v>
      </c>
      <c r="C5" s="151">
        <f>'MSFT - Income Statement FY'!C5</f>
        <v>45473</v>
      </c>
      <c r="D5" s="151">
        <f>'MSFT - Income Statement FY'!D5</f>
        <v>45107</v>
      </c>
      <c r="E5" s="151">
        <f>'MSFT - Income Statement FY'!E5</f>
        <v>44742</v>
      </c>
      <c r="F5" s="151">
        <f>'MSFT - Income Statement FY'!F5</f>
        <v>44377</v>
      </c>
      <c r="G5" s="151">
        <f>'MSFT - Income Statement FY'!G5</f>
        <v>44012</v>
      </c>
      <c r="H5" s="151">
        <f>'MSFT - Income Statement FY'!H5</f>
        <v>43646</v>
      </c>
    </row>
    <row r="6" spans="1:8" x14ac:dyDescent="0.25">
      <c r="A6" s="17"/>
      <c r="B6" s="17"/>
      <c r="C6" s="17"/>
      <c r="D6" s="17"/>
      <c r="E6" s="17"/>
      <c r="F6" s="17"/>
      <c r="G6" s="17"/>
      <c r="H6" s="17"/>
    </row>
    <row r="7" spans="1:8" x14ac:dyDescent="0.25">
      <c r="A7" s="20" t="s">
        <v>222</v>
      </c>
      <c r="B7" s="20"/>
      <c r="C7" s="20"/>
      <c r="D7" s="20"/>
      <c r="E7" s="20"/>
      <c r="F7" s="20"/>
      <c r="G7" s="20"/>
      <c r="H7" s="20"/>
    </row>
    <row r="8" spans="1:8" x14ac:dyDescent="0.25">
      <c r="A8" s="17" t="s">
        <v>223</v>
      </c>
      <c r="B8" s="21">
        <v>0.02</v>
      </c>
      <c r="C8" s="17"/>
      <c r="D8" s="17"/>
      <c r="E8" s="17"/>
      <c r="F8" s="17"/>
      <c r="G8" s="17"/>
      <c r="H8" s="17"/>
    </row>
    <row r="9" spans="1:8" x14ac:dyDescent="0.25">
      <c r="A9" s="17" t="s">
        <v>224</v>
      </c>
      <c r="B9" s="180">
        <f>'Valuation Dashboard'!$B$12</f>
        <v>0.21</v>
      </c>
      <c r="C9" s="17"/>
      <c r="D9" s="17"/>
      <c r="E9" s="17"/>
      <c r="F9" s="17"/>
      <c r="G9" s="17"/>
      <c r="H9" s="17"/>
    </row>
    <row r="10" spans="1:8" x14ac:dyDescent="0.25">
      <c r="A10" s="17"/>
      <c r="B10" s="17"/>
      <c r="C10" s="17"/>
      <c r="D10" s="17"/>
      <c r="E10" s="17"/>
      <c r="F10" s="17"/>
      <c r="G10" s="17"/>
      <c r="H10" s="17"/>
    </row>
    <row r="11" spans="1:8" x14ac:dyDescent="0.25">
      <c r="A11" s="20" t="s">
        <v>225</v>
      </c>
      <c r="B11" s="20"/>
      <c r="C11" s="20"/>
      <c r="D11" s="20"/>
      <c r="E11" s="20"/>
      <c r="F11" s="20"/>
      <c r="G11" s="20"/>
      <c r="H11" s="20"/>
    </row>
    <row r="12" spans="1:8" x14ac:dyDescent="0.25">
      <c r="A12" s="17" t="s">
        <v>226</v>
      </c>
      <c r="B12" s="152">
        <f>MIN('MSFT - Balance Sheet FY'!B7,$B$8*'MSFT - Income Statement FY'!B7)</f>
        <v>5634.4800000000005</v>
      </c>
      <c r="C12" s="152">
        <f>MIN('MSFT - Balance Sheet FY'!C7,$B$8*'MSFT - Income Statement FY'!C7)</f>
        <v>4902.4400000000005</v>
      </c>
      <c r="D12" s="152">
        <f>MIN('MSFT - Balance Sheet FY'!D7,$B$8*'MSFT - Income Statement FY'!D7)</f>
        <v>4238.3</v>
      </c>
      <c r="E12" s="152">
        <f>MIN('MSFT - Balance Sheet FY'!E7,$B$8*'MSFT - Income Statement FY'!E7)</f>
        <v>3965.4</v>
      </c>
      <c r="F12" s="152">
        <f>MIN('MSFT - Balance Sheet FY'!F7,$B$8*'MSFT - Income Statement FY'!F7)</f>
        <v>3361.76</v>
      </c>
      <c r="G12" s="152">
        <f>MIN('MSFT - Balance Sheet FY'!G7,$B$8*'MSFT - Income Statement FY'!G7)</f>
        <v>2860.3</v>
      </c>
      <c r="H12" s="152">
        <f>MIN('MSFT - Balance Sheet FY'!H7,$B$8*'MSFT - Income Statement FY'!H7)</f>
        <v>2516.86</v>
      </c>
    </row>
    <row r="13" spans="1:8" x14ac:dyDescent="0.25">
      <c r="A13" s="17" t="s">
        <v>227</v>
      </c>
      <c r="B13" s="152">
        <f>'MSFT - Balance Sheet FY'!B10</f>
        <v>69905</v>
      </c>
      <c r="C13" s="152">
        <f>'MSFT - Balance Sheet FY'!C10</f>
        <v>56924</v>
      </c>
      <c r="D13" s="152">
        <f>'MSFT - Balance Sheet FY'!D10</f>
        <v>48688</v>
      </c>
      <c r="E13" s="152">
        <f>'MSFT - Balance Sheet FY'!E10</f>
        <v>44261</v>
      </c>
      <c r="F13" s="152">
        <f>'MSFT - Balance Sheet FY'!F10</f>
        <v>38043</v>
      </c>
      <c r="G13" s="152">
        <f>'MSFT - Balance Sheet FY'!G10</f>
        <v>32011</v>
      </c>
      <c r="H13" s="152">
        <f>'MSFT - Balance Sheet FY'!H10</f>
        <v>29524</v>
      </c>
    </row>
    <row r="14" spans="1:8" x14ac:dyDescent="0.25">
      <c r="A14" s="17" t="s">
        <v>70</v>
      </c>
      <c r="B14" s="152">
        <f>'MSFT - Balance Sheet FY'!B11</f>
        <v>938</v>
      </c>
      <c r="C14" s="152">
        <f>'MSFT - Balance Sheet FY'!C11</f>
        <v>1246</v>
      </c>
      <c r="D14" s="152">
        <f>'MSFT - Balance Sheet FY'!D11</f>
        <v>2500</v>
      </c>
      <c r="E14" s="152">
        <f>'MSFT - Balance Sheet FY'!E11</f>
        <v>3742</v>
      </c>
      <c r="F14" s="152">
        <f>'MSFT - Balance Sheet FY'!F11</f>
        <v>2636</v>
      </c>
      <c r="G14" s="152">
        <f>'MSFT - Balance Sheet FY'!G11</f>
        <v>1895</v>
      </c>
      <c r="H14" s="152">
        <f>'MSFT - Balance Sheet FY'!H11</f>
        <v>2063</v>
      </c>
    </row>
    <row r="15" spans="1:8" x14ac:dyDescent="0.25">
      <c r="A15" s="17" t="s">
        <v>228</v>
      </c>
      <c r="B15" s="152">
        <f>'MSFT - Balance Sheet FY'!B12</f>
        <v>25723</v>
      </c>
      <c r="C15" s="152">
        <f>'MSFT - Balance Sheet FY'!C12</f>
        <v>26021</v>
      </c>
      <c r="D15" s="152">
        <f>'MSFT - Balance Sheet FY'!D12</f>
        <v>21807</v>
      </c>
      <c r="E15" s="152">
        <f>'MSFT - Balance Sheet FY'!E12</f>
        <v>16924</v>
      </c>
      <c r="F15" s="152">
        <f>'MSFT - Balance Sheet FY'!F12</f>
        <v>13393</v>
      </c>
      <c r="G15" s="152">
        <f>'MSFT - Balance Sheet FY'!G12</f>
        <v>11482</v>
      </c>
      <c r="H15" s="152">
        <f>'MSFT - Balance Sheet FY'!H12</f>
        <v>10146</v>
      </c>
    </row>
    <row r="16" spans="1:8" x14ac:dyDescent="0.25">
      <c r="A16" s="19" t="s">
        <v>229</v>
      </c>
      <c r="B16" s="153">
        <f t="shared" ref="B16:H16" si="0">SUM(B12:B15)</f>
        <v>102200.48</v>
      </c>
      <c r="C16" s="153">
        <f t="shared" si="0"/>
        <v>89093.440000000002</v>
      </c>
      <c r="D16" s="153">
        <f t="shared" si="0"/>
        <v>77233.3</v>
      </c>
      <c r="E16" s="153">
        <f t="shared" si="0"/>
        <v>68892.399999999994</v>
      </c>
      <c r="F16" s="153">
        <f t="shared" si="0"/>
        <v>57433.760000000002</v>
      </c>
      <c r="G16" s="153">
        <f t="shared" si="0"/>
        <v>48248.3</v>
      </c>
      <c r="H16" s="153">
        <f t="shared" si="0"/>
        <v>44249.86</v>
      </c>
    </row>
    <row r="17" spans="1:8" x14ac:dyDescent="0.25">
      <c r="A17" s="17" t="s">
        <v>230</v>
      </c>
      <c r="B17" s="152">
        <f>-'MSFT - Balance Sheet FY'!B27</f>
        <v>-27724</v>
      </c>
      <c r="C17" s="152">
        <f>-'MSFT - Balance Sheet FY'!C27</f>
        <v>-21996</v>
      </c>
      <c r="D17" s="152">
        <f>-'MSFT - Balance Sheet FY'!D27</f>
        <v>-18095</v>
      </c>
      <c r="E17" s="152">
        <f>-'MSFT - Balance Sheet FY'!E27</f>
        <v>-19000</v>
      </c>
      <c r="F17" s="152">
        <f>-'MSFT - Balance Sheet FY'!F27</f>
        <v>-15163</v>
      </c>
      <c r="G17" s="152">
        <f>-'MSFT - Balance Sheet FY'!G27</f>
        <v>-12530</v>
      </c>
      <c r="H17" s="152">
        <f>-'MSFT - Balance Sheet FY'!H27</f>
        <v>-9382</v>
      </c>
    </row>
    <row r="18" spans="1:8" x14ac:dyDescent="0.25">
      <c r="A18" s="17" t="s">
        <v>231</v>
      </c>
      <c r="B18" s="152">
        <f>-'MSFT - Balance Sheet FY'!B29</f>
        <v>-7211</v>
      </c>
      <c r="C18" s="152">
        <f>-'MSFT - Balance Sheet FY'!C29</f>
        <v>-5017</v>
      </c>
      <c r="D18" s="152">
        <f>-'MSFT - Balance Sheet FY'!D29</f>
        <v>-4152</v>
      </c>
      <c r="E18" s="152">
        <f>-'MSFT - Balance Sheet FY'!E29</f>
        <v>-4067</v>
      </c>
      <c r="F18" s="152">
        <f>-'MSFT - Balance Sheet FY'!F29</f>
        <v>-2174</v>
      </c>
      <c r="G18" s="152">
        <f>-'MSFT - Balance Sheet FY'!G29</f>
        <v>-2130</v>
      </c>
      <c r="H18" s="152">
        <f>-'MSFT - Balance Sheet FY'!H29</f>
        <v>-5665</v>
      </c>
    </row>
    <row r="19" spans="1:8" x14ac:dyDescent="0.25">
      <c r="A19" s="17" t="s">
        <v>232</v>
      </c>
      <c r="B19" s="152">
        <f>-'MSFT - Balance Sheet FY'!B30</f>
        <v>-64555</v>
      </c>
      <c r="C19" s="152">
        <f>-'MSFT - Balance Sheet FY'!C30</f>
        <v>-57582</v>
      </c>
      <c r="D19" s="152">
        <f>-'MSFT - Balance Sheet FY'!D30</f>
        <v>-50901</v>
      </c>
      <c r="E19" s="152">
        <f>-'MSFT - Balance Sheet FY'!E30</f>
        <v>-45538</v>
      </c>
      <c r="F19" s="152">
        <f>-'MSFT - Balance Sheet FY'!F30</f>
        <v>-41525</v>
      </c>
      <c r="G19" s="152">
        <f>-'MSFT - Balance Sheet FY'!G30</f>
        <v>-36000</v>
      </c>
      <c r="H19" s="152">
        <f>-'MSFT - Balance Sheet FY'!H30</f>
        <v>-32676</v>
      </c>
    </row>
    <row r="20" spans="1:8" x14ac:dyDescent="0.25">
      <c r="A20" s="17" t="s">
        <v>233</v>
      </c>
      <c r="B20" s="152">
        <f>-'MSFT - Balance Sheet FY'!B31</f>
        <v>-38729</v>
      </c>
      <c r="C20" s="152">
        <f>-'MSFT - Balance Sheet FY'!C31</f>
        <v>-31749</v>
      </c>
      <c r="D20" s="152">
        <f>-'MSFT - Balance Sheet FY'!D31</f>
        <v>-25754</v>
      </c>
      <c r="E20" s="152">
        <f>-'MSFT - Balance Sheet FY'!E31</f>
        <v>-23728</v>
      </c>
      <c r="F20" s="152">
        <f>-'MSFT - Balance Sheet FY'!F31</f>
        <v>-21723</v>
      </c>
      <c r="G20" s="152">
        <f>-'MSFT - Balance Sheet FY'!G31</f>
        <v>-17901</v>
      </c>
      <c r="H20" s="152">
        <f>-'MSFT - Balance Sheet FY'!H31</f>
        <v>-16181</v>
      </c>
    </row>
    <row r="21" spans="1:8" x14ac:dyDescent="0.25">
      <c r="A21" s="19" t="s">
        <v>234</v>
      </c>
      <c r="B21" s="153">
        <f t="shared" ref="B21:H21" si="1">SUM(B17:B20)+B127</f>
        <v>-129623</v>
      </c>
      <c r="C21" s="153">
        <f t="shared" si="1"/>
        <v>-110415</v>
      </c>
      <c r="D21" s="153">
        <f t="shared" si="1"/>
        <v>-95296</v>
      </c>
      <c r="E21" s="153">
        <f t="shared" si="1"/>
        <v>-89045</v>
      </c>
      <c r="F21" s="153">
        <f t="shared" si="1"/>
        <v>-77832</v>
      </c>
      <c r="G21" s="153">
        <f t="shared" si="1"/>
        <v>-66405</v>
      </c>
      <c r="H21" s="153">
        <f t="shared" si="1"/>
        <v>-63904</v>
      </c>
    </row>
    <row r="22" spans="1:8" x14ac:dyDescent="0.25">
      <c r="A22" s="19" t="s">
        <v>235</v>
      </c>
      <c r="B22" s="154">
        <f t="shared" ref="B22:H22" si="2">B16+B21</f>
        <v>-27422.520000000004</v>
      </c>
      <c r="C22" s="154">
        <f t="shared" si="2"/>
        <v>-21321.559999999998</v>
      </c>
      <c r="D22" s="154">
        <f t="shared" si="2"/>
        <v>-18062.699999999997</v>
      </c>
      <c r="E22" s="154">
        <f t="shared" si="2"/>
        <v>-20152.600000000006</v>
      </c>
      <c r="F22" s="154">
        <f t="shared" si="2"/>
        <v>-20398.239999999998</v>
      </c>
      <c r="G22" s="154">
        <f t="shared" si="2"/>
        <v>-18156.699999999997</v>
      </c>
      <c r="H22" s="154">
        <f t="shared" si="2"/>
        <v>-19654.14</v>
      </c>
    </row>
    <row r="23" spans="1:8" x14ac:dyDescent="0.25">
      <c r="A23" s="17"/>
      <c r="B23" s="17"/>
      <c r="C23" s="17"/>
      <c r="D23" s="17"/>
      <c r="E23" s="17"/>
      <c r="F23" s="17"/>
      <c r="G23" s="17"/>
      <c r="H23" s="17"/>
    </row>
    <row r="24" spans="1:8" x14ac:dyDescent="0.25">
      <c r="A24" s="17" t="s">
        <v>236</v>
      </c>
      <c r="B24" s="152">
        <f>'MSFT - Balance Sheet FY'!B15</f>
        <v>204966</v>
      </c>
      <c r="C24" s="152">
        <f>'MSFT - Balance Sheet FY'!C15</f>
        <v>135591</v>
      </c>
      <c r="D24" s="152">
        <f>'MSFT - Balance Sheet FY'!D15</f>
        <v>95641</v>
      </c>
      <c r="E24" s="152">
        <f>'MSFT - Balance Sheet FY'!E15</f>
        <v>74398</v>
      </c>
      <c r="F24" s="152">
        <f>'MSFT - Balance Sheet FY'!F15</f>
        <v>59715</v>
      </c>
      <c r="G24" s="152">
        <f>'MSFT - Balance Sheet FY'!G15</f>
        <v>44151</v>
      </c>
      <c r="H24" s="152">
        <f>'MSFT - Balance Sheet FY'!H15</f>
        <v>36477</v>
      </c>
    </row>
    <row r="25" spans="1:8" x14ac:dyDescent="0.25">
      <c r="A25" s="17" t="s">
        <v>66</v>
      </c>
      <c r="B25" s="152">
        <f>'MSFT - Balance Sheet FY'!B16</f>
        <v>119509</v>
      </c>
      <c r="C25" s="152">
        <f>'MSFT - Balance Sheet FY'!C16</f>
        <v>119220</v>
      </c>
      <c r="D25" s="152">
        <f>'MSFT - Balance Sheet FY'!D16</f>
        <v>67886</v>
      </c>
      <c r="E25" s="152">
        <f>'MSFT - Balance Sheet FY'!E16</f>
        <v>67524</v>
      </c>
      <c r="F25" s="152">
        <f>'MSFT - Balance Sheet FY'!F16</f>
        <v>49711</v>
      </c>
      <c r="G25" s="152">
        <f>'MSFT - Balance Sheet FY'!G16</f>
        <v>43351</v>
      </c>
      <c r="H25" s="152">
        <f>'MSFT - Balance Sheet FY'!H16</f>
        <v>42026</v>
      </c>
    </row>
    <row r="26" spans="1:8" x14ac:dyDescent="0.25">
      <c r="A26" s="17" t="s">
        <v>237</v>
      </c>
      <c r="B26" s="152">
        <f>'MSFT - Balance Sheet FY'!B17</f>
        <v>22604</v>
      </c>
      <c r="C26" s="152">
        <f>'MSFT - Balance Sheet FY'!C17</f>
        <v>27597</v>
      </c>
      <c r="D26" s="152">
        <f>'MSFT - Balance Sheet FY'!D17</f>
        <v>9366</v>
      </c>
      <c r="E26" s="152">
        <f>'MSFT - Balance Sheet FY'!E17</f>
        <v>11298</v>
      </c>
      <c r="F26" s="152">
        <f>'MSFT - Balance Sheet FY'!F17</f>
        <v>7800</v>
      </c>
      <c r="G26" s="152">
        <f>'MSFT - Balance Sheet FY'!G17</f>
        <v>7038</v>
      </c>
      <c r="H26" s="152">
        <f>'MSFT - Balance Sheet FY'!H17</f>
        <v>7750</v>
      </c>
    </row>
    <row r="27" spans="1:8" x14ac:dyDescent="0.25">
      <c r="A27" s="17" t="s">
        <v>238</v>
      </c>
      <c r="B27" s="152">
        <f>'MSFT - Balance Sheet FY'!B21</f>
        <v>65388</v>
      </c>
      <c r="C27" s="152">
        <f>'MSFT - Balance Sheet FY'!C21</f>
        <v>55421</v>
      </c>
      <c r="D27" s="152">
        <f>'MSFT - Balance Sheet FY'!D21</f>
        <v>44947</v>
      </c>
      <c r="E27" s="152">
        <f>'MSFT - Balance Sheet FY'!E21</f>
        <v>35045</v>
      </c>
      <c r="F27" s="152">
        <f>'MSFT - Balance Sheet FY'!F21</f>
        <v>26163</v>
      </c>
      <c r="G27" s="152">
        <f>'MSFT - Balance Sheet FY'!G21</f>
        <v>21891</v>
      </c>
      <c r="H27" s="152">
        <f>'MSFT - Balance Sheet FY'!H21</f>
        <v>22102</v>
      </c>
    </row>
    <row r="28" spans="1:8" x14ac:dyDescent="0.25">
      <c r="A28" s="17" t="s">
        <v>239</v>
      </c>
      <c r="B28" s="152">
        <f>-'MSFT - Balance Sheet FY'!B35</f>
        <v>-2710</v>
      </c>
      <c r="C28" s="152">
        <f>-'MSFT - Balance Sheet FY'!C35</f>
        <v>-2602</v>
      </c>
      <c r="D28" s="152">
        <f>-'MSFT - Balance Sheet FY'!D35</f>
        <v>-2912</v>
      </c>
      <c r="E28" s="152">
        <f>-'MSFT - Balance Sheet FY'!E35</f>
        <v>-2870</v>
      </c>
      <c r="F28" s="152">
        <f>-'MSFT - Balance Sheet FY'!F35</f>
        <v>-2616</v>
      </c>
      <c r="G28" s="152">
        <f>-'MSFT - Balance Sheet FY'!G35</f>
        <v>-3180</v>
      </c>
      <c r="H28" s="152">
        <f>-'MSFT - Balance Sheet FY'!H35</f>
        <v>-4530</v>
      </c>
    </row>
    <row r="29" spans="1:8" x14ac:dyDescent="0.25">
      <c r="A29" s="17" t="s">
        <v>240</v>
      </c>
      <c r="B29" s="152">
        <f>-'MSFT - Balance Sheet FY'!B36</f>
        <v>-2835</v>
      </c>
      <c r="C29" s="152">
        <f>-'MSFT - Balance Sheet FY'!C36</f>
        <v>-2618</v>
      </c>
      <c r="D29" s="152">
        <f>-'MSFT - Balance Sheet FY'!D36</f>
        <v>-433</v>
      </c>
      <c r="E29" s="152">
        <f>-'MSFT - Balance Sheet FY'!E36</f>
        <v>-230</v>
      </c>
      <c r="F29" s="152">
        <f>-'MSFT - Balance Sheet FY'!F36</f>
        <v>-198</v>
      </c>
      <c r="G29" s="152">
        <f>-'MSFT - Balance Sheet FY'!G36</f>
        <v>-204</v>
      </c>
      <c r="H29" s="152">
        <f>-'MSFT - Balance Sheet FY'!H36</f>
        <v>-233</v>
      </c>
    </row>
    <row r="30" spans="1:8" x14ac:dyDescent="0.25">
      <c r="A30" s="17" t="s">
        <v>241</v>
      </c>
      <c r="B30" s="152">
        <f>-'MSFT - Balance Sheet FY'!B37+B128</f>
        <v>-28172</v>
      </c>
      <c r="C30" s="152">
        <f>-'MSFT - Balance Sheet FY'!C37+C128</f>
        <v>-30199</v>
      </c>
      <c r="D30" s="152">
        <f>-'MSFT - Balance Sheet FY'!D37+D128</f>
        <v>-27671</v>
      </c>
      <c r="E30" s="152">
        <f>-'MSFT - Balance Sheet FY'!E37+E128</f>
        <v>-27753</v>
      </c>
      <c r="F30" s="152">
        <f>-'MSFT - Balance Sheet FY'!F37+F128</f>
        <v>-28867</v>
      </c>
      <c r="G30" s="152">
        <f>-'MSFT - Balance Sheet FY'!G37+G128</f>
        <v>-31108</v>
      </c>
      <c r="H30" s="152">
        <f>-'MSFT - Balance Sheet FY'!H37+H128</f>
        <v>-37193</v>
      </c>
    </row>
    <row r="31" spans="1:8" x14ac:dyDescent="0.25">
      <c r="A31" s="19" t="s">
        <v>242</v>
      </c>
      <c r="B31" s="154">
        <f t="shared" ref="B31:H31" si="3">B22+B24+B26+B27+B28+B29+B30</f>
        <v>231818.47999999998</v>
      </c>
      <c r="C31" s="154">
        <f t="shared" si="3"/>
        <v>161868.44</v>
      </c>
      <c r="D31" s="154">
        <f t="shared" si="3"/>
        <v>100875.29999999999</v>
      </c>
      <c r="E31" s="154">
        <f t="shared" si="3"/>
        <v>69735.399999999994</v>
      </c>
      <c r="F31" s="154">
        <f t="shared" si="3"/>
        <v>41598.760000000009</v>
      </c>
      <c r="G31" s="154">
        <f t="shared" si="3"/>
        <v>20431.300000000003</v>
      </c>
      <c r="H31" s="154">
        <f t="shared" si="3"/>
        <v>4718.8600000000006</v>
      </c>
    </row>
    <row r="32" spans="1:8" x14ac:dyDescent="0.25">
      <c r="A32" s="19" t="s">
        <v>243</v>
      </c>
      <c r="B32" s="154">
        <f t="shared" ref="B32:H32" si="4">B31+B25</f>
        <v>351327.48</v>
      </c>
      <c r="C32" s="154">
        <f t="shared" si="4"/>
        <v>281088.44</v>
      </c>
      <c r="D32" s="154">
        <f t="shared" si="4"/>
        <v>168761.3</v>
      </c>
      <c r="E32" s="154">
        <f t="shared" si="4"/>
        <v>137259.4</v>
      </c>
      <c r="F32" s="154">
        <f t="shared" si="4"/>
        <v>91309.760000000009</v>
      </c>
      <c r="G32" s="154">
        <f t="shared" si="4"/>
        <v>63782.3</v>
      </c>
      <c r="H32" s="154">
        <f t="shared" si="4"/>
        <v>46744.86</v>
      </c>
    </row>
    <row r="33" spans="1:8" x14ac:dyDescent="0.25">
      <c r="A33" s="17"/>
      <c r="B33" s="17"/>
      <c r="C33" s="17"/>
      <c r="D33" s="17"/>
      <c r="E33" s="17"/>
      <c r="F33" s="17"/>
      <c r="G33" s="17"/>
      <c r="H33" s="17"/>
    </row>
    <row r="34" spans="1:8" x14ac:dyDescent="0.25">
      <c r="A34" s="20" t="s">
        <v>244</v>
      </c>
      <c r="B34" s="20"/>
      <c r="C34" s="20"/>
      <c r="D34" s="20"/>
      <c r="E34" s="20"/>
      <c r="F34" s="20"/>
      <c r="G34" s="20"/>
      <c r="H34" s="20"/>
    </row>
    <row r="35" spans="1:8" x14ac:dyDescent="0.25">
      <c r="A35" s="17" t="s">
        <v>245</v>
      </c>
      <c r="B35" s="152">
        <f>'MSFT - Balance Sheet FY'!B7-B12</f>
        <v>24607.52</v>
      </c>
      <c r="C35" s="152">
        <f>'MSFT - Balance Sheet FY'!C7-C12</f>
        <v>13412.56</v>
      </c>
      <c r="D35" s="152">
        <f>'MSFT - Balance Sheet FY'!D7-D12</f>
        <v>30465.7</v>
      </c>
      <c r="E35" s="152">
        <f>'MSFT - Balance Sheet FY'!E7-E12</f>
        <v>9965.6</v>
      </c>
      <c r="F35" s="152">
        <f>'MSFT - Balance Sheet FY'!F7-F12</f>
        <v>10862.24</v>
      </c>
      <c r="G35" s="152">
        <f>'MSFT - Balance Sheet FY'!G7-G12</f>
        <v>10715.7</v>
      </c>
      <c r="H35" s="152">
        <f>'MSFT - Balance Sheet FY'!H7-H12</f>
        <v>8839.14</v>
      </c>
    </row>
    <row r="36" spans="1:8" x14ac:dyDescent="0.25">
      <c r="A36" s="17" t="s">
        <v>246</v>
      </c>
      <c r="B36" s="152">
        <f>'MSFT - Balance Sheet FY'!B8</f>
        <v>64323</v>
      </c>
      <c r="C36" s="152">
        <f>'MSFT - Balance Sheet FY'!C8</f>
        <v>57228</v>
      </c>
      <c r="D36" s="152">
        <f>'MSFT - Balance Sheet FY'!D8</f>
        <v>76558</v>
      </c>
      <c r="E36" s="152">
        <f>'MSFT - Balance Sheet FY'!E8</f>
        <v>90826</v>
      </c>
      <c r="F36" s="152">
        <f>'MSFT - Balance Sheet FY'!F8</f>
        <v>116110</v>
      </c>
      <c r="G36" s="152">
        <f>'MSFT - Balance Sheet FY'!G8</f>
        <v>122951</v>
      </c>
      <c r="H36" s="152">
        <f>'MSFT - Balance Sheet FY'!H8</f>
        <v>122463</v>
      </c>
    </row>
    <row r="37" spans="1:8" x14ac:dyDescent="0.25">
      <c r="A37" s="17" t="s">
        <v>247</v>
      </c>
      <c r="B37" s="152">
        <f>'MSFT - Balance Sheet FY'!B19</f>
        <v>15405</v>
      </c>
      <c r="C37" s="152">
        <f>'MSFT - Balance Sheet FY'!C19</f>
        <v>14600</v>
      </c>
      <c r="D37" s="152">
        <f>'MSFT - Balance Sheet FY'!D19</f>
        <v>9879</v>
      </c>
      <c r="E37" s="152">
        <f>'MSFT - Balance Sheet FY'!E19</f>
        <v>6891</v>
      </c>
      <c r="F37" s="152">
        <f>'MSFT - Balance Sheet FY'!F19</f>
        <v>5984</v>
      </c>
      <c r="G37" s="152">
        <f>'MSFT - Balance Sheet FY'!G19</f>
        <v>2965</v>
      </c>
      <c r="H37" s="152">
        <f>'MSFT - Balance Sheet FY'!H19</f>
        <v>2649</v>
      </c>
    </row>
    <row r="38" spans="1:8" x14ac:dyDescent="0.25">
      <c r="A38" s="17" t="s">
        <v>248</v>
      </c>
      <c r="B38" s="152">
        <f>'MSFT - Balance Sheet FY'!B20</f>
        <v>0</v>
      </c>
      <c r="C38" s="152">
        <f>'MSFT - Balance Sheet FY'!C20</f>
        <v>0</v>
      </c>
      <c r="D38" s="152">
        <f>'MSFT - Balance Sheet FY'!D20</f>
        <v>0</v>
      </c>
      <c r="E38" s="152">
        <f>'MSFT - Balance Sheet FY'!E20</f>
        <v>0</v>
      </c>
      <c r="F38" s="152">
        <f>'MSFT - Balance Sheet FY'!F20</f>
        <v>0</v>
      </c>
      <c r="G38" s="152">
        <f>'MSFT - Balance Sheet FY'!G20</f>
        <v>0</v>
      </c>
      <c r="H38" s="152">
        <f>'MSFT - Balance Sheet FY'!H20</f>
        <v>0</v>
      </c>
    </row>
    <row r="39" spans="1:8" x14ac:dyDescent="0.25">
      <c r="A39" s="17" t="s">
        <v>249</v>
      </c>
      <c r="B39" s="152">
        <f>'MSFT - Balance Sheet FY'!B24</f>
        <v>0</v>
      </c>
      <c r="C39" s="152">
        <f>'MSFT - Balance Sheet FY'!C24</f>
        <v>0</v>
      </c>
      <c r="D39" s="152">
        <f>'MSFT - Balance Sheet FY'!D24</f>
        <v>0</v>
      </c>
      <c r="E39" s="152">
        <f>'MSFT - Balance Sheet FY'!E24</f>
        <v>0</v>
      </c>
      <c r="F39" s="152">
        <f>'MSFT - Balance Sheet FY'!F24</f>
        <v>0</v>
      </c>
      <c r="G39" s="152">
        <f>'MSFT - Balance Sheet FY'!G24</f>
        <v>0</v>
      </c>
      <c r="H39" s="152">
        <f>'MSFT - Balance Sheet FY'!H24</f>
        <v>0</v>
      </c>
    </row>
    <row r="40" spans="1:8" x14ac:dyDescent="0.25">
      <c r="A40" s="19" t="s">
        <v>250</v>
      </c>
      <c r="B40" s="154">
        <f t="shared" ref="B40:H40" si="5">SUM(B35:B39)</f>
        <v>104335.52</v>
      </c>
      <c r="C40" s="154">
        <f t="shared" si="5"/>
        <v>85240.56</v>
      </c>
      <c r="D40" s="154">
        <f t="shared" si="5"/>
        <v>116902.7</v>
      </c>
      <c r="E40" s="154">
        <f t="shared" si="5"/>
        <v>107682.6</v>
      </c>
      <c r="F40" s="154">
        <f t="shared" si="5"/>
        <v>132956.24</v>
      </c>
      <c r="G40" s="154">
        <f t="shared" si="5"/>
        <v>136631.70000000001</v>
      </c>
      <c r="H40" s="154">
        <f t="shared" si="5"/>
        <v>133951.14000000001</v>
      </c>
    </row>
    <row r="41" spans="1:8" x14ac:dyDescent="0.25">
      <c r="A41" s="17"/>
      <c r="B41" s="17"/>
      <c r="C41" s="17"/>
      <c r="D41" s="17"/>
      <c r="E41" s="17"/>
      <c r="F41" s="17"/>
      <c r="G41" s="17"/>
      <c r="H41" s="17"/>
    </row>
    <row r="42" spans="1:8" x14ac:dyDescent="0.25">
      <c r="A42" s="20" t="s">
        <v>251</v>
      </c>
      <c r="B42" s="155">
        <f t="shared" ref="B42:H42" si="6">B32+B40</f>
        <v>455663</v>
      </c>
      <c r="C42" s="155">
        <f t="shared" si="6"/>
        <v>366329</v>
      </c>
      <c r="D42" s="155">
        <f t="shared" si="6"/>
        <v>285664</v>
      </c>
      <c r="E42" s="155">
        <f t="shared" si="6"/>
        <v>244942</v>
      </c>
      <c r="F42" s="155">
        <f t="shared" si="6"/>
        <v>224266</v>
      </c>
      <c r="G42" s="155">
        <f t="shared" si="6"/>
        <v>200414</v>
      </c>
      <c r="H42" s="155">
        <f t="shared" si="6"/>
        <v>180696</v>
      </c>
    </row>
    <row r="43" spans="1:8" x14ac:dyDescent="0.25">
      <c r="A43" s="17"/>
      <c r="B43" s="17"/>
      <c r="C43" s="17"/>
      <c r="D43" s="17"/>
      <c r="E43" s="17"/>
      <c r="F43" s="17"/>
      <c r="G43" s="17"/>
      <c r="H43" s="17"/>
    </row>
    <row r="44" spans="1:8" x14ac:dyDescent="0.25">
      <c r="A44" s="20" t="s">
        <v>252</v>
      </c>
      <c r="B44" s="20"/>
      <c r="C44" s="20"/>
      <c r="D44" s="20"/>
      <c r="E44" s="20"/>
      <c r="F44" s="20"/>
      <c r="G44" s="20"/>
      <c r="H44" s="20"/>
    </row>
    <row r="45" spans="1:8" x14ac:dyDescent="0.25">
      <c r="A45" s="17" t="s">
        <v>253</v>
      </c>
      <c r="B45" s="152">
        <f>'MSFT - Balance Sheet FY'!B28</f>
        <v>2999</v>
      </c>
      <c r="C45" s="152">
        <f>'MSFT - Balance Sheet FY'!C28</f>
        <v>8942</v>
      </c>
      <c r="D45" s="152">
        <f>'MSFT - Balance Sheet FY'!D28</f>
        <v>5247</v>
      </c>
      <c r="E45" s="152">
        <f>'MSFT - Balance Sheet FY'!E28</f>
        <v>2749</v>
      </c>
      <c r="F45" s="152">
        <f>'MSFT - Balance Sheet FY'!F28</f>
        <v>8072</v>
      </c>
      <c r="G45" s="152">
        <f>'MSFT - Balance Sheet FY'!G28</f>
        <v>3749</v>
      </c>
      <c r="H45" s="152">
        <f>'MSFT - Balance Sheet FY'!H28</f>
        <v>5516</v>
      </c>
    </row>
    <row r="46" spans="1:8" x14ac:dyDescent="0.25">
      <c r="A46" s="17" t="s">
        <v>254</v>
      </c>
      <c r="B46" s="152">
        <f>'MSFT - Balance Sheet FY'!B34</f>
        <v>40152</v>
      </c>
      <c r="C46" s="152">
        <f>'MSFT - Balance Sheet FY'!C34</f>
        <v>42688</v>
      </c>
      <c r="D46" s="152">
        <f>'MSFT - Balance Sheet FY'!D34</f>
        <v>41990</v>
      </c>
      <c r="E46" s="152">
        <f>'MSFT - Balance Sheet FY'!E34</f>
        <v>47032</v>
      </c>
      <c r="F46" s="152">
        <f>'MSFT - Balance Sheet FY'!F34</f>
        <v>50074</v>
      </c>
      <c r="G46" s="152">
        <f>'MSFT - Balance Sheet FY'!G34</f>
        <v>59578</v>
      </c>
      <c r="H46" s="152">
        <f>'MSFT - Balance Sheet FY'!H34</f>
        <v>66662</v>
      </c>
    </row>
    <row r="47" spans="1:8" x14ac:dyDescent="0.25">
      <c r="A47" s="19" t="s">
        <v>255</v>
      </c>
      <c r="B47" s="153">
        <f t="shared" ref="B47:H47" si="7">B45+B46</f>
        <v>43151</v>
      </c>
      <c r="C47" s="153">
        <f t="shared" si="7"/>
        <v>51630</v>
      </c>
      <c r="D47" s="153">
        <f t="shared" si="7"/>
        <v>47237</v>
      </c>
      <c r="E47" s="153">
        <f t="shared" si="7"/>
        <v>49781</v>
      </c>
      <c r="F47" s="153">
        <f t="shared" si="7"/>
        <v>58146</v>
      </c>
      <c r="G47" s="153">
        <f t="shared" si="7"/>
        <v>63327</v>
      </c>
      <c r="H47" s="153">
        <f t="shared" si="7"/>
        <v>72178</v>
      </c>
    </row>
    <row r="48" spans="1:8" x14ac:dyDescent="0.25">
      <c r="A48" s="17" t="s">
        <v>256</v>
      </c>
      <c r="B48" s="152">
        <f>'MSFT - Balance Sheet FY'!B47</f>
        <v>343479</v>
      </c>
      <c r="C48" s="152">
        <f>'MSFT - Balance Sheet FY'!C47</f>
        <v>268477</v>
      </c>
      <c r="D48" s="152">
        <f>'MSFT - Balance Sheet FY'!D47</f>
        <v>206223</v>
      </c>
      <c r="E48" s="152">
        <f>'MSFT - Balance Sheet FY'!E47</f>
        <v>166542</v>
      </c>
      <c r="F48" s="152">
        <f>'MSFT - Balance Sheet FY'!F47</f>
        <v>141988</v>
      </c>
      <c r="G48" s="152">
        <f>'MSFT - Balance Sheet FY'!G47</f>
        <v>118304</v>
      </c>
      <c r="H48" s="152">
        <f>'MSFT - Balance Sheet FY'!H47</f>
        <v>102330</v>
      </c>
    </row>
    <row r="49" spans="1:8" x14ac:dyDescent="0.25">
      <c r="A49" s="17" t="s">
        <v>283</v>
      </c>
      <c r="B49" s="152">
        <f>'MSFT - Balance Sheet FY'!B40+('MSFT - Balance Sheet FY'!B49-'MSFT - Balance Sheet FY'!B41-'MSFT - Balance Sheet FY'!B47)</f>
        <v>0</v>
      </c>
      <c r="C49" s="152">
        <f>'MSFT - Balance Sheet FY'!C40+('MSFT - Balance Sheet FY'!C49-'MSFT - Balance Sheet FY'!C41-'MSFT - Balance Sheet FY'!C47)</f>
        <v>0</v>
      </c>
      <c r="D49" s="152">
        <f>'MSFT - Balance Sheet FY'!D40+('MSFT - Balance Sheet FY'!D49-'MSFT - Balance Sheet FY'!D41-'MSFT - Balance Sheet FY'!D47)</f>
        <v>0</v>
      </c>
      <c r="E49" s="152">
        <f>'MSFT - Balance Sheet FY'!E40+('MSFT - Balance Sheet FY'!E49-'MSFT - Balance Sheet FY'!E41-'MSFT - Balance Sheet FY'!E47)</f>
        <v>0</v>
      </c>
      <c r="F49" s="152">
        <f>'MSFT - Balance Sheet FY'!F40+('MSFT - Balance Sheet FY'!F49-'MSFT - Balance Sheet FY'!F41-'MSFT - Balance Sheet FY'!F47)</f>
        <v>0</v>
      </c>
      <c r="G49" s="152">
        <f>'MSFT - Balance Sheet FY'!G40+('MSFT - Balance Sheet FY'!G49-'MSFT - Balance Sheet FY'!G41-'MSFT - Balance Sheet FY'!G47)</f>
        <v>0</v>
      </c>
      <c r="H49" s="152">
        <f>'MSFT - Balance Sheet FY'!H40+('MSFT - Balance Sheet FY'!H49-'MSFT - Balance Sheet FY'!H41-'MSFT - Balance Sheet FY'!H47)</f>
        <v>0</v>
      </c>
    </row>
    <row r="50" spans="1:8" x14ac:dyDescent="0.25">
      <c r="A50" s="19" t="s">
        <v>257</v>
      </c>
      <c r="B50" s="154">
        <f t="shared" ref="B50:H50" si="8">B47+B48+B49+B129</f>
        <v>455663</v>
      </c>
      <c r="C50" s="154">
        <f t="shared" si="8"/>
        <v>366329</v>
      </c>
      <c r="D50" s="154">
        <f t="shared" si="8"/>
        <v>285664</v>
      </c>
      <c r="E50" s="154">
        <f t="shared" si="8"/>
        <v>244942</v>
      </c>
      <c r="F50" s="154">
        <f t="shared" si="8"/>
        <v>224266</v>
      </c>
      <c r="G50" s="154">
        <f t="shared" si="8"/>
        <v>200414</v>
      </c>
      <c r="H50" s="154">
        <f t="shared" si="8"/>
        <v>180696</v>
      </c>
    </row>
    <row r="51" spans="1:8" x14ac:dyDescent="0.25">
      <c r="A51" s="22" t="s">
        <v>258</v>
      </c>
      <c r="B51" s="156">
        <f t="shared" ref="B51:H51" si="9">B42-B50</f>
        <v>0</v>
      </c>
      <c r="C51" s="156">
        <f t="shared" si="9"/>
        <v>0</v>
      </c>
      <c r="D51" s="156">
        <f t="shared" si="9"/>
        <v>0</v>
      </c>
      <c r="E51" s="156">
        <f t="shared" si="9"/>
        <v>0</v>
      </c>
      <c r="F51" s="156">
        <f t="shared" si="9"/>
        <v>0</v>
      </c>
      <c r="G51" s="156">
        <f t="shared" si="9"/>
        <v>0</v>
      </c>
      <c r="H51" s="156">
        <f t="shared" si="9"/>
        <v>0</v>
      </c>
    </row>
    <row r="52" spans="1:8" x14ac:dyDescent="0.25">
      <c r="A52" s="17"/>
      <c r="B52" s="17"/>
      <c r="C52" s="17"/>
      <c r="D52" s="17"/>
      <c r="E52" s="17"/>
      <c r="F52" s="17"/>
      <c r="G52" s="17"/>
      <c r="H52" s="17"/>
    </row>
    <row r="53" spans="1:8" x14ac:dyDescent="0.25">
      <c r="A53" s="20" t="s">
        <v>259</v>
      </c>
      <c r="B53" s="20"/>
      <c r="C53" s="20"/>
      <c r="D53" s="20"/>
      <c r="E53" s="20"/>
      <c r="F53" s="20"/>
      <c r="G53" s="20"/>
      <c r="H53" s="20"/>
    </row>
    <row r="54" spans="1:8" x14ac:dyDescent="0.25">
      <c r="A54" s="17" t="s">
        <v>260</v>
      </c>
      <c r="B54" s="152">
        <f>'MSFT - Income Statement FY'!B25</f>
        <v>128528</v>
      </c>
      <c r="C54" s="152">
        <f>'MSFT - Income Statement FY'!C25</f>
        <v>109433</v>
      </c>
      <c r="D54" s="152">
        <f>'MSFT - Income Statement FY'!D25</f>
        <v>88523</v>
      </c>
      <c r="E54" s="152">
        <f>'MSFT - Income Statement FY'!E25</f>
        <v>83383</v>
      </c>
      <c r="F54" s="152">
        <f>'MSFT - Income Statement FY'!F25</f>
        <v>69916</v>
      </c>
      <c r="G54" s="152">
        <f>'MSFT - Income Statement FY'!G25</f>
        <v>52959</v>
      </c>
      <c r="H54" s="152">
        <f>'MSFT - Income Statement FY'!H25</f>
        <v>42959</v>
      </c>
    </row>
    <row r="55" spans="1:8" x14ac:dyDescent="0.25">
      <c r="A55" s="17" t="s">
        <v>261</v>
      </c>
      <c r="B55" s="156">
        <f t="shared" ref="B55:H55" si="10">-B54*$B$9</f>
        <v>-26990.879999999997</v>
      </c>
      <c r="C55" s="156">
        <f t="shared" si="10"/>
        <v>-22980.93</v>
      </c>
      <c r="D55" s="156">
        <f t="shared" si="10"/>
        <v>-18589.829999999998</v>
      </c>
      <c r="E55" s="156">
        <f t="shared" si="10"/>
        <v>-17510.43</v>
      </c>
      <c r="F55" s="156">
        <f t="shared" si="10"/>
        <v>-14682.359999999999</v>
      </c>
      <c r="G55" s="156">
        <f t="shared" si="10"/>
        <v>-11121.39</v>
      </c>
      <c r="H55" s="156">
        <f t="shared" si="10"/>
        <v>-9021.39</v>
      </c>
    </row>
    <row r="56" spans="1:8" x14ac:dyDescent="0.25">
      <c r="A56" s="19" t="s">
        <v>259</v>
      </c>
      <c r="B56" s="154">
        <f t="shared" ref="B56:H56" si="11">B54+B55</f>
        <v>101537.12</v>
      </c>
      <c r="C56" s="154">
        <f t="shared" si="11"/>
        <v>86452.07</v>
      </c>
      <c r="D56" s="154">
        <f t="shared" si="11"/>
        <v>69933.17</v>
      </c>
      <c r="E56" s="154">
        <f t="shared" si="11"/>
        <v>65872.570000000007</v>
      </c>
      <c r="F56" s="154">
        <f t="shared" si="11"/>
        <v>55233.64</v>
      </c>
      <c r="G56" s="154">
        <f t="shared" si="11"/>
        <v>41837.61</v>
      </c>
      <c r="H56" s="154">
        <f t="shared" si="11"/>
        <v>33937.61</v>
      </c>
    </row>
    <row r="57" spans="1:8" x14ac:dyDescent="0.25">
      <c r="A57" s="17"/>
      <c r="B57" s="17"/>
      <c r="C57" s="17"/>
      <c r="D57" s="17"/>
      <c r="E57" s="17"/>
      <c r="F57" s="17"/>
      <c r="G57" s="17"/>
      <c r="H57" s="17"/>
    </row>
    <row r="58" spans="1:8" x14ac:dyDescent="0.25">
      <c r="A58" s="17" t="s">
        <v>259</v>
      </c>
      <c r="B58" s="156">
        <f t="shared" ref="B58:H58" si="12">B56</f>
        <v>101537.12</v>
      </c>
      <c r="C58" s="156">
        <f t="shared" si="12"/>
        <v>86452.07</v>
      </c>
      <c r="D58" s="156">
        <f t="shared" si="12"/>
        <v>69933.17</v>
      </c>
      <c r="E58" s="156">
        <f t="shared" si="12"/>
        <v>65872.570000000007</v>
      </c>
      <c r="F58" s="156">
        <f t="shared" si="12"/>
        <v>55233.64</v>
      </c>
      <c r="G58" s="156">
        <f t="shared" si="12"/>
        <v>41837.61</v>
      </c>
      <c r="H58" s="156">
        <f t="shared" si="12"/>
        <v>33937.61</v>
      </c>
    </row>
    <row r="59" spans="1:8" x14ac:dyDescent="0.25">
      <c r="A59" s="17" t="s">
        <v>262</v>
      </c>
      <c r="B59" s="152">
        <f>'MSFT - Income Statement FY'!B28</f>
        <v>-4901</v>
      </c>
      <c r="C59" s="152">
        <f>'MSFT - Income Statement FY'!C28</f>
        <v>-1646</v>
      </c>
      <c r="D59" s="152">
        <f>'MSFT - Income Statement FY'!D28</f>
        <v>788</v>
      </c>
      <c r="E59" s="152">
        <f>'MSFT - Income Statement FY'!E28</f>
        <v>333</v>
      </c>
      <c r="F59" s="152">
        <f>'MSFT - Income Statement FY'!F28</f>
        <v>1186</v>
      </c>
      <c r="G59" s="152">
        <f>'MSFT - Income Statement FY'!G28</f>
        <v>77</v>
      </c>
      <c r="H59" s="152">
        <f>'MSFT - Income Statement FY'!H28</f>
        <v>729</v>
      </c>
    </row>
    <row r="60" spans="1:8" x14ac:dyDescent="0.25">
      <c r="A60" s="17" t="s">
        <v>263</v>
      </c>
      <c r="B60" s="156">
        <f t="shared" ref="B60:H60" si="13">-B55</f>
        <v>26990.879999999997</v>
      </c>
      <c r="C60" s="156">
        <f t="shared" si="13"/>
        <v>22980.93</v>
      </c>
      <c r="D60" s="156">
        <f t="shared" si="13"/>
        <v>18589.829999999998</v>
      </c>
      <c r="E60" s="156">
        <f t="shared" si="13"/>
        <v>17510.43</v>
      </c>
      <c r="F60" s="156">
        <f t="shared" si="13"/>
        <v>14682.359999999999</v>
      </c>
      <c r="G60" s="156">
        <f t="shared" si="13"/>
        <v>11121.39</v>
      </c>
      <c r="H60" s="156">
        <f t="shared" si="13"/>
        <v>9021.39</v>
      </c>
    </row>
    <row r="61" spans="1:8" x14ac:dyDescent="0.25">
      <c r="A61" s="17" t="s">
        <v>264</v>
      </c>
      <c r="B61" s="152">
        <f>-'MSFT - Income Statement FY'!B31</f>
        <v>-21795</v>
      </c>
      <c r="C61" s="152">
        <f>-'MSFT - Income Statement FY'!C31</f>
        <v>-19651</v>
      </c>
      <c r="D61" s="152">
        <f>-'MSFT - Income Statement FY'!D31</f>
        <v>-16950</v>
      </c>
      <c r="E61" s="152">
        <f>-'MSFT - Income Statement FY'!E31</f>
        <v>-10978</v>
      </c>
      <c r="F61" s="152">
        <f>-'MSFT - Income Statement FY'!F31</f>
        <v>-9831</v>
      </c>
      <c r="G61" s="152">
        <f>-'MSFT - Income Statement FY'!G31</f>
        <v>-8755</v>
      </c>
      <c r="H61" s="152">
        <f>-'MSFT - Income Statement FY'!H31</f>
        <v>-4448</v>
      </c>
    </row>
    <row r="62" spans="1:8" x14ac:dyDescent="0.25">
      <c r="A62" s="19" t="s">
        <v>284</v>
      </c>
      <c r="B62" s="154">
        <f t="shared" ref="B62:H62" si="14">SUM(B58:B61)</f>
        <v>101832</v>
      </c>
      <c r="C62" s="154">
        <f t="shared" si="14"/>
        <v>88136</v>
      </c>
      <c r="D62" s="154">
        <f t="shared" si="14"/>
        <v>72361</v>
      </c>
      <c r="E62" s="154">
        <f t="shared" si="14"/>
        <v>72738</v>
      </c>
      <c r="F62" s="154">
        <f t="shared" si="14"/>
        <v>61271</v>
      </c>
      <c r="G62" s="154">
        <f t="shared" si="14"/>
        <v>44281</v>
      </c>
      <c r="H62" s="154">
        <f t="shared" si="14"/>
        <v>39240</v>
      </c>
    </row>
    <row r="63" spans="1:8" x14ac:dyDescent="0.25">
      <c r="A63" s="22" t="s">
        <v>285</v>
      </c>
      <c r="B63" s="157">
        <f>B62-'MSFT - Income Statement FY'!B32</f>
        <v>0</v>
      </c>
      <c r="C63" s="157">
        <f>C62-'MSFT - Income Statement FY'!C32</f>
        <v>0</v>
      </c>
      <c r="D63" s="157">
        <f>D62-'MSFT - Income Statement FY'!D32</f>
        <v>0</v>
      </c>
      <c r="E63" s="157">
        <f>E62-'MSFT - Income Statement FY'!E32</f>
        <v>0</v>
      </c>
      <c r="F63" s="157">
        <f>F62-'MSFT - Income Statement FY'!F32</f>
        <v>0</v>
      </c>
      <c r="G63" s="157">
        <f>G62-'MSFT - Income Statement FY'!G32</f>
        <v>0</v>
      </c>
      <c r="H63" s="157">
        <f>H62-'MSFT - Income Statement FY'!H32</f>
        <v>0</v>
      </c>
    </row>
    <row r="64" spans="1:8" x14ac:dyDescent="0.25">
      <c r="A64" s="17"/>
      <c r="B64" s="17"/>
      <c r="C64" s="17"/>
      <c r="D64" s="17"/>
      <c r="E64" s="17"/>
      <c r="F64" s="17"/>
      <c r="G64" s="17"/>
      <c r="H64" s="17"/>
    </row>
    <row r="65" spans="1:8" x14ac:dyDescent="0.25">
      <c r="A65" s="20" t="s">
        <v>265</v>
      </c>
      <c r="B65" s="20"/>
      <c r="C65" s="20"/>
      <c r="D65" s="20"/>
      <c r="E65" s="20"/>
      <c r="F65" s="20"/>
      <c r="G65" s="20"/>
      <c r="H65" s="20"/>
    </row>
    <row r="66" spans="1:8" x14ac:dyDescent="0.25">
      <c r="A66" s="17" t="s">
        <v>259</v>
      </c>
      <c r="B66" s="156">
        <f t="shared" ref="B66:H66" si="15">B56</f>
        <v>101537.12</v>
      </c>
      <c r="C66" s="156">
        <f t="shared" si="15"/>
        <v>86452.07</v>
      </c>
      <c r="D66" s="156">
        <f t="shared" si="15"/>
        <v>69933.17</v>
      </c>
      <c r="E66" s="156">
        <f t="shared" si="15"/>
        <v>65872.570000000007</v>
      </c>
      <c r="F66" s="156">
        <f t="shared" si="15"/>
        <v>55233.64</v>
      </c>
      <c r="G66" s="156">
        <f t="shared" si="15"/>
        <v>41837.61</v>
      </c>
      <c r="H66" s="156">
        <f t="shared" si="15"/>
        <v>33937.61</v>
      </c>
    </row>
    <row r="67" spans="1:8" x14ac:dyDescent="0.25">
      <c r="A67" s="17" t="s">
        <v>266</v>
      </c>
      <c r="B67" s="152">
        <f>'MSFT - Cash Flow FY'!B8</f>
        <v>34153</v>
      </c>
      <c r="C67" s="152">
        <f>'MSFT - Cash Flow FY'!C8</f>
        <v>22287</v>
      </c>
      <c r="D67" s="152">
        <f>'MSFT - Cash Flow FY'!D8</f>
        <v>13861</v>
      </c>
      <c r="E67" s="152">
        <f>'MSFT - Cash Flow FY'!E8</f>
        <v>14460</v>
      </c>
      <c r="F67" s="152">
        <f>'MSFT - Cash Flow FY'!F8</f>
        <v>11686</v>
      </c>
      <c r="G67" s="152">
        <f>'MSFT - Cash Flow FY'!G8</f>
        <v>12796</v>
      </c>
      <c r="H67" s="152">
        <f>'MSFT - Cash Flow FY'!H8</f>
        <v>11682</v>
      </c>
    </row>
    <row r="68" spans="1:8" x14ac:dyDescent="0.25">
      <c r="A68" s="19" t="s">
        <v>267</v>
      </c>
      <c r="B68" s="153">
        <f t="shared" ref="B68:H68" si="16">B66+B67</f>
        <v>135690.12</v>
      </c>
      <c r="C68" s="153">
        <f t="shared" si="16"/>
        <v>108739.07</v>
      </c>
      <c r="D68" s="153">
        <f t="shared" si="16"/>
        <v>83794.17</v>
      </c>
      <c r="E68" s="153">
        <f t="shared" si="16"/>
        <v>80332.570000000007</v>
      </c>
      <c r="F68" s="153">
        <f t="shared" si="16"/>
        <v>66919.64</v>
      </c>
      <c r="G68" s="153">
        <f t="shared" si="16"/>
        <v>54633.61</v>
      </c>
      <c r="H68" s="153">
        <f t="shared" si="16"/>
        <v>45619.61</v>
      </c>
    </row>
    <row r="69" spans="1:8" x14ac:dyDescent="0.25">
      <c r="A69" s="17" t="s">
        <v>268</v>
      </c>
      <c r="B69" s="156">
        <f t="shared" ref="B69:G69" si="17">-(B22-C22)</f>
        <v>6100.9600000000064</v>
      </c>
      <c r="C69" s="156">
        <f t="shared" si="17"/>
        <v>3258.8600000000006</v>
      </c>
      <c r="D69" s="156">
        <f t="shared" si="17"/>
        <v>-2089.9000000000087</v>
      </c>
      <c r="E69" s="156">
        <f t="shared" si="17"/>
        <v>-245.63999999999214</v>
      </c>
      <c r="F69" s="156">
        <f t="shared" si="17"/>
        <v>2241.5400000000009</v>
      </c>
      <c r="G69" s="156">
        <f t="shared" si="17"/>
        <v>-1497.4400000000023</v>
      </c>
      <c r="H69" s="18"/>
    </row>
    <row r="70" spans="1:8" x14ac:dyDescent="0.25">
      <c r="A70" s="17" t="s">
        <v>269</v>
      </c>
      <c r="B70" s="152">
        <f>'MSFT - Cash Flow FY'!B19</f>
        <v>-64551</v>
      </c>
      <c r="C70" s="152">
        <f>'MSFT - Cash Flow FY'!C19</f>
        <v>-44477</v>
      </c>
      <c r="D70" s="152">
        <f>'MSFT - Cash Flow FY'!D19</f>
        <v>-28107</v>
      </c>
      <c r="E70" s="152">
        <f>'MSFT - Cash Flow FY'!E19</f>
        <v>-23886</v>
      </c>
      <c r="F70" s="152">
        <f>'MSFT - Cash Flow FY'!F19</f>
        <v>-20622</v>
      </c>
      <c r="G70" s="152">
        <f>'MSFT - Cash Flow FY'!G19</f>
        <v>-15441</v>
      </c>
      <c r="H70" s="152">
        <f>'MSFT - Cash Flow FY'!H19</f>
        <v>-13925</v>
      </c>
    </row>
    <row r="71" spans="1:8" x14ac:dyDescent="0.25">
      <c r="A71" s="19" t="s">
        <v>270</v>
      </c>
      <c r="B71" s="154">
        <f t="shared" ref="B71:G71" si="18">B68+B69+B70</f>
        <v>77240.080000000016</v>
      </c>
      <c r="C71" s="154">
        <f t="shared" si="18"/>
        <v>67520.930000000008</v>
      </c>
      <c r="D71" s="154">
        <f t="shared" si="18"/>
        <v>53597.26999999999</v>
      </c>
      <c r="E71" s="154">
        <f t="shared" si="18"/>
        <v>56200.930000000022</v>
      </c>
      <c r="F71" s="154">
        <f t="shared" si="18"/>
        <v>48539.179999999993</v>
      </c>
      <c r="G71" s="154">
        <f t="shared" si="18"/>
        <v>37695.17</v>
      </c>
      <c r="H71" s="154">
        <f>H68+H70</f>
        <v>31694.61</v>
      </c>
    </row>
    <row r="72" spans="1:8" x14ac:dyDescent="0.25">
      <c r="A72" s="17" t="s">
        <v>271</v>
      </c>
      <c r="B72" s="152">
        <f>'MSFT - Cash Flow FY'!B39</f>
        <v>71611</v>
      </c>
      <c r="C72" s="152">
        <f>'MSFT - Cash Flow FY'!C39</f>
        <v>74071</v>
      </c>
      <c r="D72" s="152">
        <f>'MSFT - Cash Flow FY'!D39</f>
        <v>59475</v>
      </c>
      <c r="E72" s="152">
        <f>'MSFT - Cash Flow FY'!E39</f>
        <v>65149</v>
      </c>
      <c r="F72" s="152">
        <f>'MSFT - Cash Flow FY'!F39</f>
        <v>56118</v>
      </c>
      <c r="G72" s="152">
        <f>'MSFT - Cash Flow FY'!G39</f>
        <v>45234</v>
      </c>
      <c r="H72" s="152">
        <f>'MSFT - Cash Flow FY'!H39</f>
        <v>38260</v>
      </c>
    </row>
    <row r="73" spans="1:8" x14ac:dyDescent="0.25">
      <c r="A73" s="17" t="s">
        <v>272</v>
      </c>
      <c r="B73" s="156">
        <f t="shared" ref="B73:H73" si="19">B71-B72</f>
        <v>5629.0800000000163</v>
      </c>
      <c r="C73" s="156">
        <f t="shared" si="19"/>
        <v>-6550.0699999999924</v>
      </c>
      <c r="D73" s="156">
        <f t="shared" si="19"/>
        <v>-5877.7300000000105</v>
      </c>
      <c r="E73" s="156">
        <f t="shared" si="19"/>
        <v>-8948.0699999999779</v>
      </c>
      <c r="F73" s="156">
        <f t="shared" si="19"/>
        <v>-7578.820000000007</v>
      </c>
      <c r="G73" s="156">
        <f t="shared" si="19"/>
        <v>-7538.8300000000017</v>
      </c>
      <c r="H73" s="156">
        <f t="shared" si="19"/>
        <v>-6565.3899999999994</v>
      </c>
    </row>
    <row r="74" spans="1:8" x14ac:dyDescent="0.25">
      <c r="A74" s="17"/>
      <c r="B74" s="17"/>
      <c r="C74" s="17"/>
      <c r="D74" s="17"/>
      <c r="E74" s="17"/>
      <c r="F74" s="17"/>
      <c r="G74" s="17"/>
      <c r="H74" s="17"/>
    </row>
    <row r="75" spans="1:8" x14ac:dyDescent="0.25">
      <c r="A75" s="20" t="s">
        <v>273</v>
      </c>
      <c r="B75" s="20"/>
      <c r="C75" s="20"/>
      <c r="D75" s="20"/>
      <c r="E75" s="20"/>
      <c r="F75" s="20"/>
      <c r="G75" s="20"/>
      <c r="H75" s="20"/>
    </row>
    <row r="76" spans="1:8" x14ac:dyDescent="0.25">
      <c r="A76" s="17" t="s">
        <v>274</v>
      </c>
      <c r="B76" s="156">
        <f t="shared" ref="B76:G76" si="20">AVERAGE(B32,C32)</f>
        <v>316207.95999999996</v>
      </c>
      <c r="C76" s="156">
        <f t="shared" si="20"/>
        <v>224924.87</v>
      </c>
      <c r="D76" s="156">
        <f t="shared" si="20"/>
        <v>153010.34999999998</v>
      </c>
      <c r="E76" s="156">
        <f t="shared" si="20"/>
        <v>114284.58</v>
      </c>
      <c r="F76" s="156">
        <f t="shared" si="20"/>
        <v>77546.03</v>
      </c>
      <c r="G76" s="156">
        <f t="shared" si="20"/>
        <v>55263.58</v>
      </c>
      <c r="H76" s="156">
        <f>H32</f>
        <v>46744.86</v>
      </c>
    </row>
    <row r="77" spans="1:8" x14ac:dyDescent="0.25">
      <c r="A77" s="17" t="s">
        <v>275</v>
      </c>
      <c r="B77" s="158">
        <f t="shared" ref="B77:H77" si="21">IF(B76&lt;=0,"",B56/B76)</f>
        <v>0.3211086779725596</v>
      </c>
      <c r="C77" s="158">
        <f t="shared" si="21"/>
        <v>0.38435976421815876</v>
      </c>
      <c r="D77" s="158">
        <f t="shared" si="21"/>
        <v>0.45704862448847422</v>
      </c>
      <c r="E77" s="158">
        <f t="shared" si="21"/>
        <v>0.57639070817777871</v>
      </c>
      <c r="F77" s="158">
        <f t="shared" si="21"/>
        <v>0.71226908714733683</v>
      </c>
      <c r="G77" s="158">
        <f t="shared" si="21"/>
        <v>0.75705573182193409</v>
      </c>
      <c r="H77" s="158">
        <f t="shared" si="21"/>
        <v>0.72601800497423674</v>
      </c>
    </row>
    <row r="78" spans="1:8" x14ac:dyDescent="0.25">
      <c r="A78" s="17" t="s">
        <v>276</v>
      </c>
      <c r="B78" s="156">
        <f t="shared" ref="B78:G78" si="22">AVERAGE(B31,C31)</f>
        <v>196843.46</v>
      </c>
      <c r="C78" s="156">
        <f t="shared" si="22"/>
        <v>131371.87</v>
      </c>
      <c r="D78" s="156">
        <f t="shared" si="22"/>
        <v>85305.349999999991</v>
      </c>
      <c r="E78" s="156">
        <f t="shared" si="22"/>
        <v>55667.08</v>
      </c>
      <c r="F78" s="156">
        <f t="shared" si="22"/>
        <v>31015.030000000006</v>
      </c>
      <c r="G78" s="156">
        <f t="shared" si="22"/>
        <v>12575.080000000002</v>
      </c>
      <c r="H78" s="156">
        <f>H31</f>
        <v>4718.8600000000006</v>
      </c>
    </row>
    <row r="79" spans="1:8" x14ac:dyDescent="0.25">
      <c r="A79" s="17" t="s">
        <v>277</v>
      </c>
      <c r="B79" s="158">
        <f t="shared" ref="B79:H79" si="23">IF(B78&lt;=0,"",B56/B78)</f>
        <v>0.51582673866838147</v>
      </c>
      <c r="C79" s="158">
        <f t="shared" si="23"/>
        <v>0.65807139686753346</v>
      </c>
      <c r="D79" s="158">
        <f t="shared" si="23"/>
        <v>0.81979817209588857</v>
      </c>
      <c r="E79" s="158">
        <f t="shared" si="23"/>
        <v>1.1833307944300295</v>
      </c>
      <c r="F79" s="158">
        <f t="shared" si="23"/>
        <v>1.7808668893758925</v>
      </c>
      <c r="G79" s="158">
        <f t="shared" si="23"/>
        <v>3.3270253549082787</v>
      </c>
      <c r="H79" s="158">
        <f t="shared" si="23"/>
        <v>7.1919086389509319</v>
      </c>
    </row>
    <row r="80" spans="1:8" x14ac:dyDescent="0.25">
      <c r="A80" s="17" t="s">
        <v>278</v>
      </c>
      <c r="B80" s="159">
        <f>B56/'MSFT - Income Statement FY'!B7</f>
        <v>0.36041345430279281</v>
      </c>
      <c r="C80" s="159">
        <f>C56/'MSFT - Income Statement FY'!C7</f>
        <v>0.35268996662886237</v>
      </c>
      <c r="D80" s="159">
        <f>D56/'MSFT - Income Statement FY'!D7</f>
        <v>0.33000575702522239</v>
      </c>
      <c r="E80" s="159">
        <f>E56/'MSFT - Income Statement FY'!E7</f>
        <v>0.33223669743279372</v>
      </c>
      <c r="F80" s="159">
        <f>F56/'MSFT - Income Statement FY'!F7</f>
        <v>0.32859954309647327</v>
      </c>
      <c r="G80" s="159">
        <f>G56/'MSFT - Income Statement FY'!G7</f>
        <v>0.2925400132853197</v>
      </c>
      <c r="H80" s="159">
        <f>H56/'MSFT - Income Statement FY'!H7</f>
        <v>0.26968214362340376</v>
      </c>
    </row>
    <row r="81" spans="1:8" x14ac:dyDescent="0.25">
      <c r="A81" s="17" t="s">
        <v>279</v>
      </c>
      <c r="B81" s="160">
        <f>IF(B76&lt;=0,"",'MSFT - Income Statement FY'!B7/B76)</f>
        <v>0.89094531333113824</v>
      </c>
      <c r="C81" s="160">
        <f>IF(C76&lt;=0,"",'MSFT - Income Statement FY'!C7/C76)</f>
        <v>1.089795005772372</v>
      </c>
      <c r="D81" s="160">
        <f>IF(D76&lt;=0,"",'MSFT - Income Statement FY'!D7/D76)</f>
        <v>1.3849716702170802</v>
      </c>
      <c r="E81" s="160">
        <f>IF(E76&lt;=0,"",'MSFT - Income Statement FY'!E7/E76)</f>
        <v>1.7348797186812079</v>
      </c>
      <c r="F81" s="160">
        <f>IF(F76&lt;=0,"",'MSFT - Income Statement FY'!F7/F76)</f>
        <v>2.16759001073298</v>
      </c>
      <c r="G81" s="160">
        <f>IF(G76&lt;=0,"",'MSFT - Income Statement FY'!G7/G76)</f>
        <v>2.5878707097875311</v>
      </c>
      <c r="H81" s="160">
        <f>IF(H76&lt;=0,"",'MSFT - Income Statement FY'!H7/H76)</f>
        <v>2.6921248667767963</v>
      </c>
    </row>
    <row r="83" spans="1:8" x14ac:dyDescent="0.25">
      <c r="A83" s="24" t="s">
        <v>309</v>
      </c>
      <c r="B83" s="24"/>
      <c r="C83" s="24"/>
      <c r="D83" s="24"/>
      <c r="E83" s="24"/>
      <c r="F83" s="24"/>
      <c r="G83" s="24"/>
      <c r="H83" s="24"/>
    </row>
    <row r="84" spans="1:8" x14ac:dyDescent="0.25">
      <c r="A84" t="s">
        <v>310</v>
      </c>
      <c r="B84" s="11">
        <f t="shared" ref="B84:G84" si="24">B56-C56</f>
        <v>15085.049999999988</v>
      </c>
      <c r="C84" s="11">
        <f t="shared" si="24"/>
        <v>16518.900000000009</v>
      </c>
      <c r="D84" s="11">
        <f t="shared" si="24"/>
        <v>4060.5999999999913</v>
      </c>
      <c r="E84" s="11">
        <f t="shared" si="24"/>
        <v>10638.930000000008</v>
      </c>
      <c r="F84" s="11">
        <f t="shared" si="24"/>
        <v>13396.029999999999</v>
      </c>
      <c r="G84" s="11">
        <f t="shared" si="24"/>
        <v>7900</v>
      </c>
      <c r="H84" s="1"/>
    </row>
    <row r="85" spans="1:8" x14ac:dyDescent="0.25">
      <c r="A85" t="s">
        <v>311</v>
      </c>
      <c r="B85" s="11">
        <f t="shared" ref="B85:G85" si="25">B32-C32</f>
        <v>70239.039999999979</v>
      </c>
      <c r="C85" s="11">
        <f t="shared" si="25"/>
        <v>112327.14000000001</v>
      </c>
      <c r="D85" s="11">
        <f t="shared" si="25"/>
        <v>31501.899999999994</v>
      </c>
      <c r="E85" s="11">
        <f t="shared" si="25"/>
        <v>45949.639999999985</v>
      </c>
      <c r="F85" s="11">
        <f t="shared" si="25"/>
        <v>27527.460000000006</v>
      </c>
      <c r="G85" s="11">
        <f t="shared" si="25"/>
        <v>17037.440000000002</v>
      </c>
      <c r="H85" s="1"/>
    </row>
    <row r="86" spans="1:8" x14ac:dyDescent="0.25">
      <c r="A86" s="9" t="s">
        <v>312</v>
      </c>
      <c r="B86" s="137">
        <f t="shared" ref="B86:G86" si="26">IF(B85=0,"",B84/B85)</f>
        <v>0.214767314587443</v>
      </c>
      <c r="C86" s="137">
        <f t="shared" si="26"/>
        <v>0.14706063022703156</v>
      </c>
      <c r="D86" s="137">
        <f t="shared" si="26"/>
        <v>0.12890016157755538</v>
      </c>
      <c r="E86" s="137">
        <f t="shared" si="26"/>
        <v>0.23153456697375674</v>
      </c>
      <c r="F86" s="137">
        <f t="shared" si="26"/>
        <v>0.48664242905084582</v>
      </c>
      <c r="G86" s="137">
        <f t="shared" si="26"/>
        <v>0.46368468502310201</v>
      </c>
      <c r="H86" s="30"/>
    </row>
    <row r="88" spans="1:8" x14ac:dyDescent="0.25">
      <c r="A88" s="24" t="s">
        <v>313</v>
      </c>
      <c r="B88" s="24"/>
      <c r="C88" s="24"/>
      <c r="D88" s="24"/>
      <c r="E88" s="24"/>
      <c r="F88" s="24"/>
      <c r="G88" s="24"/>
      <c r="H88" s="24"/>
    </row>
    <row r="89" spans="1:8" x14ac:dyDescent="0.25">
      <c r="A89" t="s">
        <v>278</v>
      </c>
      <c r="B89" s="134">
        <f t="shared" ref="B89:H89" si="27">B80</f>
        <v>0.36041345430279281</v>
      </c>
      <c r="C89" s="134">
        <f t="shared" si="27"/>
        <v>0.35268996662886237</v>
      </c>
      <c r="D89" s="134">
        <f t="shared" si="27"/>
        <v>0.33000575702522239</v>
      </c>
      <c r="E89" s="134">
        <f t="shared" si="27"/>
        <v>0.33223669743279372</v>
      </c>
      <c r="F89" s="134">
        <f t="shared" si="27"/>
        <v>0.32859954309647327</v>
      </c>
      <c r="G89" s="134">
        <f t="shared" si="27"/>
        <v>0.2925400132853197</v>
      </c>
      <c r="H89" s="134">
        <f t="shared" si="27"/>
        <v>0.26968214362340376</v>
      </c>
    </row>
    <row r="90" spans="1:8" x14ac:dyDescent="0.25">
      <c r="A90" t="s">
        <v>314</v>
      </c>
      <c r="B90" s="161">
        <f>IF(B76&lt;=0,"",'MSFT - Income Statement FY'!B7/B76)</f>
        <v>0.89094531333113824</v>
      </c>
      <c r="C90" s="161">
        <f>IF(C76&lt;=0,"",'MSFT - Income Statement FY'!C7/C76)</f>
        <v>1.089795005772372</v>
      </c>
      <c r="D90" s="161">
        <f>IF(D76&lt;=0,"",'MSFT - Income Statement FY'!D7/D76)</f>
        <v>1.3849716702170802</v>
      </c>
      <c r="E90" s="161">
        <f>IF(E76&lt;=0,"",'MSFT - Income Statement FY'!E7/E76)</f>
        <v>1.7348797186812079</v>
      </c>
      <c r="F90" s="161">
        <f>IF(F76&lt;=0,"",'MSFT - Income Statement FY'!F7/F76)</f>
        <v>2.16759001073298</v>
      </c>
      <c r="G90" s="161">
        <f>IF(G76&lt;=0,"",'MSFT - Income Statement FY'!G7/G76)</f>
        <v>2.5878707097875311</v>
      </c>
      <c r="H90" s="161">
        <f>IF(H76&lt;=0,"",'MSFT - Income Statement FY'!H7/H76)</f>
        <v>2.6921248667767963</v>
      </c>
    </row>
    <row r="91" spans="1:8" x14ac:dyDescent="0.25">
      <c r="A91" s="9" t="s">
        <v>315</v>
      </c>
      <c r="B91" s="137">
        <f t="shared" ref="B91:H91" si="28">IF(B90="","",B89*B90)</f>
        <v>0.3211086779725596</v>
      </c>
      <c r="C91" s="137">
        <f t="shared" si="28"/>
        <v>0.38435976421815876</v>
      </c>
      <c r="D91" s="137">
        <f t="shared" si="28"/>
        <v>0.45704862448847422</v>
      </c>
      <c r="E91" s="137">
        <f t="shared" si="28"/>
        <v>0.57639070817777871</v>
      </c>
      <c r="F91" s="137">
        <f t="shared" si="28"/>
        <v>0.71226908714733683</v>
      </c>
      <c r="G91" s="137">
        <f t="shared" si="28"/>
        <v>0.75705573182193409</v>
      </c>
      <c r="H91" s="137">
        <f t="shared" si="28"/>
        <v>0.72601800497423674</v>
      </c>
    </row>
    <row r="93" spans="1:8" x14ac:dyDescent="0.25">
      <c r="A93" s="24" t="s">
        <v>316</v>
      </c>
      <c r="B93" s="24"/>
      <c r="C93" s="24"/>
      <c r="D93" s="24"/>
      <c r="E93" s="24"/>
      <c r="F93" s="24"/>
      <c r="G93" s="24"/>
      <c r="H93" s="24"/>
    </row>
    <row r="94" spans="1:8" x14ac:dyDescent="0.25">
      <c r="A94" t="s">
        <v>317</v>
      </c>
      <c r="B94" s="113">
        <f>'MSFT - Income Statement FY'!B10/'MSFT - Income Statement FY'!B7</f>
        <v>0.68823742386165188</v>
      </c>
      <c r="C94" s="113">
        <f>'MSFT - Income Statement FY'!C10/'MSFT - Income Statement FY'!C7</f>
        <v>0.69764443827971379</v>
      </c>
      <c r="D94" s="113">
        <f>'MSFT - Income Statement FY'!D10/'MSFT - Income Statement FY'!D7</f>
        <v>0.68920085883491022</v>
      </c>
      <c r="E94" s="113">
        <f>'MSFT - Income Statement FY'!E10/'MSFT - Income Statement FY'!E7</f>
        <v>0.68401674484289099</v>
      </c>
      <c r="F94" s="113">
        <f>'MSFT - Income Statement FY'!F10/'MSFT - Income Statement FY'!F7</f>
        <v>0.68925800771024703</v>
      </c>
      <c r="G94" s="113">
        <f>'MSFT - Income Statement FY'!G10/'MSFT - Income Statement FY'!G7</f>
        <v>0.67781001992797962</v>
      </c>
      <c r="H94" s="113">
        <f>'MSFT - Income Statement FY'!H10/'MSFT - Income Statement FY'!H7</f>
        <v>0.65901957200638894</v>
      </c>
    </row>
    <row r="95" spans="1:8" x14ac:dyDescent="0.25">
      <c r="A95" t="s">
        <v>318</v>
      </c>
      <c r="B95" s="113">
        <f>'MSFT - Income Statement FY'!B13/'MSFT - Income Statement FY'!B7</f>
        <v>0.11531853871164686</v>
      </c>
      <c r="C95" s="113">
        <f>'MSFT - Income Statement FY'!C13/'MSFT - Income Statement FY'!C7</f>
        <v>0.12038903076835208</v>
      </c>
      <c r="D95" s="113">
        <f>'MSFT - Income Statement FY'!D13/'MSFT - Income Statement FY'!D7</f>
        <v>0.12832975485454073</v>
      </c>
      <c r="E95" s="113">
        <f>'MSFT - Income Statement FY'!E13/'MSFT - Income Statement FY'!E7</f>
        <v>0.12362939426035205</v>
      </c>
      <c r="F95" s="113">
        <f>'MSFT - Income Statement FY'!F13/'MSFT - Income Statement FY'!F7</f>
        <v>0.12324496692208843</v>
      </c>
      <c r="G95" s="113">
        <f>'MSFT - Income Statement FY'!G13/'MSFT - Income Statement FY'!G7</f>
        <v>0.1347341187987274</v>
      </c>
      <c r="H95" s="113">
        <f>'MSFT - Income Statement FY'!H13/'MSFT - Income Statement FY'!H7</f>
        <v>0.13410360528595155</v>
      </c>
    </row>
    <row r="96" spans="1:8" x14ac:dyDescent="0.25">
      <c r="A96" t="s">
        <v>319</v>
      </c>
      <c r="B96" s="113">
        <f>'MSFT - Income Statement FY'!B14/'MSFT - Income Statement FY'!B7</f>
        <v>0.11669932274140649</v>
      </c>
      <c r="C96" s="113">
        <f>'MSFT - Income Statement FY'!C14/'MSFT - Income Statement FY'!C7</f>
        <v>0.13081241177862452</v>
      </c>
      <c r="D96" s="113">
        <f>'MSFT - Income Statement FY'!D14/'MSFT - Income Statement FY'!D7</f>
        <v>0.14314229761932851</v>
      </c>
      <c r="E96" s="113">
        <f>'MSFT - Income Statement FY'!E14/'MSFT - Income Statement FY'!E7</f>
        <v>0.13983456902204064</v>
      </c>
      <c r="F96" s="113">
        <f>'MSFT - Income Statement FY'!F14/'MSFT - Income Statement FY'!F7</f>
        <v>0.15006425205844556</v>
      </c>
      <c r="G96" s="113">
        <f>'MSFT - Income Statement FY'!G14/'MSFT - Income Statement FY'!G7</f>
        <v>0.17277208684403733</v>
      </c>
      <c r="H96" s="113">
        <f>'MSFT - Income Statement FY'!H14/'MSFT - Income Statement FY'!H7</f>
        <v>0.18354616466549589</v>
      </c>
    </row>
    <row r="97" spans="1:8" x14ac:dyDescent="0.25">
      <c r="A97" t="s">
        <v>320</v>
      </c>
      <c r="B97" s="113">
        <f>'MSFT - Income Statement FY'!B25/'MSFT - Income Statement FY'!B7</f>
        <v>0.45621956240859851</v>
      </c>
      <c r="C97" s="113">
        <f>'MSFT - Income Statement FY'!C25/'MSFT - Income Statement FY'!C7</f>
        <v>0.44644299573273716</v>
      </c>
      <c r="D97" s="113">
        <f>'MSFT - Income Statement FY'!D25/'MSFT - Income Statement FY'!D7</f>
        <v>0.41772880636104098</v>
      </c>
      <c r="E97" s="113">
        <f>'MSFT - Income Statement FY'!E25/'MSFT - Income Statement FY'!E7</f>
        <v>0.4205527815604983</v>
      </c>
      <c r="F97" s="113">
        <f>'MSFT - Income Statement FY'!F25/'MSFT - Income Statement FY'!F7</f>
        <v>0.41594878872971303</v>
      </c>
      <c r="G97" s="113">
        <f>'MSFT - Income Statement FY'!G25/'MSFT - Income Statement FY'!G7</f>
        <v>0.37030381428521486</v>
      </c>
      <c r="H97" s="113">
        <f>'MSFT - Income Statement FY'!H25/'MSFT - Income Statement FY'!H7</f>
        <v>0.3413698020549415</v>
      </c>
    </row>
    <row r="98" spans="1:8" x14ac:dyDescent="0.25">
      <c r="A98" t="s">
        <v>321</v>
      </c>
      <c r="B98" s="134">
        <f t="shared" ref="B98:H98" si="29">1-$B$9</f>
        <v>0.79</v>
      </c>
      <c r="C98" s="134">
        <f t="shared" si="29"/>
        <v>0.79</v>
      </c>
      <c r="D98" s="134">
        <f t="shared" si="29"/>
        <v>0.79</v>
      </c>
      <c r="E98" s="134">
        <f t="shared" si="29"/>
        <v>0.79</v>
      </c>
      <c r="F98" s="134">
        <f t="shared" si="29"/>
        <v>0.79</v>
      </c>
      <c r="G98" s="134">
        <f t="shared" si="29"/>
        <v>0.79</v>
      </c>
      <c r="H98" s="134">
        <f t="shared" si="29"/>
        <v>0.79</v>
      </c>
    </row>
    <row r="99" spans="1:8" x14ac:dyDescent="0.25">
      <c r="A99" t="s">
        <v>831</v>
      </c>
      <c r="B99" s="134">
        <f t="shared" ref="B99:H99" si="30">B97*B98</f>
        <v>0.36041345430279281</v>
      </c>
      <c r="C99" s="134">
        <f t="shared" si="30"/>
        <v>0.35268996662886237</v>
      </c>
      <c r="D99" s="134">
        <f t="shared" si="30"/>
        <v>0.33000575702522239</v>
      </c>
      <c r="E99" s="134">
        <f t="shared" si="30"/>
        <v>0.33223669743279366</v>
      </c>
      <c r="F99" s="134">
        <f t="shared" si="30"/>
        <v>0.32859954309647332</v>
      </c>
      <c r="G99" s="134">
        <f t="shared" si="30"/>
        <v>0.29254001328531976</v>
      </c>
      <c r="H99" s="134">
        <f t="shared" si="30"/>
        <v>0.26968214362340381</v>
      </c>
    </row>
    <row r="101" spans="1:8" x14ac:dyDescent="0.25">
      <c r="A101" s="24" t="s">
        <v>322</v>
      </c>
      <c r="B101" s="24"/>
      <c r="C101" s="24"/>
      <c r="D101" s="24"/>
      <c r="E101" s="24"/>
      <c r="F101" s="24"/>
      <c r="G101" s="24"/>
      <c r="H101" s="24"/>
    </row>
    <row r="102" spans="1:8" x14ac:dyDescent="0.25">
      <c r="A102" t="s">
        <v>323</v>
      </c>
      <c r="B102" s="161">
        <f>IF(B22=0,"",'MSFT - Income Statement FY'!B7/B22)</f>
        <v>-10.273454080806577</v>
      </c>
      <c r="C102" s="161">
        <f>IF(C22=0,"",'MSFT - Income Statement FY'!C7/C22)</f>
        <v>-11.496438346912704</v>
      </c>
      <c r="D102" s="161">
        <f>IF(D22=0,"",'MSFT - Income Statement FY'!D7/D22)</f>
        <v>-11.732188432515628</v>
      </c>
      <c r="E102" s="161">
        <f>IF(E22=0,"",'MSFT - Income Statement FY'!E7/E22)</f>
        <v>-9.8384327580560296</v>
      </c>
      <c r="F102" s="161">
        <f>IF(F22=0,"",'MSFT - Income Statement FY'!F7/F22)</f>
        <v>-8.2403187725999896</v>
      </c>
      <c r="G102" s="161">
        <f>IF(G22=0,"",'MSFT - Income Statement FY'!G7/G22)</f>
        <v>-7.876706670264972</v>
      </c>
      <c r="H102" s="161">
        <f>IF(H22=0,"",'MSFT - Income Statement FY'!H7/H22)</f>
        <v>-6.4028749159210223</v>
      </c>
    </row>
    <row r="103" spans="1:8" x14ac:dyDescent="0.25">
      <c r="A103" t="s">
        <v>324</v>
      </c>
      <c r="B103" s="161">
        <f>IF(B24=0,"",'MSFT - Income Statement FY'!B7/B24)</f>
        <v>1.37449137905799</v>
      </c>
      <c r="C103" s="161">
        <f>IF(C24=0,"",'MSFT - Income Statement FY'!C7/C24)</f>
        <v>1.807804352796277</v>
      </c>
      <c r="D103" s="161">
        <f>IF(D24=0,"",'MSFT - Income Statement FY'!D7/D24)</f>
        <v>2.2157338379983478</v>
      </c>
      <c r="E103" s="161">
        <f>IF(E24=0,"",'MSFT - Income Statement FY'!E7/E24)</f>
        <v>2.6649909943815695</v>
      </c>
      <c r="F103" s="161">
        <f>IF(F24=0,"",'MSFT - Income Statement FY'!F7/F24)</f>
        <v>2.8148371430963746</v>
      </c>
      <c r="G103" s="161">
        <f>IF(G24=0,"",'MSFT - Income Statement FY'!G7/G24)</f>
        <v>3.2392244796267353</v>
      </c>
      <c r="H103" s="161">
        <f>IF(H24=0,"",'MSFT - Income Statement FY'!H7/H24)</f>
        <v>3.4499273514817554</v>
      </c>
    </row>
    <row r="104" spans="1:8" x14ac:dyDescent="0.25">
      <c r="A104" t="s">
        <v>325</v>
      </c>
      <c r="B104" s="161">
        <f>IF(B25+B26=0,"",'MSFT - Income Statement FY'!B7/(B25+B26))</f>
        <v>1.9823942918663318</v>
      </c>
      <c r="C104" s="161">
        <f>IF(C25+C26=0,"",'MSFT - Income Statement FY'!C7/(C25+C26))</f>
        <v>1.6695750492109225</v>
      </c>
      <c r="D104" s="161">
        <f>IF(D25+D26=0,"",'MSFT - Income Statement FY'!D7/(D25+D26))</f>
        <v>2.7431652254957801</v>
      </c>
      <c r="E104" s="161">
        <f>IF(E25+E26=0,"",'MSFT - Income Statement FY'!E7/(E25+E26))</f>
        <v>2.5154144781913681</v>
      </c>
      <c r="F104" s="161">
        <f>IF(F25+F26=0,"",'MSFT - Income Statement FY'!F7/(F25+F26))</f>
        <v>2.9227104380031648</v>
      </c>
      <c r="G104" s="161">
        <f>IF(G25+G26=0,"",'MSFT - Income Statement FY'!G7/(G25+G26))</f>
        <v>2.8382186588342693</v>
      </c>
      <c r="H104" s="161">
        <f>IF(H25+H26=0,"",'MSFT - Income Statement FY'!H7/(H25+H26))</f>
        <v>2.528186274509804</v>
      </c>
    </row>
    <row r="105" spans="1:8" x14ac:dyDescent="0.25">
      <c r="A105" t="s">
        <v>326</v>
      </c>
      <c r="B105" s="161">
        <f>IF(B32&lt;=0,"",'MSFT - Income Statement FY'!B7/B32)</f>
        <v>0.80188432740871851</v>
      </c>
      <c r="C105" s="161">
        <f>IF(C32&lt;=0,"",'MSFT - Income Statement FY'!C7/C32)</f>
        <v>0.87204582301570277</v>
      </c>
      <c r="D105" s="161">
        <f>IF(D32&lt;=0,"",'MSFT - Income Statement FY'!D7/D32)</f>
        <v>1.2557085066303708</v>
      </c>
      <c r="E105" s="161">
        <f>IF(E32&lt;=0,"",'MSFT - Income Statement FY'!E7/E32)</f>
        <v>1.4444912333872946</v>
      </c>
      <c r="F105" s="161">
        <f>IF(F32&lt;=0,"",'MSFT - Income Statement FY'!F7/F32)</f>
        <v>1.8408546906705261</v>
      </c>
      <c r="G105" s="161">
        <f>IF(G32&lt;=0,"",'MSFT - Income Statement FY'!G7/G32)</f>
        <v>2.2422364825351231</v>
      </c>
      <c r="H105" s="161">
        <f>IF(H32&lt;=0,"",'MSFT - Income Statement FY'!H7/H32)</f>
        <v>2.6921248667767963</v>
      </c>
    </row>
    <row r="107" spans="1:8" x14ac:dyDescent="0.25">
      <c r="A107" s="24" t="s">
        <v>399</v>
      </c>
      <c r="B107" s="24"/>
      <c r="C107" s="24"/>
      <c r="D107" s="24"/>
      <c r="E107" s="24"/>
      <c r="F107" s="24"/>
      <c r="G107" s="24"/>
      <c r="H107" s="24"/>
    </row>
    <row r="108" spans="1:8" x14ac:dyDescent="0.25">
      <c r="A108" t="s">
        <v>255</v>
      </c>
      <c r="B108" s="162">
        <f>'MSFT - Balance Sheet FY'!B51</f>
        <v>43151</v>
      </c>
      <c r="C108" s="162">
        <f>'MSFT - Balance Sheet FY'!C51</f>
        <v>51630</v>
      </c>
      <c r="D108" s="162">
        <f>'MSFT - Balance Sheet FY'!D51</f>
        <v>47237</v>
      </c>
      <c r="E108" s="162">
        <f>'MSFT - Balance Sheet FY'!E51</f>
        <v>49781</v>
      </c>
      <c r="F108" s="162">
        <f>'MSFT - Balance Sheet FY'!F51</f>
        <v>58146</v>
      </c>
      <c r="G108" s="162">
        <f>'MSFT - Balance Sheet FY'!G51</f>
        <v>63327</v>
      </c>
      <c r="H108" s="162">
        <f>'MSFT - Balance Sheet FY'!H51</f>
        <v>72178</v>
      </c>
    </row>
    <row r="109" spans="1:8" x14ac:dyDescent="0.25">
      <c r="A109" t="s">
        <v>400</v>
      </c>
      <c r="B109" s="162">
        <f>'MSFT - Balance Sheet FY'!B52</f>
        <v>12909</v>
      </c>
      <c r="C109" s="162">
        <f>'MSFT - Balance Sheet FY'!C52</f>
        <v>33315</v>
      </c>
      <c r="D109" s="162">
        <f>'MSFT - Balance Sheet FY'!D52</f>
        <v>12533</v>
      </c>
      <c r="E109" s="162">
        <f>'MSFT - Balance Sheet FY'!E52</f>
        <v>35850</v>
      </c>
      <c r="F109" s="162">
        <f>'MSFT - Balance Sheet FY'!F52</f>
        <v>43922</v>
      </c>
      <c r="G109" s="162">
        <f>'MSFT - Balance Sheet FY'!G52</f>
        <v>49751</v>
      </c>
      <c r="H109" s="162">
        <f>'MSFT - Balance Sheet FY'!H52</f>
        <v>60822</v>
      </c>
    </row>
    <row r="110" spans="1:8" x14ac:dyDescent="0.25">
      <c r="A110" t="s">
        <v>401</v>
      </c>
      <c r="B110" s="162">
        <f>'MSFT - Balance Sheet FY'!B41</f>
        <v>275524</v>
      </c>
      <c r="C110" s="162">
        <f>'MSFT - Balance Sheet FY'!C41</f>
        <v>243686</v>
      </c>
      <c r="D110" s="162">
        <f>'MSFT - Balance Sheet FY'!D41</f>
        <v>205753</v>
      </c>
      <c r="E110" s="162">
        <f>'MSFT - Balance Sheet FY'!E41</f>
        <v>198298</v>
      </c>
      <c r="F110" s="162">
        <f>'MSFT - Balance Sheet FY'!F41</f>
        <v>191791</v>
      </c>
      <c r="G110" s="162">
        <f>'MSFT - Balance Sheet FY'!G41</f>
        <v>183007</v>
      </c>
      <c r="H110" s="162">
        <f>'MSFT - Balance Sheet FY'!H41</f>
        <v>184226</v>
      </c>
    </row>
    <row r="111" spans="1:8" x14ac:dyDescent="0.25">
      <c r="A111" t="s">
        <v>256</v>
      </c>
      <c r="B111" s="162">
        <f>'MSFT - Balance Sheet FY'!B47</f>
        <v>343479</v>
      </c>
      <c r="C111" s="162">
        <f>'MSFT - Balance Sheet FY'!C47</f>
        <v>268477</v>
      </c>
      <c r="D111" s="162">
        <f>'MSFT - Balance Sheet FY'!D47</f>
        <v>206223</v>
      </c>
      <c r="E111" s="162">
        <f>'MSFT - Balance Sheet FY'!E47</f>
        <v>166542</v>
      </c>
      <c r="F111" s="162">
        <f>'MSFT - Balance Sheet FY'!F47</f>
        <v>141988</v>
      </c>
      <c r="G111" s="162">
        <f>'MSFT - Balance Sheet FY'!G47</f>
        <v>118304</v>
      </c>
      <c r="H111" s="162">
        <f>'MSFT - Balance Sheet FY'!H47</f>
        <v>102330</v>
      </c>
    </row>
    <row r="113" spans="1:8" x14ac:dyDescent="0.25">
      <c r="A113" t="s">
        <v>402</v>
      </c>
      <c r="B113" s="163">
        <f t="shared" ref="B113:H113" si="31">IFERROR(B108/B111,"")</f>
        <v>0.12562922332951942</v>
      </c>
      <c r="C113" s="163">
        <f t="shared" si="31"/>
        <v>0.19230697601656752</v>
      </c>
      <c r="D113" s="163">
        <f t="shared" si="31"/>
        <v>0.2290578645446919</v>
      </c>
      <c r="E113" s="163">
        <f t="shared" si="31"/>
        <v>0.29890958436910808</v>
      </c>
      <c r="F113" s="163">
        <f t="shared" si="31"/>
        <v>0.4095134800123954</v>
      </c>
      <c r="G113" s="163">
        <f t="shared" si="31"/>
        <v>0.5352904381931296</v>
      </c>
      <c r="H113" s="163">
        <f t="shared" si="31"/>
        <v>0.70534545099188894</v>
      </c>
    </row>
    <row r="114" spans="1:8" x14ac:dyDescent="0.25">
      <c r="A114" t="s">
        <v>403</v>
      </c>
      <c r="B114" s="163">
        <f t="shared" ref="B114:H114" si="32">IFERROR(B110/B111,"")</f>
        <v>0.80215675485255289</v>
      </c>
      <c r="C114" s="163">
        <f t="shared" si="32"/>
        <v>0.90766061897294736</v>
      </c>
      <c r="D114" s="163">
        <f t="shared" si="32"/>
        <v>0.99772091376810546</v>
      </c>
      <c r="E114" s="163">
        <f t="shared" si="32"/>
        <v>1.1906786276134549</v>
      </c>
      <c r="F114" s="163">
        <f t="shared" si="32"/>
        <v>1.3507549933797223</v>
      </c>
      <c r="G114" s="163">
        <f t="shared" si="32"/>
        <v>1.5469214903976196</v>
      </c>
      <c r="H114" s="163">
        <f t="shared" si="32"/>
        <v>1.8003127137691781</v>
      </c>
    </row>
    <row r="115" spans="1:8" x14ac:dyDescent="0.25">
      <c r="A115" t="s">
        <v>404</v>
      </c>
      <c r="B115" s="113">
        <f>IFERROR(B108/'MSFT - Balance Sheet FY'!B25,"")</f>
        <v>6.9710486055802642E-2</v>
      </c>
      <c r="C115" s="113">
        <f>IFERROR(C108/'MSFT - Balance Sheet FY'!C25,"")</f>
        <v>0.10080775065750552</v>
      </c>
      <c r="D115" s="113">
        <f>IFERROR(D108/'MSFT - Balance Sheet FY'!D25,"")</f>
        <v>0.11465959182088277</v>
      </c>
      <c r="E115" s="113">
        <f>IFERROR(E108/'MSFT - Balance Sheet FY'!E25,"")</f>
        <v>0.13644611336476264</v>
      </c>
      <c r="F115" s="113">
        <f>IFERROR(F108/'MSFT - Balance Sheet FY'!F25,"")</f>
        <v>0.17420508779761459</v>
      </c>
      <c r="G115" s="113">
        <f>IFERROR(G108/'MSFT - Balance Sheet FY'!G25,"")</f>
        <v>0.21017155032507939</v>
      </c>
      <c r="H115" s="113">
        <f>IFERROR(H108/'MSFT - Balance Sheet FY'!H25,"")</f>
        <v>0.2518809586956825</v>
      </c>
    </row>
    <row r="116" spans="1:8" x14ac:dyDescent="0.25">
      <c r="A116" t="s">
        <v>405</v>
      </c>
      <c r="B116" s="113">
        <f>IFERROR(B111/'MSFT - Balance Sheet FY'!B25,"")</f>
        <v>0.55489068712106404</v>
      </c>
      <c r="C116" s="113">
        <f>IFERROR(C111/'MSFT - Balance Sheet FY'!C25,"")</f>
        <v>0.52420225592243097</v>
      </c>
      <c r="D116" s="113">
        <f>IFERROR(D111/'MSFT - Balance Sheet FY'!D25,"")</f>
        <v>0.50057042157795595</v>
      </c>
      <c r="E116" s="113">
        <f>IFERROR(E111/'MSFT - Balance Sheet FY'!E25,"")</f>
        <v>0.45647955268062712</v>
      </c>
      <c r="F116" s="113">
        <f>IFERROR(F111/'MSFT - Balance Sheet FY'!F25,"")</f>
        <v>0.42539524655535549</v>
      </c>
      <c r="G116" s="113">
        <f>IFERROR(G111/'MSFT - Balance Sheet FY'!G25,"")</f>
        <v>0.39263086976579015</v>
      </c>
      <c r="H116" s="113">
        <f>IFERROR(H111/'MSFT - Balance Sheet FY'!H25,"")</f>
        <v>0.35710297463672025</v>
      </c>
    </row>
    <row r="118" spans="1:8" x14ac:dyDescent="0.25">
      <c r="A118" t="s">
        <v>406</v>
      </c>
      <c r="B118" s="162">
        <f>'MSFT - Income Statement FY'!B21</f>
        <v>162681</v>
      </c>
      <c r="C118" s="162">
        <f>'MSFT - Income Statement FY'!C21</f>
        <v>131720</v>
      </c>
      <c r="D118" s="162">
        <f>'MSFT - Income Statement FY'!D21</f>
        <v>102384</v>
      </c>
      <c r="E118" s="162">
        <f>'MSFT - Income Statement FY'!E21</f>
        <v>97843</v>
      </c>
      <c r="F118" s="162">
        <f>'MSFT - Income Statement FY'!F21</f>
        <v>81602</v>
      </c>
      <c r="G118" s="162">
        <f>'MSFT - Income Statement FY'!G21</f>
        <v>65755</v>
      </c>
      <c r="H118" s="162">
        <f>'MSFT - Income Statement FY'!H21</f>
        <v>54641</v>
      </c>
    </row>
    <row r="119" spans="1:8" x14ac:dyDescent="0.25">
      <c r="A119" t="s">
        <v>407</v>
      </c>
      <c r="B119" s="163">
        <f t="shared" ref="B119:H119" si="33">IFERROR(B108/B118,"")</f>
        <v>0.26524916861833897</v>
      </c>
      <c r="C119" s="163">
        <f t="shared" si="33"/>
        <v>0.39196781050713636</v>
      </c>
      <c r="D119" s="163">
        <f t="shared" si="33"/>
        <v>0.46137091733083296</v>
      </c>
      <c r="E119" s="163">
        <f t="shared" si="33"/>
        <v>0.50878448126079534</v>
      </c>
      <c r="F119" s="163">
        <f t="shared" si="33"/>
        <v>0.71255606480233324</v>
      </c>
      <c r="G119" s="163">
        <f t="shared" si="33"/>
        <v>0.9630750513268953</v>
      </c>
      <c r="H119" s="163">
        <f t="shared" si="33"/>
        <v>1.3209494701780715</v>
      </c>
    </row>
    <row r="120" spans="1:8" x14ac:dyDescent="0.25">
      <c r="A120" t="s">
        <v>408</v>
      </c>
      <c r="B120" s="163">
        <f t="shared" ref="B120:H120" si="34">IFERROR(B109/B118,"")</f>
        <v>7.935161450937725E-2</v>
      </c>
      <c r="C120" s="163">
        <f t="shared" si="34"/>
        <v>0.25292286668691161</v>
      </c>
      <c r="D120" s="163">
        <f t="shared" si="34"/>
        <v>0.12241170495389905</v>
      </c>
      <c r="E120" s="163">
        <f t="shared" si="34"/>
        <v>0.36640331960385514</v>
      </c>
      <c r="F120" s="163">
        <f t="shared" si="34"/>
        <v>0.53824661160265674</v>
      </c>
      <c r="G120" s="163">
        <f t="shared" si="34"/>
        <v>0.75661166451220441</v>
      </c>
      <c r="H120" s="163">
        <f t="shared" si="34"/>
        <v>1.1131201844768581</v>
      </c>
    </row>
    <row r="121" spans="1:8" x14ac:dyDescent="0.25">
      <c r="A121" t="s">
        <v>409</v>
      </c>
      <c r="B121" s="161" t="str">
        <f>IF('MSFT - Income Statement FY'!B23=0,"",B118/'MSFT - Income Statement FY'!B23)</f>
        <v/>
      </c>
      <c r="C121" s="161" t="str">
        <f>IF('MSFT - Income Statement FY'!C23=0,"",C118/'MSFT - Income Statement FY'!C23)</f>
        <v/>
      </c>
      <c r="D121" s="161" t="str">
        <f>IF('MSFT - Income Statement FY'!D23=0,"",D118/'MSFT - Income Statement FY'!D23)</f>
        <v/>
      </c>
      <c r="E121" s="161" t="str">
        <f>IF('MSFT - Income Statement FY'!E23=0,"",E118/'MSFT - Income Statement FY'!E23)</f>
        <v/>
      </c>
      <c r="F121" s="161" t="str">
        <f>IF('MSFT - Income Statement FY'!F23=0,"",F118/'MSFT - Income Statement FY'!F23)</f>
        <v/>
      </c>
      <c r="G121" s="161" t="str">
        <f>IF('MSFT - Income Statement FY'!G23=0,"",G118/'MSFT - Income Statement FY'!G23)</f>
        <v/>
      </c>
      <c r="H121" s="161" t="str">
        <f>IF('MSFT - Income Statement FY'!H23=0,"",H118/'MSFT - Income Statement FY'!H23)</f>
        <v/>
      </c>
    </row>
    <row r="122" spans="1:8" x14ac:dyDescent="0.25">
      <c r="A122" t="s">
        <v>410</v>
      </c>
      <c r="B122" s="161">
        <f>IFERROR('MSFT - Balance Sheet FY'!B13/'MSFT - Balance Sheet FY'!B32,"")</f>
        <v>1.3534464445042416</v>
      </c>
      <c r="C122" s="161">
        <f>IFERROR('MSFT - Balance Sheet FY'!C13/'MSFT - Balance Sheet FY'!C32,"")</f>
        <v>1.2749549031815206</v>
      </c>
      <c r="D122" s="161">
        <f>IFERROR('MSFT - Balance Sheet FY'!D13/'MSFT - Balance Sheet FY'!D32,"")</f>
        <v>1.7691672507657299</v>
      </c>
      <c r="E122" s="161">
        <f>IFERROR('MSFT - Balance Sheet FY'!E13/'MSFT - Balance Sheet FY'!E32,"")</f>
        <v>1.7846069708251824</v>
      </c>
      <c r="F122" s="161">
        <f>IFERROR('MSFT - Balance Sheet FY'!F13/'MSFT - Balance Sheet FY'!F32,"")</f>
        <v>2.0799936835218875</v>
      </c>
      <c r="G122" s="161">
        <f>IFERROR('MSFT - Balance Sheet FY'!G13/'MSFT - Balance Sheet FY'!G32,"")</f>
        <v>2.5157654542940118</v>
      </c>
      <c r="H122" s="161">
        <f>IFERROR('MSFT - Balance Sheet FY'!H13/'MSFT - Balance Sheet FY'!H32,"")</f>
        <v>2.5288389513108616</v>
      </c>
    </row>
    <row r="125" spans="1:8" x14ac:dyDescent="0.25">
      <c r="A125" s="9" t="s">
        <v>913</v>
      </c>
    </row>
    <row r="126" spans="1:8" x14ac:dyDescent="0.25">
      <c r="A126" t="s">
        <v>914</v>
      </c>
      <c r="B126" t="s">
        <v>295</v>
      </c>
    </row>
    <row r="127" spans="1:8" x14ac:dyDescent="0.25">
      <c r="A127" t="s">
        <v>915</v>
      </c>
      <c r="B127" s="80">
        <f>SUMIFS(mag7_leases_fy2019_fy2026!$D:$D,mag7_leases_fy2019_fy2026!$A:$A,$B$126,mag7_leases_fy2019_fy2026!$B:$B,YEAR(B$5))+SUMIFS(mag7_leases_fy2019_fy2026!$F:$F,mag7_leases_fy2019_fy2026!$A:$A,$B$126,mag7_leases_fy2019_fy2026!$B:$B,YEAR(B$5))</f>
        <v>8596</v>
      </c>
      <c r="C127" s="80">
        <f>SUMIFS(mag7_leases_fy2019_fy2026!$D:$D,mag7_leases_fy2019_fy2026!$A:$A,$B$126,mag7_leases_fy2019_fy2026!$B:$B,YEAR(C$5))+SUMIFS(mag7_leases_fy2019_fy2026!$F:$F,mag7_leases_fy2019_fy2026!$A:$A,$B$126,mag7_leases_fy2019_fy2026!$B:$B,YEAR(C$5))</f>
        <v>5929</v>
      </c>
      <c r="D127" s="80">
        <f>SUMIFS(mag7_leases_fy2019_fy2026!$D:$D,mag7_leases_fy2019_fy2026!$A:$A,$B$126,mag7_leases_fy2019_fy2026!$B:$B,YEAR(D$5))+SUMIFS(mag7_leases_fy2019_fy2026!$F:$F,mag7_leases_fy2019_fy2026!$A:$A,$B$126,mag7_leases_fy2019_fy2026!$B:$B,YEAR(D$5))</f>
        <v>3606</v>
      </c>
      <c r="E127" s="80">
        <f>SUMIFS(mag7_leases_fy2019_fy2026!$D:$D,mag7_leases_fy2019_fy2026!$A:$A,$B$126,mag7_leases_fy2019_fy2026!$B:$B,YEAR(E$5))+SUMIFS(mag7_leases_fy2019_fy2026!$F:$F,mag7_leases_fy2019_fy2026!$A:$A,$B$126,mag7_leases_fy2019_fy2026!$B:$B,YEAR(E$5))</f>
        <v>3288</v>
      </c>
      <c r="F127" s="80">
        <f>SUMIFS(mag7_leases_fy2019_fy2026!$D:$D,mag7_leases_fy2019_fy2026!$A:$A,$B$126,mag7_leases_fy2019_fy2026!$B:$B,YEAR(F$5))+SUMIFS(mag7_leases_fy2019_fy2026!$F:$F,mag7_leases_fy2019_fy2026!$A:$A,$B$126,mag7_leases_fy2019_fy2026!$B:$B,YEAR(F$5))</f>
        <v>2753</v>
      </c>
      <c r="G127" s="80">
        <f>SUMIFS(mag7_leases_fy2019_fy2026!$D:$D,mag7_leases_fy2019_fy2026!$A:$A,$B$126,mag7_leases_fy2019_fy2026!$B:$B,YEAR(G$5))+SUMIFS(mag7_leases_fy2019_fy2026!$F:$F,mag7_leases_fy2019_fy2026!$A:$A,$B$126,mag7_leases_fy2019_fy2026!$B:$B,YEAR(G$5))</f>
        <v>2156</v>
      </c>
      <c r="H127" s="80">
        <f>SUMIFS(mag7_leases_fy2019_fy2026!$D:$D,mag7_leases_fy2019_fy2026!$A:$A,$B$126,mag7_leases_fy2019_fy2026!$B:$B,YEAR(H$5))+SUMIFS(mag7_leases_fy2019_fy2026!$F:$F,mag7_leases_fy2019_fy2026!$A:$A,$B$126,mag7_leases_fy2019_fy2026!$B:$B,YEAR(H$5))</f>
        <v>0</v>
      </c>
    </row>
    <row r="128" spans="1:8" x14ac:dyDescent="0.25">
      <c r="A128" t="s">
        <v>916</v>
      </c>
      <c r="B128" s="80">
        <f>SUMIFS(mag7_leases_fy2019_fy2026!$E:$E,mag7_leases_fy2019_fy2026!$A:$A,$B$126,mag7_leases_fy2019_fy2026!$B:$B,YEAR(B$5))+SUMIFS(mag7_leases_fy2019_fy2026!$G:$G,mag7_leases_fy2019_fy2026!$A:$A,$B$126,mag7_leases_fy2019_fy2026!$B:$B,YEAR(B$5))</f>
        <v>60437</v>
      </c>
      <c r="C128" s="80">
        <f>SUMIFS(mag7_leases_fy2019_fy2026!$E:$E,mag7_leases_fy2019_fy2026!$A:$A,$B$126,mag7_leases_fy2019_fy2026!$B:$B,YEAR(C$5))+SUMIFS(mag7_leases_fy2019_fy2026!$G:$G,mag7_leases_fy2019_fy2026!$A:$A,$B$126,mag7_leases_fy2019_fy2026!$B:$B,YEAR(C$5))</f>
        <v>40293</v>
      </c>
      <c r="D128" s="80">
        <f>SUMIFS(mag7_leases_fy2019_fy2026!$E:$E,mag7_leases_fy2019_fy2026!$A:$A,$B$126,mag7_leases_fy2019_fy2026!$B:$B,YEAR(D$5))+SUMIFS(mag7_leases_fy2019_fy2026!$G:$G,mag7_leases_fy2019_fy2026!$A:$A,$B$126,mag7_leases_fy2019_fy2026!$B:$B,YEAR(D$5))</f>
        <v>28598</v>
      </c>
      <c r="E128" s="80">
        <f>SUMIFS(mag7_leases_fy2019_fy2026!$E:$E,mag7_leases_fy2019_fy2026!$A:$A,$B$126,mag7_leases_fy2019_fy2026!$B:$B,YEAR(E$5))+SUMIFS(mag7_leases_fy2019_fy2026!$G:$G,mag7_leases_fy2019_fy2026!$A:$A,$B$126,mag7_leases_fy2019_fy2026!$B:$B,YEAR(E$5))</f>
        <v>25331</v>
      </c>
      <c r="F128" s="80">
        <f>SUMIFS(mag7_leases_fy2019_fy2026!$E:$E,mag7_leases_fy2019_fy2026!$A:$A,$B$126,mag7_leases_fy2019_fy2026!$B:$B,YEAR(F$5))+SUMIFS(mag7_leases_fy2019_fy2026!$G:$G,mag7_leases_fy2019_fy2026!$A:$A,$B$126,mag7_leases_fy2019_fy2026!$B:$B,YEAR(F$5))</f>
        <v>21379</v>
      </c>
      <c r="G128" s="80">
        <f>SUMIFS(mag7_leases_fy2019_fy2026!$E:$E,mag7_leases_fy2019_fy2026!$A:$A,$B$126,mag7_leases_fy2019_fy2026!$B:$B,YEAR(G$5))+SUMIFS(mag7_leases_fy2019_fy2026!$G:$G,mag7_leases_fy2019_fy2026!$A:$A,$B$126,mag7_leases_fy2019_fy2026!$B:$B,YEAR(G$5))</f>
        <v>16627</v>
      </c>
      <c r="H128" s="80">
        <f>SUMIFS(mag7_leases_fy2019_fy2026!$E:$E,mag7_leases_fy2019_fy2026!$A:$A,$B$126,mag7_leases_fy2019_fy2026!$B:$B,YEAR(H$5))+SUMIFS(mag7_leases_fy2019_fy2026!$G:$G,mag7_leases_fy2019_fy2026!$A:$A,$B$126,mag7_leases_fy2019_fy2026!$B:$B,YEAR(H$5))</f>
        <v>6188</v>
      </c>
    </row>
    <row r="129" spans="1:8" x14ac:dyDescent="0.25">
      <c r="A129" t="s">
        <v>917</v>
      </c>
      <c r="B129" s="135">
        <f t="shared" ref="B129:H129" si="35">B127+B128</f>
        <v>69033</v>
      </c>
      <c r="C129" s="135">
        <f t="shared" si="35"/>
        <v>46222</v>
      </c>
      <c r="D129" s="135">
        <f t="shared" si="35"/>
        <v>32204</v>
      </c>
      <c r="E129" s="135">
        <f t="shared" si="35"/>
        <v>28619</v>
      </c>
      <c r="F129" s="135">
        <f t="shared" si="35"/>
        <v>24132</v>
      </c>
      <c r="G129" s="135">
        <f t="shared" si="35"/>
        <v>18783</v>
      </c>
      <c r="H129" s="135">
        <f t="shared" si="35"/>
        <v>6188</v>
      </c>
    </row>
    <row r="130" spans="1:8" x14ac:dyDescent="0.25">
      <c r="A130" t="s">
        <v>918</v>
      </c>
      <c r="B130" s="80">
        <f>SUMIFS(mag7_leases_fy2019_fy2026!$H:$H,mag7_leases_fy2019_fy2026!$A:$A,$B$126,mag7_leases_fy2019_fy2026!$B:$B,YEAR(B$5))</f>
        <v>24823</v>
      </c>
      <c r="C130" s="80">
        <f>SUMIFS(mag7_leases_fy2019_fy2026!$H:$H,mag7_leases_fy2019_fy2026!$A:$A,$B$126,mag7_leases_fy2019_fy2026!$B:$B,YEAR(C$5))</f>
        <v>18961</v>
      </c>
      <c r="D130" s="80">
        <f>SUMIFS(mag7_leases_fy2019_fy2026!$H:$H,mag7_leases_fy2019_fy2026!$A:$A,$B$126,mag7_leases_fy2019_fy2026!$B:$B,YEAR(D$5))</f>
        <v>14346</v>
      </c>
      <c r="E130" s="80">
        <f>SUMIFS(mag7_leases_fy2019_fy2026!$H:$H,mag7_leases_fy2019_fy2026!$A:$A,$B$126,mag7_leases_fy2019_fy2026!$B:$B,YEAR(E$5))</f>
        <v>13148</v>
      </c>
      <c r="F130" s="80">
        <f>SUMIFS(mag7_leases_fy2019_fy2026!$H:$H,mag7_leases_fy2019_fy2026!$A:$A,$B$126,mag7_leases_fy2019_fy2026!$B:$B,YEAR(F$5))</f>
        <v>11088</v>
      </c>
      <c r="G130" s="80">
        <f>SUMIFS(mag7_leases_fy2019_fy2026!$H:$H,mag7_leases_fy2019_fy2026!$A:$A,$B$126,mag7_leases_fy2019_fy2026!$B:$B,YEAR(G$5))</f>
        <v>8753</v>
      </c>
      <c r="H130" s="80">
        <f>SUMIFS(mag7_leases_fy2019_fy2026!$H:$H,mag7_leases_fy2019_fy2026!$A:$A,$B$126,mag7_leases_fy2019_fy2026!$B:$B,YEAR(H$5))</f>
        <v>7379</v>
      </c>
    </row>
    <row r="135" spans="1:8" x14ac:dyDescent="0.25">
      <c r="A135" s="67" t="s">
        <v>1358</v>
      </c>
    </row>
    <row r="136" spans="1:8" x14ac:dyDescent="0.25">
      <c r="A136" t="s">
        <v>1359</v>
      </c>
      <c r="B136" s="190">
        <v>5</v>
      </c>
    </row>
    <row r="137" spans="1:8" x14ac:dyDescent="0.25">
      <c r="A137" t="s">
        <v>1360</v>
      </c>
      <c r="B137" s="35">
        <f>'MSFT - Income Statement FY'!B13</f>
        <v>32488</v>
      </c>
      <c r="C137" s="35">
        <f>'MSFT - Income Statement FY'!C13</f>
        <v>29510</v>
      </c>
      <c r="D137" s="35">
        <f>'MSFT - Income Statement FY'!D13</f>
        <v>27195</v>
      </c>
      <c r="E137" s="35">
        <f>'MSFT - Income Statement FY'!E13</f>
        <v>24512</v>
      </c>
      <c r="F137" s="35">
        <f>'MSFT - Income Statement FY'!F13</f>
        <v>20716</v>
      </c>
      <c r="G137" s="35">
        <f>'MSFT - Income Statement FY'!G13</f>
        <v>19269</v>
      </c>
      <c r="H137" s="35">
        <f>'MSFT - Income Statement FY'!H13</f>
        <v>16876</v>
      </c>
    </row>
    <row r="138" spans="1:8" x14ac:dyDescent="0.25">
      <c r="A138" t="s">
        <v>1361</v>
      </c>
      <c r="B138" s="35">
        <f>B137*MAX(0,($B$136-0)/$B$136)+C137*MAX(0,($B$136-1)/$B$136)+D137*MAX(0,($B$136-2)/$B$136)+E137*MAX(0,($B$136-3)/$B$136)+F137*MAX(0,($B$136-4)/$B$136)</f>
        <v>86361</v>
      </c>
      <c r="C138" s="35">
        <f>C137*MAX(0,($B$136-0)/$B$136)+D137*MAX(0,($B$136-1)/$B$136)+E137*MAX(0,($B$136-2)/$B$136)+F137*MAX(0,($B$136-3)/$B$136)+G137*MAX(0,($B$136-4)/$B$136)</f>
        <v>78113.399999999994</v>
      </c>
      <c r="D138" s="35">
        <f>D137*MAX(0,($B$136-0)/$B$136)+E137*MAX(0,($B$136-1)/$B$136)+F137*MAX(0,($B$136-2)/$B$136)+G137*MAX(0,($B$136-3)/$B$136)+H137*MAX(0,($B$136-4)/$B$136)</f>
        <v>70317</v>
      </c>
      <c r="E138" s="35" t="str">
        <f>""</f>
        <v/>
      </c>
      <c r="F138" s="35" t="str">
        <f>""</f>
        <v/>
      </c>
      <c r="G138" s="35" t="str">
        <f>""</f>
        <v/>
      </c>
      <c r="H138" s="35" t="str">
        <f>""</f>
        <v/>
      </c>
    </row>
    <row r="139" spans="1:8" x14ac:dyDescent="0.25">
      <c r="A139" t="s">
        <v>1362</v>
      </c>
      <c r="B139" s="35">
        <f>(C137*IF($B$136&gt;=1,1,0)+D137*IF($B$136&gt;=2,1,0)+E137*IF($B$136&gt;=3,1,0)+F137*IF($B$136&gt;=4,1,0)+G137*IF($B$136&gt;=5,1,0))/$B$136</f>
        <v>24240.400000000001</v>
      </c>
      <c r="C139" s="35">
        <f>(D137*IF($B$136&gt;=1,1,0)+E137*IF($B$136&gt;=2,1,0)+F137*IF($B$136&gt;=3,1,0)+G137*IF($B$136&gt;=4,1,0)+H137*IF($B$136&gt;=5,1,0))/$B$136</f>
        <v>21713.599999999999</v>
      </c>
      <c r="D139" s="35" t="str">
        <f>""</f>
        <v/>
      </c>
      <c r="E139" s="35" t="str">
        <f>""</f>
        <v/>
      </c>
      <c r="F139" s="35" t="str">
        <f>""</f>
        <v/>
      </c>
      <c r="G139" s="35" t="str">
        <f>""</f>
        <v/>
      </c>
      <c r="H139" s="35" t="str">
        <f>""</f>
        <v/>
      </c>
    </row>
    <row r="140" spans="1:8" x14ac:dyDescent="0.25">
      <c r="A140" t="s">
        <v>1363</v>
      </c>
      <c r="B140" s="35">
        <f t="shared" ref="B140:H140" si="36">B54</f>
        <v>128528</v>
      </c>
      <c r="C140" s="35">
        <f t="shared" si="36"/>
        <v>109433</v>
      </c>
      <c r="D140" s="35">
        <f t="shared" si="36"/>
        <v>88523</v>
      </c>
      <c r="E140" s="35">
        <f t="shared" si="36"/>
        <v>83383</v>
      </c>
      <c r="F140" s="35">
        <f t="shared" si="36"/>
        <v>69916</v>
      </c>
      <c r="G140" s="35">
        <f t="shared" si="36"/>
        <v>52959</v>
      </c>
      <c r="H140" s="35">
        <f t="shared" si="36"/>
        <v>42959</v>
      </c>
    </row>
    <row r="141" spans="1:8" x14ac:dyDescent="0.25">
      <c r="A141" t="s">
        <v>1364</v>
      </c>
      <c r="B141" s="35">
        <f>B140+B137-B139</f>
        <v>136775.6</v>
      </c>
      <c r="C141" s="35">
        <f>C140+C137-C139</f>
        <v>117229.4</v>
      </c>
      <c r="D141" s="35" t="str">
        <f>""</f>
        <v/>
      </c>
      <c r="E141" s="35" t="str">
        <f>""</f>
        <v/>
      </c>
      <c r="F141" s="35" t="str">
        <f>""</f>
        <v/>
      </c>
      <c r="G141" s="35" t="str">
        <f>""</f>
        <v/>
      </c>
      <c r="H141" s="35" t="str">
        <f>""</f>
        <v/>
      </c>
    </row>
    <row r="142" spans="1:8" x14ac:dyDescent="0.25">
      <c r="A142" t="s">
        <v>1365</v>
      </c>
      <c r="B142" s="35">
        <f>B141*(1-$B$9)</f>
        <v>108052.72400000002</v>
      </c>
      <c r="C142" s="35">
        <f>C141*(1-$B$9)</f>
        <v>92611.225999999995</v>
      </c>
      <c r="D142" s="35" t="str">
        <f>""</f>
        <v/>
      </c>
      <c r="E142" s="35" t="str">
        <f>""</f>
        <v/>
      </c>
      <c r="F142" s="35" t="str">
        <f>""</f>
        <v/>
      </c>
      <c r="G142" s="35" t="str">
        <f>""</f>
        <v/>
      </c>
      <c r="H142" s="35" t="str">
        <f>""</f>
        <v/>
      </c>
    </row>
    <row r="143" spans="1:8" x14ac:dyDescent="0.25">
      <c r="A143" t="s">
        <v>1366</v>
      </c>
      <c r="B143" s="35">
        <f t="shared" ref="B143:H143" si="37">B32</f>
        <v>351327.48</v>
      </c>
      <c r="C143" s="35">
        <f t="shared" si="37"/>
        <v>281088.44</v>
      </c>
      <c r="D143" s="35">
        <f t="shared" si="37"/>
        <v>168761.3</v>
      </c>
      <c r="E143" s="35">
        <f t="shared" si="37"/>
        <v>137259.4</v>
      </c>
      <c r="F143" s="35">
        <f t="shared" si="37"/>
        <v>91309.760000000009</v>
      </c>
      <c r="G143" s="35">
        <f t="shared" si="37"/>
        <v>63782.3</v>
      </c>
      <c r="H143" s="35">
        <f t="shared" si="37"/>
        <v>46744.86</v>
      </c>
    </row>
    <row r="144" spans="1:8" x14ac:dyDescent="0.25">
      <c r="A144" t="s">
        <v>1367</v>
      </c>
      <c r="B144" s="35">
        <f>B32+B138</f>
        <v>437688.48</v>
      </c>
      <c r="C144" s="35">
        <f>C32+C138</f>
        <v>359201.83999999997</v>
      </c>
      <c r="D144" s="35">
        <f>D32+D138</f>
        <v>239078.3</v>
      </c>
      <c r="E144" s="35" t="str">
        <f>""</f>
        <v/>
      </c>
      <c r="F144" s="35" t="str">
        <f>""</f>
        <v/>
      </c>
      <c r="G144" s="35" t="str">
        <f>""</f>
        <v/>
      </c>
      <c r="H144" s="35" t="str">
        <f>""</f>
        <v/>
      </c>
    </row>
    <row r="145" spans="1:8" x14ac:dyDescent="0.25">
      <c r="A145" t="s">
        <v>1368</v>
      </c>
      <c r="B145" s="28">
        <f t="shared" ref="B145:H145" si="38">IFERROR(B56/B32,"")</f>
        <v>0.2890099003926479</v>
      </c>
      <c r="C145" s="28">
        <f t="shared" si="38"/>
        <v>0.30756181221824708</v>
      </c>
      <c r="D145" s="28">
        <f t="shared" si="38"/>
        <v>0.414391036333567</v>
      </c>
      <c r="E145" s="28">
        <f t="shared" si="38"/>
        <v>0.47991299685121752</v>
      </c>
      <c r="F145" s="28">
        <f t="shared" si="38"/>
        <v>0.60490401026133456</v>
      </c>
      <c r="G145" s="28">
        <f t="shared" si="38"/>
        <v>0.65594389038965351</v>
      </c>
      <c r="H145" s="28">
        <f t="shared" si="38"/>
        <v>0.72601800497423674</v>
      </c>
    </row>
    <row r="146" spans="1:8" x14ac:dyDescent="0.25">
      <c r="A146" t="s">
        <v>1369</v>
      </c>
      <c r="B146" s="28">
        <f>IFERROR(B142/B144,"")</f>
        <v>0.24687129987976841</v>
      </c>
      <c r="C146" s="28">
        <f>IFERROR(C142/C144,"")</f>
        <v>0.25782503229938913</v>
      </c>
      <c r="D146" s="28" t="str">
        <f>""</f>
        <v/>
      </c>
      <c r="E146" s="28" t="str">
        <f>""</f>
        <v/>
      </c>
      <c r="F146" s="28" t="str">
        <f>""</f>
        <v/>
      </c>
      <c r="G146" s="28" t="str">
        <f>""</f>
        <v/>
      </c>
      <c r="H146" s="28" t="str">
        <f>""</f>
        <v/>
      </c>
    </row>
    <row r="148" spans="1:8" x14ac:dyDescent="0.25">
      <c r="A148" s="67" t="s">
        <v>1497</v>
      </c>
    </row>
    <row r="149" spans="1:8" x14ac:dyDescent="0.25">
      <c r="A149" t="s">
        <v>1498</v>
      </c>
      <c r="B149" s="3">
        <f>IF(COUNTIFS(mag7_leases_fy2019_fy2026!$A:$A,$B$126,mag7_leases_fy2019_fy2026!$B:$B,YEAR(B$5),mag7_leases_fy2019_fy2026!$L:$L,"&gt;0")=0,"",SUMIFS(mag7_leases_fy2019_fy2026!$L:$L,mag7_leases_fy2019_fy2026!$A:$A,$B$126,mag7_leases_fy2019_fy2026!$B:$B,YEAR(B$5))/100)</f>
        <v>3.5000000000000003E-2</v>
      </c>
      <c r="C149" s="3">
        <f>IF(COUNTIFS(mag7_leases_fy2019_fy2026!$A:$A,$B$126,mag7_leases_fy2019_fy2026!$B:$B,YEAR(C$5),mag7_leases_fy2019_fy2026!$L:$L,"&gt;0")=0,"",SUMIFS(mag7_leases_fy2019_fy2026!$L:$L,mag7_leases_fy2019_fy2026!$A:$A,$B$126,mag7_leases_fy2019_fy2026!$B:$B,YEAR(C$5))/100)</f>
        <v>3.3000000000000002E-2</v>
      </c>
      <c r="D149" s="3">
        <f>IF(COUNTIFS(mag7_leases_fy2019_fy2026!$A:$A,$B$126,mag7_leases_fy2019_fy2026!$B:$B,YEAR(D$5),mag7_leases_fy2019_fy2026!$L:$L,"&gt;0")=0,"",SUMIFS(mag7_leases_fy2019_fy2026!$L:$L,mag7_leases_fy2019_fy2026!$A:$A,$B$126,mag7_leases_fy2019_fy2026!$B:$B,YEAR(D$5))/100)</f>
        <v>2.8999999999999998E-2</v>
      </c>
      <c r="E149" s="3">
        <f>IF(COUNTIFS(mag7_leases_fy2019_fy2026!$A:$A,$B$126,mag7_leases_fy2019_fy2026!$B:$B,YEAR(E$5),mag7_leases_fy2019_fy2026!$L:$L,"&gt;0")=0,"",SUMIFS(mag7_leases_fy2019_fy2026!$L:$L,mag7_leases_fy2019_fy2026!$A:$A,$B$126,mag7_leases_fy2019_fy2026!$B:$B,YEAR(E$5))/100)</f>
        <v>2.1000000000000001E-2</v>
      </c>
      <c r="F149" s="3">
        <f>IF(COUNTIFS(mag7_leases_fy2019_fy2026!$A:$A,$B$126,mag7_leases_fy2019_fy2026!$B:$B,YEAR(F$5),mag7_leases_fy2019_fy2026!$L:$L,"&gt;0")=0,"",SUMIFS(mag7_leases_fy2019_fy2026!$L:$L,mag7_leases_fy2019_fy2026!$A:$A,$B$126,mag7_leases_fy2019_fy2026!$B:$B,YEAR(F$5))/100)</f>
        <v>2.2000000000000002E-2</v>
      </c>
      <c r="G149" s="3">
        <f>IF(COUNTIFS(mag7_leases_fy2019_fy2026!$A:$A,$B$126,mag7_leases_fy2019_fy2026!$B:$B,YEAR(G$5),mag7_leases_fy2019_fy2026!$L:$L,"&gt;0")=0,"",SUMIFS(mag7_leases_fy2019_fy2026!$L:$L,mag7_leases_fy2019_fy2026!$A:$A,$B$126,mag7_leases_fy2019_fy2026!$B:$B,YEAR(G$5))/100)</f>
        <v>2.7000000000000003E-2</v>
      </c>
      <c r="H149" s="3">
        <f>IF(COUNTIFS(mag7_leases_fy2019_fy2026!$A:$A,$B$126,mag7_leases_fy2019_fy2026!$B:$B,YEAR(H$5),mag7_leases_fy2019_fy2026!$L:$L,"&gt;0")=0,"",SUMIFS(mag7_leases_fy2019_fy2026!$L:$L,mag7_leases_fy2019_fy2026!$A:$A,$B$126,mag7_leases_fy2019_fy2026!$B:$B,YEAR(H$5))/100)</f>
        <v>0.03</v>
      </c>
    </row>
    <row r="150" spans="1:8" x14ac:dyDescent="0.25">
      <c r="A150" t="s">
        <v>917</v>
      </c>
      <c r="B150" s="35">
        <f t="shared" ref="B150:H150" si="39">B129</f>
        <v>69033</v>
      </c>
      <c r="C150" s="35">
        <f t="shared" si="39"/>
        <v>46222</v>
      </c>
      <c r="D150" s="35">
        <f t="shared" si="39"/>
        <v>32204</v>
      </c>
      <c r="E150" s="35">
        <f t="shared" si="39"/>
        <v>28619</v>
      </c>
      <c r="F150" s="35">
        <f t="shared" si="39"/>
        <v>24132</v>
      </c>
      <c r="G150" s="35">
        <f t="shared" si="39"/>
        <v>18783</v>
      </c>
      <c r="H150" s="35">
        <f t="shared" si="39"/>
        <v>6188</v>
      </c>
    </row>
    <row r="151" spans="1:8" x14ac:dyDescent="0.25">
      <c r="A151" t="s">
        <v>1499</v>
      </c>
      <c r="B151" s="35">
        <f t="shared" ref="B151:H151" si="40">IF(B149="","",B149*B150)</f>
        <v>2416.1550000000002</v>
      </c>
      <c r="C151" s="35">
        <f t="shared" si="40"/>
        <v>1525.326</v>
      </c>
      <c r="D151" s="35">
        <f t="shared" si="40"/>
        <v>933.91599999999994</v>
      </c>
      <c r="E151" s="35">
        <f t="shared" si="40"/>
        <v>600.99900000000002</v>
      </c>
      <c r="F151" s="35">
        <f t="shared" si="40"/>
        <v>530.904</v>
      </c>
      <c r="G151" s="35">
        <f t="shared" si="40"/>
        <v>507.14100000000008</v>
      </c>
      <c r="H151" s="35">
        <f t="shared" si="40"/>
        <v>185.64</v>
      </c>
    </row>
    <row r="152" spans="1:8" x14ac:dyDescent="0.25">
      <c r="A152" t="s">
        <v>1500</v>
      </c>
      <c r="B152" s="3">
        <f>IF(B151="","",B151/'MSFT - Income Statement FY'!B7)</f>
        <v>8.5763193764109569E-3</v>
      </c>
      <c r="C152" s="3">
        <f>IF(C151="","",C151/'MSFT - Income Statement FY'!C7)</f>
        <v>6.2227217467220406E-3</v>
      </c>
      <c r="D152" s="3">
        <f>IF(D151="","",D151/'MSFT - Income Statement FY'!D7)</f>
        <v>4.4070311209683122E-3</v>
      </c>
      <c r="E152" s="3">
        <f>IF(E151="","",E151/'MSFT - Income Statement FY'!E7)</f>
        <v>3.0312150098350736E-3</v>
      </c>
      <c r="F152" s="3">
        <f>IF(F151="","",F151/'MSFT - Income Statement FY'!F7)</f>
        <v>3.1584884108324211E-3</v>
      </c>
      <c r="G152" s="3">
        <f>IF(G151="","",G151/'MSFT - Income Statement FY'!G7)</f>
        <v>3.546068594203406E-3</v>
      </c>
      <c r="H152" s="3">
        <f>IF(H151="","",H151/'MSFT - Income Statement FY'!H7)</f>
        <v>1.4751714437831265E-3</v>
      </c>
    </row>
    <row r="153" spans="1:8" x14ac:dyDescent="0.25">
      <c r="A153" t="s">
        <v>1363</v>
      </c>
      <c r="B153" s="35">
        <f t="shared" ref="B153:H153" si="41">B54</f>
        <v>128528</v>
      </c>
      <c r="C153" s="35">
        <f t="shared" si="41"/>
        <v>109433</v>
      </c>
      <c r="D153" s="35">
        <f t="shared" si="41"/>
        <v>88523</v>
      </c>
      <c r="E153" s="35">
        <f t="shared" si="41"/>
        <v>83383</v>
      </c>
      <c r="F153" s="35">
        <f t="shared" si="41"/>
        <v>69916</v>
      </c>
      <c r="G153" s="35">
        <f t="shared" si="41"/>
        <v>52959</v>
      </c>
      <c r="H153" s="35">
        <f t="shared" si="41"/>
        <v>42959</v>
      </c>
    </row>
    <row r="154" spans="1:8" x14ac:dyDescent="0.25">
      <c r="A154" t="s">
        <v>1501</v>
      </c>
      <c r="B154" s="35">
        <f t="shared" ref="B154:H154" si="42">IF(B151="",B153,B153+B151)</f>
        <v>130944.155</v>
      </c>
      <c r="C154" s="35">
        <f t="shared" si="42"/>
        <v>110958.326</v>
      </c>
      <c r="D154" s="35">
        <f t="shared" si="42"/>
        <v>89456.915999999997</v>
      </c>
      <c r="E154" s="35">
        <f t="shared" si="42"/>
        <v>83983.998999999996</v>
      </c>
      <c r="F154" s="35">
        <f t="shared" si="42"/>
        <v>70446.903999999995</v>
      </c>
      <c r="G154" s="35">
        <f t="shared" si="42"/>
        <v>53466.141000000003</v>
      </c>
      <c r="H154" s="35">
        <f t="shared" si="42"/>
        <v>43144.639999999999</v>
      </c>
    </row>
    <row r="155" spans="1:8" x14ac:dyDescent="0.25">
      <c r="A155" t="s">
        <v>1365</v>
      </c>
      <c r="B155" s="35">
        <f t="shared" ref="B155:H155" si="43">B154*(1-$B$9)</f>
        <v>103445.88245</v>
      </c>
      <c r="C155" s="35">
        <f t="shared" si="43"/>
        <v>87657.077539999998</v>
      </c>
      <c r="D155" s="35">
        <f t="shared" si="43"/>
        <v>70670.963640000002</v>
      </c>
      <c r="E155" s="35">
        <f t="shared" si="43"/>
        <v>66347.359209999995</v>
      </c>
      <c r="F155" s="35">
        <f t="shared" si="43"/>
        <v>55653.05416</v>
      </c>
      <c r="G155" s="35">
        <f t="shared" si="43"/>
        <v>42238.251390000005</v>
      </c>
      <c r="H155" s="35">
        <f t="shared" si="43"/>
        <v>34084.265599999999</v>
      </c>
    </row>
    <row r="156" spans="1:8" x14ac:dyDescent="0.25">
      <c r="A156" t="s">
        <v>1502</v>
      </c>
      <c r="B156" s="62" t="str">
        <f t="shared" ref="B156:H156" si="44">IF(B149="","MISSING - add-back omitted","ok")</f>
        <v>ok</v>
      </c>
      <c r="C156" s="62" t="str">
        <f t="shared" si="44"/>
        <v>ok</v>
      </c>
      <c r="D156" s="62" t="str">
        <f t="shared" si="44"/>
        <v>ok</v>
      </c>
      <c r="E156" s="62" t="str">
        <f t="shared" si="44"/>
        <v>ok</v>
      </c>
      <c r="F156" s="62" t="str">
        <f t="shared" si="44"/>
        <v>ok</v>
      </c>
      <c r="G156" s="62" t="str">
        <f t="shared" si="44"/>
        <v>ok</v>
      </c>
      <c r="H156" s="62" t="str">
        <f t="shared" si="44"/>
        <v>ok</v>
      </c>
    </row>
  </sheetData>
  <conditionalFormatting sqref="B51:H51">
    <cfRule type="cellIs" dxfId="11" priority="1" operator="notBetween">
      <formula>0.5</formula>
      <formula>-0.5</formula>
    </cfRule>
  </conditionalFormatting>
  <conditionalFormatting sqref="B156:H156">
    <cfRule type="containsText" dxfId="10" priority="2" operator="containsText" text="MISSING">
      <formula>NOT(ISERROR(SEARCH("MISSING",B156)))</formula>
    </cfRule>
  </conditionalFormatting>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C3F13A-8521-4811-8F03-F8A5EE85B742}">
  <sheetPr>
    <tabColor rgb="FFFFE699"/>
  </sheetPr>
  <dimension ref="A1:H156"/>
  <sheetViews>
    <sheetView zoomScale="40" zoomScaleNormal="40" workbookViewId="0">
      <pane xSplit="1" topLeftCell="H1" activePane="topRight" state="frozen"/>
      <selection pane="topRight" activeCell="Q4" sqref="Q4"/>
    </sheetView>
  </sheetViews>
  <sheetFormatPr defaultRowHeight="15" x14ac:dyDescent="0.25"/>
  <cols>
    <col min="1" max="1" width="89.85546875" bestFit="1" customWidth="1"/>
    <col min="2" max="8" width="16.7109375" customWidth="1"/>
  </cols>
  <sheetData>
    <row r="1" spans="1:8" ht="15.75" x14ac:dyDescent="0.25">
      <c r="A1" s="16" t="s">
        <v>286</v>
      </c>
      <c r="B1" s="16"/>
      <c r="C1" s="16"/>
      <c r="D1" s="16"/>
      <c r="E1" s="16"/>
      <c r="F1" s="16"/>
      <c r="G1" s="16"/>
      <c r="H1" s="16"/>
    </row>
    <row r="2" spans="1:8" x14ac:dyDescent="0.25">
      <c r="A2" s="17" t="s">
        <v>1</v>
      </c>
      <c r="B2" s="149" t="str">
        <f>'GOOGL - Income Statement FY'!B2</f>
        <v>GOOGL (NASDAQ)</v>
      </c>
      <c r="C2" s="17"/>
      <c r="D2" s="17"/>
      <c r="E2" s="17"/>
      <c r="F2" s="17"/>
      <c r="G2" s="17"/>
      <c r="H2" s="17"/>
    </row>
    <row r="3" spans="1:8" x14ac:dyDescent="0.25">
      <c r="A3" s="17" t="s">
        <v>3</v>
      </c>
      <c r="B3" s="149" t="str">
        <f>'GOOGL - Income Statement FY'!B3</f>
        <v>USD</v>
      </c>
      <c r="C3" s="17"/>
      <c r="D3" s="17"/>
      <c r="E3" s="17"/>
      <c r="F3" s="17"/>
      <c r="G3" s="17"/>
      <c r="H3" s="17"/>
    </row>
    <row r="4" spans="1:8" x14ac:dyDescent="0.25">
      <c r="A4" s="17" t="s">
        <v>32</v>
      </c>
      <c r="B4" s="150" t="str">
        <f>'GOOGL - Income Statement FY'!B4</f>
        <v>FY</v>
      </c>
      <c r="C4" s="150">
        <f>'GOOGL - Income Statement FY'!C4</f>
        <v>0</v>
      </c>
      <c r="D4" s="150">
        <f>'GOOGL - Income Statement FY'!D4</f>
        <v>0</v>
      </c>
      <c r="E4" s="150">
        <f>'GOOGL - Income Statement FY'!E4</f>
        <v>0</v>
      </c>
      <c r="F4" s="150">
        <f>'GOOGL - Income Statement FY'!F4</f>
        <v>0</v>
      </c>
      <c r="G4" s="150">
        <f>'GOOGL - Income Statement FY'!G4</f>
        <v>0</v>
      </c>
      <c r="H4" s="150">
        <f>'GOOGL - Income Statement FY'!H4</f>
        <v>0</v>
      </c>
    </row>
    <row r="5" spans="1:8" x14ac:dyDescent="0.25">
      <c r="A5" s="17" t="s">
        <v>34</v>
      </c>
      <c r="B5" s="151">
        <f>'GOOGL - Income Statement FY'!B5</f>
        <v>46022</v>
      </c>
      <c r="C5" s="151">
        <f>'GOOGL - Income Statement FY'!C5</f>
        <v>45657</v>
      </c>
      <c r="D5" s="151">
        <f>'GOOGL - Income Statement FY'!D5</f>
        <v>45291</v>
      </c>
      <c r="E5" s="151">
        <f>'GOOGL - Income Statement FY'!E5</f>
        <v>44926</v>
      </c>
      <c r="F5" s="151">
        <f>'GOOGL - Income Statement FY'!F5</f>
        <v>44561</v>
      </c>
      <c r="G5" s="151">
        <f>'GOOGL - Income Statement FY'!G5</f>
        <v>44196</v>
      </c>
      <c r="H5" s="151">
        <f>'GOOGL - Income Statement FY'!H5</f>
        <v>43830</v>
      </c>
    </row>
    <row r="6" spans="1:8" x14ac:dyDescent="0.25">
      <c r="A6" s="17"/>
      <c r="B6" s="17"/>
      <c r="C6" s="17"/>
      <c r="D6" s="17"/>
      <c r="E6" s="17"/>
      <c r="F6" s="17"/>
      <c r="G6" s="17"/>
      <c r="H6" s="17"/>
    </row>
    <row r="7" spans="1:8" x14ac:dyDescent="0.25">
      <c r="A7" s="20" t="s">
        <v>222</v>
      </c>
      <c r="B7" s="20"/>
      <c r="C7" s="20"/>
      <c r="D7" s="20"/>
      <c r="E7" s="20"/>
      <c r="F7" s="20"/>
      <c r="G7" s="20"/>
      <c r="H7" s="20"/>
    </row>
    <row r="8" spans="1:8" x14ac:dyDescent="0.25">
      <c r="A8" s="17" t="s">
        <v>223</v>
      </c>
      <c r="B8" s="21">
        <v>0.02</v>
      </c>
      <c r="C8" s="17"/>
      <c r="D8" s="17"/>
      <c r="E8" s="17"/>
      <c r="F8" s="17"/>
      <c r="G8" s="17"/>
      <c r="H8" s="17"/>
    </row>
    <row r="9" spans="1:8" x14ac:dyDescent="0.25">
      <c r="A9" s="17" t="s">
        <v>224</v>
      </c>
      <c r="B9" s="180">
        <f>'Valuation Dashboard'!$B$12</f>
        <v>0.21</v>
      </c>
      <c r="C9" s="17"/>
      <c r="D9" s="17"/>
      <c r="E9" s="17"/>
      <c r="F9" s="17"/>
      <c r="G9" s="17"/>
      <c r="H9" s="17"/>
    </row>
    <row r="10" spans="1:8" x14ac:dyDescent="0.25">
      <c r="A10" s="17"/>
      <c r="B10" s="17"/>
      <c r="C10" s="17"/>
      <c r="D10" s="17"/>
      <c r="E10" s="17"/>
      <c r="F10" s="17"/>
      <c r="G10" s="17"/>
      <c r="H10" s="17"/>
    </row>
    <row r="11" spans="1:8" x14ac:dyDescent="0.25">
      <c r="A11" s="20" t="s">
        <v>225</v>
      </c>
      <c r="B11" s="20"/>
      <c r="C11" s="20"/>
      <c r="D11" s="20"/>
      <c r="E11" s="20"/>
      <c r="F11" s="20"/>
      <c r="G11" s="20"/>
      <c r="H11" s="20"/>
    </row>
    <row r="12" spans="1:8" x14ac:dyDescent="0.25">
      <c r="A12" s="17" t="s">
        <v>226</v>
      </c>
      <c r="B12" s="152">
        <f>MIN('GOOGL - Balance Sheet FY'!B7,$B$8*'GOOGL - Income Statement FY'!B7)</f>
        <v>8056.72</v>
      </c>
      <c r="C12" s="152">
        <f>MIN('GOOGL - Balance Sheet FY'!C7,$B$8*'GOOGL - Income Statement FY'!C7)</f>
        <v>7000.3600000000006</v>
      </c>
      <c r="D12" s="152">
        <f>MIN('GOOGL - Balance Sheet FY'!D7,$B$8*'GOOGL - Income Statement FY'!D7)</f>
        <v>6147.88</v>
      </c>
      <c r="E12" s="152">
        <f>MIN('GOOGL - Balance Sheet FY'!E7,$B$8*'GOOGL - Income Statement FY'!E7)</f>
        <v>5656.72</v>
      </c>
      <c r="F12" s="152">
        <f>MIN('GOOGL - Balance Sheet FY'!F7,$B$8*'GOOGL - Income Statement FY'!F7)</f>
        <v>5152.74</v>
      </c>
      <c r="G12" s="152">
        <f>MIN('GOOGL - Balance Sheet FY'!G7,$B$8*'GOOGL - Income Statement FY'!G7)</f>
        <v>3650.54</v>
      </c>
      <c r="H12" s="152">
        <f>MIN('GOOGL - Balance Sheet FY'!H7,$B$8*'GOOGL - Income Statement FY'!H7)</f>
        <v>3237.14</v>
      </c>
    </row>
    <row r="13" spans="1:8" x14ac:dyDescent="0.25">
      <c r="A13" s="17" t="s">
        <v>227</v>
      </c>
      <c r="B13" s="152">
        <f>'GOOGL - Balance Sheet FY'!B10</f>
        <v>62886</v>
      </c>
      <c r="C13" s="152">
        <f>'GOOGL - Balance Sheet FY'!C10</f>
        <v>52340</v>
      </c>
      <c r="D13" s="152">
        <f>'GOOGL - Balance Sheet FY'!D10</f>
        <v>47964</v>
      </c>
      <c r="E13" s="152">
        <f>'GOOGL - Balance Sheet FY'!E10</f>
        <v>40258</v>
      </c>
      <c r="F13" s="152">
        <f>'GOOGL - Balance Sheet FY'!F10</f>
        <v>39304</v>
      </c>
      <c r="G13" s="152">
        <f>'GOOGL - Balance Sheet FY'!G10</f>
        <v>30930</v>
      </c>
      <c r="H13" s="152">
        <f>'GOOGL - Balance Sheet FY'!H10</f>
        <v>25326</v>
      </c>
    </row>
    <row r="14" spans="1:8" x14ac:dyDescent="0.25">
      <c r="A14" s="17" t="s">
        <v>70</v>
      </c>
      <c r="B14" s="152">
        <f>'GOOGL - Balance Sheet FY'!B11</f>
        <v>0</v>
      </c>
      <c r="C14" s="152">
        <f>'GOOGL - Balance Sheet FY'!C11</f>
        <v>0</v>
      </c>
      <c r="D14" s="152">
        <f>'GOOGL - Balance Sheet FY'!D11</f>
        <v>0</v>
      </c>
      <c r="E14" s="152">
        <f>'GOOGL - Balance Sheet FY'!E11</f>
        <v>2670</v>
      </c>
      <c r="F14" s="152">
        <f>'GOOGL - Balance Sheet FY'!F11</f>
        <v>1170</v>
      </c>
      <c r="G14" s="152">
        <f>'GOOGL - Balance Sheet FY'!G11</f>
        <v>728</v>
      </c>
      <c r="H14" s="152">
        <f>'GOOGL - Balance Sheet FY'!H11</f>
        <v>999</v>
      </c>
    </row>
    <row r="15" spans="1:8" x14ac:dyDescent="0.25">
      <c r="A15" s="17" t="s">
        <v>228</v>
      </c>
      <c r="B15" s="152">
        <f>'GOOGL - Balance Sheet FY'!B12</f>
        <v>16309</v>
      </c>
      <c r="C15" s="152">
        <f>'GOOGL - Balance Sheet FY'!C12</f>
        <v>15714</v>
      </c>
      <c r="D15" s="152">
        <f>'GOOGL - Balance Sheet FY'!D12</f>
        <v>12650</v>
      </c>
      <c r="E15" s="152">
        <f>'GOOGL - Balance Sheet FY'!E12</f>
        <v>8105</v>
      </c>
      <c r="F15" s="152">
        <f>'GOOGL - Balance Sheet FY'!F12</f>
        <v>8020</v>
      </c>
      <c r="G15" s="152">
        <f>'GOOGL - Balance Sheet FY'!G12</f>
        <v>5944</v>
      </c>
      <c r="H15" s="152">
        <f>'GOOGL - Balance Sheet FY'!H12</f>
        <v>6578</v>
      </c>
    </row>
    <row r="16" spans="1:8" x14ac:dyDescent="0.25">
      <c r="A16" s="19" t="s">
        <v>229</v>
      </c>
      <c r="B16" s="153">
        <f t="shared" ref="B16:H16" si="0">SUM(B12:B15)</f>
        <v>87251.72</v>
      </c>
      <c r="C16" s="153">
        <f t="shared" si="0"/>
        <v>75054.36</v>
      </c>
      <c r="D16" s="153">
        <f t="shared" si="0"/>
        <v>66761.88</v>
      </c>
      <c r="E16" s="153">
        <f t="shared" si="0"/>
        <v>56689.72</v>
      </c>
      <c r="F16" s="153">
        <f t="shared" si="0"/>
        <v>53646.74</v>
      </c>
      <c r="G16" s="153">
        <f t="shared" si="0"/>
        <v>41252.54</v>
      </c>
      <c r="H16" s="153">
        <f t="shared" si="0"/>
        <v>36140.14</v>
      </c>
    </row>
    <row r="17" spans="1:8" x14ac:dyDescent="0.25">
      <c r="A17" s="17" t="s">
        <v>230</v>
      </c>
      <c r="B17" s="152">
        <f>-'GOOGL - Balance Sheet FY'!B27</f>
        <v>-12200</v>
      </c>
      <c r="C17" s="152">
        <f>-'GOOGL - Balance Sheet FY'!C27</f>
        <v>-7987</v>
      </c>
      <c r="D17" s="152">
        <f>-'GOOGL - Balance Sheet FY'!D27</f>
        <v>-7493</v>
      </c>
      <c r="E17" s="152">
        <f>-'GOOGL - Balance Sheet FY'!E27</f>
        <v>-5128</v>
      </c>
      <c r="F17" s="152">
        <f>-'GOOGL - Balance Sheet FY'!F27</f>
        <v>-6037</v>
      </c>
      <c r="G17" s="152">
        <f>-'GOOGL - Balance Sheet FY'!G27</f>
        <v>-5589</v>
      </c>
      <c r="H17" s="152">
        <f>-'GOOGL - Balance Sheet FY'!H27</f>
        <v>-5561</v>
      </c>
    </row>
    <row r="18" spans="1:8" x14ac:dyDescent="0.25">
      <c r="A18" s="17" t="s">
        <v>231</v>
      </c>
      <c r="B18" s="152">
        <f>-'GOOGL - Balance Sheet FY'!B29</f>
        <v>0</v>
      </c>
      <c r="C18" s="152">
        <f>-'GOOGL - Balance Sheet FY'!C29</f>
        <v>0</v>
      </c>
      <c r="D18" s="152">
        <f>-'GOOGL - Balance Sheet FY'!D29</f>
        <v>0</v>
      </c>
      <c r="E18" s="152">
        <f>-'GOOGL - Balance Sheet FY'!E29</f>
        <v>0</v>
      </c>
      <c r="F18" s="152">
        <f>-'GOOGL - Balance Sheet FY'!F29</f>
        <v>0</v>
      </c>
      <c r="G18" s="152">
        <f>-'GOOGL - Balance Sheet FY'!G29</f>
        <v>0</v>
      </c>
      <c r="H18" s="152">
        <f>-'GOOGL - Balance Sheet FY'!H29</f>
        <v>0</v>
      </c>
    </row>
    <row r="19" spans="1:8" x14ac:dyDescent="0.25">
      <c r="A19" s="17" t="s">
        <v>232</v>
      </c>
      <c r="B19" s="152">
        <f>-'GOOGL - Balance Sheet FY'!B30</f>
        <v>-6578</v>
      </c>
      <c r="C19" s="152">
        <f>-'GOOGL - Balance Sheet FY'!C30</f>
        <v>-5036</v>
      </c>
      <c r="D19" s="152">
        <f>-'GOOGL - Balance Sheet FY'!D30</f>
        <v>-4137</v>
      </c>
      <c r="E19" s="152">
        <f>-'GOOGL - Balance Sheet FY'!E30</f>
        <v>-3908</v>
      </c>
      <c r="F19" s="152">
        <f>-'GOOGL - Balance Sheet FY'!F30</f>
        <v>-3288</v>
      </c>
      <c r="G19" s="152">
        <f>-'GOOGL - Balance Sheet FY'!G30</f>
        <v>-2543</v>
      </c>
      <c r="H19" s="152">
        <f>-'GOOGL - Balance Sheet FY'!H30</f>
        <v>-1908</v>
      </c>
    </row>
    <row r="20" spans="1:8" x14ac:dyDescent="0.25">
      <c r="A20" s="17" t="s">
        <v>233</v>
      </c>
      <c r="B20" s="152">
        <f>-'GOOGL - Balance Sheet FY'!B31</f>
        <v>-83967</v>
      </c>
      <c r="C20" s="152">
        <f>-'GOOGL - Balance Sheet FY'!C31</f>
        <v>-76099</v>
      </c>
      <c r="D20" s="152">
        <f>-'GOOGL - Balance Sheet FY'!D31</f>
        <v>-70184</v>
      </c>
      <c r="E20" s="152">
        <f>-'GOOGL - Balance Sheet FY'!E31</f>
        <v>-60264</v>
      </c>
      <c r="F20" s="152">
        <f>-'GOOGL - Balance Sheet FY'!F31</f>
        <v>-54929</v>
      </c>
      <c r="G20" s="152">
        <f>-'GOOGL - Balance Sheet FY'!G31</f>
        <v>-48702</v>
      </c>
      <c r="H20" s="152">
        <f>-'GOOGL - Balance Sheet FY'!H31</f>
        <v>-37752</v>
      </c>
    </row>
    <row r="21" spans="1:8" x14ac:dyDescent="0.25">
      <c r="A21" s="19" t="s">
        <v>234</v>
      </c>
      <c r="B21" s="153">
        <f t="shared" ref="B21:H21" si="1">SUM(B17:B20)+B127</f>
        <v>-99095</v>
      </c>
      <c r="C21" s="153">
        <f t="shared" si="1"/>
        <v>-86000</v>
      </c>
      <c r="D21" s="153">
        <f t="shared" si="1"/>
        <v>-78660</v>
      </c>
      <c r="E21" s="153">
        <f t="shared" si="1"/>
        <v>-66525</v>
      </c>
      <c r="F21" s="153">
        <f t="shared" si="1"/>
        <v>-61952</v>
      </c>
      <c r="G21" s="153">
        <f t="shared" si="1"/>
        <v>-55039</v>
      </c>
      <c r="H21" s="153">
        <f t="shared" si="1"/>
        <v>-44022</v>
      </c>
    </row>
    <row r="22" spans="1:8" x14ac:dyDescent="0.25">
      <c r="A22" s="19" t="s">
        <v>235</v>
      </c>
      <c r="B22" s="154">
        <f t="shared" ref="B22:H22" si="2">B16+B21</f>
        <v>-11843.279999999999</v>
      </c>
      <c r="C22" s="154">
        <f t="shared" si="2"/>
        <v>-10945.64</v>
      </c>
      <c r="D22" s="154">
        <f t="shared" si="2"/>
        <v>-11898.119999999995</v>
      </c>
      <c r="E22" s="154">
        <f t="shared" si="2"/>
        <v>-9835.2799999999988</v>
      </c>
      <c r="F22" s="154">
        <f t="shared" si="2"/>
        <v>-8305.260000000002</v>
      </c>
      <c r="G22" s="154">
        <f t="shared" si="2"/>
        <v>-13786.46</v>
      </c>
      <c r="H22" s="154">
        <f t="shared" si="2"/>
        <v>-7881.8600000000006</v>
      </c>
    </row>
    <row r="23" spans="1:8" x14ac:dyDescent="0.25">
      <c r="A23" s="17"/>
      <c r="B23" s="17"/>
      <c r="C23" s="17"/>
      <c r="D23" s="17"/>
      <c r="E23" s="17"/>
      <c r="F23" s="17"/>
      <c r="G23" s="17"/>
      <c r="H23" s="17"/>
    </row>
    <row r="24" spans="1:8" x14ac:dyDescent="0.25">
      <c r="A24" s="17" t="s">
        <v>236</v>
      </c>
      <c r="B24" s="152">
        <f>'GOOGL - Balance Sheet FY'!B15</f>
        <v>246597</v>
      </c>
      <c r="C24" s="152">
        <f>'GOOGL - Balance Sheet FY'!C15</f>
        <v>171036</v>
      </c>
      <c r="D24" s="152">
        <f>'GOOGL - Balance Sheet FY'!D15</f>
        <v>134345</v>
      </c>
      <c r="E24" s="152">
        <f>'GOOGL - Balance Sheet FY'!E15</f>
        <v>112668</v>
      </c>
      <c r="F24" s="152">
        <f>'GOOGL - Balance Sheet FY'!F15</f>
        <v>97599</v>
      </c>
      <c r="G24" s="152">
        <f>'GOOGL - Balance Sheet FY'!G15</f>
        <v>84749</v>
      </c>
      <c r="H24" s="152">
        <f>'GOOGL - Balance Sheet FY'!H15</f>
        <v>73646</v>
      </c>
    </row>
    <row r="25" spans="1:8" x14ac:dyDescent="0.25">
      <c r="A25" s="17" t="s">
        <v>66</v>
      </c>
      <c r="B25" s="152">
        <f>'GOOGL - Balance Sheet FY'!B16</f>
        <v>33380</v>
      </c>
      <c r="C25" s="152">
        <f>'GOOGL - Balance Sheet FY'!C16</f>
        <v>31885</v>
      </c>
      <c r="D25" s="152">
        <f>'GOOGL - Balance Sheet FY'!D16</f>
        <v>29198</v>
      </c>
      <c r="E25" s="152">
        <f>'GOOGL - Balance Sheet FY'!E16</f>
        <v>28960</v>
      </c>
      <c r="F25" s="152">
        <f>'GOOGL - Balance Sheet FY'!F16</f>
        <v>22956</v>
      </c>
      <c r="G25" s="152">
        <f>'GOOGL - Balance Sheet FY'!G16</f>
        <v>21175</v>
      </c>
      <c r="H25" s="152">
        <f>'GOOGL - Balance Sheet FY'!H16</f>
        <v>20624</v>
      </c>
    </row>
    <row r="26" spans="1:8" x14ac:dyDescent="0.25">
      <c r="A26" s="17" t="s">
        <v>237</v>
      </c>
      <c r="B26" s="152">
        <f>'GOOGL - Balance Sheet FY'!B17</f>
        <v>0</v>
      </c>
      <c r="C26" s="152">
        <f>'GOOGL - Balance Sheet FY'!C17</f>
        <v>0</v>
      </c>
      <c r="D26" s="152">
        <f>'GOOGL - Balance Sheet FY'!D17</f>
        <v>0</v>
      </c>
      <c r="E26" s="152">
        <f>'GOOGL - Balance Sheet FY'!E17</f>
        <v>2084</v>
      </c>
      <c r="F26" s="152">
        <f>'GOOGL - Balance Sheet FY'!F17</f>
        <v>1417</v>
      </c>
      <c r="G26" s="152">
        <f>'GOOGL - Balance Sheet FY'!G17</f>
        <v>1445</v>
      </c>
      <c r="H26" s="152">
        <f>'GOOGL - Balance Sheet FY'!H17</f>
        <v>1979</v>
      </c>
    </row>
    <row r="27" spans="1:8" x14ac:dyDescent="0.25">
      <c r="A27" s="17" t="s">
        <v>238</v>
      </c>
      <c r="B27" s="152">
        <f>'GOOGL - Balance Sheet FY'!B21</f>
        <v>40579</v>
      </c>
      <c r="C27" s="152">
        <f>'GOOGL - Balance Sheet FY'!C21</f>
        <v>45642</v>
      </c>
      <c r="D27" s="152">
        <f>'GOOGL - Balance Sheet FY'!D21</f>
        <v>36311</v>
      </c>
      <c r="E27" s="152">
        <f>'GOOGL - Balance Sheet FY'!E21</f>
        <v>26265</v>
      </c>
      <c r="F27" s="152">
        <f>'GOOGL - Balance Sheet FY'!F21</f>
        <v>19604</v>
      </c>
      <c r="G27" s="152">
        <f>'GOOGL - Balance Sheet FY'!G21</f>
        <v>17248</v>
      </c>
      <c r="H27" s="152">
        <f>'GOOGL - Balance Sheet FY'!H21</f>
        <v>14004</v>
      </c>
    </row>
    <row r="28" spans="1:8" x14ac:dyDescent="0.25">
      <c r="A28" s="17" t="s">
        <v>239</v>
      </c>
      <c r="B28" s="152">
        <f>-'GOOGL - Balance Sheet FY'!B35</f>
        <v>0</v>
      </c>
      <c r="C28" s="152">
        <f>-'GOOGL - Balance Sheet FY'!C35</f>
        <v>0</v>
      </c>
      <c r="D28" s="152">
        <f>-'GOOGL - Balance Sheet FY'!D35</f>
        <v>-911</v>
      </c>
      <c r="E28" s="152">
        <f>-'GOOGL - Balance Sheet FY'!E35</f>
        <v>-599</v>
      </c>
      <c r="F28" s="152">
        <f>-'GOOGL - Balance Sheet FY'!F35</f>
        <v>-535</v>
      </c>
      <c r="G28" s="152">
        <f>-'GOOGL - Balance Sheet FY'!G35</f>
        <v>-481</v>
      </c>
      <c r="H28" s="152">
        <f>-'GOOGL - Balance Sheet FY'!H35</f>
        <v>-358</v>
      </c>
    </row>
    <row r="29" spans="1:8" x14ac:dyDescent="0.25">
      <c r="A29" s="17" t="s">
        <v>240</v>
      </c>
      <c r="B29" s="152">
        <f>-'GOOGL - Balance Sheet FY'!B36</f>
        <v>0</v>
      </c>
      <c r="C29" s="152">
        <f>-'GOOGL - Balance Sheet FY'!C36</f>
        <v>0</v>
      </c>
      <c r="D29" s="152">
        <f>-'GOOGL - Balance Sheet FY'!D36</f>
        <v>0</v>
      </c>
      <c r="E29" s="152">
        <f>-'GOOGL - Balance Sheet FY'!E36</f>
        <v>0</v>
      </c>
      <c r="F29" s="152">
        <f>-'GOOGL - Balance Sheet FY'!F36</f>
        <v>0</v>
      </c>
      <c r="G29" s="152">
        <f>-'GOOGL - Balance Sheet FY'!G36</f>
        <v>0</v>
      </c>
      <c r="H29" s="152">
        <f>-'GOOGL - Balance Sheet FY'!H36</f>
        <v>0</v>
      </c>
    </row>
    <row r="30" spans="1:8" x14ac:dyDescent="0.25">
      <c r="A30" s="17" t="s">
        <v>241</v>
      </c>
      <c r="B30" s="152">
        <f>-'GOOGL - Balance Sheet FY'!B37+B128</f>
        <v>-15921</v>
      </c>
      <c r="C30" s="152">
        <f>-'GOOGL - Balance Sheet FY'!C37+C128</f>
        <v>-12034</v>
      </c>
      <c r="D30" s="152">
        <f>-'GOOGL - Balance Sheet FY'!D37+D128</f>
        <v>-10575</v>
      </c>
      <c r="E30" s="152">
        <f>-'GOOGL - Balance Sheet FY'!E37+E128</f>
        <v>-12019</v>
      </c>
      <c r="F30" s="152">
        <f>-'GOOGL - Balance Sheet FY'!F37+F128</f>
        <v>-16638</v>
      </c>
      <c r="G30" s="152">
        <f>-'GOOGL - Balance Sheet FY'!G37+G128</f>
        <v>-14679</v>
      </c>
      <c r="H30" s="152">
        <f>-'GOOGL - Balance Sheet FY'!H37+H128</f>
        <v>-13435</v>
      </c>
    </row>
    <row r="31" spans="1:8" x14ac:dyDescent="0.25">
      <c r="A31" s="19" t="s">
        <v>242</v>
      </c>
      <c r="B31" s="154">
        <f t="shared" ref="B31:H31" si="3">B22+B24+B26+B27+B28+B29+B30</f>
        <v>259411.71999999997</v>
      </c>
      <c r="C31" s="154">
        <f t="shared" si="3"/>
        <v>193698.36</v>
      </c>
      <c r="D31" s="154">
        <f t="shared" si="3"/>
        <v>147271.88</v>
      </c>
      <c r="E31" s="154">
        <f t="shared" si="3"/>
        <v>118563.72</v>
      </c>
      <c r="F31" s="154">
        <f t="shared" si="3"/>
        <v>93141.739999999991</v>
      </c>
      <c r="G31" s="154">
        <f t="shared" si="3"/>
        <v>74495.540000000008</v>
      </c>
      <c r="H31" s="154">
        <f t="shared" si="3"/>
        <v>67954.14</v>
      </c>
    </row>
    <row r="32" spans="1:8" x14ac:dyDescent="0.25">
      <c r="A32" s="19" t="s">
        <v>243</v>
      </c>
      <c r="B32" s="154">
        <f t="shared" ref="B32:H32" si="4">B31+B25</f>
        <v>292791.71999999997</v>
      </c>
      <c r="C32" s="154">
        <f t="shared" si="4"/>
        <v>225583.35999999999</v>
      </c>
      <c r="D32" s="154">
        <f t="shared" si="4"/>
        <v>176469.88</v>
      </c>
      <c r="E32" s="154">
        <f t="shared" si="4"/>
        <v>147523.72</v>
      </c>
      <c r="F32" s="154">
        <f t="shared" si="4"/>
        <v>116097.73999999999</v>
      </c>
      <c r="G32" s="154">
        <f t="shared" si="4"/>
        <v>95670.540000000008</v>
      </c>
      <c r="H32" s="154">
        <f t="shared" si="4"/>
        <v>88578.14</v>
      </c>
    </row>
    <row r="33" spans="1:8" x14ac:dyDescent="0.25">
      <c r="A33" s="17"/>
      <c r="B33" s="17"/>
      <c r="C33" s="17"/>
      <c r="D33" s="17"/>
      <c r="E33" s="17"/>
      <c r="F33" s="17"/>
      <c r="G33" s="17"/>
      <c r="H33" s="17"/>
    </row>
    <row r="34" spans="1:8" x14ac:dyDescent="0.25">
      <c r="A34" s="20" t="s">
        <v>244</v>
      </c>
      <c r="B34" s="20"/>
      <c r="C34" s="20"/>
      <c r="D34" s="20"/>
      <c r="E34" s="20"/>
      <c r="F34" s="20"/>
      <c r="G34" s="20"/>
      <c r="H34" s="20"/>
    </row>
    <row r="35" spans="1:8" x14ac:dyDescent="0.25">
      <c r="A35" s="17" t="s">
        <v>245</v>
      </c>
      <c r="B35" s="152">
        <f>'GOOGL - Balance Sheet FY'!B7-B12</f>
        <v>22651.279999999999</v>
      </c>
      <c r="C35" s="152">
        <f>'GOOGL - Balance Sheet FY'!C7-C12</f>
        <v>16465.64</v>
      </c>
      <c r="D35" s="152">
        <f>'GOOGL - Balance Sheet FY'!D7-D12</f>
        <v>17900.12</v>
      </c>
      <c r="E35" s="152">
        <f>'GOOGL - Balance Sheet FY'!E7-E12</f>
        <v>16222.279999999999</v>
      </c>
      <c r="F35" s="152">
        <f>'GOOGL - Balance Sheet FY'!F7-F12</f>
        <v>15792.26</v>
      </c>
      <c r="G35" s="152">
        <f>'GOOGL - Balance Sheet FY'!G7-G12</f>
        <v>22814.46</v>
      </c>
      <c r="H35" s="152">
        <f>'GOOGL - Balance Sheet FY'!H7-H12</f>
        <v>15260.86</v>
      </c>
    </row>
    <row r="36" spans="1:8" x14ac:dyDescent="0.25">
      <c r="A36" s="17" t="s">
        <v>246</v>
      </c>
      <c r="B36" s="152">
        <f>'GOOGL - Balance Sheet FY'!B8</f>
        <v>96135</v>
      </c>
      <c r="C36" s="152">
        <f>'GOOGL - Balance Sheet FY'!C8</f>
        <v>72191</v>
      </c>
      <c r="D36" s="152">
        <f>'GOOGL - Balance Sheet FY'!D8</f>
        <v>86868</v>
      </c>
      <c r="E36" s="152">
        <f>'GOOGL - Balance Sheet FY'!E8</f>
        <v>91883</v>
      </c>
      <c r="F36" s="152">
        <f>'GOOGL - Balance Sheet FY'!F8</f>
        <v>118704</v>
      </c>
      <c r="G36" s="152">
        <f>'GOOGL - Balance Sheet FY'!G8</f>
        <v>110229</v>
      </c>
      <c r="H36" s="152">
        <f>'GOOGL - Balance Sheet FY'!H8</f>
        <v>101177</v>
      </c>
    </row>
    <row r="37" spans="1:8" x14ac:dyDescent="0.25">
      <c r="A37" s="17" t="s">
        <v>247</v>
      </c>
      <c r="B37" s="152">
        <f>'GOOGL - Balance Sheet FY'!B19</f>
        <v>68687</v>
      </c>
      <c r="C37" s="152">
        <f>'GOOGL - Balance Sheet FY'!C19</f>
        <v>37982</v>
      </c>
      <c r="D37" s="152">
        <f>'GOOGL - Balance Sheet FY'!D19</f>
        <v>31008</v>
      </c>
      <c r="E37" s="152">
        <f>'GOOGL - Balance Sheet FY'!E19</f>
        <v>30492</v>
      </c>
      <c r="F37" s="152">
        <f>'GOOGL - Balance Sheet FY'!F19</f>
        <v>29549</v>
      </c>
      <c r="G37" s="152">
        <f>'GOOGL - Balance Sheet FY'!G19</f>
        <v>20703</v>
      </c>
      <c r="H37" s="152">
        <f>'GOOGL - Balance Sheet FY'!H19</f>
        <v>13078</v>
      </c>
    </row>
    <row r="38" spans="1:8" x14ac:dyDescent="0.25">
      <c r="A38" s="17" t="s">
        <v>248</v>
      </c>
      <c r="B38" s="152">
        <f>'GOOGL - Balance Sheet FY'!B20</f>
        <v>0</v>
      </c>
      <c r="C38" s="152">
        <f>'GOOGL - Balance Sheet FY'!C20</f>
        <v>0</v>
      </c>
      <c r="D38" s="152">
        <f>'GOOGL - Balance Sheet FY'!D20</f>
        <v>0</v>
      </c>
      <c r="E38" s="152">
        <f>'GOOGL - Balance Sheet FY'!E20</f>
        <v>0</v>
      </c>
      <c r="F38" s="152">
        <f>'GOOGL - Balance Sheet FY'!F20</f>
        <v>0</v>
      </c>
      <c r="G38" s="152">
        <f>'GOOGL - Balance Sheet FY'!G20</f>
        <v>0</v>
      </c>
      <c r="H38" s="152">
        <f>'GOOGL - Balance Sheet FY'!H20</f>
        <v>0</v>
      </c>
    </row>
    <row r="39" spans="1:8" x14ac:dyDescent="0.25">
      <c r="A39" s="17" t="s">
        <v>249</v>
      </c>
      <c r="B39" s="152">
        <f>'GOOGL - Balance Sheet FY'!B24</f>
        <v>0</v>
      </c>
      <c r="C39" s="152">
        <f>'GOOGL - Balance Sheet FY'!C24</f>
        <v>0</v>
      </c>
      <c r="D39" s="152">
        <f>'GOOGL - Balance Sheet FY'!D24</f>
        <v>0</v>
      </c>
      <c r="E39" s="152">
        <f>'GOOGL - Balance Sheet FY'!E24</f>
        <v>0</v>
      </c>
      <c r="F39" s="152">
        <f>'GOOGL - Balance Sheet FY'!F24</f>
        <v>0</v>
      </c>
      <c r="G39" s="152">
        <f>'GOOGL - Balance Sheet FY'!G24</f>
        <v>0</v>
      </c>
      <c r="H39" s="152">
        <f>'GOOGL - Balance Sheet FY'!H24</f>
        <v>0</v>
      </c>
    </row>
    <row r="40" spans="1:8" x14ac:dyDescent="0.25">
      <c r="A40" s="19" t="s">
        <v>250</v>
      </c>
      <c r="B40" s="154">
        <f t="shared" ref="B40:H40" si="5">SUM(B35:B39)</f>
        <v>187473.28</v>
      </c>
      <c r="C40" s="154">
        <f t="shared" si="5"/>
        <v>126638.64</v>
      </c>
      <c r="D40" s="154">
        <f t="shared" si="5"/>
        <v>135776.12</v>
      </c>
      <c r="E40" s="154">
        <f t="shared" si="5"/>
        <v>138597.28</v>
      </c>
      <c r="F40" s="154">
        <f t="shared" si="5"/>
        <v>164045.26</v>
      </c>
      <c r="G40" s="154">
        <f t="shared" si="5"/>
        <v>153746.46</v>
      </c>
      <c r="H40" s="154">
        <f t="shared" si="5"/>
        <v>129515.86</v>
      </c>
    </row>
    <row r="41" spans="1:8" x14ac:dyDescent="0.25">
      <c r="A41" s="17"/>
      <c r="B41" s="17"/>
      <c r="C41" s="17"/>
      <c r="D41" s="17"/>
      <c r="E41" s="17"/>
      <c r="F41" s="17"/>
      <c r="G41" s="17"/>
      <c r="H41" s="17"/>
    </row>
    <row r="42" spans="1:8" x14ac:dyDescent="0.25">
      <c r="A42" s="20" t="s">
        <v>251</v>
      </c>
      <c r="B42" s="155">
        <f t="shared" ref="B42:H42" si="6">B32+B40</f>
        <v>480265</v>
      </c>
      <c r="C42" s="155">
        <f t="shared" si="6"/>
        <v>352222</v>
      </c>
      <c r="D42" s="155">
        <f t="shared" si="6"/>
        <v>312246</v>
      </c>
      <c r="E42" s="155">
        <f t="shared" si="6"/>
        <v>286121</v>
      </c>
      <c r="F42" s="155">
        <f t="shared" si="6"/>
        <v>280143</v>
      </c>
      <c r="G42" s="155">
        <f t="shared" si="6"/>
        <v>249417</v>
      </c>
      <c r="H42" s="155">
        <f t="shared" si="6"/>
        <v>218094</v>
      </c>
    </row>
    <row r="43" spans="1:8" x14ac:dyDescent="0.25">
      <c r="A43" s="17"/>
      <c r="B43" s="17"/>
      <c r="C43" s="17"/>
      <c r="D43" s="17"/>
      <c r="E43" s="17"/>
      <c r="F43" s="17"/>
      <c r="G43" s="17"/>
      <c r="H43" s="17"/>
    </row>
    <row r="44" spans="1:8" x14ac:dyDescent="0.25">
      <c r="A44" s="20" t="s">
        <v>252</v>
      </c>
      <c r="B44" s="20"/>
      <c r="C44" s="20"/>
      <c r="D44" s="20"/>
      <c r="E44" s="20"/>
      <c r="F44" s="20"/>
      <c r="G44" s="20"/>
      <c r="H44" s="20"/>
    </row>
    <row r="45" spans="1:8" x14ac:dyDescent="0.25">
      <c r="A45" s="17" t="s">
        <v>253</v>
      </c>
      <c r="B45" s="152">
        <f>'GOOGL - Balance Sheet FY'!B28</f>
        <v>0</v>
      </c>
      <c r="C45" s="152">
        <f>'GOOGL - Balance Sheet FY'!C28</f>
        <v>0</v>
      </c>
      <c r="D45" s="152">
        <f>'GOOGL - Balance Sheet FY'!D28</f>
        <v>0</v>
      </c>
      <c r="E45" s="152">
        <f>'GOOGL - Balance Sheet FY'!E28</f>
        <v>0</v>
      </c>
      <c r="F45" s="152">
        <f>'GOOGL - Balance Sheet FY'!F28</f>
        <v>0</v>
      </c>
      <c r="G45" s="152">
        <f>'GOOGL - Balance Sheet FY'!G28</f>
        <v>0</v>
      </c>
      <c r="H45" s="152">
        <f>'GOOGL - Balance Sheet FY'!H28</f>
        <v>0</v>
      </c>
    </row>
    <row r="46" spans="1:8" x14ac:dyDescent="0.25">
      <c r="A46" s="17" t="s">
        <v>254</v>
      </c>
      <c r="B46" s="152">
        <f>'GOOGL - Balance Sheet FY'!B34</f>
        <v>46547</v>
      </c>
      <c r="C46" s="152">
        <f>'GOOGL - Balance Sheet FY'!C34</f>
        <v>10883</v>
      </c>
      <c r="D46" s="152">
        <f>'GOOGL - Balance Sheet FY'!D34</f>
        <v>13253</v>
      </c>
      <c r="E46" s="152">
        <f>'GOOGL - Balance Sheet FY'!E34</f>
        <v>14701</v>
      </c>
      <c r="F46" s="152">
        <f>'GOOGL - Balance Sheet FY'!F34</f>
        <v>14817</v>
      </c>
      <c r="G46" s="152">
        <f>'GOOGL - Balance Sheet FY'!G34</f>
        <v>13932</v>
      </c>
      <c r="H46" s="152">
        <f>'GOOGL - Balance Sheet FY'!H34</f>
        <v>4554</v>
      </c>
    </row>
    <row r="47" spans="1:8" x14ac:dyDescent="0.25">
      <c r="A47" s="19" t="s">
        <v>255</v>
      </c>
      <c r="B47" s="153">
        <f t="shared" ref="B47:H47" si="7">B45+B46</f>
        <v>46547</v>
      </c>
      <c r="C47" s="153">
        <f t="shared" si="7"/>
        <v>10883</v>
      </c>
      <c r="D47" s="153">
        <f t="shared" si="7"/>
        <v>13253</v>
      </c>
      <c r="E47" s="153">
        <f t="shared" si="7"/>
        <v>14701</v>
      </c>
      <c r="F47" s="153">
        <f t="shared" si="7"/>
        <v>14817</v>
      </c>
      <c r="G47" s="153">
        <f t="shared" si="7"/>
        <v>13932</v>
      </c>
      <c r="H47" s="153">
        <f t="shared" si="7"/>
        <v>4554</v>
      </c>
    </row>
    <row r="48" spans="1:8" x14ac:dyDescent="0.25">
      <c r="A48" s="17" t="s">
        <v>256</v>
      </c>
      <c r="B48" s="152">
        <f>'GOOGL - Balance Sheet FY'!B47</f>
        <v>415265</v>
      </c>
      <c r="C48" s="152">
        <f>'GOOGL - Balance Sheet FY'!C47</f>
        <v>325084</v>
      </c>
      <c r="D48" s="152">
        <f>'GOOGL - Balance Sheet FY'!D47</f>
        <v>283379</v>
      </c>
      <c r="E48" s="152">
        <f>'GOOGL - Balance Sheet FY'!E47</f>
        <v>256144</v>
      </c>
      <c r="F48" s="152">
        <f>'GOOGL - Balance Sheet FY'!F47</f>
        <v>251635</v>
      </c>
      <c r="G48" s="152">
        <f>'GOOGL - Balance Sheet FY'!G47</f>
        <v>222544</v>
      </c>
      <c r="H48" s="152">
        <f>'GOOGL - Balance Sheet FY'!H47</f>
        <v>201442</v>
      </c>
    </row>
    <row r="49" spans="1:8" x14ac:dyDescent="0.25">
      <c r="A49" s="17" t="s">
        <v>283</v>
      </c>
      <c r="B49" s="152">
        <f>'GOOGL - Balance Sheet FY'!B40+('GOOGL - Balance Sheet FY'!B49-'GOOGL - Balance Sheet FY'!B41-'GOOGL - Balance Sheet FY'!B47)</f>
        <v>0</v>
      </c>
      <c r="C49" s="152">
        <f>'GOOGL - Balance Sheet FY'!C40+('GOOGL - Balance Sheet FY'!C49-'GOOGL - Balance Sheet FY'!C41-'GOOGL - Balance Sheet FY'!C47)</f>
        <v>0</v>
      </c>
      <c r="D49" s="152">
        <f>'GOOGL - Balance Sheet FY'!D40+('GOOGL - Balance Sheet FY'!D49-'GOOGL - Balance Sheet FY'!D41-'GOOGL - Balance Sheet FY'!D47)</f>
        <v>0</v>
      </c>
      <c r="E49" s="152">
        <f>'GOOGL - Balance Sheet FY'!E40+('GOOGL - Balance Sheet FY'!E49-'GOOGL - Balance Sheet FY'!E41-'GOOGL - Balance Sheet FY'!E47)</f>
        <v>0</v>
      </c>
      <c r="F49" s="152">
        <f>'GOOGL - Balance Sheet FY'!F40+('GOOGL - Balance Sheet FY'!F49-'GOOGL - Balance Sheet FY'!F41-'GOOGL - Balance Sheet FY'!F47)</f>
        <v>0</v>
      </c>
      <c r="G49" s="152">
        <f>'GOOGL - Balance Sheet FY'!G40+('GOOGL - Balance Sheet FY'!G49-'GOOGL - Balance Sheet FY'!G41-'GOOGL - Balance Sheet FY'!G47)</f>
        <v>0</v>
      </c>
      <c r="H49" s="152">
        <f>'GOOGL - Balance Sheet FY'!H40+('GOOGL - Balance Sheet FY'!H49-'GOOGL - Balance Sheet FY'!H41-'GOOGL - Balance Sheet FY'!H47)</f>
        <v>0</v>
      </c>
    </row>
    <row r="50" spans="1:8" x14ac:dyDescent="0.25">
      <c r="A50" s="19" t="s">
        <v>257</v>
      </c>
      <c r="B50" s="154">
        <f t="shared" ref="B50:H50" si="8">B47+B48+B49+B129</f>
        <v>480265</v>
      </c>
      <c r="C50" s="154">
        <f t="shared" si="8"/>
        <v>352222</v>
      </c>
      <c r="D50" s="154">
        <f t="shared" si="8"/>
        <v>312246</v>
      </c>
      <c r="E50" s="154">
        <f t="shared" si="8"/>
        <v>286121</v>
      </c>
      <c r="F50" s="154">
        <f t="shared" si="8"/>
        <v>280143</v>
      </c>
      <c r="G50" s="154">
        <f t="shared" si="8"/>
        <v>249417</v>
      </c>
      <c r="H50" s="154">
        <f t="shared" si="8"/>
        <v>218094</v>
      </c>
    </row>
    <row r="51" spans="1:8" x14ac:dyDescent="0.25">
      <c r="A51" s="22" t="s">
        <v>258</v>
      </c>
      <c r="B51" s="156">
        <f t="shared" ref="B51:H51" si="9">B42-B50</f>
        <v>0</v>
      </c>
      <c r="C51" s="156">
        <f t="shared" si="9"/>
        <v>0</v>
      </c>
      <c r="D51" s="156">
        <f t="shared" si="9"/>
        <v>0</v>
      </c>
      <c r="E51" s="156">
        <f t="shared" si="9"/>
        <v>0</v>
      </c>
      <c r="F51" s="156">
        <f t="shared" si="9"/>
        <v>0</v>
      </c>
      <c r="G51" s="156">
        <f t="shared" si="9"/>
        <v>0</v>
      </c>
      <c r="H51" s="156">
        <f t="shared" si="9"/>
        <v>0</v>
      </c>
    </row>
    <row r="52" spans="1:8" x14ac:dyDescent="0.25">
      <c r="A52" s="17"/>
      <c r="B52" s="17"/>
      <c r="C52" s="17"/>
      <c r="D52" s="17"/>
      <c r="E52" s="17"/>
      <c r="F52" s="17"/>
      <c r="G52" s="17"/>
      <c r="H52" s="17"/>
    </row>
    <row r="53" spans="1:8" x14ac:dyDescent="0.25">
      <c r="A53" s="20" t="s">
        <v>259</v>
      </c>
      <c r="B53" s="20"/>
      <c r="C53" s="20"/>
      <c r="D53" s="20"/>
      <c r="E53" s="20"/>
      <c r="F53" s="20"/>
      <c r="G53" s="20"/>
      <c r="H53" s="20"/>
    </row>
    <row r="54" spans="1:8" x14ac:dyDescent="0.25">
      <c r="A54" s="17" t="s">
        <v>260</v>
      </c>
      <c r="B54" s="152">
        <f>'GOOGL - Income Statement FY'!B25</f>
        <v>129039</v>
      </c>
      <c r="C54" s="152">
        <f>'GOOGL - Income Statement FY'!C25</f>
        <v>112390</v>
      </c>
      <c r="D54" s="152">
        <f>'GOOGL - Income Statement FY'!D25</f>
        <v>84293</v>
      </c>
      <c r="E54" s="152">
        <f>'GOOGL - Income Statement FY'!E25</f>
        <v>74842</v>
      </c>
      <c r="F54" s="152">
        <f>'GOOGL - Income Statement FY'!F25</f>
        <v>78714</v>
      </c>
      <c r="G54" s="152">
        <f>'GOOGL - Income Statement FY'!G25</f>
        <v>41224</v>
      </c>
      <c r="H54" s="152">
        <f>'GOOGL - Income Statement FY'!H25</f>
        <v>34231</v>
      </c>
    </row>
    <row r="55" spans="1:8" x14ac:dyDescent="0.25">
      <c r="A55" s="17" t="s">
        <v>261</v>
      </c>
      <c r="B55" s="156">
        <f t="shared" ref="B55:H55" si="10">-B54*$B$9</f>
        <v>-27098.19</v>
      </c>
      <c r="C55" s="156">
        <f t="shared" si="10"/>
        <v>-23601.899999999998</v>
      </c>
      <c r="D55" s="156">
        <f t="shared" si="10"/>
        <v>-17701.53</v>
      </c>
      <c r="E55" s="156">
        <f t="shared" si="10"/>
        <v>-15716.82</v>
      </c>
      <c r="F55" s="156">
        <f t="shared" si="10"/>
        <v>-16529.939999999999</v>
      </c>
      <c r="G55" s="156">
        <f t="shared" si="10"/>
        <v>-8657.0399999999991</v>
      </c>
      <c r="H55" s="156">
        <f t="shared" si="10"/>
        <v>-7188.5099999999993</v>
      </c>
    </row>
    <row r="56" spans="1:8" x14ac:dyDescent="0.25">
      <c r="A56" s="19" t="s">
        <v>259</v>
      </c>
      <c r="B56" s="154">
        <f t="shared" ref="B56:H56" si="11">B54+B55</f>
        <v>101940.81</v>
      </c>
      <c r="C56" s="154">
        <f t="shared" si="11"/>
        <v>88788.1</v>
      </c>
      <c r="D56" s="154">
        <f t="shared" si="11"/>
        <v>66591.47</v>
      </c>
      <c r="E56" s="154">
        <f t="shared" si="11"/>
        <v>59125.18</v>
      </c>
      <c r="F56" s="154">
        <f t="shared" si="11"/>
        <v>62184.06</v>
      </c>
      <c r="G56" s="154">
        <f t="shared" si="11"/>
        <v>32566.959999999999</v>
      </c>
      <c r="H56" s="154">
        <f t="shared" si="11"/>
        <v>27042.49</v>
      </c>
    </row>
    <row r="57" spans="1:8" x14ac:dyDescent="0.25">
      <c r="A57" s="17"/>
      <c r="B57" s="17"/>
      <c r="C57" s="17"/>
      <c r="D57" s="17"/>
      <c r="E57" s="17"/>
      <c r="F57" s="17"/>
      <c r="G57" s="17"/>
      <c r="H57" s="17"/>
    </row>
    <row r="58" spans="1:8" x14ac:dyDescent="0.25">
      <c r="A58" s="17" t="s">
        <v>259</v>
      </c>
      <c r="B58" s="156">
        <f t="shared" ref="B58:H58" si="12">B56</f>
        <v>101940.81</v>
      </c>
      <c r="C58" s="156">
        <f t="shared" si="12"/>
        <v>88788.1</v>
      </c>
      <c r="D58" s="156">
        <f t="shared" si="12"/>
        <v>66591.47</v>
      </c>
      <c r="E58" s="156">
        <f t="shared" si="12"/>
        <v>59125.18</v>
      </c>
      <c r="F58" s="156">
        <f t="shared" si="12"/>
        <v>62184.06</v>
      </c>
      <c r="G58" s="156">
        <f t="shared" si="12"/>
        <v>32566.959999999999</v>
      </c>
      <c r="H58" s="156">
        <f t="shared" si="12"/>
        <v>27042.49</v>
      </c>
    </row>
    <row r="59" spans="1:8" x14ac:dyDescent="0.25">
      <c r="A59" s="17" t="s">
        <v>262</v>
      </c>
      <c r="B59" s="152">
        <f>'GOOGL - Income Statement FY'!B28</f>
        <v>29787</v>
      </c>
      <c r="C59" s="152">
        <f>'GOOGL - Income Statement FY'!C28</f>
        <v>7425</v>
      </c>
      <c r="D59" s="152">
        <f>'GOOGL - Income Statement FY'!D28</f>
        <v>1424</v>
      </c>
      <c r="E59" s="152">
        <f>'GOOGL - Income Statement FY'!E28</f>
        <v>-3514</v>
      </c>
      <c r="F59" s="152">
        <f>'GOOGL - Income Statement FY'!F28</f>
        <v>12020</v>
      </c>
      <c r="G59" s="152">
        <f>'GOOGL - Income Statement FY'!G28</f>
        <v>6858</v>
      </c>
      <c r="H59" s="152">
        <f>'GOOGL - Income Statement FY'!H28</f>
        <v>5394</v>
      </c>
    </row>
    <row r="60" spans="1:8" x14ac:dyDescent="0.25">
      <c r="A60" s="17" t="s">
        <v>263</v>
      </c>
      <c r="B60" s="156">
        <f t="shared" ref="B60:H60" si="13">-B55</f>
        <v>27098.19</v>
      </c>
      <c r="C60" s="156">
        <f t="shared" si="13"/>
        <v>23601.899999999998</v>
      </c>
      <c r="D60" s="156">
        <f t="shared" si="13"/>
        <v>17701.53</v>
      </c>
      <c r="E60" s="156">
        <f t="shared" si="13"/>
        <v>15716.82</v>
      </c>
      <c r="F60" s="156">
        <f t="shared" si="13"/>
        <v>16529.939999999999</v>
      </c>
      <c r="G60" s="156">
        <f t="shared" si="13"/>
        <v>8657.0399999999991</v>
      </c>
      <c r="H60" s="156">
        <f t="shared" si="13"/>
        <v>7188.5099999999993</v>
      </c>
    </row>
    <row r="61" spans="1:8" x14ac:dyDescent="0.25">
      <c r="A61" s="17" t="s">
        <v>264</v>
      </c>
      <c r="B61" s="152">
        <f>-'GOOGL - Income Statement FY'!B31</f>
        <v>-26656</v>
      </c>
      <c r="C61" s="152">
        <f>-'GOOGL - Income Statement FY'!C31</f>
        <v>-19697</v>
      </c>
      <c r="D61" s="152">
        <f>-'GOOGL - Income Statement FY'!D31</f>
        <v>-11922</v>
      </c>
      <c r="E61" s="152">
        <f>-'GOOGL - Income Statement FY'!E31</f>
        <v>-11356</v>
      </c>
      <c r="F61" s="152">
        <f>-'GOOGL - Income Statement FY'!F31</f>
        <v>-14701</v>
      </c>
      <c r="G61" s="152">
        <f>-'GOOGL - Income Statement FY'!G31</f>
        <v>-7813</v>
      </c>
      <c r="H61" s="152">
        <f>-'GOOGL - Income Statement FY'!H31</f>
        <v>-5282</v>
      </c>
    </row>
    <row r="62" spans="1:8" x14ac:dyDescent="0.25">
      <c r="A62" s="19" t="s">
        <v>284</v>
      </c>
      <c r="B62" s="154">
        <f t="shared" ref="B62:H62" si="14">SUM(B58:B61)</f>
        <v>132170</v>
      </c>
      <c r="C62" s="154">
        <f t="shared" si="14"/>
        <v>100118</v>
      </c>
      <c r="D62" s="154">
        <f t="shared" si="14"/>
        <v>73795</v>
      </c>
      <c r="E62" s="154">
        <f t="shared" si="14"/>
        <v>59972</v>
      </c>
      <c r="F62" s="154">
        <f t="shared" si="14"/>
        <v>76033</v>
      </c>
      <c r="G62" s="154">
        <f t="shared" si="14"/>
        <v>40269</v>
      </c>
      <c r="H62" s="154">
        <f t="shared" si="14"/>
        <v>34343</v>
      </c>
    </row>
    <row r="63" spans="1:8" x14ac:dyDescent="0.25">
      <c r="A63" s="22" t="s">
        <v>285</v>
      </c>
      <c r="B63" s="157">
        <f>B62-'GOOGL - Income Statement FY'!B32</f>
        <v>0</v>
      </c>
      <c r="C63" s="157">
        <f>C62-'GOOGL - Income Statement FY'!C32</f>
        <v>0</v>
      </c>
      <c r="D63" s="157">
        <f>D62-'GOOGL - Income Statement FY'!D32</f>
        <v>0</v>
      </c>
      <c r="E63" s="157">
        <f>E62-'GOOGL - Income Statement FY'!E32</f>
        <v>0</v>
      </c>
      <c r="F63" s="157">
        <f>F62-'GOOGL - Income Statement FY'!F32</f>
        <v>0</v>
      </c>
      <c r="G63" s="157">
        <f>G62-'GOOGL - Income Statement FY'!G32</f>
        <v>0</v>
      </c>
      <c r="H63" s="157">
        <f>H62-'GOOGL - Income Statement FY'!H32</f>
        <v>0</v>
      </c>
    </row>
    <row r="64" spans="1:8" x14ac:dyDescent="0.25">
      <c r="A64" s="17"/>
      <c r="B64" s="17"/>
      <c r="C64" s="17"/>
      <c r="D64" s="17"/>
      <c r="E64" s="17"/>
      <c r="F64" s="17"/>
      <c r="G64" s="17"/>
      <c r="H64" s="17"/>
    </row>
    <row r="65" spans="1:8" x14ac:dyDescent="0.25">
      <c r="A65" s="20" t="s">
        <v>265</v>
      </c>
      <c r="B65" s="20"/>
      <c r="C65" s="20"/>
      <c r="D65" s="20"/>
      <c r="E65" s="20"/>
      <c r="F65" s="20"/>
      <c r="G65" s="20"/>
      <c r="H65" s="20"/>
    </row>
    <row r="66" spans="1:8" x14ac:dyDescent="0.25">
      <c r="A66" s="17" t="s">
        <v>259</v>
      </c>
      <c r="B66" s="156">
        <f t="shared" ref="B66:H66" si="15">B56</f>
        <v>101940.81</v>
      </c>
      <c r="C66" s="156">
        <f t="shared" si="15"/>
        <v>88788.1</v>
      </c>
      <c r="D66" s="156">
        <f t="shared" si="15"/>
        <v>66591.47</v>
      </c>
      <c r="E66" s="156">
        <f t="shared" si="15"/>
        <v>59125.18</v>
      </c>
      <c r="F66" s="156">
        <f t="shared" si="15"/>
        <v>62184.06</v>
      </c>
      <c r="G66" s="156">
        <f t="shared" si="15"/>
        <v>32566.959999999999</v>
      </c>
      <c r="H66" s="156">
        <f t="shared" si="15"/>
        <v>27042.49</v>
      </c>
    </row>
    <row r="67" spans="1:8" x14ac:dyDescent="0.25">
      <c r="A67" s="17" t="s">
        <v>266</v>
      </c>
      <c r="B67" s="152">
        <f>'GOOGL - Cash Flow FY'!B8</f>
        <v>21136</v>
      </c>
      <c r="C67" s="152">
        <f>'GOOGL - Cash Flow FY'!C8</f>
        <v>15311</v>
      </c>
      <c r="D67" s="152">
        <f>'GOOGL - Cash Flow FY'!D8</f>
        <v>11946</v>
      </c>
      <c r="E67" s="152">
        <f>'GOOGL - Cash Flow FY'!E8</f>
        <v>14116</v>
      </c>
      <c r="F67" s="152">
        <f>'GOOGL - Cash Flow FY'!F8</f>
        <v>11159</v>
      </c>
      <c r="G67" s="152">
        <f>'GOOGL - Cash Flow FY'!G8</f>
        <v>13697</v>
      </c>
      <c r="H67" s="152">
        <f>'GOOGL - Cash Flow FY'!H8</f>
        <v>10856</v>
      </c>
    </row>
    <row r="68" spans="1:8" x14ac:dyDescent="0.25">
      <c r="A68" s="19" t="s">
        <v>267</v>
      </c>
      <c r="B68" s="153">
        <f t="shared" ref="B68:H68" si="16">B66+B67</f>
        <v>123076.81</v>
      </c>
      <c r="C68" s="153">
        <f t="shared" si="16"/>
        <v>104099.1</v>
      </c>
      <c r="D68" s="153">
        <f t="shared" si="16"/>
        <v>78537.47</v>
      </c>
      <c r="E68" s="153">
        <f t="shared" si="16"/>
        <v>73241.179999999993</v>
      </c>
      <c r="F68" s="153">
        <f t="shared" si="16"/>
        <v>73343.06</v>
      </c>
      <c r="G68" s="153">
        <f t="shared" si="16"/>
        <v>46263.96</v>
      </c>
      <c r="H68" s="153">
        <f t="shared" si="16"/>
        <v>37898.490000000005</v>
      </c>
    </row>
    <row r="69" spans="1:8" x14ac:dyDescent="0.25">
      <c r="A69" s="17" t="s">
        <v>268</v>
      </c>
      <c r="B69" s="156">
        <f t="shared" ref="B69:G69" si="17">-(B22-C22)</f>
        <v>897.63999999999942</v>
      </c>
      <c r="C69" s="156">
        <f t="shared" si="17"/>
        <v>-952.47999999999593</v>
      </c>
      <c r="D69" s="156">
        <f t="shared" si="17"/>
        <v>2062.8399999999965</v>
      </c>
      <c r="E69" s="156">
        <f t="shared" si="17"/>
        <v>1530.0199999999968</v>
      </c>
      <c r="F69" s="156">
        <f t="shared" si="17"/>
        <v>-5481.1999999999971</v>
      </c>
      <c r="G69" s="156">
        <f t="shared" si="17"/>
        <v>5904.5999999999985</v>
      </c>
      <c r="H69" s="18"/>
    </row>
    <row r="70" spans="1:8" x14ac:dyDescent="0.25">
      <c r="A70" s="17" t="s">
        <v>269</v>
      </c>
      <c r="B70" s="152">
        <f>'GOOGL - Cash Flow FY'!B19</f>
        <v>-91447</v>
      </c>
      <c r="C70" s="152">
        <f>'GOOGL - Cash Flow FY'!C19</f>
        <v>-52535</v>
      </c>
      <c r="D70" s="152">
        <f>'GOOGL - Cash Flow FY'!D19</f>
        <v>-32251</v>
      </c>
      <c r="E70" s="152">
        <f>'GOOGL - Cash Flow FY'!E19</f>
        <v>-31485</v>
      </c>
      <c r="F70" s="152">
        <f>'GOOGL - Cash Flow FY'!F19</f>
        <v>-24640</v>
      </c>
      <c r="G70" s="152">
        <f>'GOOGL - Cash Flow FY'!G19</f>
        <v>-22281</v>
      </c>
      <c r="H70" s="152">
        <f>'GOOGL - Cash Flow FY'!H19</f>
        <v>-23548</v>
      </c>
    </row>
    <row r="71" spans="1:8" x14ac:dyDescent="0.25">
      <c r="A71" s="19" t="s">
        <v>270</v>
      </c>
      <c r="B71" s="154">
        <f t="shared" ref="B71:G71" si="18">B68+B69+B70</f>
        <v>32527.449999999997</v>
      </c>
      <c r="C71" s="154">
        <f t="shared" si="18"/>
        <v>50611.62000000001</v>
      </c>
      <c r="D71" s="154">
        <f t="shared" si="18"/>
        <v>48349.31</v>
      </c>
      <c r="E71" s="154">
        <f t="shared" si="18"/>
        <v>43286.199999999983</v>
      </c>
      <c r="F71" s="154">
        <f t="shared" si="18"/>
        <v>43221.86</v>
      </c>
      <c r="G71" s="154">
        <f t="shared" si="18"/>
        <v>29887.559999999998</v>
      </c>
      <c r="H71" s="154">
        <f>H68+H70</f>
        <v>14350.490000000005</v>
      </c>
    </row>
    <row r="72" spans="1:8" x14ac:dyDescent="0.25">
      <c r="A72" s="17" t="s">
        <v>271</v>
      </c>
      <c r="B72" s="152">
        <f>'GOOGL - Cash Flow FY'!B39</f>
        <v>73266</v>
      </c>
      <c r="C72" s="152">
        <f>'GOOGL - Cash Flow FY'!C39</f>
        <v>72764</v>
      </c>
      <c r="D72" s="152">
        <f>'GOOGL - Cash Flow FY'!D39</f>
        <v>69495</v>
      </c>
      <c r="E72" s="152">
        <f>'GOOGL - Cash Flow FY'!E39</f>
        <v>60010</v>
      </c>
      <c r="F72" s="152">
        <f>'GOOGL - Cash Flow FY'!F39</f>
        <v>67012</v>
      </c>
      <c r="G72" s="152">
        <f>'GOOGL - Cash Flow FY'!G39</f>
        <v>42843</v>
      </c>
      <c r="H72" s="152">
        <f>'GOOGL - Cash Flow FY'!H39</f>
        <v>30972</v>
      </c>
    </row>
    <row r="73" spans="1:8" x14ac:dyDescent="0.25">
      <c r="A73" s="17" t="s">
        <v>272</v>
      </c>
      <c r="B73" s="156">
        <f t="shared" ref="B73:H73" si="19">B71-B72</f>
        <v>-40738.550000000003</v>
      </c>
      <c r="C73" s="156">
        <f t="shared" si="19"/>
        <v>-22152.37999999999</v>
      </c>
      <c r="D73" s="156">
        <f t="shared" si="19"/>
        <v>-21145.690000000002</v>
      </c>
      <c r="E73" s="156">
        <f t="shared" si="19"/>
        <v>-16723.800000000017</v>
      </c>
      <c r="F73" s="156">
        <f t="shared" si="19"/>
        <v>-23790.14</v>
      </c>
      <c r="G73" s="156">
        <f t="shared" si="19"/>
        <v>-12955.440000000002</v>
      </c>
      <c r="H73" s="156">
        <f t="shared" si="19"/>
        <v>-16621.509999999995</v>
      </c>
    </row>
    <row r="74" spans="1:8" x14ac:dyDescent="0.25">
      <c r="A74" s="17"/>
      <c r="B74" s="17"/>
      <c r="C74" s="17"/>
      <c r="D74" s="17"/>
      <c r="E74" s="17"/>
      <c r="F74" s="17"/>
      <c r="G74" s="17"/>
      <c r="H74" s="17"/>
    </row>
    <row r="75" spans="1:8" x14ac:dyDescent="0.25">
      <c r="A75" s="20" t="s">
        <v>273</v>
      </c>
      <c r="B75" s="20"/>
      <c r="C75" s="20"/>
      <c r="D75" s="20"/>
      <c r="E75" s="20"/>
      <c r="F75" s="20"/>
      <c r="G75" s="20"/>
      <c r="H75" s="20"/>
    </row>
    <row r="76" spans="1:8" x14ac:dyDescent="0.25">
      <c r="A76" s="17" t="s">
        <v>274</v>
      </c>
      <c r="B76" s="156">
        <f t="shared" ref="B76:G76" si="20">AVERAGE(B32,C32)</f>
        <v>259187.53999999998</v>
      </c>
      <c r="C76" s="156">
        <f t="shared" si="20"/>
        <v>201026.62</v>
      </c>
      <c r="D76" s="156">
        <f t="shared" si="20"/>
        <v>161996.79999999999</v>
      </c>
      <c r="E76" s="156">
        <f t="shared" si="20"/>
        <v>131810.72999999998</v>
      </c>
      <c r="F76" s="156">
        <f t="shared" si="20"/>
        <v>105884.14</v>
      </c>
      <c r="G76" s="156">
        <f t="shared" si="20"/>
        <v>92124.34</v>
      </c>
      <c r="H76" s="156">
        <f>H32</f>
        <v>88578.14</v>
      </c>
    </row>
    <row r="77" spans="1:8" x14ac:dyDescent="0.25">
      <c r="A77" s="17" t="s">
        <v>275</v>
      </c>
      <c r="B77" s="158">
        <f t="shared" ref="B77:H77" si="21">IF(B76&lt;=0,"",B56/B76)</f>
        <v>0.39330906879242733</v>
      </c>
      <c r="C77" s="158">
        <f t="shared" si="21"/>
        <v>0.44167334654485069</v>
      </c>
      <c r="D77" s="158">
        <f t="shared" si="21"/>
        <v>0.4110665766237358</v>
      </c>
      <c r="E77" s="158">
        <f t="shared" si="21"/>
        <v>0.44856120590486076</v>
      </c>
      <c r="F77" s="158">
        <f t="shared" si="21"/>
        <v>0.58728398795135894</v>
      </c>
      <c r="G77" s="158">
        <f t="shared" si="21"/>
        <v>0.35351091796152895</v>
      </c>
      <c r="H77" s="158">
        <f t="shared" si="21"/>
        <v>0.30529530197856947</v>
      </c>
    </row>
    <row r="78" spans="1:8" x14ac:dyDescent="0.25">
      <c r="A78" s="17" t="s">
        <v>276</v>
      </c>
      <c r="B78" s="156">
        <f t="shared" ref="B78:G78" si="22">AVERAGE(B31,C31)</f>
        <v>226555.03999999998</v>
      </c>
      <c r="C78" s="156">
        <f t="shared" si="22"/>
        <v>170485.12</v>
      </c>
      <c r="D78" s="156">
        <f t="shared" si="22"/>
        <v>132917.79999999999</v>
      </c>
      <c r="E78" s="156">
        <f t="shared" si="22"/>
        <v>105852.73</v>
      </c>
      <c r="F78" s="156">
        <f t="shared" si="22"/>
        <v>83818.64</v>
      </c>
      <c r="G78" s="156">
        <f t="shared" si="22"/>
        <v>71224.84</v>
      </c>
      <c r="H78" s="156">
        <f>H31</f>
        <v>67954.14</v>
      </c>
    </row>
    <row r="79" spans="1:8" x14ac:dyDescent="0.25">
      <c r="A79" s="17" t="s">
        <v>277</v>
      </c>
      <c r="B79" s="158">
        <f t="shared" ref="B79:H79" si="23">IF(B78&lt;=0,"",B56/B78)</f>
        <v>0.44996045993944783</v>
      </c>
      <c r="C79" s="158">
        <f t="shared" si="23"/>
        <v>0.52079677100265409</v>
      </c>
      <c r="D79" s="158">
        <f t="shared" si="23"/>
        <v>0.50099738334519539</v>
      </c>
      <c r="E79" s="158">
        <f t="shared" si="23"/>
        <v>0.55856074755936858</v>
      </c>
      <c r="F79" s="158">
        <f t="shared" si="23"/>
        <v>0.74188820052437021</v>
      </c>
      <c r="G79" s="158">
        <f t="shared" si="23"/>
        <v>0.45724160278913928</v>
      </c>
      <c r="H79" s="158">
        <f t="shared" si="23"/>
        <v>0.39795206002165578</v>
      </c>
    </row>
    <row r="80" spans="1:8" x14ac:dyDescent="0.25">
      <c r="A80" s="17" t="s">
        <v>278</v>
      </c>
      <c r="B80" s="159">
        <f>B56/'GOOGL - Income Statement FY'!B7</f>
        <v>0.25305784487980221</v>
      </c>
      <c r="C80" s="159">
        <f>C56/'GOOGL - Income Statement FY'!C7</f>
        <v>0.25366723997051582</v>
      </c>
      <c r="D80" s="159">
        <f>D56/'GOOGL - Income Statement FY'!D7</f>
        <v>0.21663230251729051</v>
      </c>
      <c r="E80" s="159">
        <f>E56/'GOOGL - Income Statement FY'!E7</f>
        <v>0.2090440396554894</v>
      </c>
      <c r="F80" s="159">
        <f>F56/'GOOGL - Income Statement FY'!F7</f>
        <v>0.24136308061342121</v>
      </c>
      <c r="G80" s="159">
        <f>G56/'GOOGL - Income Statement FY'!G7</f>
        <v>0.17842269910752928</v>
      </c>
      <c r="H80" s="159">
        <f>H56/'GOOGL - Income Statement FY'!H7</f>
        <v>0.16707643166498823</v>
      </c>
    </row>
    <row r="81" spans="1:8" x14ac:dyDescent="0.25">
      <c r="A81" s="17" t="s">
        <v>279</v>
      </c>
      <c r="B81" s="160">
        <f>IF(B76&lt;=0,"",'GOOGL - Income Statement FY'!B7/B76)</f>
        <v>1.5542259477442475</v>
      </c>
      <c r="C81" s="160">
        <f>IF(C76&lt;=0,"",'GOOGL - Income Statement FY'!C7/C76)</f>
        <v>1.7411524901527968</v>
      </c>
      <c r="D81" s="160">
        <f>IF(D76&lt;=0,"",'GOOGL - Income Statement FY'!D7/D76)</f>
        <v>1.89753130926043</v>
      </c>
      <c r="E81" s="160">
        <f>IF(E76&lt;=0,"",'GOOGL - Income Statement FY'!E7/E76)</f>
        <v>2.1457737166010693</v>
      </c>
      <c r="F81" s="160">
        <f>IF(F76&lt;=0,"",'GOOGL - Income Statement FY'!F7/F76)</f>
        <v>2.4331972663705819</v>
      </c>
      <c r="G81" s="160">
        <f>IF(G76&lt;=0,"",'GOOGL - Income Statement FY'!G7/G76)</f>
        <v>1.9813113450799213</v>
      </c>
      <c r="H81" s="160">
        <f>IF(H76&lt;=0,"",'GOOGL - Income Statement FY'!H7/H76)</f>
        <v>1.8272792813215541</v>
      </c>
    </row>
    <row r="83" spans="1:8" x14ac:dyDescent="0.25">
      <c r="A83" s="24" t="s">
        <v>309</v>
      </c>
      <c r="B83" s="24"/>
      <c r="C83" s="24"/>
      <c r="D83" s="24"/>
      <c r="E83" s="24"/>
      <c r="F83" s="24"/>
      <c r="G83" s="24"/>
      <c r="H83" s="24"/>
    </row>
    <row r="84" spans="1:8" x14ac:dyDescent="0.25">
      <c r="A84" t="s">
        <v>310</v>
      </c>
      <c r="B84" s="11">
        <f t="shared" ref="B84:G84" si="24">B56-C56</f>
        <v>13152.709999999992</v>
      </c>
      <c r="C84" s="11">
        <f t="shared" si="24"/>
        <v>22196.630000000005</v>
      </c>
      <c r="D84" s="11">
        <f t="shared" si="24"/>
        <v>7466.2900000000009</v>
      </c>
      <c r="E84" s="11">
        <f t="shared" si="24"/>
        <v>-3058.8799999999974</v>
      </c>
      <c r="F84" s="11">
        <f t="shared" si="24"/>
        <v>29617.1</v>
      </c>
      <c r="G84" s="11">
        <f t="shared" si="24"/>
        <v>5524.4699999999975</v>
      </c>
      <c r="H84" s="1"/>
    </row>
    <row r="85" spans="1:8" x14ac:dyDescent="0.25">
      <c r="A85" t="s">
        <v>311</v>
      </c>
      <c r="B85" s="11">
        <f t="shared" ref="B85:G85" si="25">B32-C32</f>
        <v>67208.359999999986</v>
      </c>
      <c r="C85" s="11">
        <f t="shared" si="25"/>
        <v>49113.479999999981</v>
      </c>
      <c r="D85" s="11">
        <f t="shared" si="25"/>
        <v>28946.160000000003</v>
      </c>
      <c r="E85" s="11">
        <f t="shared" si="25"/>
        <v>31425.98000000001</v>
      </c>
      <c r="F85" s="11">
        <f t="shared" si="25"/>
        <v>20427.199999999983</v>
      </c>
      <c r="G85" s="11">
        <f t="shared" si="25"/>
        <v>7092.4000000000087</v>
      </c>
      <c r="H85" s="1"/>
    </row>
    <row r="86" spans="1:8" x14ac:dyDescent="0.25">
      <c r="A86" s="9" t="s">
        <v>312</v>
      </c>
      <c r="B86" s="137">
        <f t="shared" ref="B86:G86" si="26">IF(B85=0,"",B84/B85)</f>
        <v>0.19570050511573256</v>
      </c>
      <c r="C86" s="137">
        <f t="shared" si="26"/>
        <v>0.45194577944792375</v>
      </c>
      <c r="D86" s="137">
        <f t="shared" si="26"/>
        <v>0.25793714952173274</v>
      </c>
      <c r="E86" s="137">
        <f t="shared" si="26"/>
        <v>-9.733602579776339E-2</v>
      </c>
      <c r="F86" s="137">
        <f t="shared" si="26"/>
        <v>1.4498854468551747</v>
      </c>
      <c r="G86" s="137">
        <f t="shared" si="26"/>
        <v>0.778928148440583</v>
      </c>
      <c r="H86" s="30"/>
    </row>
    <row r="88" spans="1:8" x14ac:dyDescent="0.25">
      <c r="A88" s="24" t="s">
        <v>313</v>
      </c>
      <c r="B88" s="24"/>
      <c r="C88" s="24"/>
      <c r="D88" s="24"/>
      <c r="E88" s="24"/>
      <c r="F88" s="24"/>
      <c r="G88" s="24"/>
      <c r="H88" s="24"/>
    </row>
    <row r="89" spans="1:8" x14ac:dyDescent="0.25">
      <c r="A89" t="s">
        <v>278</v>
      </c>
      <c r="B89" s="134">
        <f t="shared" ref="B89:H89" si="27">B80</f>
        <v>0.25305784487980221</v>
      </c>
      <c r="C89" s="134">
        <f t="shared" si="27"/>
        <v>0.25366723997051582</v>
      </c>
      <c r="D89" s="134">
        <f t="shared" si="27"/>
        <v>0.21663230251729051</v>
      </c>
      <c r="E89" s="134">
        <f t="shared" si="27"/>
        <v>0.2090440396554894</v>
      </c>
      <c r="F89" s="134">
        <f t="shared" si="27"/>
        <v>0.24136308061342121</v>
      </c>
      <c r="G89" s="134">
        <f t="shared" si="27"/>
        <v>0.17842269910752928</v>
      </c>
      <c r="H89" s="134">
        <f t="shared" si="27"/>
        <v>0.16707643166498823</v>
      </c>
    </row>
    <row r="90" spans="1:8" x14ac:dyDescent="0.25">
      <c r="A90" t="s">
        <v>314</v>
      </c>
      <c r="B90" s="161">
        <f>IF(B76&lt;=0,"",'GOOGL - Income Statement FY'!B7/B76)</f>
        <v>1.5542259477442475</v>
      </c>
      <c r="C90" s="161">
        <f>IF(C76&lt;=0,"",'GOOGL - Income Statement FY'!C7/C76)</f>
        <v>1.7411524901527968</v>
      </c>
      <c r="D90" s="161">
        <f>IF(D76&lt;=0,"",'GOOGL - Income Statement FY'!D7/D76)</f>
        <v>1.89753130926043</v>
      </c>
      <c r="E90" s="161">
        <f>IF(E76&lt;=0,"",'GOOGL - Income Statement FY'!E7/E76)</f>
        <v>2.1457737166010693</v>
      </c>
      <c r="F90" s="161">
        <f>IF(F76&lt;=0,"",'GOOGL - Income Statement FY'!F7/F76)</f>
        <v>2.4331972663705819</v>
      </c>
      <c r="G90" s="161">
        <f>IF(G76&lt;=0,"",'GOOGL - Income Statement FY'!G7/G76)</f>
        <v>1.9813113450799213</v>
      </c>
      <c r="H90" s="161">
        <f>IF(H76&lt;=0,"",'GOOGL - Income Statement FY'!H7/H76)</f>
        <v>1.8272792813215541</v>
      </c>
    </row>
    <row r="91" spans="1:8" x14ac:dyDescent="0.25">
      <c r="A91" s="9" t="s">
        <v>315</v>
      </c>
      <c r="B91" s="137">
        <f t="shared" ref="B91:H91" si="28">IF(B90="","",B89*B90)</f>
        <v>0.39330906879242733</v>
      </c>
      <c r="C91" s="137">
        <f t="shared" si="28"/>
        <v>0.44167334654485069</v>
      </c>
      <c r="D91" s="137">
        <f t="shared" si="28"/>
        <v>0.4110665766237358</v>
      </c>
      <c r="E91" s="137">
        <f t="shared" si="28"/>
        <v>0.44856120590486082</v>
      </c>
      <c r="F91" s="137">
        <f t="shared" si="28"/>
        <v>0.58728398795135883</v>
      </c>
      <c r="G91" s="137">
        <f t="shared" si="28"/>
        <v>0.35351091796152895</v>
      </c>
      <c r="H91" s="137">
        <f t="shared" si="28"/>
        <v>0.30529530197856947</v>
      </c>
    </row>
    <row r="93" spans="1:8" x14ac:dyDescent="0.25">
      <c r="A93" s="24" t="s">
        <v>316</v>
      </c>
      <c r="B93" s="24"/>
      <c r="C93" s="24"/>
      <c r="D93" s="24"/>
      <c r="E93" s="24"/>
      <c r="F93" s="24"/>
      <c r="G93" s="24"/>
      <c r="H93" s="24"/>
    </row>
    <row r="94" spans="1:8" x14ac:dyDescent="0.25">
      <c r="A94" t="s">
        <v>317</v>
      </c>
      <c r="B94" s="113">
        <f>'GOOGL - Income Statement FY'!B10/'GOOGL - Income Statement FY'!B7</f>
        <v>0.59652315086039975</v>
      </c>
      <c r="C94" s="113">
        <f>'GOOGL - Income Statement FY'!C10/'GOOGL - Income Statement FY'!C7</f>
        <v>0.58200435406179107</v>
      </c>
      <c r="D94" s="113">
        <f>'GOOGL - Income Statement FY'!D10/'GOOGL - Income Statement FY'!D7</f>
        <v>0.56625047984020505</v>
      </c>
      <c r="E94" s="113">
        <f>'GOOGL - Income Statement FY'!E10/'GOOGL - Income Statement FY'!E7</f>
        <v>0.55379442503783116</v>
      </c>
      <c r="F94" s="113">
        <f>'GOOGL - Income Statement FY'!F10/'GOOGL - Income Statement FY'!F7</f>
        <v>0.5693980290098084</v>
      </c>
      <c r="G94" s="113">
        <f>'GOOGL - Income Statement FY'!G10/'GOOGL - Income Statement FY'!G7</f>
        <v>0.53578374706207854</v>
      </c>
      <c r="H94" s="113">
        <f>'GOOGL - Income Statement FY'!H10/'GOOGL - Income Statement FY'!H7</f>
        <v>0.5558054331910266</v>
      </c>
    </row>
    <row r="95" spans="1:8" x14ac:dyDescent="0.25">
      <c r="A95" t="s">
        <v>318</v>
      </c>
      <c r="B95" s="113">
        <f>'GOOGL - Income Statement FY'!B13/'GOOGL - Income Statement FY'!B7</f>
        <v>0.15164235569810047</v>
      </c>
      <c r="C95" s="113">
        <f>'GOOGL - Income Statement FY'!C13/'GOOGL - Income Statement FY'!C7</f>
        <v>0.14092418104211785</v>
      </c>
      <c r="D95" s="113">
        <f>'GOOGL - Income Statement FY'!D13/'GOOGL - Income Statement FY'!D7</f>
        <v>0.14778102370247956</v>
      </c>
      <c r="E95" s="113">
        <f>'GOOGL - Income Statement FY'!E13/'GOOGL - Income Statement FY'!E7</f>
        <v>0.13965690364734334</v>
      </c>
      <c r="F95" s="113">
        <f>'GOOGL - Income Statement FY'!F13/'GOOGL - Income Statement FY'!F7</f>
        <v>0.12250569599863374</v>
      </c>
      <c r="G95" s="113">
        <f>'GOOGL - Income Statement FY'!G13/'GOOGL - Income Statement FY'!G7</f>
        <v>0.15106258252203783</v>
      </c>
      <c r="H95" s="113">
        <f>'GOOGL - Income Statement FY'!H13/'GOOGL - Income Statement FY'!H7</f>
        <v>0.16074683208016954</v>
      </c>
    </row>
    <row r="96" spans="1:8" x14ac:dyDescent="0.25">
      <c r="A96" t="s">
        <v>319</v>
      </c>
      <c r="B96" s="113">
        <f>'GOOGL - Income Statement FY'!B14/'GOOGL - Income Statement FY'!B7</f>
        <v>0.12455440923849904</v>
      </c>
      <c r="C96" s="113">
        <f>'GOOGL - Income Statement FY'!C14/'GOOGL - Income Statement FY'!C7</f>
        <v>0.11998240090509631</v>
      </c>
      <c r="D96" s="113">
        <f>'GOOGL - Income Statement FY'!D14/'GOOGL - Income Statement FY'!D7</f>
        <v>0.14425135168545905</v>
      </c>
      <c r="E96" s="113">
        <f>'GOOGL - Income Statement FY'!E14/'GOOGL - Income Statement FY'!E7</f>
        <v>0.14952481296581766</v>
      </c>
      <c r="F96" s="113">
        <f>'GOOGL - Income Statement FY'!F14/'GOOGL - Income Statement FY'!F7</f>
        <v>0.14136944615874272</v>
      </c>
      <c r="G96" s="113">
        <f>'GOOGL - Income Statement FY'!G14/'GOOGL - Income Statement FY'!G7</f>
        <v>0.15886964668240863</v>
      </c>
      <c r="H96" s="113">
        <f>'GOOGL - Income Statement FY'!H14/'GOOGL - Income Statement FY'!H7</f>
        <v>0.17308488357006493</v>
      </c>
    </row>
    <row r="97" spans="1:8" x14ac:dyDescent="0.25">
      <c r="A97" t="s">
        <v>320</v>
      </c>
      <c r="B97" s="113">
        <f>'GOOGL - Income Statement FY'!B25/'GOOGL - Income Statement FY'!B7</f>
        <v>0.32032638592380025</v>
      </c>
      <c r="C97" s="113">
        <f>'GOOGL - Income Statement FY'!C25/'GOOGL - Income Statement FY'!C7</f>
        <v>0.32109777211457696</v>
      </c>
      <c r="D97" s="113">
        <f>'GOOGL - Income Statement FY'!D25/'GOOGL - Income Statement FY'!D7</f>
        <v>0.27421810445226646</v>
      </c>
      <c r="E97" s="113">
        <f>'GOOGL - Income Statement FY'!E25/'GOOGL - Income Statement FY'!E7</f>
        <v>0.26461270842467011</v>
      </c>
      <c r="F97" s="113">
        <f>'GOOGL - Income Statement FY'!F25/'GOOGL - Income Statement FY'!F7</f>
        <v>0.3055228868524319</v>
      </c>
      <c r="G97" s="113">
        <f>'GOOGL - Income Statement FY'!G25/'GOOGL - Income Statement FY'!G7</f>
        <v>0.22585151785763202</v>
      </c>
      <c r="H97" s="113">
        <f>'GOOGL - Income Statement FY'!H25/'GOOGL - Income Statement FY'!H7</f>
        <v>0.21148915400631421</v>
      </c>
    </row>
    <row r="98" spans="1:8" x14ac:dyDescent="0.25">
      <c r="A98" t="s">
        <v>321</v>
      </c>
      <c r="B98" s="134">
        <f t="shared" ref="B98:H98" si="29">1-$B$9</f>
        <v>0.79</v>
      </c>
      <c r="C98" s="134">
        <f t="shared" si="29"/>
        <v>0.79</v>
      </c>
      <c r="D98" s="134">
        <f t="shared" si="29"/>
        <v>0.79</v>
      </c>
      <c r="E98" s="134">
        <f t="shared" si="29"/>
        <v>0.79</v>
      </c>
      <c r="F98" s="134">
        <f t="shared" si="29"/>
        <v>0.79</v>
      </c>
      <c r="G98" s="134">
        <f t="shared" si="29"/>
        <v>0.79</v>
      </c>
      <c r="H98" s="134">
        <f t="shared" si="29"/>
        <v>0.79</v>
      </c>
    </row>
    <row r="99" spans="1:8" x14ac:dyDescent="0.25">
      <c r="A99" t="s">
        <v>831</v>
      </c>
      <c r="B99" s="134">
        <f t="shared" ref="B99:H99" si="30">B97*B98</f>
        <v>0.25305784487980221</v>
      </c>
      <c r="C99" s="134">
        <f t="shared" si="30"/>
        <v>0.25366723997051582</v>
      </c>
      <c r="D99" s="134">
        <f t="shared" si="30"/>
        <v>0.21663230251729051</v>
      </c>
      <c r="E99" s="134">
        <f t="shared" si="30"/>
        <v>0.2090440396554894</v>
      </c>
      <c r="F99" s="134">
        <f t="shared" si="30"/>
        <v>0.24136308061342121</v>
      </c>
      <c r="G99" s="134">
        <f t="shared" si="30"/>
        <v>0.17842269910752931</v>
      </c>
      <c r="H99" s="134">
        <f t="shared" si="30"/>
        <v>0.16707643166498823</v>
      </c>
    </row>
    <row r="101" spans="1:8" x14ac:dyDescent="0.25">
      <c r="A101" s="24" t="s">
        <v>322</v>
      </c>
      <c r="B101" s="24"/>
      <c r="C101" s="24"/>
      <c r="D101" s="24"/>
      <c r="E101" s="24"/>
      <c r="F101" s="24"/>
      <c r="G101" s="24"/>
      <c r="H101" s="24"/>
    </row>
    <row r="102" spans="1:8" x14ac:dyDescent="0.25">
      <c r="A102" t="s">
        <v>323</v>
      </c>
      <c r="B102" s="161">
        <f>IF(B22=0,"",'GOOGL - Income Statement FY'!B7/B22)</f>
        <v>-34.013888044528208</v>
      </c>
      <c r="C102" s="161">
        <f>IF(C22=0,"",'GOOGL - Income Statement FY'!C7/C22)</f>
        <v>-31.977846886979659</v>
      </c>
      <c r="D102" s="161">
        <f>IF(D22=0,"",'GOOGL - Income Statement FY'!D7/D22)</f>
        <v>-25.835510147821683</v>
      </c>
      <c r="E102" s="161">
        <f>IF(E22=0,"",'GOOGL - Income Statement FY'!E7/E22)</f>
        <v>-28.757290082234572</v>
      </c>
      <c r="F102" s="161">
        <f>IF(F22=0,"",'GOOGL - Income Statement FY'!F7/F22)</f>
        <v>-31.02094335397085</v>
      </c>
      <c r="G102" s="161">
        <f>IF(G22=0,"",'GOOGL - Income Statement FY'!G7/G22)</f>
        <v>-13.239584345800155</v>
      </c>
      <c r="H102" s="161">
        <f>IF(H22=0,"",'GOOGL - Income Statement FY'!H7/H22)</f>
        <v>-20.535381242498598</v>
      </c>
    </row>
    <row r="103" spans="1:8" x14ac:dyDescent="0.25">
      <c r="A103" t="s">
        <v>324</v>
      </c>
      <c r="B103" s="161">
        <f>IF(B24=0,"",'GOOGL - Income Statement FY'!B7/B24)</f>
        <v>1.6335802949752025</v>
      </c>
      <c r="C103" s="161">
        <f>IF(C24=0,"",'GOOGL - Income Statement FY'!C7/C24)</f>
        <v>2.0464580556140226</v>
      </c>
      <c r="D103" s="161">
        <f>IF(D24=0,"",'GOOGL - Income Statement FY'!D7/D24)</f>
        <v>2.2880940861215526</v>
      </c>
      <c r="E103" s="161">
        <f>IF(E24=0,"",'GOOGL - Income Statement FY'!E7/E24)</f>
        <v>2.5103489899527816</v>
      </c>
      <c r="F103" s="161">
        <f>IF(F24=0,"",'GOOGL - Income Statement FY'!F7/F24)</f>
        <v>2.639750407278763</v>
      </c>
      <c r="G103" s="161">
        <f>IF(G24=0,"",'GOOGL - Income Statement FY'!G7/G24)</f>
        <v>2.153736327272298</v>
      </c>
      <c r="H103" s="161">
        <f>IF(H24=0,"",'GOOGL - Income Statement FY'!H7/H24)</f>
        <v>2.1977704152296118</v>
      </c>
    </row>
    <row r="104" spans="1:8" x14ac:dyDescent="0.25">
      <c r="A104" t="s">
        <v>325</v>
      </c>
      <c r="B104" s="161">
        <f>IF(B25+B26=0,"",'GOOGL - Income Statement FY'!B7/(B25+B26))</f>
        <v>12.068184541641701</v>
      </c>
      <c r="C104" s="161">
        <f>IF(C25+C26=0,"",'GOOGL - Income Statement FY'!C7/(C25+C26))</f>
        <v>10.977512937117767</v>
      </c>
      <c r="D104" s="161">
        <f>IF(D25+D26=0,"",'GOOGL - Income Statement FY'!D7/(D25+D26))</f>
        <v>10.527912870744572</v>
      </c>
      <c r="E104" s="161">
        <f>IF(E25+E26=0,"",'GOOGL - Income Statement FY'!E7/(E25+E26))</f>
        <v>9.1108104625692565</v>
      </c>
      <c r="F104" s="161">
        <f>IF(F25+F26=0,"",'GOOGL - Income Statement FY'!F7/(F25+F26))</f>
        <v>10.570590407418045</v>
      </c>
      <c r="G104" s="161">
        <f>IF(G25+G26=0,"",'GOOGL - Income Statement FY'!G7/(G25+G26))</f>
        <v>8.0692749778956667</v>
      </c>
      <c r="H104" s="161">
        <f>IF(H25+H26=0,"",'GOOGL - Income Statement FY'!H7/(H25+H26))</f>
        <v>7.1608636021767023</v>
      </c>
    </row>
    <row r="105" spans="1:8" x14ac:dyDescent="0.25">
      <c r="A105" t="s">
        <v>326</v>
      </c>
      <c r="B105" s="161">
        <f>IF(B32&lt;=0,"",'GOOGL - Income Statement FY'!B7/B32)</f>
        <v>1.3758449180188568</v>
      </c>
      <c r="C105" s="161">
        <f>IF(C32&lt;=0,"",'GOOGL - Income Statement FY'!C7/C32)</f>
        <v>1.5516126721403565</v>
      </c>
      <c r="D105" s="161">
        <f>IF(D32&lt;=0,"",'GOOGL - Income Statement FY'!D7/D32)</f>
        <v>1.7419063241840478</v>
      </c>
      <c r="E105" s="161">
        <f>IF(E32&lt;=0,"",'GOOGL - Income Statement FY'!E7/E32)</f>
        <v>1.9172238877924173</v>
      </c>
      <c r="F105" s="161">
        <f>IF(F32&lt;=0,"",'GOOGL - Income Statement FY'!F7/F32)</f>
        <v>2.2191388049414229</v>
      </c>
      <c r="G105" s="161">
        <f>IF(G32&lt;=0,"",'GOOGL - Income Statement FY'!G7/G32)</f>
        <v>1.9078704897035177</v>
      </c>
      <c r="H105" s="161">
        <f>IF(H32&lt;=0,"",'GOOGL - Income Statement FY'!H7/H32)</f>
        <v>1.8272792813215541</v>
      </c>
    </row>
    <row r="107" spans="1:8" x14ac:dyDescent="0.25">
      <c r="A107" s="24" t="s">
        <v>399</v>
      </c>
      <c r="B107" s="24"/>
      <c r="C107" s="24"/>
      <c r="D107" s="24"/>
      <c r="E107" s="24"/>
      <c r="F107" s="24"/>
      <c r="G107" s="24"/>
      <c r="H107" s="24"/>
    </row>
    <row r="108" spans="1:8" x14ac:dyDescent="0.25">
      <c r="A108" t="s">
        <v>255</v>
      </c>
      <c r="B108" s="162">
        <f>'GOOGL - Balance Sheet FY'!B51</f>
        <v>46547</v>
      </c>
      <c r="C108" s="162">
        <f>'GOOGL - Balance Sheet FY'!C51</f>
        <v>10883</v>
      </c>
      <c r="D108" s="162">
        <f>'GOOGL - Balance Sheet FY'!D51</f>
        <v>13253</v>
      </c>
      <c r="E108" s="162">
        <f>'GOOGL - Balance Sheet FY'!E51</f>
        <v>14701</v>
      </c>
      <c r="F108" s="162">
        <f>'GOOGL - Balance Sheet FY'!F51</f>
        <v>14817</v>
      </c>
      <c r="G108" s="162">
        <f>'GOOGL - Balance Sheet FY'!G51</f>
        <v>13932</v>
      </c>
      <c r="H108" s="162">
        <f>'GOOGL - Balance Sheet FY'!H51</f>
        <v>4554</v>
      </c>
    </row>
    <row r="109" spans="1:8" x14ac:dyDescent="0.25">
      <c r="A109" t="s">
        <v>400</v>
      </c>
      <c r="B109" s="162">
        <f>'GOOGL - Balance Sheet FY'!B52</f>
        <v>15839</v>
      </c>
      <c r="C109" s="162">
        <f>'GOOGL - Balance Sheet FY'!C52</f>
        <v>-12583</v>
      </c>
      <c r="D109" s="162">
        <f>'GOOGL - Balance Sheet FY'!D52</f>
        <v>-10795</v>
      </c>
      <c r="E109" s="162">
        <f>'GOOGL - Balance Sheet FY'!E52</f>
        <v>-7178</v>
      </c>
      <c r="F109" s="162">
        <f>'GOOGL - Balance Sheet FY'!F52</f>
        <v>-6128</v>
      </c>
      <c r="G109" s="162">
        <f>'GOOGL - Balance Sheet FY'!G52</f>
        <v>-12533</v>
      </c>
      <c r="H109" s="162">
        <f>'GOOGL - Balance Sheet FY'!H52</f>
        <v>-13944</v>
      </c>
    </row>
    <row r="110" spans="1:8" x14ac:dyDescent="0.25">
      <c r="A110" t="s">
        <v>401</v>
      </c>
      <c r="B110" s="162">
        <f>'GOOGL - Balance Sheet FY'!B41</f>
        <v>180016</v>
      </c>
      <c r="C110" s="162">
        <f>'GOOGL - Balance Sheet FY'!C41</f>
        <v>125172</v>
      </c>
      <c r="D110" s="162">
        <f>'GOOGL - Balance Sheet FY'!D41</f>
        <v>119013</v>
      </c>
      <c r="E110" s="162">
        <f>'GOOGL - Balance Sheet FY'!E41</f>
        <v>109120</v>
      </c>
      <c r="F110" s="162">
        <f>'GOOGL - Balance Sheet FY'!F41</f>
        <v>107633</v>
      </c>
      <c r="G110" s="162">
        <f>'GOOGL - Balance Sheet FY'!G41</f>
        <v>97072</v>
      </c>
      <c r="H110" s="162">
        <f>'GOOGL - Balance Sheet FY'!H41</f>
        <v>74467</v>
      </c>
    </row>
    <row r="111" spans="1:8" x14ac:dyDescent="0.25">
      <c r="A111" t="s">
        <v>256</v>
      </c>
      <c r="B111" s="162">
        <f>'GOOGL - Balance Sheet FY'!B47</f>
        <v>415265</v>
      </c>
      <c r="C111" s="162">
        <f>'GOOGL - Balance Sheet FY'!C47</f>
        <v>325084</v>
      </c>
      <c r="D111" s="162">
        <f>'GOOGL - Balance Sheet FY'!D47</f>
        <v>283379</v>
      </c>
      <c r="E111" s="162">
        <f>'GOOGL - Balance Sheet FY'!E47</f>
        <v>256144</v>
      </c>
      <c r="F111" s="162">
        <f>'GOOGL - Balance Sheet FY'!F47</f>
        <v>251635</v>
      </c>
      <c r="G111" s="162">
        <f>'GOOGL - Balance Sheet FY'!G47</f>
        <v>222544</v>
      </c>
      <c r="H111" s="162">
        <f>'GOOGL - Balance Sheet FY'!H47</f>
        <v>201442</v>
      </c>
    </row>
    <row r="113" spans="1:8" x14ac:dyDescent="0.25">
      <c r="A113" t="s">
        <v>402</v>
      </c>
      <c r="B113" s="163">
        <f t="shared" ref="B113:H113" si="31">IFERROR(B108/B111,"")</f>
        <v>0.11208987032376916</v>
      </c>
      <c r="C113" s="163">
        <f t="shared" si="31"/>
        <v>3.3477501199689924E-2</v>
      </c>
      <c r="D113" s="163">
        <f t="shared" si="31"/>
        <v>4.6767756255756424E-2</v>
      </c>
      <c r="E113" s="163">
        <f t="shared" si="31"/>
        <v>5.7393497407708167E-2</v>
      </c>
      <c r="F113" s="163">
        <f t="shared" si="31"/>
        <v>5.8882905796093551E-2</v>
      </c>
      <c r="G113" s="163">
        <f t="shared" si="31"/>
        <v>6.2603350348695089E-2</v>
      </c>
      <c r="H113" s="163">
        <f t="shared" si="31"/>
        <v>2.260700350473089E-2</v>
      </c>
    </row>
    <row r="114" spans="1:8" x14ac:dyDescent="0.25">
      <c r="A114" t="s">
        <v>403</v>
      </c>
      <c r="B114" s="163">
        <f t="shared" ref="B114:H114" si="32">IFERROR(B110/B111,"")</f>
        <v>0.4334966828410774</v>
      </c>
      <c r="C114" s="163">
        <f t="shared" si="32"/>
        <v>0.38504509603671666</v>
      </c>
      <c r="D114" s="163">
        <f t="shared" si="32"/>
        <v>0.41997819175027085</v>
      </c>
      <c r="E114" s="163">
        <f t="shared" si="32"/>
        <v>0.42601036916734336</v>
      </c>
      <c r="F114" s="163">
        <f t="shared" si="32"/>
        <v>0.42773461561388521</v>
      </c>
      <c r="G114" s="163">
        <f t="shared" si="32"/>
        <v>0.43619239341433602</v>
      </c>
      <c r="H114" s="163">
        <f t="shared" si="32"/>
        <v>0.36966968159569502</v>
      </c>
    </row>
    <row r="115" spans="1:8" x14ac:dyDescent="0.25">
      <c r="A115" t="s">
        <v>404</v>
      </c>
      <c r="B115" s="113">
        <f>IFERROR(B108/'GOOGL - Balance Sheet FY'!B25,"")</f>
        <v>7.819332382521868E-2</v>
      </c>
      <c r="C115" s="113">
        <f>IFERROR(C108/'GOOGL - Balance Sheet FY'!C25,"")</f>
        <v>2.4170694005188158E-2</v>
      </c>
      <c r="D115" s="113">
        <f>IFERROR(D108/'GOOGL - Balance Sheet FY'!D25,"")</f>
        <v>3.293554543827909E-2</v>
      </c>
      <c r="E115" s="113">
        <f>IFERROR(E108/'GOOGL - Balance Sheet FY'!E25,"")</f>
        <v>4.024760173463577E-2</v>
      </c>
      <c r="F115" s="113">
        <f>IFERROR(F108/'GOOGL - Balance Sheet FY'!F25,"")</f>
        <v>4.1242192457997928E-2</v>
      </c>
      <c r="G115" s="113">
        <f>IFERROR(G108/'GOOGL - Balance Sheet FY'!G25,"")</f>
        <v>4.358980776932319E-2</v>
      </c>
      <c r="H115" s="113">
        <f>IFERROR(H108/'GOOGL - Balance Sheet FY'!H25,"")</f>
        <v>1.6505442011677765E-2</v>
      </c>
    </row>
    <row r="116" spans="1:8" x14ac:dyDescent="0.25">
      <c r="A116" t="s">
        <v>405</v>
      </c>
      <c r="B116" s="113">
        <f>IFERROR(B111/'GOOGL - Balance Sheet FY'!B25,"")</f>
        <v>0.69759491735835677</v>
      </c>
      <c r="C116" s="113">
        <f>IFERROR(C111/'GOOGL - Balance Sheet FY'!C25,"")</f>
        <v>0.72199815216232544</v>
      </c>
      <c r="D116" s="113">
        <f>IFERROR(D111/'GOOGL - Balance Sheet FY'!D25,"")</f>
        <v>0.704236167717052</v>
      </c>
      <c r="E116" s="113">
        <f>IFERROR(E111/'GOOGL - Balance Sheet FY'!E25,"")</f>
        <v>0.70125717289412592</v>
      </c>
      <c r="F116" s="113">
        <f>IFERROR(F111/'GOOGL - Balance Sheet FY'!F25,"")</f>
        <v>0.70041027867775585</v>
      </c>
      <c r="G116" s="113">
        <f>IFERROR(G111/'GOOGL - Balance Sheet FY'!G25,"")</f>
        <v>0.69628554265118137</v>
      </c>
      <c r="H116" s="113">
        <f>IFERROR(H111/'GOOGL - Balance Sheet FY'!H25,"")</f>
        <v>0.73010304122011238</v>
      </c>
    </row>
    <row r="118" spans="1:8" x14ac:dyDescent="0.25">
      <c r="A118" t="s">
        <v>406</v>
      </c>
      <c r="B118" s="162">
        <f>'GOOGL - Income Statement FY'!B21</f>
        <v>150175</v>
      </c>
      <c r="C118" s="162">
        <f>'GOOGL - Income Statement FY'!C21</f>
        <v>127701</v>
      </c>
      <c r="D118" s="162">
        <f>'GOOGL - Income Statement FY'!D21</f>
        <v>96239</v>
      </c>
      <c r="E118" s="162">
        <f>'GOOGL - Income Statement FY'!E21</f>
        <v>88958</v>
      </c>
      <c r="F118" s="162">
        <f>'GOOGL - Income Statement FY'!F21</f>
        <v>89873</v>
      </c>
      <c r="G118" s="162">
        <f>'GOOGL - Income Statement FY'!G21</f>
        <v>54921</v>
      </c>
      <c r="H118" s="162">
        <f>'GOOGL - Income Statement FY'!H21</f>
        <v>45087</v>
      </c>
    </row>
    <row r="119" spans="1:8" x14ac:dyDescent="0.25">
      <c r="A119" t="s">
        <v>407</v>
      </c>
      <c r="B119" s="163">
        <f t="shared" ref="B119:H119" si="33">IFERROR(B108/B118,"")</f>
        <v>0.30995172298984519</v>
      </c>
      <c r="C119" s="163">
        <f t="shared" si="33"/>
        <v>8.5222511961535144E-2</v>
      </c>
      <c r="D119" s="163">
        <f t="shared" si="33"/>
        <v>0.13770924469289997</v>
      </c>
      <c r="E119" s="163">
        <f t="shared" si="33"/>
        <v>0.16525776208997506</v>
      </c>
      <c r="F119" s="163">
        <f t="shared" si="33"/>
        <v>0.16486597754609281</v>
      </c>
      <c r="G119" s="163">
        <f t="shared" si="33"/>
        <v>0.25367345824001747</v>
      </c>
      <c r="H119" s="163">
        <f t="shared" si="33"/>
        <v>0.10100472419988023</v>
      </c>
    </row>
    <row r="120" spans="1:8" x14ac:dyDescent="0.25">
      <c r="A120" t="s">
        <v>408</v>
      </c>
      <c r="B120" s="163">
        <f t="shared" ref="B120:H120" si="34">IFERROR(B109/B118,"")</f>
        <v>0.10547028466788747</v>
      </c>
      <c r="C120" s="163">
        <f t="shared" si="34"/>
        <v>-9.8534858771661932E-2</v>
      </c>
      <c r="D120" s="163">
        <f t="shared" si="34"/>
        <v>-0.11216866343166491</v>
      </c>
      <c r="E120" s="163">
        <f t="shared" si="34"/>
        <v>-8.0689763708716472E-2</v>
      </c>
      <c r="F120" s="163">
        <f t="shared" si="34"/>
        <v>-6.8185105649082589E-2</v>
      </c>
      <c r="G120" s="163">
        <f t="shared" si="34"/>
        <v>-0.22820050618160631</v>
      </c>
      <c r="H120" s="163">
        <f t="shared" si="34"/>
        <v>-0.30926874708896135</v>
      </c>
    </row>
    <row r="121" spans="1:8" x14ac:dyDescent="0.25">
      <c r="A121" t="s">
        <v>409</v>
      </c>
      <c r="B121" s="161" t="str">
        <f>IF('GOOGL - Income Statement FY'!B23=0,"",B118/'GOOGL - Income Statement FY'!B23)</f>
        <v/>
      </c>
      <c r="C121" s="161" t="str">
        <f>IF('GOOGL - Income Statement FY'!C23=0,"",C118/'GOOGL - Income Statement FY'!C23)</f>
        <v/>
      </c>
      <c r="D121" s="161" t="str">
        <f>IF('GOOGL - Income Statement FY'!D23=0,"",D118/'GOOGL - Income Statement FY'!D23)</f>
        <v/>
      </c>
      <c r="E121" s="161" t="str">
        <f>IF('GOOGL - Income Statement FY'!E23=0,"",E118/'GOOGL - Income Statement FY'!E23)</f>
        <v/>
      </c>
      <c r="F121" s="161" t="str">
        <f>IF('GOOGL - Income Statement FY'!F23=0,"",F118/'GOOGL - Income Statement FY'!F23)</f>
        <v/>
      </c>
      <c r="G121" s="161" t="str">
        <f>IF('GOOGL - Income Statement FY'!G23=0,"",G118/'GOOGL - Income Statement FY'!G23)</f>
        <v/>
      </c>
      <c r="H121" s="161" t="str">
        <f>IF('GOOGL - Income Statement FY'!H23=0,"",H118/'GOOGL - Income Statement FY'!H23)</f>
        <v/>
      </c>
    </row>
    <row r="122" spans="1:8" x14ac:dyDescent="0.25">
      <c r="A122" t="s">
        <v>410</v>
      </c>
      <c r="B122" s="161">
        <f>IFERROR('GOOGL - Balance Sheet FY'!B13/'GOOGL - Balance Sheet FY'!B32,"")</f>
        <v>2.0053335928755658</v>
      </c>
      <c r="C122" s="161">
        <f>IFERROR('GOOGL - Balance Sheet FY'!C13/'GOOGL - Balance Sheet FY'!C32,"")</f>
        <v>1.8369313974102914</v>
      </c>
      <c r="D122" s="161">
        <f>IFERROR('GOOGL - Balance Sheet FY'!D13/'GOOGL - Balance Sheet FY'!D32,"")</f>
        <v>2.0965849365634242</v>
      </c>
      <c r="E122" s="161">
        <f>IFERROR('GOOGL - Balance Sheet FY'!E13/'GOOGL - Balance Sheet FY'!E32,"")</f>
        <v>2.3779942279942281</v>
      </c>
      <c r="F122" s="161">
        <f>IFERROR('GOOGL - Balance Sheet FY'!F13/'GOOGL - Balance Sheet FY'!F32,"")</f>
        <v>2.9281134248451459</v>
      </c>
      <c r="G122" s="161">
        <f>IFERROR('GOOGL - Balance Sheet FY'!G13/'GOOGL - Balance Sheet FY'!G32,"")</f>
        <v>3.0667558151810534</v>
      </c>
      <c r="H122" s="161">
        <f>IFERROR('GOOGL - Balance Sheet FY'!H13/'GOOGL - Balance Sheet FY'!H32,"")</f>
        <v>3.3740518785520002</v>
      </c>
    </row>
    <row r="125" spans="1:8" x14ac:dyDescent="0.25">
      <c r="A125" s="9" t="s">
        <v>913</v>
      </c>
    </row>
    <row r="126" spans="1:8" x14ac:dyDescent="0.25">
      <c r="A126" t="s">
        <v>914</v>
      </c>
      <c r="B126" t="s">
        <v>308</v>
      </c>
    </row>
    <row r="127" spans="1:8" x14ac:dyDescent="0.25">
      <c r="A127" t="s">
        <v>915</v>
      </c>
      <c r="B127" s="80">
        <f>SUMIFS(mag7_leases_fy2019_fy2026!$D:$D,mag7_leases_fy2019_fy2026!$A:$A,$B$126,mag7_leases_fy2019_fy2026!$B:$B,YEAR(B$5))+SUMIFS(mag7_leases_fy2019_fy2026!$F:$F,mag7_leases_fy2019_fy2026!$A:$A,$B$126,mag7_leases_fy2019_fy2026!$B:$B,YEAR(B$5))</f>
        <v>3650</v>
      </c>
      <c r="C127" s="80">
        <f>SUMIFS(mag7_leases_fy2019_fy2026!$D:$D,mag7_leases_fy2019_fy2026!$A:$A,$B$126,mag7_leases_fy2019_fy2026!$B:$B,YEAR(C$5))+SUMIFS(mag7_leases_fy2019_fy2026!$F:$F,mag7_leases_fy2019_fy2026!$A:$A,$B$126,mag7_leases_fy2019_fy2026!$B:$B,YEAR(C$5))</f>
        <v>3122</v>
      </c>
      <c r="D127" s="80">
        <f>SUMIFS(mag7_leases_fy2019_fy2026!$D:$D,mag7_leases_fy2019_fy2026!$A:$A,$B$126,mag7_leases_fy2019_fy2026!$B:$B,YEAR(D$5))+SUMIFS(mag7_leases_fy2019_fy2026!$F:$F,mag7_leases_fy2019_fy2026!$A:$A,$B$126,mag7_leases_fy2019_fy2026!$B:$B,YEAR(D$5))</f>
        <v>3154</v>
      </c>
      <c r="E127" s="80">
        <f>SUMIFS(mag7_leases_fy2019_fy2026!$D:$D,mag7_leases_fy2019_fy2026!$A:$A,$B$126,mag7_leases_fy2019_fy2026!$B:$B,YEAR(E$5))+SUMIFS(mag7_leases_fy2019_fy2026!$F:$F,mag7_leases_fy2019_fy2026!$A:$A,$B$126,mag7_leases_fy2019_fy2026!$B:$B,YEAR(E$5))</f>
        <v>2775</v>
      </c>
      <c r="F127" s="80">
        <f>SUMIFS(mag7_leases_fy2019_fy2026!$D:$D,mag7_leases_fy2019_fy2026!$A:$A,$B$126,mag7_leases_fy2019_fy2026!$B:$B,YEAR(F$5))+SUMIFS(mag7_leases_fy2019_fy2026!$F:$F,mag7_leases_fy2019_fy2026!$A:$A,$B$126,mag7_leases_fy2019_fy2026!$B:$B,YEAR(F$5))</f>
        <v>2302</v>
      </c>
      <c r="G127" s="80">
        <f>SUMIFS(mag7_leases_fy2019_fy2026!$D:$D,mag7_leases_fy2019_fy2026!$A:$A,$B$126,mag7_leases_fy2019_fy2026!$B:$B,YEAR(G$5))+SUMIFS(mag7_leases_fy2019_fy2026!$F:$F,mag7_leases_fy2019_fy2026!$A:$A,$B$126,mag7_leases_fy2019_fy2026!$B:$B,YEAR(G$5))</f>
        <v>1795</v>
      </c>
      <c r="H127" s="80">
        <f>SUMIFS(mag7_leases_fy2019_fy2026!$D:$D,mag7_leases_fy2019_fy2026!$A:$A,$B$126,mag7_leases_fy2019_fy2026!$B:$B,YEAR(H$5))+SUMIFS(mag7_leases_fy2019_fy2026!$F:$F,mag7_leases_fy2019_fy2026!$A:$A,$B$126,mag7_leases_fy2019_fy2026!$B:$B,YEAR(H$5))</f>
        <v>1199</v>
      </c>
    </row>
    <row r="128" spans="1:8" x14ac:dyDescent="0.25">
      <c r="A128" t="s">
        <v>916</v>
      </c>
      <c r="B128" s="80">
        <f>SUMIFS(mag7_leases_fy2019_fy2026!$E:$E,mag7_leases_fy2019_fy2026!$A:$A,$B$126,mag7_leases_fy2019_fy2026!$B:$B,YEAR(B$5))+SUMIFS(mag7_leases_fy2019_fy2026!$G:$G,mag7_leases_fy2019_fy2026!$A:$A,$B$126,mag7_leases_fy2019_fy2026!$B:$B,YEAR(B$5))</f>
        <v>14803</v>
      </c>
      <c r="C128" s="80">
        <f>SUMIFS(mag7_leases_fy2019_fy2026!$E:$E,mag7_leases_fy2019_fy2026!$A:$A,$B$126,mag7_leases_fy2019_fy2026!$B:$B,YEAR(C$5))+SUMIFS(mag7_leases_fy2019_fy2026!$G:$G,mag7_leases_fy2019_fy2026!$A:$A,$B$126,mag7_leases_fy2019_fy2026!$B:$B,YEAR(C$5))</f>
        <v>13133</v>
      </c>
      <c r="D128" s="80">
        <f>SUMIFS(mag7_leases_fy2019_fy2026!$E:$E,mag7_leases_fy2019_fy2026!$A:$A,$B$126,mag7_leases_fy2019_fy2026!$B:$B,YEAR(D$5))+SUMIFS(mag7_leases_fy2019_fy2026!$G:$G,mag7_leases_fy2019_fy2026!$A:$A,$B$126,mag7_leases_fy2019_fy2026!$B:$B,YEAR(D$5))</f>
        <v>12460</v>
      </c>
      <c r="E128" s="80">
        <f>SUMIFS(mag7_leases_fy2019_fy2026!$E:$E,mag7_leases_fy2019_fy2026!$A:$A,$B$126,mag7_leases_fy2019_fy2026!$B:$B,YEAR(E$5))+SUMIFS(mag7_leases_fy2019_fy2026!$G:$G,mag7_leases_fy2019_fy2026!$A:$A,$B$126,mag7_leases_fy2019_fy2026!$B:$B,YEAR(E$5))</f>
        <v>12501</v>
      </c>
      <c r="F128" s="80">
        <f>SUMIFS(mag7_leases_fy2019_fy2026!$E:$E,mag7_leases_fy2019_fy2026!$A:$A,$B$126,mag7_leases_fy2019_fy2026!$B:$B,YEAR(F$5))+SUMIFS(mag7_leases_fy2019_fy2026!$G:$G,mag7_leases_fy2019_fy2026!$A:$A,$B$126,mag7_leases_fy2019_fy2026!$B:$B,YEAR(F$5))</f>
        <v>11389</v>
      </c>
      <c r="G128" s="80">
        <f>SUMIFS(mag7_leases_fy2019_fy2026!$E:$E,mag7_leases_fy2019_fy2026!$A:$A,$B$126,mag7_leases_fy2019_fy2026!$B:$B,YEAR(G$5))+SUMIFS(mag7_leases_fy2019_fy2026!$G:$G,mag7_leases_fy2019_fy2026!$A:$A,$B$126,mag7_leases_fy2019_fy2026!$B:$B,YEAR(G$5))</f>
        <v>11146</v>
      </c>
      <c r="H128" s="80">
        <f>SUMIFS(mag7_leases_fy2019_fy2026!$E:$E,mag7_leases_fy2019_fy2026!$A:$A,$B$126,mag7_leases_fy2019_fy2026!$B:$B,YEAR(H$5))+SUMIFS(mag7_leases_fy2019_fy2026!$G:$G,mag7_leases_fy2019_fy2026!$A:$A,$B$126,mag7_leases_fy2019_fy2026!$B:$B,YEAR(H$5))</f>
        <v>10899</v>
      </c>
    </row>
    <row r="129" spans="1:8" x14ac:dyDescent="0.25">
      <c r="A129" t="s">
        <v>917</v>
      </c>
      <c r="B129" s="135">
        <f t="shared" ref="B129:H129" si="35">B127+B128</f>
        <v>18453</v>
      </c>
      <c r="C129" s="135">
        <f t="shared" si="35"/>
        <v>16255</v>
      </c>
      <c r="D129" s="135">
        <f t="shared" si="35"/>
        <v>15614</v>
      </c>
      <c r="E129" s="135">
        <f t="shared" si="35"/>
        <v>15276</v>
      </c>
      <c r="F129" s="135">
        <f t="shared" si="35"/>
        <v>13691</v>
      </c>
      <c r="G129" s="135">
        <f t="shared" si="35"/>
        <v>12941</v>
      </c>
      <c r="H129" s="135">
        <f t="shared" si="35"/>
        <v>12098</v>
      </c>
    </row>
    <row r="130" spans="1:8" x14ac:dyDescent="0.25">
      <c r="A130" t="s">
        <v>918</v>
      </c>
      <c r="B130" s="80">
        <f>SUMIFS(mag7_leases_fy2019_fy2026!$H:$H,mag7_leases_fy2019_fy2026!$A:$A,$B$126,mag7_leases_fy2019_fy2026!$B:$B,YEAR(B$5))</f>
        <v>15221</v>
      </c>
      <c r="C130" s="80">
        <f>SUMIFS(mag7_leases_fy2019_fy2026!$H:$H,mag7_leases_fy2019_fy2026!$A:$A,$B$126,mag7_leases_fy2019_fy2026!$B:$B,YEAR(C$5))</f>
        <v>13588</v>
      </c>
      <c r="D130" s="80">
        <f>SUMIFS(mag7_leases_fy2019_fy2026!$H:$H,mag7_leases_fy2019_fy2026!$A:$A,$B$126,mag7_leases_fy2019_fy2026!$B:$B,YEAR(D$5))</f>
        <v>14091</v>
      </c>
      <c r="E130" s="80">
        <f>SUMIFS(mag7_leases_fy2019_fy2026!$H:$H,mag7_leases_fy2019_fy2026!$A:$A,$B$126,mag7_leases_fy2019_fy2026!$B:$B,YEAR(E$5))</f>
        <v>14381</v>
      </c>
      <c r="F130" s="80">
        <f>SUMIFS(mag7_leases_fy2019_fy2026!$H:$H,mag7_leases_fy2019_fy2026!$A:$A,$B$126,mag7_leases_fy2019_fy2026!$B:$B,YEAR(F$5))</f>
        <v>12959</v>
      </c>
      <c r="G130" s="80">
        <f>SUMIFS(mag7_leases_fy2019_fy2026!$H:$H,mag7_leases_fy2019_fy2026!$A:$A,$B$126,mag7_leases_fy2019_fy2026!$B:$B,YEAR(G$5))</f>
        <v>12211</v>
      </c>
      <c r="H130" s="80">
        <f>SUMIFS(mag7_leases_fy2019_fy2026!$H:$H,mag7_leases_fy2019_fy2026!$A:$A,$B$126,mag7_leases_fy2019_fy2026!$B:$B,YEAR(H$5))</f>
        <v>10941</v>
      </c>
    </row>
    <row r="135" spans="1:8" x14ac:dyDescent="0.25">
      <c r="A135" s="67" t="s">
        <v>1358</v>
      </c>
    </row>
    <row r="136" spans="1:8" x14ac:dyDescent="0.25">
      <c r="A136" t="s">
        <v>1359</v>
      </c>
      <c r="B136" s="190">
        <v>5</v>
      </c>
    </row>
    <row r="137" spans="1:8" x14ac:dyDescent="0.25">
      <c r="A137" t="s">
        <v>1360</v>
      </c>
      <c r="B137" s="35">
        <f>'GOOGL - Income Statement FY'!B13</f>
        <v>61087</v>
      </c>
      <c r="C137" s="35">
        <f>'GOOGL - Income Statement FY'!C13</f>
        <v>49326</v>
      </c>
      <c r="D137" s="35">
        <f>'GOOGL - Income Statement FY'!D13</f>
        <v>45427</v>
      </c>
      <c r="E137" s="35">
        <f>'GOOGL - Income Statement FY'!E13</f>
        <v>39500</v>
      </c>
      <c r="F137" s="35">
        <f>'GOOGL - Income Statement FY'!F13</f>
        <v>31562</v>
      </c>
      <c r="G137" s="35">
        <f>'GOOGL - Income Statement FY'!G13</f>
        <v>27573</v>
      </c>
      <c r="H137" s="35">
        <f>'GOOGL - Income Statement FY'!H13</f>
        <v>26018</v>
      </c>
    </row>
    <row r="138" spans="1:8" x14ac:dyDescent="0.25">
      <c r="A138" t="s">
        <v>1361</v>
      </c>
      <c r="B138" s="35">
        <f>B137*MAX(0,($B$136-0)/$B$136)+C137*MAX(0,($B$136-1)/$B$136)+D137*MAX(0,($B$136-2)/$B$136)+E137*MAX(0,($B$136-3)/$B$136)+F137*MAX(0,($B$136-4)/$B$136)</f>
        <v>149916.4</v>
      </c>
      <c r="C138" s="35">
        <f>C137*MAX(0,($B$136-0)/$B$136)+D137*MAX(0,($B$136-1)/$B$136)+E137*MAX(0,($B$136-2)/$B$136)+F137*MAX(0,($B$136-3)/$B$136)+G137*MAX(0,($B$136-4)/$B$136)</f>
        <v>127507.00000000001</v>
      </c>
      <c r="D138" s="35">
        <f>D137*MAX(0,($B$136-0)/$B$136)+E137*MAX(0,($B$136-1)/$B$136)+F137*MAX(0,($B$136-2)/$B$136)+G137*MAX(0,($B$136-3)/$B$136)+H137*MAX(0,($B$136-4)/$B$136)</f>
        <v>112197</v>
      </c>
      <c r="E138" s="35" t="str">
        <f>""</f>
        <v/>
      </c>
      <c r="F138" s="35" t="str">
        <f>""</f>
        <v/>
      </c>
      <c r="G138" s="35" t="str">
        <f>""</f>
        <v/>
      </c>
      <c r="H138" s="35" t="str">
        <f>""</f>
        <v/>
      </c>
    </row>
    <row r="139" spans="1:8" x14ac:dyDescent="0.25">
      <c r="A139" t="s">
        <v>1362</v>
      </c>
      <c r="B139" s="35">
        <f>(C137*IF($B$136&gt;=1,1,0)+D137*IF($B$136&gt;=2,1,0)+E137*IF($B$136&gt;=3,1,0)+F137*IF($B$136&gt;=4,1,0)+G137*IF($B$136&gt;=5,1,0))/$B$136</f>
        <v>38677.599999999999</v>
      </c>
      <c r="C139" s="35">
        <f>(D137*IF($B$136&gt;=1,1,0)+E137*IF($B$136&gt;=2,1,0)+F137*IF($B$136&gt;=3,1,0)+G137*IF($B$136&gt;=4,1,0)+H137*IF($B$136&gt;=5,1,0))/$B$136</f>
        <v>34016</v>
      </c>
      <c r="D139" s="35" t="str">
        <f>""</f>
        <v/>
      </c>
      <c r="E139" s="35" t="str">
        <f>""</f>
        <v/>
      </c>
      <c r="F139" s="35" t="str">
        <f>""</f>
        <v/>
      </c>
      <c r="G139" s="35" t="str">
        <f>""</f>
        <v/>
      </c>
      <c r="H139" s="35" t="str">
        <f>""</f>
        <v/>
      </c>
    </row>
    <row r="140" spans="1:8" x14ac:dyDescent="0.25">
      <c r="A140" t="s">
        <v>1363</v>
      </c>
      <c r="B140" s="35">
        <f t="shared" ref="B140:H140" si="36">B54</f>
        <v>129039</v>
      </c>
      <c r="C140" s="35">
        <f t="shared" si="36"/>
        <v>112390</v>
      </c>
      <c r="D140" s="35">
        <f t="shared" si="36"/>
        <v>84293</v>
      </c>
      <c r="E140" s="35">
        <f t="shared" si="36"/>
        <v>74842</v>
      </c>
      <c r="F140" s="35">
        <f t="shared" si="36"/>
        <v>78714</v>
      </c>
      <c r="G140" s="35">
        <f t="shared" si="36"/>
        <v>41224</v>
      </c>
      <c r="H140" s="35">
        <f t="shared" si="36"/>
        <v>34231</v>
      </c>
    </row>
    <row r="141" spans="1:8" x14ac:dyDescent="0.25">
      <c r="A141" t="s">
        <v>1364</v>
      </c>
      <c r="B141" s="35">
        <f>B140+B137-B139</f>
        <v>151448.4</v>
      </c>
      <c r="C141" s="35">
        <f>C140+C137-C139</f>
        <v>127700</v>
      </c>
      <c r="D141" s="35" t="str">
        <f>""</f>
        <v/>
      </c>
      <c r="E141" s="35" t="str">
        <f>""</f>
        <v/>
      </c>
      <c r="F141" s="35" t="str">
        <f>""</f>
        <v/>
      </c>
      <c r="G141" s="35" t="str">
        <f>""</f>
        <v/>
      </c>
      <c r="H141" s="35" t="str">
        <f>""</f>
        <v/>
      </c>
    </row>
    <row r="142" spans="1:8" x14ac:dyDescent="0.25">
      <c r="A142" t="s">
        <v>1365</v>
      </c>
      <c r="B142" s="35">
        <f>B141*(1-$B$9)</f>
        <v>119644.236</v>
      </c>
      <c r="C142" s="35">
        <f>C141*(1-$B$9)</f>
        <v>100883</v>
      </c>
      <c r="D142" s="35" t="str">
        <f>""</f>
        <v/>
      </c>
      <c r="E142" s="35" t="str">
        <f>""</f>
        <v/>
      </c>
      <c r="F142" s="35" t="str">
        <f>""</f>
        <v/>
      </c>
      <c r="G142" s="35" t="str">
        <f>""</f>
        <v/>
      </c>
      <c r="H142" s="35" t="str">
        <f>""</f>
        <v/>
      </c>
    </row>
    <row r="143" spans="1:8" x14ac:dyDescent="0.25">
      <c r="A143" t="s">
        <v>1366</v>
      </c>
      <c r="B143" s="35">
        <f t="shared" ref="B143:H143" si="37">B32</f>
        <v>292791.71999999997</v>
      </c>
      <c r="C143" s="35">
        <f t="shared" si="37"/>
        <v>225583.35999999999</v>
      </c>
      <c r="D143" s="35">
        <f t="shared" si="37"/>
        <v>176469.88</v>
      </c>
      <c r="E143" s="35">
        <f t="shared" si="37"/>
        <v>147523.72</v>
      </c>
      <c r="F143" s="35">
        <f t="shared" si="37"/>
        <v>116097.73999999999</v>
      </c>
      <c r="G143" s="35">
        <f t="shared" si="37"/>
        <v>95670.540000000008</v>
      </c>
      <c r="H143" s="35">
        <f t="shared" si="37"/>
        <v>88578.14</v>
      </c>
    </row>
    <row r="144" spans="1:8" x14ac:dyDescent="0.25">
      <c r="A144" t="s">
        <v>1367</v>
      </c>
      <c r="B144" s="35">
        <f>B32+B138</f>
        <v>442708.12</v>
      </c>
      <c r="C144" s="35">
        <f>C32+C138</f>
        <v>353090.36</v>
      </c>
      <c r="D144" s="35">
        <f>D32+D138</f>
        <v>288666.88</v>
      </c>
      <c r="E144" s="35" t="str">
        <f>""</f>
        <v/>
      </c>
      <c r="F144" s="35" t="str">
        <f>""</f>
        <v/>
      </c>
      <c r="G144" s="35" t="str">
        <f>""</f>
        <v/>
      </c>
      <c r="H144" s="35" t="str">
        <f>""</f>
        <v/>
      </c>
    </row>
    <row r="145" spans="1:8" x14ac:dyDescent="0.25">
      <c r="A145" t="s">
        <v>1368</v>
      </c>
      <c r="B145" s="28">
        <f t="shared" ref="B145:H145" si="38">IFERROR(B56/B32,"")</f>
        <v>0.34816834984268002</v>
      </c>
      <c r="C145" s="28">
        <f t="shared" si="38"/>
        <v>0.39359330404512111</v>
      </c>
      <c r="D145" s="28">
        <f t="shared" si="38"/>
        <v>0.37735317777742017</v>
      </c>
      <c r="E145" s="28">
        <f t="shared" si="38"/>
        <v>0.40078422642812966</v>
      </c>
      <c r="F145" s="28">
        <f t="shared" si="38"/>
        <v>0.5356181782694478</v>
      </c>
      <c r="G145" s="28">
        <f t="shared" si="38"/>
        <v>0.34040740232050531</v>
      </c>
      <c r="H145" s="28">
        <f t="shared" si="38"/>
        <v>0.30529530197856947</v>
      </c>
    </row>
    <row r="146" spans="1:8" x14ac:dyDescent="0.25">
      <c r="A146" t="s">
        <v>1369</v>
      </c>
      <c r="B146" s="28">
        <f>IFERROR(B142/B144,"")</f>
        <v>0.270255345666576</v>
      </c>
      <c r="C146" s="28">
        <f>IFERROR(C142/C144,"")</f>
        <v>0.28571439899973483</v>
      </c>
      <c r="D146" s="28" t="str">
        <f>""</f>
        <v/>
      </c>
      <c r="E146" s="28" t="str">
        <f>""</f>
        <v/>
      </c>
      <c r="F146" s="28" t="str">
        <f>""</f>
        <v/>
      </c>
      <c r="G146" s="28" t="str">
        <f>""</f>
        <v/>
      </c>
      <c r="H146" s="28" t="str">
        <f>""</f>
        <v/>
      </c>
    </row>
    <row r="148" spans="1:8" x14ac:dyDescent="0.25">
      <c r="A148" s="67" t="s">
        <v>1497</v>
      </c>
    </row>
    <row r="149" spans="1:8" x14ac:dyDescent="0.25">
      <c r="A149" t="s">
        <v>1498</v>
      </c>
      <c r="B149" s="3">
        <f>IF(COUNTIFS(mag7_leases_fy2019_fy2026!$A:$A,$B$126,mag7_leases_fy2019_fy2026!$B:$B,YEAR(B$5),mag7_leases_fy2019_fy2026!$L:$L,"&gt;0")=0,"",SUMIFS(mag7_leases_fy2019_fy2026!$L:$L,mag7_leases_fy2019_fy2026!$A:$A,$B$126,mag7_leases_fy2019_fy2026!$B:$B,YEAR(B$5))/100)</f>
        <v>3.6000000000000004E-2</v>
      </c>
      <c r="C149" s="3">
        <f>IF(COUNTIFS(mag7_leases_fy2019_fy2026!$A:$A,$B$126,mag7_leases_fy2019_fy2026!$B:$B,YEAR(C$5),mag7_leases_fy2019_fy2026!$L:$L,"&gt;0")=0,"",SUMIFS(mag7_leases_fy2019_fy2026!$L:$L,mag7_leases_fy2019_fy2026!$A:$A,$B$126,mag7_leases_fy2019_fy2026!$B:$B,YEAR(C$5))/100)</f>
        <v>3.4000000000000002E-2</v>
      </c>
      <c r="D149" s="3">
        <f>IF(COUNTIFS(mag7_leases_fy2019_fy2026!$A:$A,$B$126,mag7_leases_fy2019_fy2026!$B:$B,YEAR(D$5),mag7_leases_fy2019_fy2026!$L:$L,"&gt;0")=0,"",SUMIFS(mag7_leases_fy2019_fy2026!$L:$L,mag7_leases_fy2019_fy2026!$A:$A,$B$126,mag7_leases_fy2019_fy2026!$B:$B,YEAR(D$5))/100)</f>
        <v>3.1E-2</v>
      </c>
      <c r="E149" s="3">
        <f>IF(COUNTIFS(mag7_leases_fy2019_fy2026!$A:$A,$B$126,mag7_leases_fy2019_fy2026!$B:$B,YEAR(E$5),mag7_leases_fy2019_fy2026!$L:$L,"&gt;0")=0,"",SUMIFS(mag7_leases_fy2019_fy2026!$L:$L,mag7_leases_fy2019_fy2026!$A:$A,$B$126,mag7_leases_fy2019_fy2026!$B:$B,YEAR(E$5))/100)</f>
        <v>2.7999999999999997E-2</v>
      </c>
      <c r="F149" s="3">
        <f>IF(COUNTIFS(mag7_leases_fy2019_fy2026!$A:$A,$B$126,mag7_leases_fy2019_fy2026!$B:$B,YEAR(F$5),mag7_leases_fy2019_fy2026!$L:$L,"&gt;0")=0,"",SUMIFS(mag7_leases_fy2019_fy2026!$L:$L,mag7_leases_fy2019_fy2026!$A:$A,$B$126,mag7_leases_fy2019_fy2026!$B:$B,YEAR(F$5))/100)</f>
        <v>2.3E-2</v>
      </c>
      <c r="G149" s="3">
        <f>IF(COUNTIFS(mag7_leases_fy2019_fy2026!$A:$A,$B$126,mag7_leases_fy2019_fy2026!$B:$B,YEAR(G$5),mag7_leases_fy2019_fy2026!$L:$L,"&gt;0")=0,"",SUMIFS(mag7_leases_fy2019_fy2026!$L:$L,mag7_leases_fy2019_fy2026!$A:$A,$B$126,mag7_leases_fy2019_fy2026!$B:$B,YEAR(G$5))/100)</f>
        <v>2.6000000000000002E-2</v>
      </c>
      <c r="H149" s="3">
        <f>IF(COUNTIFS(mag7_leases_fy2019_fy2026!$A:$A,$B$126,mag7_leases_fy2019_fy2026!$B:$B,YEAR(H$5),mag7_leases_fy2019_fy2026!$L:$L,"&gt;0")=0,"",SUMIFS(mag7_leases_fy2019_fy2026!$L:$L,mag7_leases_fy2019_fy2026!$A:$A,$B$126,mag7_leases_fy2019_fy2026!$B:$B,YEAR(H$5))/100)</f>
        <v>2.7999999999999997E-2</v>
      </c>
    </row>
    <row r="150" spans="1:8" x14ac:dyDescent="0.25">
      <c r="A150" t="s">
        <v>917</v>
      </c>
      <c r="B150" s="35">
        <f t="shared" ref="B150:H150" si="39">B129</f>
        <v>18453</v>
      </c>
      <c r="C150" s="35">
        <f t="shared" si="39"/>
        <v>16255</v>
      </c>
      <c r="D150" s="35">
        <f t="shared" si="39"/>
        <v>15614</v>
      </c>
      <c r="E150" s="35">
        <f t="shared" si="39"/>
        <v>15276</v>
      </c>
      <c r="F150" s="35">
        <f t="shared" si="39"/>
        <v>13691</v>
      </c>
      <c r="G150" s="35">
        <f t="shared" si="39"/>
        <v>12941</v>
      </c>
      <c r="H150" s="35">
        <f t="shared" si="39"/>
        <v>12098</v>
      </c>
    </row>
    <row r="151" spans="1:8" x14ac:dyDescent="0.25">
      <c r="A151" t="s">
        <v>1499</v>
      </c>
      <c r="B151" s="35">
        <f t="shared" ref="B151:H151" si="40">IF(B149="","",B149*B150)</f>
        <v>664.30800000000011</v>
      </c>
      <c r="C151" s="35">
        <f t="shared" si="40"/>
        <v>552.67000000000007</v>
      </c>
      <c r="D151" s="35">
        <f t="shared" si="40"/>
        <v>484.03399999999999</v>
      </c>
      <c r="E151" s="35">
        <f t="shared" si="40"/>
        <v>427.72799999999995</v>
      </c>
      <c r="F151" s="35">
        <f t="shared" si="40"/>
        <v>314.89299999999997</v>
      </c>
      <c r="G151" s="35">
        <f t="shared" si="40"/>
        <v>336.46600000000001</v>
      </c>
      <c r="H151" s="35">
        <f t="shared" si="40"/>
        <v>338.74399999999997</v>
      </c>
    </row>
    <row r="152" spans="1:8" x14ac:dyDescent="0.25">
      <c r="A152" t="s">
        <v>1500</v>
      </c>
      <c r="B152" s="3">
        <f>IF(B151="","",B151/'GOOGL - Income Statement FY'!B7)</f>
        <v>1.6490780367196579E-3</v>
      </c>
      <c r="C152" s="3">
        <f>IF(C151="","",C151/'GOOGL - Income Statement FY'!C7)</f>
        <v>1.5789759383803121E-3</v>
      </c>
      <c r="D152" s="3">
        <f>IF(D151="","",D151/'GOOGL - Income Statement FY'!D7)</f>
        <v>1.574637110678803E-3</v>
      </c>
      <c r="E152" s="3">
        <f>IF(E151="","",E151/'GOOGL - Income Statement FY'!E7)</f>
        <v>1.5122827362853382E-3</v>
      </c>
      <c r="F152" s="3">
        <f>IF(F151="","",F151/'GOOGL - Income Statement FY'!F7)</f>
        <v>1.2222351603224692E-3</v>
      </c>
      <c r="G152" s="3">
        <f>IF(G151="","",G151/'GOOGL - Income Statement FY'!G7)</f>
        <v>1.8433765963391717E-3</v>
      </c>
      <c r="H152" s="3">
        <f>IF(H151="","",H151/'GOOGL - Income Statement FY'!H7)</f>
        <v>2.0928597465664136E-3</v>
      </c>
    </row>
    <row r="153" spans="1:8" x14ac:dyDescent="0.25">
      <c r="A153" t="s">
        <v>1363</v>
      </c>
      <c r="B153" s="35">
        <f t="shared" ref="B153:H153" si="41">B54</f>
        <v>129039</v>
      </c>
      <c r="C153" s="35">
        <f t="shared" si="41"/>
        <v>112390</v>
      </c>
      <c r="D153" s="35">
        <f t="shared" si="41"/>
        <v>84293</v>
      </c>
      <c r="E153" s="35">
        <f t="shared" si="41"/>
        <v>74842</v>
      </c>
      <c r="F153" s="35">
        <f t="shared" si="41"/>
        <v>78714</v>
      </c>
      <c r="G153" s="35">
        <f t="shared" si="41"/>
        <v>41224</v>
      </c>
      <c r="H153" s="35">
        <f t="shared" si="41"/>
        <v>34231</v>
      </c>
    </row>
    <row r="154" spans="1:8" x14ac:dyDescent="0.25">
      <c r="A154" t="s">
        <v>1501</v>
      </c>
      <c r="B154" s="35">
        <f t="shared" ref="B154:H154" si="42">IF(B151="",B153,B153+B151)</f>
        <v>129703.308</v>
      </c>
      <c r="C154" s="35">
        <f t="shared" si="42"/>
        <v>112942.67</v>
      </c>
      <c r="D154" s="35">
        <f t="shared" si="42"/>
        <v>84777.034</v>
      </c>
      <c r="E154" s="35">
        <f t="shared" si="42"/>
        <v>75269.728000000003</v>
      </c>
      <c r="F154" s="35">
        <f t="shared" si="42"/>
        <v>79028.892999999996</v>
      </c>
      <c r="G154" s="35">
        <f t="shared" si="42"/>
        <v>41560.466</v>
      </c>
      <c r="H154" s="35">
        <f t="shared" si="42"/>
        <v>34569.743999999999</v>
      </c>
    </row>
    <row r="155" spans="1:8" x14ac:dyDescent="0.25">
      <c r="A155" t="s">
        <v>1365</v>
      </c>
      <c r="B155" s="35">
        <f t="shared" ref="B155:H155" si="43">B154*(1-$B$9)</f>
        <v>102465.61332</v>
      </c>
      <c r="C155" s="35">
        <f t="shared" si="43"/>
        <v>89224.709300000002</v>
      </c>
      <c r="D155" s="35">
        <f t="shared" si="43"/>
        <v>66973.85686</v>
      </c>
      <c r="E155" s="35">
        <f t="shared" si="43"/>
        <v>59463.085120000003</v>
      </c>
      <c r="F155" s="35">
        <f t="shared" si="43"/>
        <v>62432.825470000003</v>
      </c>
      <c r="G155" s="35">
        <f t="shared" si="43"/>
        <v>32832.76814</v>
      </c>
      <c r="H155" s="35">
        <f t="shared" si="43"/>
        <v>27310.097760000001</v>
      </c>
    </row>
    <row r="156" spans="1:8" x14ac:dyDescent="0.25">
      <c r="A156" t="s">
        <v>1502</v>
      </c>
      <c r="B156" s="62" t="str">
        <f t="shared" ref="B156:H156" si="44">IF(B149="","MISSING - add-back omitted","ok")</f>
        <v>ok</v>
      </c>
      <c r="C156" s="62" t="str">
        <f t="shared" si="44"/>
        <v>ok</v>
      </c>
      <c r="D156" s="62" t="str">
        <f t="shared" si="44"/>
        <v>ok</v>
      </c>
      <c r="E156" s="62" t="str">
        <f t="shared" si="44"/>
        <v>ok</v>
      </c>
      <c r="F156" s="62" t="str">
        <f t="shared" si="44"/>
        <v>ok</v>
      </c>
      <c r="G156" s="62" t="str">
        <f t="shared" si="44"/>
        <v>ok</v>
      </c>
      <c r="H156" s="62" t="str">
        <f t="shared" si="44"/>
        <v>ok</v>
      </c>
    </row>
  </sheetData>
  <conditionalFormatting sqref="B51:H51">
    <cfRule type="cellIs" dxfId="9" priority="1" operator="notBetween">
      <formula>0.5</formula>
      <formula>-0.5</formula>
    </cfRule>
  </conditionalFormatting>
  <conditionalFormatting sqref="B156:H156">
    <cfRule type="containsText" dxfId="8" priority="2" operator="containsText" text="MISSING">
      <formula>NOT(ISERROR(SEARCH("MISSING",B156)))</formula>
    </cfRule>
  </conditionalFormatting>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4A8A6B-D3C2-4771-A001-6CAD0463440D}">
  <sheetPr>
    <tabColor rgb="FFFFE699"/>
  </sheetPr>
  <dimension ref="A1:H156"/>
  <sheetViews>
    <sheetView topLeftCell="A60" zoomScale="70" zoomScaleNormal="70" workbookViewId="0">
      <pane xSplit="1" topLeftCell="B1" activePane="topRight" state="frozen"/>
      <selection pane="topRight"/>
    </sheetView>
  </sheetViews>
  <sheetFormatPr defaultRowHeight="15" x14ac:dyDescent="0.25"/>
  <cols>
    <col min="1" max="1" width="77.7109375" bestFit="1" customWidth="1"/>
    <col min="2" max="8" width="16.7109375" customWidth="1"/>
  </cols>
  <sheetData>
    <row r="1" spans="1:8" ht="15.75" x14ac:dyDescent="0.25">
      <c r="A1" s="16" t="s">
        <v>282</v>
      </c>
      <c r="B1" s="16"/>
      <c r="C1" s="16"/>
      <c r="D1" s="16"/>
      <c r="E1" s="16"/>
      <c r="F1" s="16"/>
      <c r="G1" s="16"/>
      <c r="H1" s="16"/>
    </row>
    <row r="2" spans="1:8" x14ac:dyDescent="0.25">
      <c r="A2" s="17" t="s">
        <v>1</v>
      </c>
      <c r="B2" s="149" t="str">
        <f>'AMZN - Income Statement FY'!B2</f>
        <v>AMZN (NASDAQ)</v>
      </c>
      <c r="C2" s="17"/>
      <c r="D2" s="17"/>
      <c r="E2" s="17"/>
      <c r="F2" s="17"/>
      <c r="G2" s="17"/>
      <c r="H2" s="17"/>
    </row>
    <row r="3" spans="1:8" x14ac:dyDescent="0.25">
      <c r="A3" s="17" t="s">
        <v>3</v>
      </c>
      <c r="B3" s="149" t="str">
        <f>'AMZN - Income Statement FY'!B3</f>
        <v>USD</v>
      </c>
      <c r="C3" s="17"/>
      <c r="D3" s="17"/>
      <c r="E3" s="17"/>
      <c r="F3" s="17"/>
      <c r="G3" s="17"/>
      <c r="H3" s="17"/>
    </row>
    <row r="4" spans="1:8" x14ac:dyDescent="0.25">
      <c r="A4" s="17" t="s">
        <v>32</v>
      </c>
      <c r="B4" s="150" t="str">
        <f>'AMZN - Income Statement FY'!B4</f>
        <v>FY</v>
      </c>
      <c r="C4" s="150">
        <f>'AMZN - Income Statement FY'!C4</f>
        <v>0</v>
      </c>
      <c r="D4" s="150">
        <f>'AMZN - Income Statement FY'!D4</f>
        <v>0</v>
      </c>
      <c r="E4" s="150">
        <f>'AMZN - Income Statement FY'!E4</f>
        <v>0</v>
      </c>
      <c r="F4" s="150">
        <f>'AMZN - Income Statement FY'!F4</f>
        <v>0</v>
      </c>
      <c r="G4" s="150">
        <f>'AMZN - Income Statement FY'!G4</f>
        <v>0</v>
      </c>
      <c r="H4" s="150">
        <f>'AMZN - Income Statement FY'!H4</f>
        <v>0</v>
      </c>
    </row>
    <row r="5" spans="1:8" x14ac:dyDescent="0.25">
      <c r="A5" s="17" t="s">
        <v>34</v>
      </c>
      <c r="B5" s="151">
        <f>'AMZN - Income Statement FY'!B5</f>
        <v>46022</v>
      </c>
      <c r="C5" s="151">
        <f>'AMZN - Income Statement FY'!C5</f>
        <v>45657</v>
      </c>
      <c r="D5" s="151">
        <f>'AMZN - Income Statement FY'!D5</f>
        <v>45291</v>
      </c>
      <c r="E5" s="151">
        <f>'AMZN - Income Statement FY'!E5</f>
        <v>44926</v>
      </c>
      <c r="F5" s="151">
        <f>'AMZN - Income Statement FY'!F5</f>
        <v>44561</v>
      </c>
      <c r="G5" s="151">
        <f>'AMZN - Income Statement FY'!G5</f>
        <v>44196</v>
      </c>
      <c r="H5" s="151">
        <f>'AMZN - Income Statement FY'!H5</f>
        <v>43830</v>
      </c>
    </row>
    <row r="6" spans="1:8" x14ac:dyDescent="0.25">
      <c r="A6" s="17"/>
      <c r="B6" s="17"/>
      <c r="C6" s="17"/>
      <c r="D6" s="17"/>
      <c r="E6" s="17"/>
      <c r="F6" s="17"/>
      <c r="G6" s="17"/>
      <c r="H6" s="17"/>
    </row>
    <row r="7" spans="1:8" x14ac:dyDescent="0.25">
      <c r="A7" s="20" t="s">
        <v>222</v>
      </c>
      <c r="B7" s="20"/>
      <c r="C7" s="20"/>
      <c r="D7" s="20"/>
      <c r="E7" s="20"/>
      <c r="F7" s="20"/>
      <c r="G7" s="20"/>
      <c r="H7" s="20"/>
    </row>
    <row r="8" spans="1:8" x14ac:dyDescent="0.25">
      <c r="A8" s="17" t="s">
        <v>223</v>
      </c>
      <c r="B8" s="21">
        <v>0.02</v>
      </c>
      <c r="C8" s="17"/>
      <c r="D8" s="17"/>
      <c r="E8" s="17"/>
      <c r="F8" s="17"/>
      <c r="G8" s="17"/>
      <c r="H8" s="17"/>
    </row>
    <row r="9" spans="1:8" x14ac:dyDescent="0.25">
      <c r="A9" s="17" t="s">
        <v>224</v>
      </c>
      <c r="B9" s="180">
        <f>'Valuation Dashboard'!$B$12</f>
        <v>0.21</v>
      </c>
      <c r="C9" s="17"/>
      <c r="D9" s="17"/>
      <c r="E9" s="17"/>
      <c r="F9" s="17"/>
      <c r="G9" s="17"/>
      <c r="H9" s="17"/>
    </row>
    <row r="10" spans="1:8" x14ac:dyDescent="0.25">
      <c r="A10" s="17"/>
      <c r="B10" s="17"/>
      <c r="C10" s="17"/>
      <c r="D10" s="17"/>
      <c r="E10" s="17"/>
      <c r="F10" s="17"/>
      <c r="G10" s="17"/>
      <c r="H10" s="17"/>
    </row>
    <row r="11" spans="1:8" x14ac:dyDescent="0.25">
      <c r="A11" s="20" t="s">
        <v>225</v>
      </c>
      <c r="B11" s="20"/>
      <c r="C11" s="20"/>
      <c r="D11" s="20"/>
      <c r="E11" s="20"/>
      <c r="F11" s="20"/>
      <c r="G11" s="20"/>
      <c r="H11" s="20"/>
    </row>
    <row r="12" spans="1:8" x14ac:dyDescent="0.25">
      <c r="A12" s="17" t="s">
        <v>226</v>
      </c>
      <c r="B12" s="152">
        <f>MIN('AMZN - Balance Sheet FY'!B7,$B$8*'AMZN - Income Statement FY'!B7)</f>
        <v>14338.48</v>
      </c>
      <c r="C12" s="152">
        <f>MIN('AMZN - Balance Sheet FY'!C7,$B$8*'AMZN - Income Statement FY'!C7)</f>
        <v>12759.18</v>
      </c>
      <c r="D12" s="152">
        <f>MIN('AMZN - Balance Sheet FY'!D7,$B$8*'AMZN - Income Statement FY'!D7)</f>
        <v>11495.7</v>
      </c>
      <c r="E12" s="152">
        <f>MIN('AMZN - Balance Sheet FY'!E7,$B$8*'AMZN - Income Statement FY'!E7)</f>
        <v>10279.66</v>
      </c>
      <c r="F12" s="152">
        <f>MIN('AMZN - Balance Sheet FY'!F7,$B$8*'AMZN - Income Statement FY'!F7)</f>
        <v>9396.44</v>
      </c>
      <c r="G12" s="152">
        <f>MIN('AMZN - Balance Sheet FY'!G7,$B$8*'AMZN - Income Statement FY'!G7)</f>
        <v>7721.28</v>
      </c>
      <c r="H12" s="152">
        <f>MIN('AMZN - Balance Sheet FY'!H7,$B$8*'AMZN - Income Statement FY'!H7)</f>
        <v>5610.4400000000005</v>
      </c>
    </row>
    <row r="13" spans="1:8" x14ac:dyDescent="0.25">
      <c r="A13" s="17" t="s">
        <v>227</v>
      </c>
      <c r="B13" s="152">
        <f>'AMZN - Balance Sheet FY'!B10</f>
        <v>67729</v>
      </c>
      <c r="C13" s="152">
        <f>'AMZN - Balance Sheet FY'!C10</f>
        <v>55451</v>
      </c>
      <c r="D13" s="152">
        <f>'AMZN - Balance Sheet FY'!D10</f>
        <v>52253</v>
      </c>
      <c r="E13" s="152">
        <f>'AMZN - Balance Sheet FY'!E10</f>
        <v>42360</v>
      </c>
      <c r="F13" s="152">
        <f>'AMZN - Balance Sheet FY'!F10</f>
        <v>32891</v>
      </c>
      <c r="G13" s="152">
        <f>'AMZN - Balance Sheet FY'!G10</f>
        <v>24542</v>
      </c>
      <c r="H13" s="152">
        <f>'AMZN - Balance Sheet FY'!H10</f>
        <v>20816</v>
      </c>
    </row>
    <row r="14" spans="1:8" x14ac:dyDescent="0.25">
      <c r="A14" s="17" t="s">
        <v>70</v>
      </c>
      <c r="B14" s="152">
        <f>'AMZN - Balance Sheet FY'!B11</f>
        <v>38325</v>
      </c>
      <c r="C14" s="152">
        <f>'AMZN - Balance Sheet FY'!C11</f>
        <v>34214</v>
      </c>
      <c r="D14" s="152">
        <f>'AMZN - Balance Sheet FY'!D11</f>
        <v>33318</v>
      </c>
      <c r="E14" s="152">
        <f>'AMZN - Balance Sheet FY'!E11</f>
        <v>34405</v>
      </c>
      <c r="F14" s="152">
        <f>'AMZN - Balance Sheet FY'!F11</f>
        <v>32640</v>
      </c>
      <c r="G14" s="152">
        <f>'AMZN - Balance Sheet FY'!G11</f>
        <v>23795</v>
      </c>
      <c r="H14" s="152">
        <f>'AMZN - Balance Sheet FY'!H11</f>
        <v>20497</v>
      </c>
    </row>
    <row r="15" spans="1:8" x14ac:dyDescent="0.25">
      <c r="A15" s="17" t="s">
        <v>228</v>
      </c>
      <c r="B15" s="152">
        <f>'AMZN - Balance Sheet FY'!B12</f>
        <v>0</v>
      </c>
      <c r="C15" s="152">
        <f>'AMZN - Balance Sheet FY'!C12</f>
        <v>0</v>
      </c>
      <c r="D15" s="152">
        <f>'AMZN - Balance Sheet FY'!D12</f>
        <v>0</v>
      </c>
      <c r="E15" s="152">
        <f>'AMZN - Balance Sheet FY'!E12</f>
        <v>0</v>
      </c>
      <c r="F15" s="152">
        <f>'AMZN - Balance Sheet FY'!F12</f>
        <v>0</v>
      </c>
      <c r="G15" s="152">
        <f>'AMZN - Balance Sheet FY'!G12</f>
        <v>0</v>
      </c>
      <c r="H15" s="152">
        <f>'AMZN - Balance Sheet FY'!H12</f>
        <v>0</v>
      </c>
    </row>
    <row r="16" spans="1:8" x14ac:dyDescent="0.25">
      <c r="A16" s="19" t="s">
        <v>229</v>
      </c>
      <c r="B16" s="153">
        <f t="shared" ref="B16:H16" si="0">SUM(B12:B15)</f>
        <v>120392.48</v>
      </c>
      <c r="C16" s="153">
        <f t="shared" si="0"/>
        <v>102424.18</v>
      </c>
      <c r="D16" s="153">
        <f t="shared" si="0"/>
        <v>97066.7</v>
      </c>
      <c r="E16" s="153">
        <f t="shared" si="0"/>
        <v>87044.66</v>
      </c>
      <c r="F16" s="153">
        <f t="shared" si="0"/>
        <v>74927.44</v>
      </c>
      <c r="G16" s="153">
        <f t="shared" si="0"/>
        <v>56058.28</v>
      </c>
      <c r="H16" s="153">
        <f t="shared" si="0"/>
        <v>46923.44</v>
      </c>
    </row>
    <row r="17" spans="1:8" x14ac:dyDescent="0.25">
      <c r="A17" s="17" t="s">
        <v>230</v>
      </c>
      <c r="B17" s="152">
        <f>-'AMZN - Balance Sheet FY'!B27</f>
        <v>-121909</v>
      </c>
      <c r="C17" s="152">
        <f>-'AMZN - Balance Sheet FY'!C27</f>
        <v>-94363</v>
      </c>
      <c r="D17" s="152">
        <f>-'AMZN - Balance Sheet FY'!D27</f>
        <v>-84981</v>
      </c>
      <c r="E17" s="152">
        <f>-'AMZN - Balance Sheet FY'!E27</f>
        <v>-79600</v>
      </c>
      <c r="F17" s="152">
        <f>-'AMZN - Balance Sheet FY'!F27</f>
        <v>-78664</v>
      </c>
      <c r="G17" s="152">
        <f>-'AMZN - Balance Sheet FY'!G27</f>
        <v>-72539</v>
      </c>
      <c r="H17" s="152">
        <f>-'AMZN - Balance Sheet FY'!H27</f>
        <v>-47183</v>
      </c>
    </row>
    <row r="18" spans="1:8" x14ac:dyDescent="0.25">
      <c r="A18" s="17" t="s">
        <v>231</v>
      </c>
      <c r="B18" s="152">
        <f>-'AMZN - Balance Sheet FY'!B29</f>
        <v>0</v>
      </c>
      <c r="C18" s="152">
        <f>-'AMZN - Balance Sheet FY'!C29</f>
        <v>0</v>
      </c>
      <c r="D18" s="152">
        <f>-'AMZN - Balance Sheet FY'!D29</f>
        <v>0</v>
      </c>
      <c r="E18" s="152">
        <f>-'AMZN - Balance Sheet FY'!E29</f>
        <v>0</v>
      </c>
      <c r="F18" s="152">
        <f>-'AMZN - Balance Sheet FY'!F29</f>
        <v>0</v>
      </c>
      <c r="G18" s="152">
        <f>-'AMZN - Balance Sheet FY'!G29</f>
        <v>0</v>
      </c>
      <c r="H18" s="152">
        <f>-'AMZN - Balance Sheet FY'!H29</f>
        <v>0</v>
      </c>
    </row>
    <row r="19" spans="1:8" x14ac:dyDescent="0.25">
      <c r="A19" s="17" t="s">
        <v>232</v>
      </c>
      <c r="B19" s="152">
        <f>-'AMZN - Balance Sheet FY'!B30</f>
        <v>-20576</v>
      </c>
      <c r="C19" s="152">
        <f>-'AMZN - Balance Sheet FY'!C30</f>
        <v>-18103</v>
      </c>
      <c r="D19" s="152">
        <f>-'AMZN - Balance Sheet FY'!D30</f>
        <v>-15227</v>
      </c>
      <c r="E19" s="152">
        <f>-'AMZN - Balance Sheet FY'!E30</f>
        <v>-13227</v>
      </c>
      <c r="F19" s="152">
        <f>-'AMZN - Balance Sheet FY'!F30</f>
        <v>-11827</v>
      </c>
      <c r="G19" s="152">
        <f>-'AMZN - Balance Sheet FY'!G30</f>
        <v>-9708</v>
      </c>
      <c r="H19" s="152">
        <f>-'AMZN - Balance Sheet FY'!H30</f>
        <v>-8190</v>
      </c>
    </row>
    <row r="20" spans="1:8" x14ac:dyDescent="0.25">
      <c r="A20" s="17" t="s">
        <v>233</v>
      </c>
      <c r="B20" s="152">
        <f>-'AMZN - Balance Sheet FY'!B31</f>
        <v>-75520</v>
      </c>
      <c r="C20" s="152">
        <f>-'AMZN - Balance Sheet FY'!C31</f>
        <v>-66965</v>
      </c>
      <c r="D20" s="152">
        <f>-'AMZN - Balance Sheet FY'!D31</f>
        <v>-64709</v>
      </c>
      <c r="E20" s="152">
        <f>-'AMZN - Balance Sheet FY'!E31</f>
        <v>-62566</v>
      </c>
      <c r="F20" s="152">
        <f>-'AMZN - Balance Sheet FY'!F31</f>
        <v>-51775</v>
      </c>
      <c r="G20" s="152">
        <f>-'AMZN - Balance Sheet FY'!G31</f>
        <v>-44138</v>
      </c>
      <c r="H20" s="152">
        <f>-'AMZN - Balance Sheet FY'!H31</f>
        <v>-32439</v>
      </c>
    </row>
    <row r="21" spans="1:8" x14ac:dyDescent="0.25">
      <c r="A21" s="19" t="s">
        <v>234</v>
      </c>
      <c r="B21" s="153">
        <f t="shared" ref="B21:H21" si="1">SUM(B17:B20)+B127</f>
        <v>-203806</v>
      </c>
      <c r="C21" s="153">
        <f t="shared" si="1"/>
        <v>-167510</v>
      </c>
      <c r="D21" s="153">
        <f t="shared" si="1"/>
        <v>-154466</v>
      </c>
      <c r="E21" s="153">
        <f t="shared" si="1"/>
        <v>-143538</v>
      </c>
      <c r="F21" s="153">
        <f t="shared" si="1"/>
        <v>-127834</v>
      </c>
      <c r="G21" s="153">
        <f t="shared" si="1"/>
        <v>-111425</v>
      </c>
      <c r="H21" s="153">
        <f t="shared" si="1"/>
        <v>-74789</v>
      </c>
    </row>
    <row r="22" spans="1:8" x14ac:dyDescent="0.25">
      <c r="A22" s="19" t="s">
        <v>235</v>
      </c>
      <c r="B22" s="154">
        <f t="shared" ref="B22:H22" si="2">B16+B21</f>
        <v>-83413.52</v>
      </c>
      <c r="C22" s="154">
        <f t="shared" si="2"/>
        <v>-65085.820000000007</v>
      </c>
      <c r="D22" s="154">
        <f t="shared" si="2"/>
        <v>-57399.3</v>
      </c>
      <c r="E22" s="154">
        <f t="shared" si="2"/>
        <v>-56493.34</v>
      </c>
      <c r="F22" s="154">
        <f t="shared" si="2"/>
        <v>-52906.559999999998</v>
      </c>
      <c r="G22" s="154">
        <f t="shared" si="2"/>
        <v>-55366.720000000001</v>
      </c>
      <c r="H22" s="154">
        <f t="shared" si="2"/>
        <v>-27865.559999999998</v>
      </c>
    </row>
    <row r="23" spans="1:8" x14ac:dyDescent="0.25">
      <c r="A23" s="17"/>
      <c r="B23" s="17"/>
      <c r="C23" s="17"/>
      <c r="D23" s="17"/>
      <c r="E23" s="17"/>
      <c r="F23" s="17"/>
      <c r="G23" s="17"/>
      <c r="H23" s="17"/>
    </row>
    <row r="24" spans="1:8" x14ac:dyDescent="0.25">
      <c r="A24" s="17" t="s">
        <v>236</v>
      </c>
      <c r="B24" s="152">
        <f>'AMZN - Balance Sheet FY'!B15</f>
        <v>443079</v>
      </c>
      <c r="C24" s="152">
        <f>'AMZN - Balance Sheet FY'!C15</f>
        <v>328806</v>
      </c>
      <c r="D24" s="152">
        <f>'AMZN - Balance Sheet FY'!D15</f>
        <v>276690</v>
      </c>
      <c r="E24" s="152">
        <f>'AMZN - Balance Sheet FY'!E15</f>
        <v>252838</v>
      </c>
      <c r="F24" s="152">
        <f>'AMZN - Balance Sheet FY'!F15</f>
        <v>216363</v>
      </c>
      <c r="G24" s="152">
        <f>'AMZN - Balance Sheet FY'!G15</f>
        <v>150667</v>
      </c>
      <c r="H24" s="152">
        <f>'AMZN - Balance Sheet FY'!H15</f>
        <v>97846</v>
      </c>
    </row>
    <row r="25" spans="1:8" x14ac:dyDescent="0.25">
      <c r="A25" s="17" t="s">
        <v>66</v>
      </c>
      <c r="B25" s="152">
        <f>'AMZN - Balance Sheet FY'!B16</f>
        <v>23273</v>
      </c>
      <c r="C25" s="152">
        <f>'AMZN - Balance Sheet FY'!C16</f>
        <v>23074</v>
      </c>
      <c r="D25" s="152">
        <f>'AMZN - Balance Sheet FY'!D16</f>
        <v>22789</v>
      </c>
      <c r="E25" s="152">
        <f>'AMZN - Balance Sheet FY'!E16</f>
        <v>20288</v>
      </c>
      <c r="F25" s="152">
        <f>'AMZN - Balance Sheet FY'!F16</f>
        <v>15371</v>
      </c>
      <c r="G25" s="152">
        <f>'AMZN - Balance Sheet FY'!G16</f>
        <v>15017</v>
      </c>
      <c r="H25" s="152">
        <f>'AMZN - Balance Sheet FY'!H16</f>
        <v>14754</v>
      </c>
    </row>
    <row r="26" spans="1:8" x14ac:dyDescent="0.25">
      <c r="A26" s="17" t="s">
        <v>237</v>
      </c>
      <c r="B26" s="152">
        <f>'AMZN - Balance Sheet FY'!B17</f>
        <v>9197</v>
      </c>
      <c r="C26" s="152">
        <f>'AMZN - Balance Sheet FY'!C17</f>
        <v>8602</v>
      </c>
      <c r="D26" s="152">
        <f>'AMZN - Balance Sheet FY'!D17</f>
        <v>7687</v>
      </c>
      <c r="E26" s="152">
        <f>'AMZN - Balance Sheet FY'!E17</f>
        <v>6097</v>
      </c>
      <c r="F26" s="152">
        <f>'AMZN - Balance Sheet FY'!F17</f>
        <v>5107</v>
      </c>
      <c r="G26" s="152">
        <f>'AMZN - Balance Sheet FY'!G17</f>
        <v>4981</v>
      </c>
      <c r="H26" s="152">
        <f>'AMZN - Balance Sheet FY'!H17</f>
        <v>4049</v>
      </c>
    </row>
    <row r="27" spans="1:8" x14ac:dyDescent="0.25">
      <c r="A27" s="17" t="s">
        <v>238</v>
      </c>
      <c r="B27" s="152">
        <f>'AMZN - Balance Sheet FY'!B21</f>
        <v>113410</v>
      </c>
      <c r="C27" s="152">
        <f>'AMZN - Balance Sheet FY'!C21</f>
        <v>73545</v>
      </c>
      <c r="D27" s="152">
        <f>'AMZN - Balance Sheet FY'!D21</f>
        <v>48337</v>
      </c>
      <c r="E27" s="152">
        <f>'AMZN - Balance Sheet FY'!E21</f>
        <v>36661</v>
      </c>
      <c r="F27" s="152">
        <f>'AMZN - Balance Sheet FY'!F21</f>
        <v>22128</v>
      </c>
      <c r="G27" s="152">
        <f>'AMZN - Balance Sheet FY'!G21</f>
        <v>17797</v>
      </c>
      <c r="H27" s="152">
        <f>'AMZN - Balance Sheet FY'!H21</f>
        <v>12265</v>
      </c>
    </row>
    <row r="28" spans="1:8" x14ac:dyDescent="0.25">
      <c r="A28" s="17" t="s">
        <v>239</v>
      </c>
      <c r="B28" s="152">
        <f>-'AMZN - Balance Sheet FY'!B35</f>
        <v>0</v>
      </c>
      <c r="C28" s="152">
        <f>-'AMZN - Balance Sheet FY'!C35</f>
        <v>0</v>
      </c>
      <c r="D28" s="152">
        <f>-'AMZN - Balance Sheet FY'!D35</f>
        <v>0</v>
      </c>
      <c r="E28" s="152">
        <f>-'AMZN - Balance Sheet FY'!E35</f>
        <v>0</v>
      </c>
      <c r="F28" s="152">
        <f>-'AMZN - Balance Sheet FY'!F35</f>
        <v>0</v>
      </c>
      <c r="G28" s="152">
        <f>-'AMZN - Balance Sheet FY'!G35</f>
        <v>0</v>
      </c>
      <c r="H28" s="152">
        <f>-'AMZN - Balance Sheet FY'!H35</f>
        <v>0</v>
      </c>
    </row>
    <row r="29" spans="1:8" x14ac:dyDescent="0.25">
      <c r="A29" s="17" t="s">
        <v>240</v>
      </c>
      <c r="B29" s="152">
        <f>-'AMZN - Balance Sheet FY'!B36</f>
        <v>0</v>
      </c>
      <c r="C29" s="152">
        <f>-'AMZN - Balance Sheet FY'!C36</f>
        <v>0</v>
      </c>
      <c r="D29" s="152">
        <f>-'AMZN - Balance Sheet FY'!D36</f>
        <v>0</v>
      </c>
      <c r="E29" s="152">
        <f>-'AMZN - Balance Sheet FY'!E36</f>
        <v>0</v>
      </c>
      <c r="F29" s="152">
        <f>-'AMZN - Balance Sheet FY'!F36</f>
        <v>0</v>
      </c>
      <c r="G29" s="152">
        <f>-'AMZN - Balance Sheet FY'!G36</f>
        <v>0</v>
      </c>
      <c r="H29" s="152">
        <f>-'AMZN - Balance Sheet FY'!H36</f>
        <v>0</v>
      </c>
    </row>
    <row r="30" spans="1:8" x14ac:dyDescent="0.25">
      <c r="A30" s="17" t="s">
        <v>241</v>
      </c>
      <c r="B30" s="152">
        <f>-'AMZN - Balance Sheet FY'!B37+B128</f>
        <v>51354</v>
      </c>
      <c r="C30" s="152">
        <f>-'AMZN - Balance Sheet FY'!C37+C128</f>
        <v>49684</v>
      </c>
      <c r="D30" s="152">
        <f>-'AMZN - Balance Sheet FY'!D37+D128</f>
        <v>51846</v>
      </c>
      <c r="E30" s="152">
        <f>-'AMZN - Balance Sheet FY'!E37+E128</f>
        <v>51847</v>
      </c>
      <c r="F30" s="152">
        <f>-'AMZN - Balance Sheet FY'!F37+F128</f>
        <v>44008</v>
      </c>
      <c r="G30" s="152">
        <f>-'AMZN - Balance Sheet FY'!G37+G128</f>
        <v>35556</v>
      </c>
      <c r="H30" s="152">
        <f>-'AMZN - Balance Sheet FY'!H37+H128</f>
        <v>27620</v>
      </c>
    </row>
    <row r="31" spans="1:8" x14ac:dyDescent="0.25">
      <c r="A31" s="19" t="s">
        <v>242</v>
      </c>
      <c r="B31" s="154">
        <f t="shared" ref="B31:H31" si="3">B22+B24+B26+B27+B28+B29+B30</f>
        <v>533626.48</v>
      </c>
      <c r="C31" s="154">
        <f t="shared" si="3"/>
        <v>395551.18</v>
      </c>
      <c r="D31" s="154">
        <f t="shared" si="3"/>
        <v>327160.7</v>
      </c>
      <c r="E31" s="154">
        <f t="shared" si="3"/>
        <v>290949.66000000003</v>
      </c>
      <c r="F31" s="154">
        <f t="shared" si="3"/>
        <v>234699.44</v>
      </c>
      <c r="G31" s="154">
        <f t="shared" si="3"/>
        <v>153634.28</v>
      </c>
      <c r="H31" s="154">
        <f t="shared" si="3"/>
        <v>113914.44</v>
      </c>
    </row>
    <row r="32" spans="1:8" x14ac:dyDescent="0.25">
      <c r="A32" s="19" t="s">
        <v>243</v>
      </c>
      <c r="B32" s="154">
        <f t="shared" ref="B32:H32" si="4">B31+B25</f>
        <v>556899.48</v>
      </c>
      <c r="C32" s="154">
        <f t="shared" si="4"/>
        <v>418625.18</v>
      </c>
      <c r="D32" s="154">
        <f t="shared" si="4"/>
        <v>349949.7</v>
      </c>
      <c r="E32" s="154">
        <f t="shared" si="4"/>
        <v>311237.66000000003</v>
      </c>
      <c r="F32" s="154">
        <f t="shared" si="4"/>
        <v>250070.44</v>
      </c>
      <c r="G32" s="154">
        <f t="shared" si="4"/>
        <v>168651.28</v>
      </c>
      <c r="H32" s="154">
        <f t="shared" si="4"/>
        <v>128668.44</v>
      </c>
    </row>
    <row r="33" spans="1:8" x14ac:dyDescent="0.25">
      <c r="A33" s="17"/>
      <c r="B33" s="17"/>
      <c r="C33" s="17"/>
      <c r="D33" s="17"/>
      <c r="E33" s="17"/>
      <c r="F33" s="17"/>
      <c r="G33" s="17"/>
      <c r="H33" s="17"/>
    </row>
    <row r="34" spans="1:8" x14ac:dyDescent="0.25">
      <c r="A34" s="20" t="s">
        <v>244</v>
      </c>
      <c r="B34" s="20"/>
      <c r="C34" s="20"/>
      <c r="D34" s="20"/>
      <c r="E34" s="20"/>
      <c r="F34" s="20"/>
      <c r="G34" s="20"/>
      <c r="H34" s="20"/>
    </row>
    <row r="35" spans="1:8" x14ac:dyDescent="0.25">
      <c r="A35" s="17" t="s">
        <v>245</v>
      </c>
      <c r="B35" s="152">
        <f>'AMZN - Balance Sheet FY'!B7-B12</f>
        <v>72471.520000000004</v>
      </c>
      <c r="C35" s="152">
        <f>'AMZN - Balance Sheet FY'!C7-C12</f>
        <v>66019.820000000007</v>
      </c>
      <c r="D35" s="152">
        <f>'AMZN - Balance Sheet FY'!D7-D12</f>
        <v>61891.3</v>
      </c>
      <c r="E35" s="152">
        <f>'AMZN - Balance Sheet FY'!E7-E12</f>
        <v>43608.34</v>
      </c>
      <c r="F35" s="152">
        <f>'AMZN - Balance Sheet FY'!F7-F12</f>
        <v>26823.559999999998</v>
      </c>
      <c r="G35" s="152">
        <f>'AMZN - Balance Sheet FY'!G7-G12</f>
        <v>34400.720000000001</v>
      </c>
      <c r="H35" s="152">
        <f>'AMZN - Balance Sheet FY'!H7-H12</f>
        <v>30481.559999999998</v>
      </c>
    </row>
    <row r="36" spans="1:8" x14ac:dyDescent="0.25">
      <c r="A36" s="17" t="s">
        <v>246</v>
      </c>
      <c r="B36" s="152">
        <f>'AMZN - Balance Sheet FY'!B8</f>
        <v>36219</v>
      </c>
      <c r="C36" s="152">
        <f>'AMZN - Balance Sheet FY'!C8</f>
        <v>22423</v>
      </c>
      <c r="D36" s="152">
        <f>'AMZN - Balance Sheet FY'!D8</f>
        <v>13393</v>
      </c>
      <c r="E36" s="152">
        <f>'AMZN - Balance Sheet FY'!E8</f>
        <v>16138</v>
      </c>
      <c r="F36" s="152">
        <f>'AMZN - Balance Sheet FY'!F8</f>
        <v>59829</v>
      </c>
      <c r="G36" s="152">
        <f>'AMZN - Balance Sheet FY'!G8</f>
        <v>42274</v>
      </c>
      <c r="H36" s="152">
        <f>'AMZN - Balance Sheet FY'!H8</f>
        <v>18929</v>
      </c>
    </row>
    <row r="37" spans="1:8" x14ac:dyDescent="0.25">
      <c r="A37" s="17" t="s">
        <v>247</v>
      </c>
      <c r="B37" s="152">
        <f>'AMZN - Balance Sheet FY'!B19</f>
        <v>0</v>
      </c>
      <c r="C37" s="152">
        <f>'AMZN - Balance Sheet FY'!C19</f>
        <v>0</v>
      </c>
      <c r="D37" s="152">
        <f>'AMZN - Balance Sheet FY'!D19</f>
        <v>0</v>
      </c>
      <c r="E37" s="152">
        <f>'AMZN - Balance Sheet FY'!E19</f>
        <v>0</v>
      </c>
      <c r="F37" s="152">
        <f>'AMZN - Balance Sheet FY'!F19</f>
        <v>0</v>
      </c>
      <c r="G37" s="152">
        <f>'AMZN - Balance Sheet FY'!G19</f>
        <v>0</v>
      </c>
      <c r="H37" s="152">
        <f>'AMZN - Balance Sheet FY'!H19</f>
        <v>0</v>
      </c>
    </row>
    <row r="38" spans="1:8" x14ac:dyDescent="0.25">
      <c r="A38" s="17" t="s">
        <v>248</v>
      </c>
      <c r="B38" s="152">
        <f>'AMZN - Balance Sheet FY'!B20</f>
        <v>0</v>
      </c>
      <c r="C38" s="152">
        <f>'AMZN - Balance Sheet FY'!C20</f>
        <v>0</v>
      </c>
      <c r="D38" s="152">
        <f>'AMZN - Balance Sheet FY'!D20</f>
        <v>0</v>
      </c>
      <c r="E38" s="152">
        <f>'AMZN - Balance Sheet FY'!E20</f>
        <v>0</v>
      </c>
      <c r="F38" s="152">
        <f>'AMZN - Balance Sheet FY'!F20</f>
        <v>0</v>
      </c>
      <c r="G38" s="152">
        <f>'AMZN - Balance Sheet FY'!G20</f>
        <v>0</v>
      </c>
      <c r="H38" s="152">
        <f>'AMZN - Balance Sheet FY'!H20</f>
        <v>0</v>
      </c>
    </row>
    <row r="39" spans="1:8" x14ac:dyDescent="0.25">
      <c r="A39" s="17" t="s">
        <v>249</v>
      </c>
      <c r="B39" s="152">
        <f>'AMZN - Balance Sheet FY'!B24</f>
        <v>0</v>
      </c>
      <c r="C39" s="152">
        <f>'AMZN - Balance Sheet FY'!C24</f>
        <v>0</v>
      </c>
      <c r="D39" s="152">
        <f>'AMZN - Balance Sheet FY'!D24</f>
        <v>0</v>
      </c>
      <c r="E39" s="152">
        <f>'AMZN - Balance Sheet FY'!E24</f>
        <v>0</v>
      </c>
      <c r="F39" s="152">
        <f>'AMZN - Balance Sheet FY'!F24</f>
        <v>0</v>
      </c>
      <c r="G39" s="152">
        <f>'AMZN - Balance Sheet FY'!G24</f>
        <v>0</v>
      </c>
      <c r="H39" s="152">
        <f>'AMZN - Balance Sheet FY'!H24</f>
        <v>0</v>
      </c>
    </row>
    <row r="40" spans="1:8" x14ac:dyDescent="0.25">
      <c r="A40" s="19" t="s">
        <v>250</v>
      </c>
      <c r="B40" s="154">
        <f t="shared" ref="B40:H40" si="5">SUM(B35:B39)</f>
        <v>108690.52</v>
      </c>
      <c r="C40" s="154">
        <f t="shared" si="5"/>
        <v>88442.82</v>
      </c>
      <c r="D40" s="154">
        <f t="shared" si="5"/>
        <v>75284.3</v>
      </c>
      <c r="E40" s="154">
        <f t="shared" si="5"/>
        <v>59746.34</v>
      </c>
      <c r="F40" s="154">
        <f t="shared" si="5"/>
        <v>86652.56</v>
      </c>
      <c r="G40" s="154">
        <f t="shared" si="5"/>
        <v>76674.720000000001</v>
      </c>
      <c r="H40" s="154">
        <f t="shared" si="5"/>
        <v>49410.559999999998</v>
      </c>
    </row>
    <row r="41" spans="1:8" x14ac:dyDescent="0.25">
      <c r="A41" s="17"/>
      <c r="B41" s="17"/>
      <c r="C41" s="17"/>
      <c r="D41" s="17"/>
      <c r="E41" s="17"/>
      <c r="F41" s="17"/>
      <c r="G41" s="17"/>
      <c r="H41" s="17"/>
    </row>
    <row r="42" spans="1:8" x14ac:dyDescent="0.25">
      <c r="A42" s="20" t="s">
        <v>251</v>
      </c>
      <c r="B42" s="155">
        <f t="shared" ref="B42:H42" si="6">B32+B40</f>
        <v>665590</v>
      </c>
      <c r="C42" s="155">
        <f t="shared" si="6"/>
        <v>507068</v>
      </c>
      <c r="D42" s="155">
        <f t="shared" si="6"/>
        <v>425234</v>
      </c>
      <c r="E42" s="155">
        <f t="shared" si="6"/>
        <v>370984</v>
      </c>
      <c r="F42" s="155">
        <f t="shared" si="6"/>
        <v>336723</v>
      </c>
      <c r="G42" s="155">
        <f t="shared" si="6"/>
        <v>245326</v>
      </c>
      <c r="H42" s="155">
        <f t="shared" si="6"/>
        <v>178079</v>
      </c>
    </row>
    <row r="43" spans="1:8" x14ac:dyDescent="0.25">
      <c r="A43" s="17"/>
      <c r="B43" s="17"/>
      <c r="C43" s="17"/>
      <c r="D43" s="17"/>
      <c r="E43" s="17"/>
      <c r="F43" s="17"/>
      <c r="G43" s="17"/>
      <c r="H43" s="17"/>
    </row>
    <row r="44" spans="1:8" x14ac:dyDescent="0.25">
      <c r="A44" s="20" t="s">
        <v>252</v>
      </c>
      <c r="B44" s="20"/>
      <c r="C44" s="20"/>
      <c r="D44" s="20"/>
      <c r="E44" s="20"/>
      <c r="F44" s="20"/>
      <c r="G44" s="20"/>
      <c r="H44" s="20"/>
    </row>
    <row r="45" spans="1:8" x14ac:dyDescent="0.25">
      <c r="A45" s="17" t="s">
        <v>253</v>
      </c>
      <c r="B45" s="152">
        <f>'AMZN - Balance Sheet FY'!B28</f>
        <v>0</v>
      </c>
      <c r="C45" s="152">
        <f>'AMZN - Balance Sheet FY'!C28</f>
        <v>0</v>
      </c>
      <c r="D45" s="152">
        <f>'AMZN - Balance Sheet FY'!D28</f>
        <v>0</v>
      </c>
      <c r="E45" s="152">
        <f>'AMZN - Balance Sheet FY'!E28</f>
        <v>0</v>
      </c>
      <c r="F45" s="152">
        <f>'AMZN - Balance Sheet FY'!F28</f>
        <v>0</v>
      </c>
      <c r="G45" s="152">
        <f>'AMZN - Balance Sheet FY'!G28</f>
        <v>0</v>
      </c>
      <c r="H45" s="152">
        <f>'AMZN - Balance Sheet FY'!H28</f>
        <v>0</v>
      </c>
    </row>
    <row r="46" spans="1:8" x14ac:dyDescent="0.25">
      <c r="A46" s="17" t="s">
        <v>254</v>
      </c>
      <c r="B46" s="152">
        <f>'AMZN - Balance Sheet FY'!B34</f>
        <v>152987</v>
      </c>
      <c r="C46" s="152">
        <f>'AMZN - Balance Sheet FY'!C34</f>
        <v>130900</v>
      </c>
      <c r="D46" s="152">
        <f>'AMZN - Balance Sheet FY'!D34</f>
        <v>135611</v>
      </c>
      <c r="E46" s="152">
        <f>'AMZN - Balance Sheet FY'!E34</f>
        <v>140118</v>
      </c>
      <c r="F46" s="152">
        <f>'AMZN - Balance Sheet FY'!F34</f>
        <v>116395</v>
      </c>
      <c r="G46" s="152">
        <f>'AMZN - Balance Sheet FY'!G34</f>
        <v>84389</v>
      </c>
      <c r="H46" s="152">
        <f>'AMZN - Balance Sheet FY'!H34</f>
        <v>63205</v>
      </c>
    </row>
    <row r="47" spans="1:8" x14ac:dyDescent="0.25">
      <c r="A47" s="19" t="s">
        <v>255</v>
      </c>
      <c r="B47" s="153">
        <f t="shared" ref="B47:H47" si="7">B45+B46</f>
        <v>152987</v>
      </c>
      <c r="C47" s="153">
        <f t="shared" si="7"/>
        <v>130900</v>
      </c>
      <c r="D47" s="153">
        <f t="shared" si="7"/>
        <v>135611</v>
      </c>
      <c r="E47" s="153">
        <f t="shared" si="7"/>
        <v>140118</v>
      </c>
      <c r="F47" s="153">
        <f t="shared" si="7"/>
        <v>116395</v>
      </c>
      <c r="G47" s="153">
        <f t="shared" si="7"/>
        <v>84389</v>
      </c>
      <c r="H47" s="153">
        <f t="shared" si="7"/>
        <v>63205</v>
      </c>
    </row>
    <row r="48" spans="1:8" x14ac:dyDescent="0.25">
      <c r="A48" s="17" t="s">
        <v>256</v>
      </c>
      <c r="B48" s="152">
        <f>'AMZN - Balance Sheet FY'!B47</f>
        <v>411065</v>
      </c>
      <c r="C48" s="152">
        <f>'AMZN - Balance Sheet FY'!C47</f>
        <v>285970</v>
      </c>
      <c r="D48" s="152">
        <f>'AMZN - Balance Sheet FY'!D47</f>
        <v>201875</v>
      </c>
      <c r="E48" s="152">
        <f>'AMZN - Balance Sheet FY'!E47</f>
        <v>146043</v>
      </c>
      <c r="F48" s="152">
        <f>'AMZN - Balance Sheet FY'!F47</f>
        <v>138245</v>
      </c>
      <c r="G48" s="152">
        <f>'AMZN - Balance Sheet FY'!G47</f>
        <v>93404</v>
      </c>
      <c r="H48" s="152">
        <f>'AMZN - Balance Sheet FY'!H47</f>
        <v>62060</v>
      </c>
    </row>
    <row r="49" spans="1:8" x14ac:dyDescent="0.25">
      <c r="A49" s="17" t="s">
        <v>283</v>
      </c>
      <c r="B49" s="152">
        <f>'AMZN - Balance Sheet FY'!B40+('AMZN - Balance Sheet FY'!B49-'AMZN - Balance Sheet FY'!B41-'AMZN - Balance Sheet FY'!B47)</f>
        <v>0</v>
      </c>
      <c r="C49" s="152">
        <f>'AMZN - Balance Sheet FY'!C40+('AMZN - Balance Sheet FY'!C49-'AMZN - Balance Sheet FY'!C41-'AMZN - Balance Sheet FY'!C47)</f>
        <v>0</v>
      </c>
      <c r="D49" s="152">
        <f>'AMZN - Balance Sheet FY'!D40+('AMZN - Balance Sheet FY'!D49-'AMZN - Balance Sheet FY'!D41-'AMZN - Balance Sheet FY'!D47)</f>
        <v>0</v>
      </c>
      <c r="E49" s="152">
        <f>'AMZN - Balance Sheet FY'!E40+('AMZN - Balance Sheet FY'!E49-'AMZN - Balance Sheet FY'!E41-'AMZN - Balance Sheet FY'!E47)</f>
        <v>0</v>
      </c>
      <c r="F49" s="152">
        <f>'AMZN - Balance Sheet FY'!F40+('AMZN - Balance Sheet FY'!F49-'AMZN - Balance Sheet FY'!F41-'AMZN - Balance Sheet FY'!F47)</f>
        <v>0</v>
      </c>
      <c r="G49" s="152">
        <f>'AMZN - Balance Sheet FY'!G40+('AMZN - Balance Sheet FY'!G49-'AMZN - Balance Sheet FY'!G41-'AMZN - Balance Sheet FY'!G47)</f>
        <v>0</v>
      </c>
      <c r="H49" s="152">
        <f>'AMZN - Balance Sheet FY'!H40+('AMZN - Balance Sheet FY'!H49-'AMZN - Balance Sheet FY'!H41-'AMZN - Balance Sheet FY'!H47)</f>
        <v>0</v>
      </c>
    </row>
    <row r="50" spans="1:8" x14ac:dyDescent="0.25">
      <c r="A50" s="19" t="s">
        <v>257</v>
      </c>
      <c r="B50" s="154">
        <f t="shared" ref="B50:H50" si="8">B47+B48+B49+B129</f>
        <v>665590</v>
      </c>
      <c r="C50" s="154">
        <f t="shared" si="8"/>
        <v>507068</v>
      </c>
      <c r="D50" s="154">
        <f t="shared" si="8"/>
        <v>425234</v>
      </c>
      <c r="E50" s="154">
        <f t="shared" si="8"/>
        <v>370984</v>
      </c>
      <c r="F50" s="154">
        <f t="shared" si="8"/>
        <v>336723</v>
      </c>
      <c r="G50" s="154">
        <f t="shared" si="8"/>
        <v>245326</v>
      </c>
      <c r="H50" s="154">
        <f t="shared" si="8"/>
        <v>178079</v>
      </c>
    </row>
    <row r="51" spans="1:8" x14ac:dyDescent="0.25">
      <c r="A51" s="22" t="s">
        <v>258</v>
      </c>
      <c r="B51" s="156">
        <f t="shared" ref="B51:H51" si="9">B42-B50</f>
        <v>0</v>
      </c>
      <c r="C51" s="156">
        <f t="shared" si="9"/>
        <v>0</v>
      </c>
      <c r="D51" s="156">
        <f t="shared" si="9"/>
        <v>0</v>
      </c>
      <c r="E51" s="156">
        <f t="shared" si="9"/>
        <v>0</v>
      </c>
      <c r="F51" s="156">
        <f t="shared" si="9"/>
        <v>0</v>
      </c>
      <c r="G51" s="156">
        <f t="shared" si="9"/>
        <v>0</v>
      </c>
      <c r="H51" s="156">
        <f t="shared" si="9"/>
        <v>0</v>
      </c>
    </row>
    <row r="52" spans="1:8" x14ac:dyDescent="0.25">
      <c r="A52" s="17"/>
      <c r="B52" s="17"/>
      <c r="C52" s="17"/>
      <c r="D52" s="17"/>
      <c r="E52" s="17"/>
      <c r="F52" s="17"/>
      <c r="G52" s="17"/>
      <c r="H52" s="17"/>
    </row>
    <row r="53" spans="1:8" x14ac:dyDescent="0.25">
      <c r="A53" s="20" t="s">
        <v>259</v>
      </c>
      <c r="B53" s="20"/>
      <c r="C53" s="20"/>
      <c r="D53" s="20"/>
      <c r="E53" s="20"/>
      <c r="F53" s="20"/>
      <c r="G53" s="20"/>
      <c r="H53" s="20"/>
    </row>
    <row r="54" spans="1:8" x14ac:dyDescent="0.25">
      <c r="A54" s="17" t="s">
        <v>260</v>
      </c>
      <c r="B54" s="152">
        <f>'AMZN - Income Statement FY'!B25</f>
        <v>79975</v>
      </c>
      <c r="C54" s="152">
        <f>'AMZN - Income Statement FY'!C25</f>
        <v>68593</v>
      </c>
      <c r="D54" s="152">
        <f>'AMZN - Income Statement FY'!D25</f>
        <v>36852</v>
      </c>
      <c r="E54" s="152">
        <f>'AMZN - Income Statement FY'!E25</f>
        <v>12248</v>
      </c>
      <c r="F54" s="152">
        <f>'AMZN - Income Statement FY'!F25</f>
        <v>24879</v>
      </c>
      <c r="G54" s="152">
        <f>'AMZN - Income Statement FY'!G25</f>
        <v>22899</v>
      </c>
      <c r="H54" s="152">
        <f>'AMZN - Income Statement FY'!H25</f>
        <v>14541</v>
      </c>
    </row>
    <row r="55" spans="1:8" x14ac:dyDescent="0.25">
      <c r="A55" s="17" t="s">
        <v>261</v>
      </c>
      <c r="B55" s="156">
        <f t="shared" ref="B55:H55" si="10">-B54*$B$9</f>
        <v>-16794.75</v>
      </c>
      <c r="C55" s="156">
        <f t="shared" si="10"/>
        <v>-14404.529999999999</v>
      </c>
      <c r="D55" s="156">
        <f t="shared" si="10"/>
        <v>-7738.92</v>
      </c>
      <c r="E55" s="156">
        <f t="shared" si="10"/>
        <v>-2572.08</v>
      </c>
      <c r="F55" s="156">
        <f t="shared" si="10"/>
        <v>-5224.59</v>
      </c>
      <c r="G55" s="156">
        <f t="shared" si="10"/>
        <v>-4808.79</v>
      </c>
      <c r="H55" s="156">
        <f t="shared" si="10"/>
        <v>-3053.6099999999997</v>
      </c>
    </row>
    <row r="56" spans="1:8" x14ac:dyDescent="0.25">
      <c r="A56" s="19" t="s">
        <v>259</v>
      </c>
      <c r="B56" s="154">
        <f t="shared" ref="B56:H56" si="11">B54+B55</f>
        <v>63180.25</v>
      </c>
      <c r="C56" s="154">
        <f t="shared" si="11"/>
        <v>54188.47</v>
      </c>
      <c r="D56" s="154">
        <f t="shared" si="11"/>
        <v>29113.08</v>
      </c>
      <c r="E56" s="154">
        <f t="shared" si="11"/>
        <v>9675.92</v>
      </c>
      <c r="F56" s="154">
        <f t="shared" si="11"/>
        <v>19654.41</v>
      </c>
      <c r="G56" s="154">
        <f t="shared" si="11"/>
        <v>18090.21</v>
      </c>
      <c r="H56" s="154">
        <f t="shared" si="11"/>
        <v>11487.39</v>
      </c>
    </row>
    <row r="57" spans="1:8" x14ac:dyDescent="0.25">
      <c r="A57" s="17"/>
      <c r="B57" s="17"/>
      <c r="C57" s="17"/>
      <c r="D57" s="17"/>
      <c r="E57" s="17"/>
      <c r="F57" s="17"/>
      <c r="G57" s="17"/>
      <c r="H57" s="17"/>
    </row>
    <row r="58" spans="1:8" x14ac:dyDescent="0.25">
      <c r="A58" s="17" t="s">
        <v>259</v>
      </c>
      <c r="B58" s="156">
        <f t="shared" ref="B58:H58" si="12">B56</f>
        <v>63180.25</v>
      </c>
      <c r="C58" s="156">
        <f t="shared" si="12"/>
        <v>54188.47</v>
      </c>
      <c r="D58" s="156">
        <f t="shared" si="12"/>
        <v>29113.08</v>
      </c>
      <c r="E58" s="156">
        <f t="shared" si="12"/>
        <v>9675.92</v>
      </c>
      <c r="F58" s="156">
        <f t="shared" si="12"/>
        <v>19654.41</v>
      </c>
      <c r="G58" s="156">
        <f t="shared" si="12"/>
        <v>18090.21</v>
      </c>
      <c r="H58" s="156">
        <f t="shared" si="12"/>
        <v>11487.39</v>
      </c>
    </row>
    <row r="59" spans="1:8" x14ac:dyDescent="0.25">
      <c r="A59" s="17" t="s">
        <v>262</v>
      </c>
      <c r="B59" s="152">
        <f>'AMZN - Income Statement FY'!B28</f>
        <v>16782</v>
      </c>
      <c r="C59" s="152">
        <f>'AMZN - Income Statement FY'!C28</f>
        <v>-80</v>
      </c>
      <c r="D59" s="152">
        <f>'AMZN - Income Statement FY'!D28</f>
        <v>693</v>
      </c>
      <c r="E59" s="152">
        <f>'AMZN - Income Statement FY'!E28</f>
        <v>-18187</v>
      </c>
      <c r="F59" s="152">
        <f>'AMZN - Income Statement FY'!F28</f>
        <v>13276</v>
      </c>
      <c r="G59" s="152">
        <f>'AMZN - Income Statement FY'!G28</f>
        <v>1295</v>
      </c>
      <c r="H59" s="152">
        <f>'AMZN - Income Statement FY'!H28</f>
        <v>-579</v>
      </c>
    </row>
    <row r="60" spans="1:8" x14ac:dyDescent="0.25">
      <c r="A60" s="17" t="s">
        <v>263</v>
      </c>
      <c r="B60" s="156">
        <f t="shared" ref="B60:H60" si="13">-B55</f>
        <v>16794.75</v>
      </c>
      <c r="C60" s="156">
        <f t="shared" si="13"/>
        <v>14404.529999999999</v>
      </c>
      <c r="D60" s="156">
        <f t="shared" si="13"/>
        <v>7738.92</v>
      </c>
      <c r="E60" s="156">
        <f t="shared" si="13"/>
        <v>2572.08</v>
      </c>
      <c r="F60" s="156">
        <f t="shared" si="13"/>
        <v>5224.59</v>
      </c>
      <c r="G60" s="156">
        <f t="shared" si="13"/>
        <v>4808.79</v>
      </c>
      <c r="H60" s="156">
        <f t="shared" si="13"/>
        <v>3053.6099999999997</v>
      </c>
    </row>
    <row r="61" spans="1:8" x14ac:dyDescent="0.25">
      <c r="A61" s="17" t="s">
        <v>264</v>
      </c>
      <c r="B61" s="152">
        <f>-'AMZN - Income Statement FY'!B31</f>
        <v>-19087</v>
      </c>
      <c r="C61" s="152">
        <f>-'AMZN - Income Statement FY'!C31</f>
        <v>-9265</v>
      </c>
      <c r="D61" s="152">
        <f>-'AMZN - Income Statement FY'!D31</f>
        <v>-7120</v>
      </c>
      <c r="E61" s="152">
        <f>-'AMZN - Income Statement FY'!E31</f>
        <v>3217</v>
      </c>
      <c r="F61" s="152">
        <f>-'AMZN - Income Statement FY'!F31</f>
        <v>-4791</v>
      </c>
      <c r="G61" s="152">
        <f>-'AMZN - Income Statement FY'!G31</f>
        <v>-2863</v>
      </c>
      <c r="H61" s="152">
        <f>-'AMZN - Income Statement FY'!H31</f>
        <v>-2374</v>
      </c>
    </row>
    <row r="62" spans="1:8" x14ac:dyDescent="0.25">
      <c r="A62" s="19" t="s">
        <v>284</v>
      </c>
      <c r="B62" s="154">
        <f t="shared" ref="B62:H62" si="14">SUM(B58:B61)</f>
        <v>77670</v>
      </c>
      <c r="C62" s="154">
        <f t="shared" si="14"/>
        <v>59248</v>
      </c>
      <c r="D62" s="154">
        <f t="shared" si="14"/>
        <v>30425</v>
      </c>
      <c r="E62" s="154">
        <f t="shared" si="14"/>
        <v>-2722</v>
      </c>
      <c r="F62" s="154">
        <f t="shared" si="14"/>
        <v>33364</v>
      </c>
      <c r="G62" s="154">
        <f t="shared" si="14"/>
        <v>21331</v>
      </c>
      <c r="H62" s="154">
        <f t="shared" si="14"/>
        <v>11588</v>
      </c>
    </row>
    <row r="63" spans="1:8" x14ac:dyDescent="0.25">
      <c r="A63" s="22" t="s">
        <v>285</v>
      </c>
      <c r="B63" s="157">
        <f>B62-'AMZN - Income Statement FY'!B32</f>
        <v>0</v>
      </c>
      <c r="C63" s="157">
        <f>C62-'AMZN - Income Statement FY'!C32</f>
        <v>0</v>
      </c>
      <c r="D63" s="157">
        <f>D62-'AMZN - Income Statement FY'!D32</f>
        <v>0</v>
      </c>
      <c r="E63" s="157">
        <f>E62-'AMZN - Income Statement FY'!E32</f>
        <v>0</v>
      </c>
      <c r="F63" s="157">
        <f>F62-'AMZN - Income Statement FY'!F32</f>
        <v>0</v>
      </c>
      <c r="G63" s="157">
        <f>G62-'AMZN - Income Statement FY'!G32</f>
        <v>0</v>
      </c>
      <c r="H63" s="157">
        <f>H62-'AMZN - Income Statement FY'!H32</f>
        <v>0</v>
      </c>
    </row>
    <row r="64" spans="1:8" x14ac:dyDescent="0.25">
      <c r="A64" s="17"/>
      <c r="B64" s="17"/>
      <c r="C64" s="17"/>
      <c r="D64" s="17"/>
      <c r="E64" s="17"/>
      <c r="F64" s="17"/>
      <c r="G64" s="17"/>
      <c r="H64" s="17"/>
    </row>
    <row r="65" spans="1:8" x14ac:dyDescent="0.25">
      <c r="A65" s="20" t="s">
        <v>265</v>
      </c>
      <c r="B65" s="20"/>
      <c r="C65" s="20"/>
      <c r="D65" s="20"/>
      <c r="E65" s="20"/>
      <c r="F65" s="20"/>
      <c r="G65" s="20"/>
      <c r="H65" s="20"/>
    </row>
    <row r="66" spans="1:8" x14ac:dyDescent="0.25">
      <c r="A66" s="17" t="s">
        <v>259</v>
      </c>
      <c r="B66" s="156">
        <f t="shared" ref="B66:H66" si="15">B56</f>
        <v>63180.25</v>
      </c>
      <c r="C66" s="156">
        <f t="shared" si="15"/>
        <v>54188.47</v>
      </c>
      <c r="D66" s="156">
        <f t="shared" si="15"/>
        <v>29113.08</v>
      </c>
      <c r="E66" s="156">
        <f t="shared" si="15"/>
        <v>9675.92</v>
      </c>
      <c r="F66" s="156">
        <f t="shared" si="15"/>
        <v>19654.41</v>
      </c>
      <c r="G66" s="156">
        <f t="shared" si="15"/>
        <v>18090.21</v>
      </c>
      <c r="H66" s="156">
        <f t="shared" si="15"/>
        <v>11487.39</v>
      </c>
    </row>
    <row r="67" spans="1:8" x14ac:dyDescent="0.25">
      <c r="A67" s="17" t="s">
        <v>266</v>
      </c>
      <c r="B67" s="152">
        <f>'AMZN - Cash Flow FY'!B8</f>
        <v>65756</v>
      </c>
      <c r="C67" s="152">
        <f>'AMZN - Cash Flow FY'!C8</f>
        <v>52795</v>
      </c>
      <c r="D67" s="152">
        <f>'AMZN - Cash Flow FY'!D8</f>
        <v>48663</v>
      </c>
      <c r="E67" s="152">
        <f>'AMZN - Cash Flow FY'!E8</f>
        <v>41921</v>
      </c>
      <c r="F67" s="152">
        <f>'AMZN - Cash Flow FY'!F8</f>
        <v>34296</v>
      </c>
      <c r="G67" s="152">
        <f>'AMZN - Cash Flow FY'!G8</f>
        <v>25251</v>
      </c>
      <c r="H67" s="152">
        <f>'AMZN - Cash Flow FY'!H8</f>
        <v>21789</v>
      </c>
    </row>
    <row r="68" spans="1:8" x14ac:dyDescent="0.25">
      <c r="A68" s="19" t="s">
        <v>267</v>
      </c>
      <c r="B68" s="153">
        <f t="shared" ref="B68:H68" si="16">B66+B67</f>
        <v>128936.25</v>
      </c>
      <c r="C68" s="153">
        <f t="shared" si="16"/>
        <v>106983.47</v>
      </c>
      <c r="D68" s="153">
        <f t="shared" si="16"/>
        <v>77776.08</v>
      </c>
      <c r="E68" s="153">
        <f t="shared" si="16"/>
        <v>51596.92</v>
      </c>
      <c r="F68" s="153">
        <f t="shared" si="16"/>
        <v>53950.41</v>
      </c>
      <c r="G68" s="153">
        <f t="shared" si="16"/>
        <v>43341.21</v>
      </c>
      <c r="H68" s="153">
        <f t="shared" si="16"/>
        <v>33276.39</v>
      </c>
    </row>
    <row r="69" spans="1:8" x14ac:dyDescent="0.25">
      <c r="A69" s="17" t="s">
        <v>268</v>
      </c>
      <c r="B69" s="156">
        <f t="shared" ref="B69:G69" si="17">-(B22-C22)</f>
        <v>18327.699999999997</v>
      </c>
      <c r="C69" s="156">
        <f t="shared" si="17"/>
        <v>7686.5200000000041</v>
      </c>
      <c r="D69" s="156">
        <f t="shared" si="17"/>
        <v>905.9600000000064</v>
      </c>
      <c r="E69" s="156">
        <f t="shared" si="17"/>
        <v>3586.7799999999988</v>
      </c>
      <c r="F69" s="156">
        <f t="shared" si="17"/>
        <v>-2460.1600000000035</v>
      </c>
      <c r="G69" s="156">
        <f t="shared" si="17"/>
        <v>27501.160000000003</v>
      </c>
      <c r="H69" s="18"/>
    </row>
    <row r="70" spans="1:8" x14ac:dyDescent="0.25">
      <c r="A70" s="17" t="s">
        <v>269</v>
      </c>
      <c r="B70" s="152">
        <f>'AMZN - Cash Flow FY'!B19</f>
        <v>-131819</v>
      </c>
      <c r="C70" s="152">
        <f>'AMZN - Cash Flow FY'!C19</f>
        <v>-82999</v>
      </c>
      <c r="D70" s="152">
        <f>'AMZN - Cash Flow FY'!D19</f>
        <v>-52729</v>
      </c>
      <c r="E70" s="152">
        <f>'AMZN - Cash Flow FY'!E19</f>
        <v>-63645</v>
      </c>
      <c r="F70" s="152">
        <f>'AMZN - Cash Flow FY'!F19</f>
        <v>-61053</v>
      </c>
      <c r="G70" s="152">
        <f>'AMZN - Cash Flow FY'!G19</f>
        <v>-40140</v>
      </c>
      <c r="H70" s="152">
        <f>'AMZN - Cash Flow FY'!H19</f>
        <v>-16861</v>
      </c>
    </row>
    <row r="71" spans="1:8" x14ac:dyDescent="0.25">
      <c r="A71" s="19" t="s">
        <v>270</v>
      </c>
      <c r="B71" s="154">
        <f t="shared" ref="B71:G71" si="18">B68+B69+B70</f>
        <v>15444.950000000012</v>
      </c>
      <c r="C71" s="154">
        <f t="shared" si="18"/>
        <v>31670.990000000005</v>
      </c>
      <c r="D71" s="154">
        <f t="shared" si="18"/>
        <v>25953.040000000008</v>
      </c>
      <c r="E71" s="154">
        <f t="shared" si="18"/>
        <v>-8461.3000000000029</v>
      </c>
      <c r="F71" s="154">
        <f t="shared" si="18"/>
        <v>-9562.75</v>
      </c>
      <c r="G71" s="154">
        <f t="shared" si="18"/>
        <v>30702.369999999995</v>
      </c>
      <c r="H71" s="154">
        <f>H68+H70</f>
        <v>16415.39</v>
      </c>
    </row>
    <row r="72" spans="1:8" x14ac:dyDescent="0.25">
      <c r="A72" s="17" t="s">
        <v>271</v>
      </c>
      <c r="B72" s="152">
        <f>'AMZN - Cash Flow FY'!B39</f>
        <v>7695</v>
      </c>
      <c r="C72" s="152">
        <f>'AMZN - Cash Flow FY'!C39</f>
        <v>32878</v>
      </c>
      <c r="D72" s="152">
        <f>'AMZN - Cash Flow FY'!D39</f>
        <v>32217</v>
      </c>
      <c r="E72" s="152">
        <f>'AMZN - Cash Flow FY'!E39</f>
        <v>-16893</v>
      </c>
      <c r="F72" s="152">
        <f>'AMZN - Cash Flow FY'!F39</f>
        <v>-14726</v>
      </c>
      <c r="G72" s="152">
        <f>'AMZN - Cash Flow FY'!G39</f>
        <v>25924</v>
      </c>
      <c r="H72" s="152">
        <f>'AMZN - Cash Flow FY'!H39</f>
        <v>21653</v>
      </c>
    </row>
    <row r="73" spans="1:8" x14ac:dyDescent="0.25">
      <c r="A73" s="17" t="s">
        <v>272</v>
      </c>
      <c r="B73" s="156">
        <f t="shared" ref="B73:H73" si="19">B71-B72</f>
        <v>7749.9500000000116</v>
      </c>
      <c r="C73" s="156">
        <f t="shared" si="19"/>
        <v>-1207.0099999999948</v>
      </c>
      <c r="D73" s="156">
        <f t="shared" si="19"/>
        <v>-6263.9599999999919</v>
      </c>
      <c r="E73" s="156">
        <f t="shared" si="19"/>
        <v>8431.6999999999971</v>
      </c>
      <c r="F73" s="156">
        <f t="shared" si="19"/>
        <v>5163.25</v>
      </c>
      <c r="G73" s="156">
        <f t="shared" si="19"/>
        <v>4778.3699999999953</v>
      </c>
      <c r="H73" s="156">
        <f t="shared" si="19"/>
        <v>-5237.6100000000006</v>
      </c>
    </row>
    <row r="74" spans="1:8" x14ac:dyDescent="0.25">
      <c r="A74" s="17"/>
      <c r="B74" s="17"/>
      <c r="C74" s="17"/>
      <c r="D74" s="17"/>
      <c r="E74" s="17"/>
      <c r="F74" s="17"/>
      <c r="G74" s="17"/>
      <c r="H74" s="17"/>
    </row>
    <row r="75" spans="1:8" x14ac:dyDescent="0.25">
      <c r="A75" s="20" t="s">
        <v>273</v>
      </c>
      <c r="B75" s="20"/>
      <c r="C75" s="20"/>
      <c r="D75" s="20"/>
      <c r="E75" s="20"/>
      <c r="F75" s="20"/>
      <c r="G75" s="20"/>
      <c r="H75" s="20"/>
    </row>
    <row r="76" spans="1:8" x14ac:dyDescent="0.25">
      <c r="A76" s="17" t="s">
        <v>274</v>
      </c>
      <c r="B76" s="156">
        <f t="shared" ref="B76:G76" si="20">AVERAGE(B32,C32)</f>
        <v>487762.32999999996</v>
      </c>
      <c r="C76" s="156">
        <f t="shared" si="20"/>
        <v>384287.44</v>
      </c>
      <c r="D76" s="156">
        <f t="shared" si="20"/>
        <v>330593.68000000005</v>
      </c>
      <c r="E76" s="156">
        <f t="shared" si="20"/>
        <v>280654.05000000005</v>
      </c>
      <c r="F76" s="156">
        <f t="shared" si="20"/>
        <v>209360.86</v>
      </c>
      <c r="G76" s="156">
        <f t="shared" si="20"/>
        <v>148659.85999999999</v>
      </c>
      <c r="H76" s="156">
        <f>H32</f>
        <v>128668.44</v>
      </c>
    </row>
    <row r="77" spans="1:8" x14ac:dyDescent="0.25">
      <c r="A77" s="17" t="s">
        <v>275</v>
      </c>
      <c r="B77" s="158">
        <f t="shared" ref="B77:H77" si="21">IF(B76&lt;=0,"",B56/B76)</f>
        <v>0.12953081063066105</v>
      </c>
      <c r="C77" s="158">
        <f t="shared" si="21"/>
        <v>0.14101025524019209</v>
      </c>
      <c r="D77" s="158">
        <f t="shared" si="21"/>
        <v>8.8063026492218477E-2</v>
      </c>
      <c r="E77" s="158">
        <f t="shared" si="21"/>
        <v>3.4476324143549675E-2</v>
      </c>
      <c r="F77" s="158">
        <f t="shared" si="21"/>
        <v>9.3878148952960941E-2</v>
      </c>
      <c r="G77" s="158">
        <f t="shared" si="21"/>
        <v>0.12168859838829393</v>
      </c>
      <c r="H77" s="158">
        <f t="shared" si="21"/>
        <v>8.9279002683175443E-2</v>
      </c>
    </row>
    <row r="78" spans="1:8" x14ac:dyDescent="0.25">
      <c r="A78" s="17" t="s">
        <v>276</v>
      </c>
      <c r="B78" s="156">
        <f t="shared" ref="B78:G78" si="22">AVERAGE(B31,C31)</f>
        <v>464588.82999999996</v>
      </c>
      <c r="C78" s="156">
        <f t="shared" si="22"/>
        <v>361355.94</v>
      </c>
      <c r="D78" s="156">
        <f t="shared" si="22"/>
        <v>309055.18000000005</v>
      </c>
      <c r="E78" s="156">
        <f t="shared" si="22"/>
        <v>262824.55000000005</v>
      </c>
      <c r="F78" s="156">
        <f t="shared" si="22"/>
        <v>194166.86</v>
      </c>
      <c r="G78" s="156">
        <f t="shared" si="22"/>
        <v>133774.35999999999</v>
      </c>
      <c r="H78" s="156">
        <f>H31</f>
        <v>113914.44</v>
      </c>
    </row>
    <row r="79" spans="1:8" x14ac:dyDescent="0.25">
      <c r="A79" s="17" t="s">
        <v>277</v>
      </c>
      <c r="B79" s="158">
        <f t="shared" ref="B79:H79" si="23">IF(B78&lt;=0,"",B56/B78)</f>
        <v>0.13599175425719986</v>
      </c>
      <c r="C79" s="158">
        <f t="shared" si="23"/>
        <v>0.14995870830295471</v>
      </c>
      <c r="D79" s="158">
        <f t="shared" si="23"/>
        <v>9.4200265467157027E-2</v>
      </c>
      <c r="E79" s="158">
        <f t="shared" si="23"/>
        <v>3.6815130093440653E-2</v>
      </c>
      <c r="F79" s="158">
        <f t="shared" si="23"/>
        <v>0.10122432839466014</v>
      </c>
      <c r="G79" s="158">
        <f t="shared" si="23"/>
        <v>0.13522927712006996</v>
      </c>
      <c r="H79" s="158">
        <f t="shared" si="23"/>
        <v>0.10084226372003408</v>
      </c>
    </row>
    <row r="80" spans="1:8" x14ac:dyDescent="0.25">
      <c r="A80" s="17" t="s">
        <v>278</v>
      </c>
      <c r="B80" s="159">
        <f>B56/'AMZN - Income Statement FY'!B7</f>
        <v>8.8126844686466074E-2</v>
      </c>
      <c r="C80" s="159">
        <f>C56/'AMZN - Income Statement FY'!C7</f>
        <v>8.4940364506183003E-2</v>
      </c>
      <c r="D80" s="159">
        <f>D56/'AMZN - Income Statement FY'!D7</f>
        <v>5.0650382316866312E-2</v>
      </c>
      <c r="E80" s="159">
        <f>E56/'AMZN - Income Statement FY'!E7</f>
        <v>1.8825369710671364E-2</v>
      </c>
      <c r="F80" s="159">
        <f>F56/'AMZN - Income Statement FY'!F7</f>
        <v>4.1833737032322876E-2</v>
      </c>
      <c r="G80" s="159">
        <f>G56/'AMZN - Income Statement FY'!G7</f>
        <v>4.6858059803555882E-2</v>
      </c>
      <c r="H80" s="159">
        <f>H56/'AMZN - Income Statement FY'!H7</f>
        <v>4.0950050263437447E-2</v>
      </c>
    </row>
    <row r="81" spans="1:8" x14ac:dyDescent="0.25">
      <c r="A81" s="17" t="s">
        <v>279</v>
      </c>
      <c r="B81" s="160">
        <f>IF(B76&lt;=0,"",'AMZN - Income Statement FY'!B7/B76)</f>
        <v>1.469822403054373</v>
      </c>
      <c r="C81" s="160">
        <f>IF(C76&lt;=0,"",'AMZN - Income Statement FY'!C7/C76)</f>
        <v>1.6601089018157866</v>
      </c>
      <c r="D81" s="160">
        <f>IF(D76&lt;=0,"",'AMZN - Income Statement FY'!D7/D76)</f>
        <v>1.7386448524968774</v>
      </c>
      <c r="E81" s="160">
        <f>IF(E76&lt;=0,"",'AMZN - Income Statement FY'!E7/E76)</f>
        <v>1.8313756740727594</v>
      </c>
      <c r="F81" s="160">
        <f>IF(F76&lt;=0,"",'AMZN - Income Statement FY'!F7/F76)</f>
        <v>2.244077522417514</v>
      </c>
      <c r="G81" s="160">
        <f>IF(G76&lt;=0,"",'AMZN - Income Statement FY'!G7/G76)</f>
        <v>2.5969619505897561</v>
      </c>
      <c r="H81" s="160">
        <f>IF(H76&lt;=0,"",'AMZN - Income Statement FY'!H7/H76)</f>
        <v>2.1801927496750562</v>
      </c>
    </row>
    <row r="83" spans="1:8" x14ac:dyDescent="0.25">
      <c r="A83" s="24" t="s">
        <v>309</v>
      </c>
      <c r="B83" s="24"/>
      <c r="C83" s="24"/>
      <c r="D83" s="24"/>
      <c r="E83" s="24"/>
      <c r="F83" s="24"/>
      <c r="G83" s="24"/>
      <c r="H83" s="24"/>
    </row>
    <row r="84" spans="1:8" x14ac:dyDescent="0.25">
      <c r="A84" t="s">
        <v>310</v>
      </c>
      <c r="B84" s="11">
        <f t="shared" ref="B84:G84" si="24">B56-C56</f>
        <v>8991.7799999999988</v>
      </c>
      <c r="C84" s="11">
        <f t="shared" si="24"/>
        <v>25075.39</v>
      </c>
      <c r="D84" s="11">
        <f t="shared" si="24"/>
        <v>19437.160000000003</v>
      </c>
      <c r="E84" s="11">
        <f t="shared" si="24"/>
        <v>-9978.49</v>
      </c>
      <c r="F84" s="11">
        <f t="shared" si="24"/>
        <v>1564.2000000000007</v>
      </c>
      <c r="G84" s="11">
        <f t="shared" si="24"/>
        <v>6602.82</v>
      </c>
      <c r="H84" s="1"/>
    </row>
    <row r="85" spans="1:8" x14ac:dyDescent="0.25">
      <c r="A85" t="s">
        <v>311</v>
      </c>
      <c r="B85" s="11">
        <f t="shared" ref="B85:G85" si="25">B32-C32</f>
        <v>138274.29999999999</v>
      </c>
      <c r="C85" s="11">
        <f t="shared" si="25"/>
        <v>68675.479999999981</v>
      </c>
      <c r="D85" s="11">
        <f t="shared" si="25"/>
        <v>38712.039999999979</v>
      </c>
      <c r="E85" s="11">
        <f t="shared" si="25"/>
        <v>61167.22000000003</v>
      </c>
      <c r="F85" s="11">
        <f t="shared" si="25"/>
        <v>81419.16</v>
      </c>
      <c r="G85" s="11">
        <f t="shared" si="25"/>
        <v>39982.839999999997</v>
      </c>
      <c r="H85" s="1"/>
    </row>
    <row r="86" spans="1:8" x14ac:dyDescent="0.25">
      <c r="A86" s="9" t="s">
        <v>312</v>
      </c>
      <c r="B86" s="137">
        <f t="shared" ref="B86:G86" si="26">IF(B85=0,"",B84/B85)</f>
        <v>6.5028570023496768E-2</v>
      </c>
      <c r="C86" s="137">
        <f t="shared" si="26"/>
        <v>0.36512871843050831</v>
      </c>
      <c r="D86" s="137">
        <f t="shared" si="26"/>
        <v>0.50209598874148753</v>
      </c>
      <c r="E86" s="137">
        <f t="shared" si="26"/>
        <v>-0.1631346005262295</v>
      </c>
      <c r="F86" s="137">
        <f t="shared" si="26"/>
        <v>1.9211694151597739E-2</v>
      </c>
      <c r="G86" s="137">
        <f t="shared" si="26"/>
        <v>0.16514134563727839</v>
      </c>
      <c r="H86" s="30"/>
    </row>
    <row r="88" spans="1:8" x14ac:dyDescent="0.25">
      <c r="A88" s="24" t="s">
        <v>313</v>
      </c>
      <c r="B88" s="24"/>
      <c r="C88" s="24"/>
      <c r="D88" s="24"/>
      <c r="E88" s="24"/>
      <c r="F88" s="24"/>
      <c r="G88" s="24"/>
      <c r="H88" s="24"/>
    </row>
    <row r="89" spans="1:8" x14ac:dyDescent="0.25">
      <c r="A89" t="s">
        <v>278</v>
      </c>
      <c r="B89" s="134">
        <f t="shared" ref="B89:H89" si="27">B80</f>
        <v>8.8126844686466074E-2</v>
      </c>
      <c r="C89" s="134">
        <f t="shared" si="27"/>
        <v>8.4940364506183003E-2</v>
      </c>
      <c r="D89" s="134">
        <f t="shared" si="27"/>
        <v>5.0650382316866312E-2</v>
      </c>
      <c r="E89" s="134">
        <f t="shared" si="27"/>
        <v>1.8825369710671364E-2</v>
      </c>
      <c r="F89" s="134">
        <f t="shared" si="27"/>
        <v>4.1833737032322876E-2</v>
      </c>
      <c r="G89" s="134">
        <f t="shared" si="27"/>
        <v>4.6858059803555882E-2</v>
      </c>
      <c r="H89" s="134">
        <f t="shared" si="27"/>
        <v>4.0950050263437447E-2</v>
      </c>
    </row>
    <row r="90" spans="1:8" x14ac:dyDescent="0.25">
      <c r="A90" t="s">
        <v>314</v>
      </c>
      <c r="B90" s="161">
        <f>IF(B76&lt;=0,"",'AMZN - Income Statement FY'!B7/B76)</f>
        <v>1.469822403054373</v>
      </c>
      <c r="C90" s="161">
        <f>IF(C76&lt;=0,"",'AMZN - Income Statement FY'!C7/C76)</f>
        <v>1.6601089018157866</v>
      </c>
      <c r="D90" s="161">
        <f>IF(D76&lt;=0,"",'AMZN - Income Statement FY'!D7/D76)</f>
        <v>1.7386448524968774</v>
      </c>
      <c r="E90" s="161">
        <f>IF(E76&lt;=0,"",'AMZN - Income Statement FY'!E7/E76)</f>
        <v>1.8313756740727594</v>
      </c>
      <c r="F90" s="161">
        <f>IF(F76&lt;=0,"",'AMZN - Income Statement FY'!F7/F76)</f>
        <v>2.244077522417514</v>
      </c>
      <c r="G90" s="161">
        <f>IF(G76&lt;=0,"",'AMZN - Income Statement FY'!G7/G76)</f>
        <v>2.5969619505897561</v>
      </c>
      <c r="H90" s="161">
        <f>IF(H76&lt;=0,"",'AMZN - Income Statement FY'!H7/H76)</f>
        <v>2.1801927496750562</v>
      </c>
    </row>
    <row r="91" spans="1:8" x14ac:dyDescent="0.25">
      <c r="A91" s="9" t="s">
        <v>315</v>
      </c>
      <c r="B91" s="137">
        <f t="shared" ref="B91:H91" si="28">IF(B90="","",B89*B90)</f>
        <v>0.12953081063066108</v>
      </c>
      <c r="C91" s="137">
        <f t="shared" si="28"/>
        <v>0.14101025524019209</v>
      </c>
      <c r="D91" s="137">
        <f t="shared" si="28"/>
        <v>8.8063026492218477E-2</v>
      </c>
      <c r="E91" s="137">
        <f t="shared" si="28"/>
        <v>3.4476324143549675E-2</v>
      </c>
      <c r="F91" s="137">
        <f t="shared" si="28"/>
        <v>9.3878148952960927E-2</v>
      </c>
      <c r="G91" s="137">
        <f t="shared" si="28"/>
        <v>0.12168859838829393</v>
      </c>
      <c r="H91" s="137">
        <f t="shared" si="28"/>
        <v>8.9279002683175443E-2</v>
      </c>
    </row>
    <row r="93" spans="1:8" x14ac:dyDescent="0.25">
      <c r="A93" s="24" t="s">
        <v>316</v>
      </c>
      <c r="B93" s="24"/>
      <c r="C93" s="24"/>
      <c r="D93" s="24"/>
      <c r="E93" s="24"/>
      <c r="F93" s="24"/>
      <c r="G93" s="24"/>
      <c r="H93" s="24"/>
    </row>
    <row r="94" spans="1:8" x14ac:dyDescent="0.25">
      <c r="A94" t="s">
        <v>317</v>
      </c>
      <c r="B94" s="113">
        <f>'AMZN - Income Statement FY'!B10/'AMZN - Income Statement FY'!B7</f>
        <v>0.50285664868242663</v>
      </c>
      <c r="C94" s="113">
        <f>'AMZN - Income Statement FY'!C10/'AMZN - Income Statement FY'!C7</f>
        <v>0.48854393464156787</v>
      </c>
      <c r="D94" s="113">
        <f>'AMZN - Income Statement FY'!D10/'AMZN - Income Statement FY'!D7</f>
        <v>0.46982088955000567</v>
      </c>
      <c r="E94" s="113">
        <f>'AMZN - Income Statement FY'!E10/'AMZN - Income Statement FY'!E7</f>
        <v>0.43805339865326287</v>
      </c>
      <c r="F94" s="113">
        <f>'AMZN - Income Statement FY'!F10/'AMZN - Income Statement FY'!F7</f>
        <v>0.42032514441639601</v>
      </c>
      <c r="G94" s="113">
        <f>'AMZN - Income Statement FY'!G10/'AMZN - Income Statement FY'!G7</f>
        <v>0.3956779186870571</v>
      </c>
      <c r="H94" s="113">
        <f>'AMZN - Income Statement FY'!H10/'AMZN - Income Statement FY'!H7</f>
        <v>0.40990011478600608</v>
      </c>
    </row>
    <row r="95" spans="1:8" x14ac:dyDescent="0.25">
      <c r="A95" t="s">
        <v>318</v>
      </c>
      <c r="B95" s="113">
        <f>'AMZN - Income Statement FY'!B13/'AMZN - Income Statement FY'!B7</f>
        <v>0.15137029866485149</v>
      </c>
      <c r="C95" s="113">
        <f>'AMZN - Income Statement FY'!C13/'AMZN - Income Statement FY'!C7</f>
        <v>0.13879261833440706</v>
      </c>
      <c r="D95" s="113">
        <f>'AMZN - Income Statement FY'!D13/'AMZN - Income Statement FY'!D7</f>
        <v>0.14896352549214054</v>
      </c>
      <c r="E95" s="113">
        <f>'AMZN - Income Statement FY'!E13/'AMZN - Income Statement FY'!E7</f>
        <v>0.14244245432241923</v>
      </c>
      <c r="F95" s="113">
        <f>'AMZN - Income Statement FY'!F13/'AMZN - Income Statement FY'!F7</f>
        <v>0.11930475797216818</v>
      </c>
      <c r="G95" s="113">
        <f>'AMZN - Income Statement FY'!G13/'AMZN - Income Statement FY'!G7</f>
        <v>0.11070703303079282</v>
      </c>
      <c r="H95" s="113">
        <f>'AMZN - Income Statement FY'!H13/'AMZN - Income Statement FY'!H7</f>
        <v>0.12808621070718162</v>
      </c>
    </row>
    <row r="96" spans="1:8" x14ac:dyDescent="0.25">
      <c r="A96" t="s">
        <v>319</v>
      </c>
      <c r="B96" s="113">
        <f>'AMZN - Income Statement FY'!B14/'AMZN - Income Statement FY'!B7</f>
        <v>8.132103263386356E-2</v>
      </c>
      <c r="C96" s="113">
        <f>'AMZN - Income Statement FY'!C14/'AMZN - Income Statement FY'!C7</f>
        <v>8.6629391543970688E-2</v>
      </c>
      <c r="D96" s="113">
        <f>'AMZN - Income Statement FY'!D14/'AMZN - Income Statement FY'!D7</f>
        <v>9.7751333107161803E-2</v>
      </c>
      <c r="E96" s="113">
        <f>'AMZN - Income Statement FY'!E14/'AMZN - Income Statement FY'!E7</f>
        <v>0.10531282163028738</v>
      </c>
      <c r="F96" s="113">
        <f>'AMZN - Income Statement FY'!F14/'AMZN - Income Statement FY'!F7</f>
        <v>8.8063138805760485E-2</v>
      </c>
      <c r="G96" s="113">
        <f>'AMZN - Income Statement FY'!G14/'AMZN - Income Statement FY'!G7</f>
        <v>7.4277839943636292E-2</v>
      </c>
      <c r="H96" s="113">
        <f>'AMZN - Income Statement FY'!H14/'AMZN - Income Statement FY'!H7</f>
        <v>8.5843534553439654E-2</v>
      </c>
    </row>
    <row r="97" spans="1:8" x14ac:dyDescent="0.25">
      <c r="A97" t="s">
        <v>320</v>
      </c>
      <c r="B97" s="113">
        <f>'AMZN - Income Statement FY'!B25/'AMZN - Income Statement FY'!B7</f>
        <v>0.11155296795755199</v>
      </c>
      <c r="C97" s="113">
        <f>'AMZN - Income Statement FY'!C25/'AMZN - Income Statement FY'!C7</f>
        <v>0.1075194487420038</v>
      </c>
      <c r="D97" s="113">
        <f>'AMZN - Income Statement FY'!D25/'AMZN - Income Statement FY'!D7</f>
        <v>6.4114407996033296E-2</v>
      </c>
      <c r="E97" s="113">
        <f>'AMZN - Income Statement FY'!E25/'AMZN - Income Statement FY'!E7</f>
        <v>2.3829581912242232E-2</v>
      </c>
      <c r="F97" s="113">
        <f>'AMZN - Income Statement FY'!F25/'AMZN - Income Statement FY'!F7</f>
        <v>5.2954097509269465E-2</v>
      </c>
      <c r="G97" s="113">
        <f>'AMZN - Income Statement FY'!G25/'AMZN - Income Statement FY'!G7</f>
        <v>5.9313999751336569E-2</v>
      </c>
      <c r="H97" s="113">
        <f>'AMZN - Income Statement FY'!H25/'AMZN - Income Statement FY'!H7</f>
        <v>5.1835506662579051E-2</v>
      </c>
    </row>
    <row r="98" spans="1:8" x14ac:dyDescent="0.25">
      <c r="A98" t="s">
        <v>321</v>
      </c>
      <c r="B98" s="134">
        <f t="shared" ref="B98:H98" si="29">1-$B$9</f>
        <v>0.79</v>
      </c>
      <c r="C98" s="134">
        <f t="shared" si="29"/>
        <v>0.79</v>
      </c>
      <c r="D98" s="134">
        <f t="shared" si="29"/>
        <v>0.79</v>
      </c>
      <c r="E98" s="134">
        <f t="shared" si="29"/>
        <v>0.79</v>
      </c>
      <c r="F98" s="134">
        <f t="shared" si="29"/>
        <v>0.79</v>
      </c>
      <c r="G98" s="134">
        <f t="shared" si="29"/>
        <v>0.79</v>
      </c>
      <c r="H98" s="134">
        <f t="shared" si="29"/>
        <v>0.79</v>
      </c>
    </row>
    <row r="99" spans="1:8" x14ac:dyDescent="0.25">
      <c r="A99" t="s">
        <v>831</v>
      </c>
      <c r="B99" s="134">
        <f t="shared" ref="B99:H99" si="30">B97*B98</f>
        <v>8.8126844686466074E-2</v>
      </c>
      <c r="C99" s="134">
        <f t="shared" si="30"/>
        <v>8.4940364506183003E-2</v>
      </c>
      <c r="D99" s="134">
        <f t="shared" si="30"/>
        <v>5.0650382316866305E-2</v>
      </c>
      <c r="E99" s="134">
        <f t="shared" si="30"/>
        <v>1.8825369710671364E-2</v>
      </c>
      <c r="F99" s="134">
        <f t="shared" si="30"/>
        <v>4.1833737032322876E-2</v>
      </c>
      <c r="G99" s="134">
        <f t="shared" si="30"/>
        <v>4.6858059803555889E-2</v>
      </c>
      <c r="H99" s="134">
        <f t="shared" si="30"/>
        <v>4.0950050263437454E-2</v>
      </c>
    </row>
    <row r="101" spans="1:8" x14ac:dyDescent="0.25">
      <c r="A101" s="24" t="s">
        <v>322</v>
      </c>
      <c r="B101" s="24"/>
      <c r="C101" s="24"/>
      <c r="D101" s="24"/>
      <c r="E101" s="24"/>
      <c r="F101" s="24"/>
      <c r="G101" s="24"/>
      <c r="H101" s="24"/>
    </row>
    <row r="102" spans="1:8" x14ac:dyDescent="0.25">
      <c r="A102" t="s">
        <v>323</v>
      </c>
      <c r="B102" s="161">
        <f>IF(B22=0,"",'AMZN - Income Statement FY'!B7/B22)</f>
        <v>-8.5948177225946107</v>
      </c>
      <c r="C102" s="161">
        <f>IF(C22=0,"",'AMZN - Income Statement FY'!C7/C22)</f>
        <v>-9.8018124377936697</v>
      </c>
      <c r="D102" s="161">
        <f>IF(D22=0,"",'AMZN - Income Statement FY'!D7/D22)</f>
        <v>-10.013798077676904</v>
      </c>
      <c r="E102" s="161">
        <f>IF(E22=0,"",'AMZN - Income Statement FY'!E7/E22)</f>
        <v>-9.0981166983577193</v>
      </c>
      <c r="F102" s="161">
        <f>IF(F22=0,"",'AMZN - Income Statement FY'!F7/F22)</f>
        <v>-8.8802220367379778</v>
      </c>
      <c r="G102" s="161">
        <f>IF(G22=0,"",'AMZN - Income Statement FY'!G7/G22)</f>
        <v>-6.9728530062824738</v>
      </c>
      <c r="H102" s="161">
        <f>IF(H22=0,"",'AMZN - Income Statement FY'!H7/H22)</f>
        <v>-10.066978736476138</v>
      </c>
    </row>
    <row r="103" spans="1:8" x14ac:dyDescent="0.25">
      <c r="A103" t="s">
        <v>324</v>
      </c>
      <c r="B103" s="161">
        <f>IF(B24=0,"",'AMZN - Income Statement FY'!B7/B24)</f>
        <v>1.6180500542792595</v>
      </c>
      <c r="C103" s="161">
        <f>IF(C24=0,"",'AMZN - Income Statement FY'!C7/C24)</f>
        <v>1.9402291928979398</v>
      </c>
      <c r="D103" s="161">
        <f>IF(D24=0,"",'AMZN - Income Statement FY'!D7/D24)</f>
        <v>2.0773609454624307</v>
      </c>
      <c r="E103" s="161">
        <f>IF(E24=0,"",'AMZN - Income Statement FY'!E7/E24)</f>
        <v>2.0328550297028136</v>
      </c>
      <c r="F103" s="161">
        <f>IF(F24=0,"",'AMZN - Income Statement FY'!F7/F24)</f>
        <v>2.1714526051127043</v>
      </c>
      <c r="G103" s="161">
        <f>IF(G24=0,"",'AMZN - Income Statement FY'!G7/G24)</f>
        <v>2.5623660124645742</v>
      </c>
      <c r="H103" s="161">
        <f>IF(H24=0,"",'AMZN - Income Statement FY'!H7/H24)</f>
        <v>2.8669746336079145</v>
      </c>
    </row>
    <row r="104" spans="1:8" x14ac:dyDescent="0.25">
      <c r="A104" t="s">
        <v>325</v>
      </c>
      <c r="B104" s="161">
        <f>IF(B25+B26=0,"",'AMZN - Income Statement FY'!B7/(B25+B26))</f>
        <v>22.079581151832461</v>
      </c>
      <c r="C104" s="161">
        <f>IF(C25+C26=0,"",'AMZN - Income Statement FY'!C7/(C25+C26))</f>
        <v>20.140137643641875</v>
      </c>
      <c r="D104" s="161">
        <f>IF(D25+D26=0,"",'AMZN - Income Statement FY'!D7/(D25+D26))</f>
        <v>18.860250689066806</v>
      </c>
      <c r="E104" s="161">
        <f>IF(E25+E26=0,"",'AMZN - Income Statement FY'!E7/(E25+E26))</f>
        <v>19.48012128103089</v>
      </c>
      <c r="F104" s="161">
        <f>IF(F25+F26=0,"",'AMZN - Income Statement FY'!F7/(F25+F26))</f>
        <v>22.942767848422697</v>
      </c>
      <c r="G104" s="161">
        <f>IF(G25+G26=0,"",'AMZN - Income Statement FY'!G7/(G25+G26))</f>
        <v>19.305130513051306</v>
      </c>
      <c r="H104" s="161">
        <f>IF(H25+H26=0,"",'AMZN - Income Statement FY'!H7/(H25+H26))</f>
        <v>14.919002286869116</v>
      </c>
    </row>
    <row r="105" spans="1:8" x14ac:dyDescent="0.25">
      <c r="A105" t="s">
        <v>326</v>
      </c>
      <c r="B105" s="161">
        <f>IF(B32&lt;=0,"",'AMZN - Income Statement FY'!B7/B32)</f>
        <v>1.2873490203294857</v>
      </c>
      <c r="C105" s="161">
        <f>IF(C32&lt;=0,"",'AMZN - Income Statement FY'!C7/C32)</f>
        <v>1.523938431032744</v>
      </c>
      <c r="D105" s="161">
        <f>IF(D32&lt;=0,"",'AMZN - Income Statement FY'!D7/D32)</f>
        <v>1.6424789048254649</v>
      </c>
      <c r="E105" s="161">
        <f>IF(E32&lt;=0,"",'AMZN - Income Statement FY'!E7/E32)</f>
        <v>1.6514164770420132</v>
      </c>
      <c r="F105" s="161">
        <f>IF(F32&lt;=0,"",'AMZN - Income Statement FY'!F7/F32)</f>
        <v>1.8787586409653216</v>
      </c>
      <c r="G105" s="161">
        <f>IF(G32&lt;=0,"",'AMZN - Income Statement FY'!G7/G32)</f>
        <v>2.2891258222291584</v>
      </c>
      <c r="H105" s="161">
        <f>IF(H32&lt;=0,"",'AMZN - Income Statement FY'!H7/H32)</f>
        <v>2.1801927496750562</v>
      </c>
    </row>
    <row r="107" spans="1:8" x14ac:dyDescent="0.25">
      <c r="A107" s="24" t="s">
        <v>399</v>
      </c>
      <c r="B107" s="24"/>
      <c r="C107" s="24"/>
      <c r="D107" s="24"/>
      <c r="E107" s="24"/>
      <c r="F107" s="24"/>
      <c r="G107" s="24"/>
      <c r="H107" s="24"/>
    </row>
    <row r="108" spans="1:8" x14ac:dyDescent="0.25">
      <c r="A108" t="s">
        <v>255</v>
      </c>
      <c r="B108" s="162">
        <f>'AMZN - Balance Sheet FY'!B51</f>
        <v>152987</v>
      </c>
      <c r="C108" s="162">
        <f>'AMZN - Balance Sheet FY'!C51</f>
        <v>130900</v>
      </c>
      <c r="D108" s="162">
        <f>'AMZN - Balance Sheet FY'!D51</f>
        <v>135611</v>
      </c>
      <c r="E108" s="162">
        <f>'AMZN - Balance Sheet FY'!E51</f>
        <v>140118</v>
      </c>
      <c r="F108" s="162">
        <f>'AMZN - Balance Sheet FY'!F51</f>
        <v>116395</v>
      </c>
      <c r="G108" s="162">
        <f>'AMZN - Balance Sheet FY'!G51</f>
        <v>84389</v>
      </c>
      <c r="H108" s="162">
        <f>'AMZN - Balance Sheet FY'!H51</f>
        <v>63205</v>
      </c>
    </row>
    <row r="109" spans="1:8" x14ac:dyDescent="0.25">
      <c r="A109" t="s">
        <v>400</v>
      </c>
      <c r="B109" s="162">
        <f>'AMZN - Balance Sheet FY'!B52</f>
        <v>66177</v>
      </c>
      <c r="C109" s="162">
        <f>'AMZN - Balance Sheet FY'!C52</f>
        <v>52121</v>
      </c>
      <c r="D109" s="162">
        <f>'AMZN - Balance Sheet FY'!D52</f>
        <v>62224</v>
      </c>
      <c r="E109" s="162">
        <f>'AMZN - Balance Sheet FY'!E52</f>
        <v>86230</v>
      </c>
      <c r="F109" s="162">
        <f>'AMZN - Balance Sheet FY'!F52</f>
        <v>80175</v>
      </c>
      <c r="G109" s="162">
        <f>'AMZN - Balance Sheet FY'!G52</f>
        <v>42267</v>
      </c>
      <c r="H109" s="162">
        <f>'AMZN - Balance Sheet FY'!H52</f>
        <v>27113</v>
      </c>
    </row>
    <row r="110" spans="1:8" x14ac:dyDescent="0.25">
      <c r="A110" t="s">
        <v>401</v>
      </c>
      <c r="B110" s="162">
        <f>'AMZN - Balance Sheet FY'!B41</f>
        <v>406977</v>
      </c>
      <c r="C110" s="162">
        <f>'AMZN - Balance Sheet FY'!C41</f>
        <v>338924</v>
      </c>
      <c r="D110" s="162">
        <f>'AMZN - Balance Sheet FY'!D41</f>
        <v>325979</v>
      </c>
      <c r="E110" s="162">
        <f>'AMZN - Balance Sheet FY'!E41</f>
        <v>316632</v>
      </c>
      <c r="F110" s="162">
        <f>'AMZN - Balance Sheet FY'!F41</f>
        <v>282304</v>
      </c>
      <c r="G110" s="162">
        <f>'AMZN - Balance Sheet FY'!G41</f>
        <v>227791</v>
      </c>
      <c r="H110" s="162">
        <f>'AMZN - Balance Sheet FY'!H41</f>
        <v>163188</v>
      </c>
    </row>
    <row r="111" spans="1:8" x14ac:dyDescent="0.25">
      <c r="A111" t="s">
        <v>256</v>
      </c>
      <c r="B111" s="162">
        <f>'AMZN - Balance Sheet FY'!B47</f>
        <v>411065</v>
      </c>
      <c r="C111" s="162">
        <f>'AMZN - Balance Sheet FY'!C47</f>
        <v>285970</v>
      </c>
      <c r="D111" s="162">
        <f>'AMZN - Balance Sheet FY'!D47</f>
        <v>201875</v>
      </c>
      <c r="E111" s="162">
        <f>'AMZN - Balance Sheet FY'!E47</f>
        <v>146043</v>
      </c>
      <c r="F111" s="162">
        <f>'AMZN - Balance Sheet FY'!F47</f>
        <v>138245</v>
      </c>
      <c r="G111" s="162">
        <f>'AMZN - Balance Sheet FY'!G47</f>
        <v>93404</v>
      </c>
      <c r="H111" s="162">
        <f>'AMZN - Balance Sheet FY'!H47</f>
        <v>62060</v>
      </c>
    </row>
    <row r="113" spans="1:8" x14ac:dyDescent="0.25">
      <c r="A113" t="s">
        <v>402</v>
      </c>
      <c r="B113" s="163">
        <f t="shared" ref="B113:H113" si="31">IFERROR(B108/B111,"")</f>
        <v>0.37217228418863196</v>
      </c>
      <c r="C113" s="163">
        <f t="shared" si="31"/>
        <v>0.45774032241144175</v>
      </c>
      <c r="D113" s="163">
        <f t="shared" si="31"/>
        <v>0.67175727554179565</v>
      </c>
      <c r="E113" s="163">
        <f t="shared" si="31"/>
        <v>0.95942975698937982</v>
      </c>
      <c r="F113" s="163">
        <f t="shared" si="31"/>
        <v>0.84194726753227966</v>
      </c>
      <c r="G113" s="163">
        <f t="shared" si="31"/>
        <v>0.90348379084407515</v>
      </c>
      <c r="H113" s="163">
        <f t="shared" si="31"/>
        <v>1.0184498872059298</v>
      </c>
    </row>
    <row r="114" spans="1:8" x14ac:dyDescent="0.25">
      <c r="A114" t="s">
        <v>403</v>
      </c>
      <c r="B114" s="163">
        <f t="shared" ref="B114:H114" si="32">IFERROR(B110/B111,"")</f>
        <v>0.99005510077481662</v>
      </c>
      <c r="C114" s="163">
        <f t="shared" si="32"/>
        <v>1.1851732699234185</v>
      </c>
      <c r="D114" s="163">
        <f t="shared" si="32"/>
        <v>1.6147566563467493</v>
      </c>
      <c r="E114" s="163">
        <f t="shared" si="32"/>
        <v>2.1680737864875415</v>
      </c>
      <c r="F114" s="163">
        <f t="shared" si="32"/>
        <v>2.0420557705522802</v>
      </c>
      <c r="G114" s="163">
        <f t="shared" si="32"/>
        <v>2.4387713588283155</v>
      </c>
      <c r="H114" s="163">
        <f t="shared" si="32"/>
        <v>2.6295198195294875</v>
      </c>
    </row>
    <row r="115" spans="1:8" x14ac:dyDescent="0.25">
      <c r="A115" t="s">
        <v>404</v>
      </c>
      <c r="B115" s="113">
        <f>IFERROR(B108/'AMZN - Balance Sheet FY'!B25,"")</f>
        <v>0.18701607007953136</v>
      </c>
      <c r="C115" s="113">
        <f>IFERROR(C108/'AMZN - Balance Sheet FY'!C25,"")</f>
        <v>0.20947552704938757</v>
      </c>
      <c r="D115" s="113">
        <f>IFERROR(D108/'AMZN - Balance Sheet FY'!D25,"")</f>
        <v>0.25691005467420913</v>
      </c>
      <c r="E115" s="113">
        <f>IFERROR(E108/'AMZN - Balance Sheet FY'!E25,"")</f>
        <v>0.30284324850056737</v>
      </c>
      <c r="F115" s="113">
        <f>IFERROR(F108/'AMZN - Balance Sheet FY'!F25,"")</f>
        <v>0.2767691755300809</v>
      </c>
      <c r="G115" s="113">
        <f>IFERROR(G108/'AMZN - Balance Sheet FY'!G25,"")</f>
        <v>0.26273447594140631</v>
      </c>
      <c r="H115" s="113">
        <f>IFERROR(H108/'AMZN - Balance Sheet FY'!H25,"")</f>
        <v>0.28060182554340107</v>
      </c>
    </row>
    <row r="116" spans="1:8" x14ac:dyDescent="0.25">
      <c r="A116" t="s">
        <v>405</v>
      </c>
      <c r="B116" s="113">
        <f>IFERROR(B111/'AMZN - Balance Sheet FY'!B25,"")</f>
        <v>0.50249864921361009</v>
      </c>
      <c r="C116" s="113">
        <f>IFERROR(C111/'AMZN - Balance Sheet FY'!C25,"")</f>
        <v>0.45762961398253144</v>
      </c>
      <c r="D116" s="113">
        <f>IFERROR(D111/'AMZN - Balance Sheet FY'!D25,"")</f>
        <v>0.38244476692418738</v>
      </c>
      <c r="E116" s="113">
        <f>IFERROR(E111/'AMZN - Balance Sheet FY'!E25,"")</f>
        <v>0.31564921381099043</v>
      </c>
      <c r="F116" s="113">
        <f>IFERROR(F111/'AMZN - Balance Sheet FY'!F25,"")</f>
        <v>0.32872507127587985</v>
      </c>
      <c r="G116" s="113">
        <f>IFERROR(G111/'AMZN - Balance Sheet FY'!G25,"")</f>
        <v>0.29080153800650693</v>
      </c>
      <c r="H116" s="113">
        <f>IFERROR(H111/'AMZN - Balance Sheet FY'!H25,"")</f>
        <v>0.27551853956527916</v>
      </c>
    </row>
    <row r="118" spans="1:8" x14ac:dyDescent="0.25">
      <c r="A118" t="s">
        <v>406</v>
      </c>
      <c r="B118" s="162">
        <f>'AMZN - Income Statement FY'!B21</f>
        <v>165341</v>
      </c>
      <c r="C118" s="162">
        <f>'AMZN - Income Statement FY'!C21</f>
        <v>123815</v>
      </c>
      <c r="D118" s="162">
        <f>'AMZN - Income Statement FY'!D21</f>
        <v>89402</v>
      </c>
      <c r="E118" s="162">
        <f>'AMZN - Income Statement FY'!E21</f>
        <v>38352</v>
      </c>
      <c r="F118" s="162">
        <f>'AMZN - Income Statement FY'!F21</f>
        <v>74393</v>
      </c>
      <c r="G118" s="162">
        <f>'AMZN - Income Statement FY'!G21</f>
        <v>51005</v>
      </c>
      <c r="H118" s="162">
        <f>'AMZN - Income Statement FY'!H21</f>
        <v>37365</v>
      </c>
    </row>
    <row r="119" spans="1:8" x14ac:dyDescent="0.25">
      <c r="A119" t="s">
        <v>407</v>
      </c>
      <c r="B119" s="163">
        <f t="shared" ref="B119:H119" si="33">IFERROR(B108/B118,"")</f>
        <v>0.92528169056676812</v>
      </c>
      <c r="C119" s="163">
        <f t="shared" si="33"/>
        <v>1.0572224690061787</v>
      </c>
      <c r="D119" s="163">
        <f t="shared" si="33"/>
        <v>1.5168676315966085</v>
      </c>
      <c r="E119" s="163">
        <f t="shared" si="33"/>
        <v>3.6534730913642051</v>
      </c>
      <c r="F119" s="163">
        <f t="shared" si="33"/>
        <v>1.5645961313564449</v>
      </c>
      <c r="G119" s="163">
        <f t="shared" si="33"/>
        <v>1.654524066268013</v>
      </c>
      <c r="H119" s="163">
        <f t="shared" si="33"/>
        <v>1.6915562692359161</v>
      </c>
    </row>
    <row r="120" spans="1:8" x14ac:dyDescent="0.25">
      <c r="A120" t="s">
        <v>408</v>
      </c>
      <c r="B120" s="163">
        <f t="shared" ref="B120:H120" si="34">IFERROR(B109/B118,"")</f>
        <v>0.40024555312959276</v>
      </c>
      <c r="C120" s="163">
        <f t="shared" si="34"/>
        <v>0.42095868836570688</v>
      </c>
      <c r="D120" s="163">
        <f t="shared" si="34"/>
        <v>0.69600232656987537</v>
      </c>
      <c r="E120" s="163">
        <f t="shared" si="34"/>
        <v>2.248383395911556</v>
      </c>
      <c r="F120" s="163">
        <f t="shared" si="34"/>
        <v>1.0777223663516728</v>
      </c>
      <c r="G120" s="163">
        <f t="shared" si="34"/>
        <v>0.8286834624056465</v>
      </c>
      <c r="H120" s="163">
        <f t="shared" si="34"/>
        <v>0.7256255854409206</v>
      </c>
    </row>
    <row r="121" spans="1:8" x14ac:dyDescent="0.25">
      <c r="A121" t="s">
        <v>409</v>
      </c>
      <c r="B121" s="161">
        <f>IF('AMZN - Income Statement FY'!B23=0,"",B118/'AMZN - Income Statement FY'!B23)</f>
        <v>72.709322779243621</v>
      </c>
      <c r="C121" s="161">
        <f>IF('AMZN - Income Statement FY'!C23=0,"",C118/'AMZN - Income Statement FY'!C23)</f>
        <v>51.460931005818786</v>
      </c>
      <c r="D121" s="161">
        <f>IF('AMZN - Income Statement FY'!D23=0,"",D118/'AMZN - Income Statement FY'!D23)</f>
        <v>28.096165933375236</v>
      </c>
      <c r="E121" s="161">
        <f>IF('AMZN - Income Statement FY'!E23=0,"",E118/'AMZN - Income Statement FY'!E23)</f>
        <v>16.202788339670469</v>
      </c>
      <c r="F121" s="161">
        <f>IF('AMZN - Income Statement FY'!F23=0,"",F118/'AMZN - Income Statement FY'!F23)</f>
        <v>41.123825317855172</v>
      </c>
      <c r="G121" s="161">
        <f>IF('AMZN - Income Statement FY'!G23=0,"",G118/'AMZN - Income Statement FY'!G23)</f>
        <v>30.968427443837278</v>
      </c>
      <c r="H121" s="161">
        <f>IF('AMZN - Income Statement FY'!H23=0,"",H118/'AMZN - Income Statement FY'!H23)</f>
        <v>23.353124999999999</v>
      </c>
    </row>
    <row r="122" spans="1:8" x14ac:dyDescent="0.25">
      <c r="A122" t="s">
        <v>410</v>
      </c>
      <c r="B122" s="161">
        <f>IFERROR('AMZN - Balance Sheet FY'!B13/'AMZN - Balance Sheet FY'!B32,"")</f>
        <v>1.0508153482718285</v>
      </c>
      <c r="C122" s="161">
        <f>IFERROR('AMZN - Balance Sheet FY'!C13/'AMZN - Balance Sheet FY'!C32,"")</f>
        <v>1.0637348061371781</v>
      </c>
      <c r="D122" s="161">
        <f>IFERROR('AMZN - Balance Sheet FY'!D13/'AMZN - Balance Sheet FY'!D32,"")</f>
        <v>1.0450772206625152</v>
      </c>
      <c r="E122" s="161">
        <f>IFERROR('AMZN - Balance Sheet FY'!E13/'AMZN - Balance Sheet FY'!E32,"")</f>
        <v>0.9446435811136924</v>
      </c>
      <c r="F122" s="161">
        <f>IFERROR('AMZN - Balance Sheet FY'!F13/'AMZN - Balance Sheet FY'!F32,"")</f>
        <v>1.1357597739445826</v>
      </c>
      <c r="G122" s="161">
        <f>IFERROR('AMZN - Balance Sheet FY'!G13/'AMZN - Balance Sheet FY'!G32,"")</f>
        <v>1.0502274795268425</v>
      </c>
      <c r="H122" s="161">
        <f>IFERROR('AMZN - Balance Sheet FY'!H13/'AMZN - Balance Sheet FY'!H32,"")</f>
        <v>1.0970482394205803</v>
      </c>
    </row>
    <row r="125" spans="1:8" x14ac:dyDescent="0.25">
      <c r="A125" s="9" t="s">
        <v>913</v>
      </c>
    </row>
    <row r="126" spans="1:8" x14ac:dyDescent="0.25">
      <c r="A126" t="s">
        <v>914</v>
      </c>
      <c r="B126" t="s">
        <v>291</v>
      </c>
    </row>
    <row r="127" spans="1:8" x14ac:dyDescent="0.25">
      <c r="A127" t="s">
        <v>915</v>
      </c>
      <c r="B127" s="80">
        <f>SUMIFS(mag7_leases_fy2019_fy2026!$D:$D,mag7_leases_fy2019_fy2026!$A:$A,$B$126,mag7_leases_fy2019_fy2026!$B:$B,YEAR(B$5))+SUMIFS(mag7_leases_fy2019_fy2026!$F:$F,mag7_leases_fy2019_fy2026!$A:$A,$B$126,mag7_leases_fy2019_fy2026!$B:$B,YEAR(B$5))</f>
        <v>14199</v>
      </c>
      <c r="C127" s="80">
        <f>SUMIFS(mag7_leases_fy2019_fy2026!$D:$D,mag7_leases_fy2019_fy2026!$A:$A,$B$126,mag7_leases_fy2019_fy2026!$B:$B,YEAR(C$5))+SUMIFS(mag7_leases_fy2019_fy2026!$F:$F,mag7_leases_fy2019_fy2026!$A:$A,$B$126,mag7_leases_fy2019_fy2026!$B:$B,YEAR(C$5))</f>
        <v>11921</v>
      </c>
      <c r="D127" s="80">
        <f>SUMIFS(mag7_leases_fy2019_fy2026!$D:$D,mag7_leases_fy2019_fy2026!$A:$A,$B$126,mag7_leases_fy2019_fy2026!$B:$B,YEAR(D$5))+SUMIFS(mag7_leases_fy2019_fy2026!$F:$F,mag7_leases_fy2019_fy2026!$A:$A,$B$126,mag7_leases_fy2019_fy2026!$B:$B,YEAR(D$5))</f>
        <v>10451</v>
      </c>
      <c r="E127" s="80">
        <f>SUMIFS(mag7_leases_fy2019_fy2026!$D:$D,mag7_leases_fy2019_fy2026!$A:$A,$B$126,mag7_leases_fy2019_fy2026!$B:$B,YEAR(E$5))+SUMIFS(mag7_leases_fy2019_fy2026!$F:$F,mag7_leases_fy2019_fy2026!$A:$A,$B$126,mag7_leases_fy2019_fy2026!$B:$B,YEAR(E$5))</f>
        <v>11855</v>
      </c>
      <c r="F127" s="80">
        <f>SUMIFS(mag7_leases_fy2019_fy2026!$D:$D,mag7_leases_fy2019_fy2026!$A:$A,$B$126,mag7_leases_fy2019_fy2026!$B:$B,YEAR(F$5))+SUMIFS(mag7_leases_fy2019_fy2026!$F:$F,mag7_leases_fy2019_fy2026!$A:$A,$B$126,mag7_leases_fy2019_fy2026!$B:$B,YEAR(F$5))</f>
        <v>14432</v>
      </c>
      <c r="G127" s="80">
        <f>SUMIFS(mag7_leases_fy2019_fy2026!$D:$D,mag7_leases_fy2019_fy2026!$A:$A,$B$126,mag7_leases_fy2019_fy2026!$B:$B,YEAR(G$5))+SUMIFS(mag7_leases_fy2019_fy2026!$F:$F,mag7_leases_fy2019_fy2026!$A:$A,$B$126,mag7_leases_fy2019_fy2026!$B:$B,YEAR(G$5))</f>
        <v>14960</v>
      </c>
      <c r="H127" s="80">
        <f>SUMIFS(mag7_leases_fy2019_fy2026!$D:$D,mag7_leases_fy2019_fy2026!$A:$A,$B$126,mag7_leases_fy2019_fy2026!$B:$B,YEAR(H$5))+SUMIFS(mag7_leases_fy2019_fy2026!$F:$F,mag7_leases_fy2019_fy2026!$A:$A,$B$126,mag7_leases_fy2019_fy2026!$B:$B,YEAR(H$5))</f>
        <v>13023</v>
      </c>
    </row>
    <row r="128" spans="1:8" x14ac:dyDescent="0.25">
      <c r="A128" t="s">
        <v>916</v>
      </c>
      <c r="B128" s="80">
        <f>SUMIFS(mag7_leases_fy2019_fy2026!$E:$E,mag7_leases_fy2019_fy2026!$A:$A,$B$126,mag7_leases_fy2019_fy2026!$B:$B,YEAR(B$5))+SUMIFS(mag7_leases_fy2019_fy2026!$G:$G,mag7_leases_fy2019_fy2026!$A:$A,$B$126,mag7_leases_fy2019_fy2026!$B:$B,YEAR(B$5))</f>
        <v>87339</v>
      </c>
      <c r="C128" s="80">
        <f>SUMIFS(mag7_leases_fy2019_fy2026!$E:$E,mag7_leases_fy2019_fy2026!$A:$A,$B$126,mag7_leases_fy2019_fy2026!$B:$B,YEAR(C$5))+SUMIFS(mag7_leases_fy2019_fy2026!$G:$G,mag7_leases_fy2019_fy2026!$A:$A,$B$126,mag7_leases_fy2019_fy2026!$B:$B,YEAR(C$5))</f>
        <v>78277</v>
      </c>
      <c r="D128" s="80">
        <f>SUMIFS(mag7_leases_fy2019_fy2026!$E:$E,mag7_leases_fy2019_fy2026!$A:$A,$B$126,mag7_leases_fy2019_fy2026!$B:$B,YEAR(D$5))+SUMIFS(mag7_leases_fy2019_fy2026!$G:$G,mag7_leases_fy2019_fy2026!$A:$A,$B$126,mag7_leases_fy2019_fy2026!$B:$B,YEAR(D$5))</f>
        <v>77297</v>
      </c>
      <c r="E128" s="80">
        <f>SUMIFS(mag7_leases_fy2019_fy2026!$E:$E,mag7_leases_fy2019_fy2026!$A:$A,$B$126,mag7_leases_fy2019_fy2026!$B:$B,YEAR(E$5))+SUMIFS(mag7_leases_fy2019_fy2026!$G:$G,mag7_leases_fy2019_fy2026!$A:$A,$B$126,mag7_leases_fy2019_fy2026!$B:$B,YEAR(E$5))</f>
        <v>72968</v>
      </c>
      <c r="F128" s="80">
        <f>SUMIFS(mag7_leases_fy2019_fy2026!$E:$E,mag7_leases_fy2019_fy2026!$A:$A,$B$126,mag7_leases_fy2019_fy2026!$B:$B,YEAR(F$5))+SUMIFS(mag7_leases_fy2019_fy2026!$G:$G,mag7_leases_fy2019_fy2026!$A:$A,$B$126,mag7_leases_fy2019_fy2026!$B:$B,YEAR(F$5))</f>
        <v>67651</v>
      </c>
      <c r="G128" s="80">
        <f>SUMIFS(mag7_leases_fy2019_fy2026!$E:$E,mag7_leases_fy2019_fy2026!$A:$A,$B$126,mag7_leases_fy2019_fy2026!$B:$B,YEAR(G$5))+SUMIFS(mag7_leases_fy2019_fy2026!$G:$G,mag7_leases_fy2019_fy2026!$A:$A,$B$126,mag7_leases_fy2019_fy2026!$B:$B,YEAR(G$5))</f>
        <v>52573</v>
      </c>
      <c r="H128" s="80">
        <f>SUMIFS(mag7_leases_fy2019_fy2026!$E:$E,mag7_leases_fy2019_fy2026!$A:$A,$B$126,mag7_leases_fy2019_fy2026!$B:$B,YEAR(H$5))+SUMIFS(mag7_leases_fy2019_fy2026!$G:$G,mag7_leases_fy2019_fy2026!$A:$A,$B$126,mag7_leases_fy2019_fy2026!$B:$B,YEAR(H$5))</f>
        <v>39791</v>
      </c>
    </row>
    <row r="129" spans="1:8" x14ac:dyDescent="0.25">
      <c r="A129" t="s">
        <v>917</v>
      </c>
      <c r="B129" s="135">
        <f t="shared" ref="B129:H129" si="35">B127+B128</f>
        <v>101538</v>
      </c>
      <c r="C129" s="135">
        <f t="shared" si="35"/>
        <v>90198</v>
      </c>
      <c r="D129" s="135">
        <f t="shared" si="35"/>
        <v>87748</v>
      </c>
      <c r="E129" s="135">
        <f t="shared" si="35"/>
        <v>84823</v>
      </c>
      <c r="F129" s="135">
        <f t="shared" si="35"/>
        <v>82083</v>
      </c>
      <c r="G129" s="135">
        <f t="shared" si="35"/>
        <v>67533</v>
      </c>
      <c r="H129" s="135">
        <f t="shared" si="35"/>
        <v>52814</v>
      </c>
    </row>
    <row r="130" spans="1:8" x14ac:dyDescent="0.25">
      <c r="A130" t="s">
        <v>918</v>
      </c>
      <c r="B130" s="80">
        <f>SUMIFS(mag7_leases_fy2019_fy2026!$H:$H,mag7_leases_fy2019_fy2026!$A:$A,$B$126,mag7_leases_fy2019_fy2026!$B:$B,YEAR(B$5))</f>
        <v>86054</v>
      </c>
      <c r="C130" s="80">
        <f>SUMIFS(mag7_leases_fy2019_fy2026!$H:$H,mag7_leases_fy2019_fy2026!$A:$A,$B$126,mag7_leases_fy2019_fy2026!$B:$B,YEAR(C$5))</f>
        <v>76141</v>
      </c>
      <c r="D130" s="80">
        <f>SUMIFS(mag7_leases_fy2019_fy2026!$H:$H,mag7_leases_fy2019_fy2026!$A:$A,$B$126,mag7_leases_fy2019_fy2026!$B:$B,YEAR(D$5))</f>
        <v>72513</v>
      </c>
      <c r="E130" s="80">
        <f>SUMIFS(mag7_leases_fy2019_fy2026!$H:$H,mag7_leases_fy2019_fy2026!$A:$A,$B$126,mag7_leases_fy2019_fy2026!$B:$B,YEAR(E$5))</f>
        <v>66123</v>
      </c>
      <c r="F130" s="80">
        <f>SUMIFS(mag7_leases_fy2019_fy2026!$H:$H,mag7_leases_fy2019_fy2026!$A:$A,$B$126,mag7_leases_fy2019_fy2026!$B:$B,YEAR(F$5))</f>
        <v>56082</v>
      </c>
      <c r="G130" s="80">
        <f>SUMIFS(mag7_leases_fy2019_fy2026!$H:$H,mag7_leases_fy2019_fy2026!$A:$A,$B$126,mag7_leases_fy2019_fy2026!$B:$B,YEAR(G$5))</f>
        <v>37553</v>
      </c>
      <c r="H130" s="80">
        <f>SUMIFS(mag7_leases_fy2019_fy2026!$H:$H,mag7_leases_fy2019_fy2026!$A:$A,$B$126,mag7_leases_fy2019_fy2026!$B:$B,YEAR(H$5))</f>
        <v>25141</v>
      </c>
    </row>
    <row r="135" spans="1:8" x14ac:dyDescent="0.25">
      <c r="A135" s="67" t="s">
        <v>1358</v>
      </c>
    </row>
    <row r="136" spans="1:8" x14ac:dyDescent="0.25">
      <c r="A136" t="s">
        <v>1359</v>
      </c>
      <c r="B136" s="190">
        <v>5</v>
      </c>
    </row>
    <row r="137" spans="1:8" x14ac:dyDescent="0.25">
      <c r="A137" t="s">
        <v>1360</v>
      </c>
      <c r="B137" s="35">
        <f>'AMZN - Income Statement FY'!B13</f>
        <v>108521</v>
      </c>
      <c r="C137" s="35">
        <f>'AMZN - Income Statement FY'!C13</f>
        <v>88544</v>
      </c>
      <c r="D137" s="35">
        <f>'AMZN - Income Statement FY'!D13</f>
        <v>85622</v>
      </c>
      <c r="E137" s="35">
        <f>'AMZN - Income Statement FY'!E13</f>
        <v>73213</v>
      </c>
      <c r="F137" s="35">
        <f>'AMZN - Income Statement FY'!F13</f>
        <v>56052</v>
      </c>
      <c r="G137" s="35">
        <f>'AMZN - Income Statement FY'!G13</f>
        <v>42740</v>
      </c>
      <c r="H137" s="35">
        <f>'AMZN - Income Statement FY'!H13</f>
        <v>35931</v>
      </c>
    </row>
    <row r="138" spans="1:8" x14ac:dyDescent="0.25">
      <c r="A138" t="s">
        <v>1361</v>
      </c>
      <c r="B138" s="35">
        <f>B137*MAX(0,($B$136-0)/$B$136)+C137*MAX(0,($B$136-1)/$B$136)+D137*MAX(0,($B$136-2)/$B$136)+E137*MAX(0,($B$136-3)/$B$136)+F137*MAX(0,($B$136-4)/$B$136)</f>
        <v>271225.00000000006</v>
      </c>
      <c r="C138" s="35">
        <f>C137*MAX(0,($B$136-0)/$B$136)+D137*MAX(0,($B$136-1)/$B$136)+E137*MAX(0,($B$136-2)/$B$136)+F137*MAX(0,($B$136-3)/$B$136)+G137*MAX(0,($B$136-4)/$B$136)</f>
        <v>231938.2</v>
      </c>
      <c r="D138" s="35">
        <f>D137*MAX(0,($B$136-0)/$B$136)+E137*MAX(0,($B$136-1)/$B$136)+F137*MAX(0,($B$136-2)/$B$136)+G137*MAX(0,($B$136-3)/$B$136)+H137*MAX(0,($B$136-4)/$B$136)</f>
        <v>202105.8</v>
      </c>
      <c r="E138" s="35" t="str">
        <f>""</f>
        <v/>
      </c>
      <c r="F138" s="35" t="str">
        <f>""</f>
        <v/>
      </c>
      <c r="G138" s="35" t="str">
        <f>""</f>
        <v/>
      </c>
      <c r="H138" s="35" t="str">
        <f>""</f>
        <v/>
      </c>
    </row>
    <row r="139" spans="1:8" x14ac:dyDescent="0.25">
      <c r="A139" t="s">
        <v>1362</v>
      </c>
      <c r="B139" s="35">
        <f>(C137*IF($B$136&gt;=1,1,0)+D137*IF($B$136&gt;=2,1,0)+E137*IF($B$136&gt;=3,1,0)+F137*IF($B$136&gt;=4,1,0)+G137*IF($B$136&gt;=5,1,0))/$B$136</f>
        <v>69234.2</v>
      </c>
      <c r="C139" s="35">
        <f>(D137*IF($B$136&gt;=1,1,0)+E137*IF($B$136&gt;=2,1,0)+F137*IF($B$136&gt;=3,1,0)+G137*IF($B$136&gt;=4,1,0)+H137*IF($B$136&gt;=5,1,0))/$B$136</f>
        <v>58711.6</v>
      </c>
      <c r="D139" s="35" t="str">
        <f>""</f>
        <v/>
      </c>
      <c r="E139" s="35" t="str">
        <f>""</f>
        <v/>
      </c>
      <c r="F139" s="35" t="str">
        <f>""</f>
        <v/>
      </c>
      <c r="G139" s="35" t="str">
        <f>""</f>
        <v/>
      </c>
      <c r="H139" s="35" t="str">
        <f>""</f>
        <v/>
      </c>
    </row>
    <row r="140" spans="1:8" x14ac:dyDescent="0.25">
      <c r="A140" t="s">
        <v>1363</v>
      </c>
      <c r="B140" s="35">
        <f t="shared" ref="B140:H140" si="36">B54</f>
        <v>79975</v>
      </c>
      <c r="C140" s="35">
        <f t="shared" si="36"/>
        <v>68593</v>
      </c>
      <c r="D140" s="35">
        <f t="shared" si="36"/>
        <v>36852</v>
      </c>
      <c r="E140" s="35">
        <f t="shared" si="36"/>
        <v>12248</v>
      </c>
      <c r="F140" s="35">
        <f t="shared" si="36"/>
        <v>24879</v>
      </c>
      <c r="G140" s="35">
        <f t="shared" si="36"/>
        <v>22899</v>
      </c>
      <c r="H140" s="35">
        <f t="shared" si="36"/>
        <v>14541</v>
      </c>
    </row>
    <row r="141" spans="1:8" x14ac:dyDescent="0.25">
      <c r="A141" t="s">
        <v>1364</v>
      </c>
      <c r="B141" s="35">
        <f>B140+B137-B139</f>
        <v>119261.8</v>
      </c>
      <c r="C141" s="35">
        <f>C140+C137-C139</f>
        <v>98425.4</v>
      </c>
      <c r="D141" s="35" t="str">
        <f>""</f>
        <v/>
      </c>
      <c r="E141" s="35" t="str">
        <f>""</f>
        <v/>
      </c>
      <c r="F141" s="35" t="str">
        <f>""</f>
        <v/>
      </c>
      <c r="G141" s="35" t="str">
        <f>""</f>
        <v/>
      </c>
      <c r="H141" s="35" t="str">
        <f>""</f>
        <v/>
      </c>
    </row>
    <row r="142" spans="1:8" x14ac:dyDescent="0.25">
      <c r="A142" t="s">
        <v>1365</v>
      </c>
      <c r="B142" s="35">
        <f>B141*(1-$B$9)</f>
        <v>94216.822</v>
      </c>
      <c r="C142" s="35">
        <f>C141*(1-$B$9)</f>
        <v>77756.066000000006</v>
      </c>
      <c r="D142" s="35" t="str">
        <f>""</f>
        <v/>
      </c>
      <c r="E142" s="35" t="str">
        <f>""</f>
        <v/>
      </c>
      <c r="F142" s="35" t="str">
        <f>""</f>
        <v/>
      </c>
      <c r="G142" s="35" t="str">
        <f>""</f>
        <v/>
      </c>
      <c r="H142" s="35" t="str">
        <f>""</f>
        <v/>
      </c>
    </row>
    <row r="143" spans="1:8" x14ac:dyDescent="0.25">
      <c r="A143" t="s">
        <v>1366</v>
      </c>
      <c r="B143" s="35">
        <f t="shared" ref="B143:H143" si="37">B32</f>
        <v>556899.48</v>
      </c>
      <c r="C143" s="35">
        <f t="shared" si="37"/>
        <v>418625.18</v>
      </c>
      <c r="D143" s="35">
        <f t="shared" si="37"/>
        <v>349949.7</v>
      </c>
      <c r="E143" s="35">
        <f t="shared" si="37"/>
        <v>311237.66000000003</v>
      </c>
      <c r="F143" s="35">
        <f t="shared" si="37"/>
        <v>250070.44</v>
      </c>
      <c r="G143" s="35">
        <f t="shared" si="37"/>
        <v>168651.28</v>
      </c>
      <c r="H143" s="35">
        <f t="shared" si="37"/>
        <v>128668.44</v>
      </c>
    </row>
    <row r="144" spans="1:8" x14ac:dyDescent="0.25">
      <c r="A144" t="s">
        <v>1367</v>
      </c>
      <c r="B144" s="35">
        <f>B32+B138</f>
        <v>828124.48</v>
      </c>
      <c r="C144" s="35">
        <f>C32+C138</f>
        <v>650563.38</v>
      </c>
      <c r="D144" s="35">
        <f>D32+D138</f>
        <v>552055.5</v>
      </c>
      <c r="E144" s="35" t="str">
        <f>""</f>
        <v/>
      </c>
      <c r="F144" s="35" t="str">
        <f>""</f>
        <v/>
      </c>
      <c r="G144" s="35" t="str">
        <f>""</f>
        <v/>
      </c>
      <c r="H144" s="35" t="str">
        <f>""</f>
        <v/>
      </c>
    </row>
    <row r="145" spans="1:8" x14ac:dyDescent="0.25">
      <c r="A145" t="s">
        <v>1368</v>
      </c>
      <c r="B145" s="28">
        <f t="shared" ref="B145:H145" si="38">IFERROR(B56/B32,"")</f>
        <v>0.11345000717185083</v>
      </c>
      <c r="C145" s="28">
        <f t="shared" si="38"/>
        <v>0.12944388581690189</v>
      </c>
      <c r="D145" s="28">
        <f t="shared" si="38"/>
        <v>8.3192184476797673E-2</v>
      </c>
      <c r="E145" s="28">
        <f t="shared" si="38"/>
        <v>3.108852572661033E-2</v>
      </c>
      <c r="F145" s="28">
        <f t="shared" si="38"/>
        <v>7.8595494933347582E-2</v>
      </c>
      <c r="G145" s="28">
        <f t="shared" si="38"/>
        <v>0.10726399467587794</v>
      </c>
      <c r="H145" s="28">
        <f t="shared" si="38"/>
        <v>8.9279002683175443E-2</v>
      </c>
    </row>
    <row r="146" spans="1:8" x14ac:dyDescent="0.25">
      <c r="A146" t="s">
        <v>1369</v>
      </c>
      <c r="B146" s="28">
        <f>IFERROR(B142/B144,"")</f>
        <v>0.11377132819452457</v>
      </c>
      <c r="C146" s="28">
        <f>IFERROR(C142/C144,"")</f>
        <v>0.11952112336848718</v>
      </c>
      <c r="D146" s="28" t="str">
        <f>""</f>
        <v/>
      </c>
      <c r="E146" s="28" t="str">
        <f>""</f>
        <v/>
      </c>
      <c r="F146" s="28" t="str">
        <f>""</f>
        <v/>
      </c>
      <c r="G146" s="28" t="str">
        <f>""</f>
        <v/>
      </c>
      <c r="H146" s="28" t="str">
        <f>""</f>
        <v/>
      </c>
    </row>
    <row r="148" spans="1:8" x14ac:dyDescent="0.25">
      <c r="A148" s="67" t="s">
        <v>1497</v>
      </c>
    </row>
    <row r="149" spans="1:8" x14ac:dyDescent="0.25">
      <c r="A149" t="s">
        <v>1498</v>
      </c>
      <c r="B149" s="3">
        <f>IF(COUNTIFS(mag7_leases_fy2019_fy2026!$A:$A,$B$126,mag7_leases_fy2019_fy2026!$B:$B,YEAR(B$5),mag7_leases_fy2019_fy2026!$L:$L,"&gt;0")=0,"",SUMIFS(mag7_leases_fy2019_fy2026!$L:$L,mag7_leases_fy2019_fy2026!$A:$A,$B$126,mag7_leases_fy2019_fy2026!$B:$B,YEAR(B$5))/100)</f>
        <v>3.7000000000000005E-2</v>
      </c>
      <c r="C149" s="3">
        <f>IF(COUNTIFS(mag7_leases_fy2019_fy2026!$A:$A,$B$126,mag7_leases_fy2019_fy2026!$B:$B,YEAR(C$5),mag7_leases_fy2019_fy2026!$L:$L,"&gt;0")=0,"",SUMIFS(mag7_leases_fy2019_fy2026!$L:$L,mag7_leases_fy2019_fy2026!$A:$A,$B$126,mag7_leases_fy2019_fy2026!$B:$B,YEAR(C$5))/100)</f>
        <v>3.5000000000000003E-2</v>
      </c>
      <c r="D149" s="3">
        <f>IF(COUNTIFS(mag7_leases_fy2019_fy2026!$A:$A,$B$126,mag7_leases_fy2019_fy2026!$B:$B,YEAR(D$5),mag7_leases_fy2019_fy2026!$L:$L,"&gt;0")=0,"",SUMIFS(mag7_leases_fy2019_fy2026!$L:$L,mag7_leases_fy2019_fy2026!$A:$A,$B$126,mag7_leases_fy2019_fy2026!$B:$B,YEAR(D$5))/100)</f>
        <v>3.3000000000000002E-2</v>
      </c>
      <c r="E149" s="3">
        <f>IF(COUNTIFS(mag7_leases_fy2019_fy2026!$A:$A,$B$126,mag7_leases_fy2019_fy2026!$B:$B,YEAR(E$5),mag7_leases_fy2019_fy2026!$L:$L,"&gt;0")=0,"",SUMIFS(mag7_leases_fy2019_fy2026!$L:$L,mag7_leases_fy2019_fy2026!$A:$A,$B$126,mag7_leases_fy2019_fy2026!$B:$B,YEAR(E$5))/100)</f>
        <v>2.7999999999999997E-2</v>
      </c>
      <c r="F149" s="3">
        <f>IF(COUNTIFS(mag7_leases_fy2019_fy2026!$A:$A,$B$126,mag7_leases_fy2019_fy2026!$B:$B,YEAR(F$5),mag7_leases_fy2019_fy2026!$L:$L,"&gt;0")=0,"",SUMIFS(mag7_leases_fy2019_fy2026!$L:$L,mag7_leases_fy2019_fy2026!$A:$A,$B$126,mag7_leases_fy2019_fy2026!$B:$B,YEAR(F$5))/100)</f>
        <v>2.2000000000000002E-2</v>
      </c>
      <c r="G149" s="3">
        <f>IF(COUNTIFS(mag7_leases_fy2019_fy2026!$A:$A,$B$126,mag7_leases_fy2019_fy2026!$B:$B,YEAR(G$5),mag7_leases_fy2019_fy2026!$L:$L,"&gt;0")=0,"",SUMIFS(mag7_leases_fy2019_fy2026!$L:$L,mag7_leases_fy2019_fy2026!$A:$A,$B$126,mag7_leases_fy2019_fy2026!$B:$B,YEAR(G$5))/100)</f>
        <v>2.5000000000000001E-2</v>
      </c>
      <c r="H149" s="3">
        <f>IF(COUNTIFS(mag7_leases_fy2019_fy2026!$A:$A,$B$126,mag7_leases_fy2019_fy2026!$B:$B,YEAR(H$5),mag7_leases_fy2019_fy2026!$L:$L,"&gt;0")=0,"",SUMIFS(mag7_leases_fy2019_fy2026!$L:$L,mag7_leases_fy2019_fy2026!$A:$A,$B$126,mag7_leases_fy2019_fy2026!$B:$B,YEAR(H$5))/100)</f>
        <v>3.1E-2</v>
      </c>
    </row>
    <row r="150" spans="1:8" x14ac:dyDescent="0.25">
      <c r="A150" t="s">
        <v>917</v>
      </c>
      <c r="B150" s="35">
        <f t="shared" ref="B150:H150" si="39">B129</f>
        <v>101538</v>
      </c>
      <c r="C150" s="35">
        <f t="shared" si="39"/>
        <v>90198</v>
      </c>
      <c r="D150" s="35">
        <f t="shared" si="39"/>
        <v>87748</v>
      </c>
      <c r="E150" s="35">
        <f t="shared" si="39"/>
        <v>84823</v>
      </c>
      <c r="F150" s="35">
        <f t="shared" si="39"/>
        <v>82083</v>
      </c>
      <c r="G150" s="35">
        <f t="shared" si="39"/>
        <v>67533</v>
      </c>
      <c r="H150" s="35">
        <f t="shared" si="39"/>
        <v>52814</v>
      </c>
    </row>
    <row r="151" spans="1:8" x14ac:dyDescent="0.25">
      <c r="A151" t="s">
        <v>1499</v>
      </c>
      <c r="B151" s="35">
        <f t="shared" ref="B151:H151" si="40">IF(B149="","",B149*B150)</f>
        <v>3756.9060000000004</v>
      </c>
      <c r="C151" s="35">
        <f t="shared" si="40"/>
        <v>3156.9300000000003</v>
      </c>
      <c r="D151" s="35">
        <f t="shared" si="40"/>
        <v>2895.6840000000002</v>
      </c>
      <c r="E151" s="35">
        <f t="shared" si="40"/>
        <v>2375.0439999999999</v>
      </c>
      <c r="F151" s="35">
        <f t="shared" si="40"/>
        <v>1805.8260000000002</v>
      </c>
      <c r="G151" s="35">
        <f t="shared" si="40"/>
        <v>1688.325</v>
      </c>
      <c r="H151" s="35">
        <f t="shared" si="40"/>
        <v>1637.2339999999999</v>
      </c>
    </row>
    <row r="152" spans="1:8" x14ac:dyDescent="0.25">
      <c r="A152" t="s">
        <v>1500</v>
      </c>
      <c r="B152" s="3">
        <f>IF(B151="","",B151/'AMZN - Income Statement FY'!B7)</f>
        <v>5.2403127807131586E-3</v>
      </c>
      <c r="C152" s="3">
        <f>IF(C151="","",C151/'AMZN - Income Statement FY'!C7)</f>
        <v>4.9484841502353601E-3</v>
      </c>
      <c r="D152" s="3">
        <f>IF(D151="","",D151/'AMZN - Income Statement FY'!D7)</f>
        <v>5.0378558939429526E-3</v>
      </c>
      <c r="E152" s="3">
        <f>IF(E151="","",E151/'AMZN - Income Statement FY'!E7)</f>
        <v>4.6208610012393406E-3</v>
      </c>
      <c r="F152" s="3">
        <f>IF(F151="","",F151/'AMZN - Income Statement FY'!F7)</f>
        <v>3.8436386546394172E-3</v>
      </c>
      <c r="G152" s="3">
        <f>IF(G151="","",G151/'AMZN - Income Statement FY'!G7)</f>
        <v>4.3731738779062539E-3</v>
      </c>
      <c r="H152" s="3">
        <f>IF(H151="","",H151/'AMZN - Income Statement FY'!H7)</f>
        <v>5.8363835991473035E-3</v>
      </c>
    </row>
    <row r="153" spans="1:8" x14ac:dyDescent="0.25">
      <c r="A153" t="s">
        <v>1363</v>
      </c>
      <c r="B153" s="35">
        <f t="shared" ref="B153:H153" si="41">B54</f>
        <v>79975</v>
      </c>
      <c r="C153" s="35">
        <f t="shared" si="41"/>
        <v>68593</v>
      </c>
      <c r="D153" s="35">
        <f t="shared" si="41"/>
        <v>36852</v>
      </c>
      <c r="E153" s="35">
        <f t="shared" si="41"/>
        <v>12248</v>
      </c>
      <c r="F153" s="35">
        <f t="shared" si="41"/>
        <v>24879</v>
      </c>
      <c r="G153" s="35">
        <f t="shared" si="41"/>
        <v>22899</v>
      </c>
      <c r="H153" s="35">
        <f t="shared" si="41"/>
        <v>14541</v>
      </c>
    </row>
    <row r="154" spans="1:8" x14ac:dyDescent="0.25">
      <c r="A154" t="s">
        <v>1501</v>
      </c>
      <c r="B154" s="35">
        <f t="shared" ref="B154:H154" si="42">IF(B151="",B153,B153+B151)</f>
        <v>83731.906000000003</v>
      </c>
      <c r="C154" s="35">
        <f t="shared" si="42"/>
        <v>71749.929999999993</v>
      </c>
      <c r="D154" s="35">
        <f t="shared" si="42"/>
        <v>39747.684000000001</v>
      </c>
      <c r="E154" s="35">
        <f t="shared" si="42"/>
        <v>14623.044</v>
      </c>
      <c r="F154" s="35">
        <f t="shared" si="42"/>
        <v>26684.826000000001</v>
      </c>
      <c r="G154" s="35">
        <f t="shared" si="42"/>
        <v>24587.325000000001</v>
      </c>
      <c r="H154" s="35">
        <f t="shared" si="42"/>
        <v>16178.234</v>
      </c>
    </row>
    <row r="155" spans="1:8" x14ac:dyDescent="0.25">
      <c r="A155" t="s">
        <v>1365</v>
      </c>
      <c r="B155" s="35">
        <f t="shared" ref="B155:H155" si="43">B154*(1-$B$9)</f>
        <v>66148.205740000005</v>
      </c>
      <c r="C155" s="35">
        <f t="shared" si="43"/>
        <v>56682.4447</v>
      </c>
      <c r="D155" s="35">
        <f t="shared" si="43"/>
        <v>31400.670360000004</v>
      </c>
      <c r="E155" s="35">
        <f t="shared" si="43"/>
        <v>11552.204760000001</v>
      </c>
      <c r="F155" s="35">
        <f t="shared" si="43"/>
        <v>21081.012540000003</v>
      </c>
      <c r="G155" s="35">
        <f t="shared" si="43"/>
        <v>19423.98675</v>
      </c>
      <c r="H155" s="35">
        <f t="shared" si="43"/>
        <v>12780.80486</v>
      </c>
    </row>
    <row r="156" spans="1:8" x14ac:dyDescent="0.25">
      <c r="A156" t="s">
        <v>1502</v>
      </c>
      <c r="B156" s="62" t="str">
        <f t="shared" ref="B156:H156" si="44">IF(B149="","MISSING - add-back omitted","ok")</f>
        <v>ok</v>
      </c>
      <c r="C156" s="62" t="str">
        <f t="shared" si="44"/>
        <v>ok</v>
      </c>
      <c r="D156" s="62" t="str">
        <f t="shared" si="44"/>
        <v>ok</v>
      </c>
      <c r="E156" s="62" t="str">
        <f t="shared" si="44"/>
        <v>ok</v>
      </c>
      <c r="F156" s="62" t="str">
        <f t="shared" si="44"/>
        <v>ok</v>
      </c>
      <c r="G156" s="62" t="str">
        <f t="shared" si="44"/>
        <v>ok</v>
      </c>
      <c r="H156" s="62" t="str">
        <f t="shared" si="44"/>
        <v>ok</v>
      </c>
    </row>
  </sheetData>
  <conditionalFormatting sqref="B51:H51">
    <cfRule type="cellIs" dxfId="7" priority="1" operator="notBetween">
      <formula>0.5</formula>
      <formula>-0.5</formula>
    </cfRule>
  </conditionalFormatting>
  <conditionalFormatting sqref="B156:H156">
    <cfRule type="containsText" dxfId="6" priority="2" operator="containsText" text="MISSING">
      <formula>NOT(ISERROR(SEARCH("MISSING",B156)))</formula>
    </cfRule>
  </conditionalFormatting>
  <pageMargins left="0.7" right="0.7" top="0.75" bottom="0.75" header="0.3" footer="0.3"/>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DDF51C-A8CF-4375-A067-7ED41D439C61}">
  <sheetPr>
    <tabColor rgb="FFFFE699"/>
  </sheetPr>
  <dimension ref="A1:H156"/>
  <sheetViews>
    <sheetView topLeftCell="A18" workbookViewId="0">
      <pane xSplit="1" topLeftCell="B1" activePane="topRight" state="frozen"/>
      <selection pane="topRight" activeCell="A52" sqref="A52"/>
    </sheetView>
  </sheetViews>
  <sheetFormatPr defaultRowHeight="15" x14ac:dyDescent="0.25"/>
  <cols>
    <col min="1" max="1" width="61.7109375" bestFit="1" customWidth="1"/>
    <col min="2" max="8" width="16.7109375" customWidth="1"/>
  </cols>
  <sheetData>
    <row r="1" spans="1:8" ht="15.75" x14ac:dyDescent="0.25">
      <c r="A1" s="16" t="s">
        <v>287</v>
      </c>
      <c r="B1" s="16"/>
      <c r="C1" s="16"/>
      <c r="D1" s="16"/>
      <c r="E1" s="16"/>
      <c r="F1" s="16"/>
      <c r="G1" s="16"/>
      <c r="H1" s="16"/>
    </row>
    <row r="2" spans="1:8" x14ac:dyDescent="0.25">
      <c r="A2" s="17" t="s">
        <v>1</v>
      </c>
      <c r="B2" s="149" t="str">
        <f>'NVDA - Income Statement FY'!B2</f>
        <v>NVDA (NASDAQ)</v>
      </c>
      <c r="C2" s="17"/>
      <c r="D2" s="17"/>
      <c r="E2" s="17"/>
      <c r="F2" s="17"/>
      <c r="G2" s="17"/>
      <c r="H2" s="17"/>
    </row>
    <row r="3" spans="1:8" x14ac:dyDescent="0.25">
      <c r="A3" s="17" t="s">
        <v>3</v>
      </c>
      <c r="B3" s="149" t="str">
        <f>'NVDA - Income Statement FY'!B3</f>
        <v>USD</v>
      </c>
      <c r="C3" s="17"/>
      <c r="D3" s="17"/>
      <c r="E3" s="17"/>
      <c r="F3" s="17"/>
      <c r="G3" s="17"/>
      <c r="H3" s="17"/>
    </row>
    <row r="4" spans="1:8" x14ac:dyDescent="0.25">
      <c r="A4" s="17" t="s">
        <v>32</v>
      </c>
      <c r="B4" s="150" t="str">
        <f>'NVDA - Income Statement FY'!B4</f>
        <v>FY</v>
      </c>
      <c r="C4" s="150">
        <f>'NVDA - Income Statement FY'!C4</f>
        <v>0</v>
      </c>
      <c r="D4" s="150">
        <f>'NVDA - Income Statement FY'!D4</f>
        <v>0</v>
      </c>
      <c r="E4" s="150">
        <f>'NVDA - Income Statement FY'!E4</f>
        <v>0</v>
      </c>
      <c r="F4" s="150">
        <f>'NVDA - Income Statement FY'!F4</f>
        <v>0</v>
      </c>
      <c r="G4" s="150">
        <f>'NVDA - Income Statement FY'!G4</f>
        <v>0</v>
      </c>
      <c r="H4" s="150">
        <f>'NVDA - Income Statement FY'!H4</f>
        <v>0</v>
      </c>
    </row>
    <row r="5" spans="1:8" x14ac:dyDescent="0.25">
      <c r="A5" s="17" t="s">
        <v>34</v>
      </c>
      <c r="B5" s="151">
        <f>'NVDA - Income Statement FY'!B5</f>
        <v>46047</v>
      </c>
      <c r="C5" s="151">
        <f>'NVDA - Income Statement FY'!C5</f>
        <v>45683</v>
      </c>
      <c r="D5" s="151">
        <f>'NVDA - Income Statement FY'!D5</f>
        <v>45319</v>
      </c>
      <c r="E5" s="151">
        <f>'NVDA - Income Statement FY'!E5</f>
        <v>44955</v>
      </c>
      <c r="F5" s="151">
        <f>'NVDA - Income Statement FY'!F5</f>
        <v>44591</v>
      </c>
      <c r="G5" s="151">
        <f>'NVDA - Income Statement FY'!G5</f>
        <v>44227</v>
      </c>
      <c r="H5" s="151">
        <f>'NVDA - Income Statement FY'!H5</f>
        <v>43856</v>
      </c>
    </row>
    <row r="6" spans="1:8" x14ac:dyDescent="0.25">
      <c r="A6" s="17"/>
      <c r="B6" s="17"/>
      <c r="C6" s="17"/>
      <c r="D6" s="17"/>
      <c r="E6" s="17"/>
      <c r="F6" s="17"/>
      <c r="G6" s="17"/>
      <c r="H6" s="17"/>
    </row>
    <row r="7" spans="1:8" x14ac:dyDescent="0.25">
      <c r="A7" s="20" t="s">
        <v>222</v>
      </c>
      <c r="B7" s="20"/>
      <c r="C7" s="20"/>
      <c r="D7" s="20"/>
      <c r="E7" s="20"/>
      <c r="F7" s="20"/>
      <c r="G7" s="20"/>
      <c r="H7" s="20"/>
    </row>
    <row r="8" spans="1:8" x14ac:dyDescent="0.25">
      <c r="A8" s="17" t="s">
        <v>223</v>
      </c>
      <c r="B8" s="21">
        <v>0.02</v>
      </c>
      <c r="C8" s="17"/>
      <c r="D8" s="17"/>
      <c r="E8" s="17"/>
      <c r="F8" s="17"/>
      <c r="G8" s="17"/>
      <c r="H8" s="17"/>
    </row>
    <row r="9" spans="1:8" x14ac:dyDescent="0.25">
      <c r="A9" s="17" t="s">
        <v>224</v>
      </c>
      <c r="B9" s="180">
        <f>'Valuation Dashboard'!$B$12</f>
        <v>0.21</v>
      </c>
      <c r="C9" s="17"/>
      <c r="D9" s="17"/>
      <c r="E9" s="17"/>
      <c r="F9" s="17"/>
      <c r="G9" s="17"/>
      <c r="H9" s="17"/>
    </row>
    <row r="10" spans="1:8" x14ac:dyDescent="0.25">
      <c r="A10" s="17"/>
      <c r="B10" s="17"/>
      <c r="C10" s="17"/>
      <c r="D10" s="17"/>
      <c r="E10" s="17"/>
      <c r="F10" s="17"/>
      <c r="G10" s="17"/>
      <c r="H10" s="17"/>
    </row>
    <row r="11" spans="1:8" x14ac:dyDescent="0.25">
      <c r="A11" s="20" t="s">
        <v>225</v>
      </c>
      <c r="B11" s="20"/>
      <c r="C11" s="20"/>
      <c r="D11" s="20"/>
      <c r="E11" s="20"/>
      <c r="F11" s="20"/>
      <c r="G11" s="20"/>
      <c r="H11" s="20"/>
    </row>
    <row r="12" spans="1:8" x14ac:dyDescent="0.25">
      <c r="A12" s="17" t="s">
        <v>226</v>
      </c>
      <c r="B12" s="152">
        <f>MIN('NVDA - Balance Sheet FY'!B7,$B$8*'NVDA - Income Statement FY'!B7)</f>
        <v>4318.76</v>
      </c>
      <c r="C12" s="152">
        <f>MIN('NVDA - Balance Sheet FY'!C7,$B$8*'NVDA - Income Statement FY'!C7)</f>
        <v>2609.94</v>
      </c>
      <c r="D12" s="152">
        <f>MIN('NVDA - Balance Sheet FY'!D7,$B$8*'NVDA - Income Statement FY'!D7)</f>
        <v>1218.44</v>
      </c>
      <c r="E12" s="152">
        <f>MIN('NVDA - Balance Sheet FY'!E7,$B$8*'NVDA - Income Statement FY'!E7)</f>
        <v>539.48</v>
      </c>
      <c r="F12" s="152">
        <f>MIN('NVDA - Balance Sheet FY'!F7,$B$8*'NVDA - Income Statement FY'!F7)</f>
        <v>538.28</v>
      </c>
      <c r="G12" s="152">
        <f>MIN('NVDA - Balance Sheet FY'!G7,$B$8*'NVDA - Income Statement FY'!G7)</f>
        <v>333.5</v>
      </c>
      <c r="H12" s="152">
        <f>MIN('NVDA - Balance Sheet FY'!H7,$B$8*'NVDA - Income Statement FY'!H7)</f>
        <v>218.36</v>
      </c>
    </row>
    <row r="13" spans="1:8" x14ac:dyDescent="0.25">
      <c r="A13" s="17" t="s">
        <v>227</v>
      </c>
      <c r="B13" s="152">
        <f>'NVDA - Balance Sheet FY'!B10</f>
        <v>38466</v>
      </c>
      <c r="C13" s="152">
        <f>'NVDA - Balance Sheet FY'!C10</f>
        <v>23065</v>
      </c>
      <c r="D13" s="152">
        <f>'NVDA - Balance Sheet FY'!D10</f>
        <v>9999</v>
      </c>
      <c r="E13" s="152">
        <f>'NVDA - Balance Sheet FY'!E10</f>
        <v>3827</v>
      </c>
      <c r="F13" s="152">
        <f>'NVDA - Balance Sheet FY'!F10</f>
        <v>4650</v>
      </c>
      <c r="G13" s="152">
        <f>'NVDA - Balance Sheet FY'!G10</f>
        <v>2429</v>
      </c>
      <c r="H13" s="152">
        <f>'NVDA - Balance Sheet FY'!H10</f>
        <v>1657</v>
      </c>
    </row>
    <row r="14" spans="1:8" x14ac:dyDescent="0.25">
      <c r="A14" s="17" t="s">
        <v>70</v>
      </c>
      <c r="B14" s="152">
        <f>'NVDA - Balance Sheet FY'!B11</f>
        <v>21403</v>
      </c>
      <c r="C14" s="152">
        <f>'NVDA - Balance Sheet FY'!C11</f>
        <v>10080</v>
      </c>
      <c r="D14" s="152">
        <f>'NVDA - Balance Sheet FY'!D11</f>
        <v>5282</v>
      </c>
      <c r="E14" s="152">
        <f>'NVDA - Balance Sheet FY'!E11</f>
        <v>5159</v>
      </c>
      <c r="F14" s="152">
        <f>'NVDA - Balance Sheet FY'!F11</f>
        <v>2605</v>
      </c>
      <c r="G14" s="152">
        <f>'NVDA - Balance Sheet FY'!G11</f>
        <v>1826</v>
      </c>
      <c r="H14" s="152">
        <f>'NVDA - Balance Sheet FY'!H11</f>
        <v>979</v>
      </c>
    </row>
    <row r="15" spans="1:8" x14ac:dyDescent="0.25">
      <c r="A15" s="17" t="s">
        <v>228</v>
      </c>
      <c r="B15" s="152">
        <f>'NVDA - Balance Sheet FY'!B12</f>
        <v>3180</v>
      </c>
      <c r="C15" s="152">
        <f>'NVDA - Balance Sheet FY'!C12</f>
        <v>3771</v>
      </c>
      <c r="D15" s="152">
        <f>'NVDA - Balance Sheet FY'!D12</f>
        <v>3080</v>
      </c>
      <c r="E15" s="152">
        <f>'NVDA - Balance Sheet FY'!E12</f>
        <v>791</v>
      </c>
      <c r="F15" s="152">
        <f>'NVDA - Balance Sheet FY'!F12</f>
        <v>366</v>
      </c>
      <c r="G15" s="152">
        <f>'NVDA - Balance Sheet FY'!G12</f>
        <v>239</v>
      </c>
      <c r="H15" s="152">
        <f>'NVDA - Balance Sheet FY'!H12</f>
        <v>157</v>
      </c>
    </row>
    <row r="16" spans="1:8" x14ac:dyDescent="0.25">
      <c r="A16" s="19" t="s">
        <v>229</v>
      </c>
      <c r="B16" s="153">
        <f t="shared" ref="B16:H16" si="0">SUM(B12:B15)</f>
        <v>67367.760000000009</v>
      </c>
      <c r="C16" s="153">
        <f t="shared" si="0"/>
        <v>39525.94</v>
      </c>
      <c r="D16" s="153">
        <f t="shared" si="0"/>
        <v>19579.440000000002</v>
      </c>
      <c r="E16" s="153">
        <f t="shared" si="0"/>
        <v>10316.48</v>
      </c>
      <c r="F16" s="153">
        <f t="shared" si="0"/>
        <v>8159.28</v>
      </c>
      <c r="G16" s="153">
        <f t="shared" si="0"/>
        <v>4827.5</v>
      </c>
      <c r="H16" s="153">
        <f t="shared" si="0"/>
        <v>3011.36</v>
      </c>
    </row>
    <row r="17" spans="1:8" x14ac:dyDescent="0.25">
      <c r="A17" s="17" t="s">
        <v>230</v>
      </c>
      <c r="B17" s="152">
        <f>-'NVDA - Balance Sheet FY'!B27</f>
        <v>-9812</v>
      </c>
      <c r="C17" s="152">
        <f>-'NVDA - Balance Sheet FY'!C27</f>
        <v>-6310</v>
      </c>
      <c r="D17" s="152">
        <f>-'NVDA - Balance Sheet FY'!D27</f>
        <v>-2699</v>
      </c>
      <c r="E17" s="152">
        <f>-'NVDA - Balance Sheet FY'!E27</f>
        <v>-1193</v>
      </c>
      <c r="F17" s="152">
        <f>-'NVDA - Balance Sheet FY'!F27</f>
        <v>-1783</v>
      </c>
      <c r="G17" s="152">
        <f>-'NVDA - Balance Sheet FY'!G27</f>
        <v>-1149</v>
      </c>
      <c r="H17" s="152">
        <f>-'NVDA - Balance Sheet FY'!H27</f>
        <v>-687</v>
      </c>
    </row>
    <row r="18" spans="1:8" x14ac:dyDescent="0.25">
      <c r="A18" s="17" t="s">
        <v>231</v>
      </c>
      <c r="B18" s="152">
        <f>-'NVDA - Balance Sheet FY'!B29</f>
        <v>0</v>
      </c>
      <c r="C18" s="152">
        <f>-'NVDA - Balance Sheet FY'!C29</f>
        <v>0</v>
      </c>
      <c r="D18" s="152">
        <f>-'NVDA - Balance Sheet FY'!D29</f>
        <v>0</v>
      </c>
      <c r="E18" s="152">
        <f>-'NVDA - Balance Sheet FY'!E29</f>
        <v>0</v>
      </c>
      <c r="F18" s="152">
        <f>-'NVDA - Balance Sheet FY'!F29</f>
        <v>0</v>
      </c>
      <c r="G18" s="152">
        <f>-'NVDA - Balance Sheet FY'!G29</f>
        <v>0</v>
      </c>
      <c r="H18" s="152">
        <f>-'NVDA - Balance Sheet FY'!H29</f>
        <v>0</v>
      </c>
    </row>
    <row r="19" spans="1:8" x14ac:dyDescent="0.25">
      <c r="A19" s="17" t="s">
        <v>232</v>
      </c>
      <c r="B19" s="152">
        <f>-'NVDA - Balance Sheet FY'!B30</f>
        <v>0</v>
      </c>
      <c r="C19" s="152">
        <f>-'NVDA - Balance Sheet FY'!C30</f>
        <v>0</v>
      </c>
      <c r="D19" s="152">
        <f>-'NVDA - Balance Sheet FY'!D30</f>
        <v>0</v>
      </c>
      <c r="E19" s="152">
        <f>-'NVDA - Balance Sheet FY'!E30</f>
        <v>0</v>
      </c>
      <c r="F19" s="152">
        <f>-'NVDA - Balance Sheet FY'!F30</f>
        <v>0</v>
      </c>
      <c r="G19" s="152">
        <f>-'NVDA - Balance Sheet FY'!G30</f>
        <v>0</v>
      </c>
      <c r="H19" s="152">
        <f>-'NVDA - Balance Sheet FY'!H30</f>
        <v>0</v>
      </c>
    </row>
    <row r="20" spans="1:8" x14ac:dyDescent="0.25">
      <c r="A20" s="17" t="s">
        <v>233</v>
      </c>
      <c r="B20" s="152">
        <f>-'NVDA - Balance Sheet FY'!B31</f>
        <v>-21352</v>
      </c>
      <c r="C20" s="152">
        <f>-'NVDA - Balance Sheet FY'!C31</f>
        <v>-11737</v>
      </c>
      <c r="D20" s="152">
        <f>-'NVDA - Balance Sheet FY'!D31</f>
        <v>-6682</v>
      </c>
      <c r="E20" s="152">
        <f>-'NVDA - Balance Sheet FY'!E31</f>
        <v>-4120</v>
      </c>
      <c r="F20" s="152">
        <f>-'NVDA - Balance Sheet FY'!F31</f>
        <v>-2552</v>
      </c>
      <c r="G20" s="152">
        <f>-'NVDA - Balance Sheet FY'!G31</f>
        <v>-2776</v>
      </c>
      <c r="H20" s="152">
        <f>-'NVDA - Balance Sheet FY'!H31</f>
        <v>-1097</v>
      </c>
    </row>
    <row r="21" spans="1:8" x14ac:dyDescent="0.25">
      <c r="A21" s="19" t="s">
        <v>234</v>
      </c>
      <c r="B21" s="153">
        <f t="shared" ref="B21:H21" si="1">SUM(B17:B20)+B127</f>
        <v>-30792</v>
      </c>
      <c r="C21" s="153">
        <f t="shared" si="1"/>
        <v>-17759</v>
      </c>
      <c r="D21" s="153">
        <f t="shared" si="1"/>
        <v>-9153</v>
      </c>
      <c r="E21" s="153">
        <f t="shared" si="1"/>
        <v>-5137</v>
      </c>
      <c r="F21" s="153">
        <f t="shared" si="1"/>
        <v>-4191</v>
      </c>
      <c r="G21" s="153">
        <f t="shared" si="1"/>
        <v>-3804</v>
      </c>
      <c r="H21" s="153">
        <f t="shared" si="1"/>
        <v>-1693</v>
      </c>
    </row>
    <row r="22" spans="1:8" x14ac:dyDescent="0.25">
      <c r="A22" s="19" t="s">
        <v>235</v>
      </c>
      <c r="B22" s="154">
        <f t="shared" ref="B22:H22" si="2">B16+B21</f>
        <v>36575.760000000009</v>
      </c>
      <c r="C22" s="154">
        <f t="shared" si="2"/>
        <v>21766.940000000002</v>
      </c>
      <c r="D22" s="154">
        <f t="shared" si="2"/>
        <v>10426.440000000002</v>
      </c>
      <c r="E22" s="154">
        <f t="shared" si="2"/>
        <v>5179.4799999999996</v>
      </c>
      <c r="F22" s="154">
        <f t="shared" si="2"/>
        <v>3968.2799999999997</v>
      </c>
      <c r="G22" s="154">
        <f t="shared" si="2"/>
        <v>1023.5</v>
      </c>
      <c r="H22" s="154">
        <f t="shared" si="2"/>
        <v>1318.3600000000001</v>
      </c>
    </row>
    <row r="23" spans="1:8" x14ac:dyDescent="0.25">
      <c r="A23" s="17"/>
      <c r="B23" s="17"/>
      <c r="C23" s="17"/>
      <c r="D23" s="17"/>
      <c r="E23" s="17"/>
      <c r="F23" s="17"/>
      <c r="G23" s="17"/>
      <c r="H23" s="17"/>
    </row>
    <row r="24" spans="1:8" x14ac:dyDescent="0.25">
      <c r="A24" s="17" t="s">
        <v>236</v>
      </c>
      <c r="B24" s="152">
        <f>'NVDA - Balance Sheet FY'!B15</f>
        <v>10383</v>
      </c>
      <c r="C24" s="152">
        <f>'NVDA - Balance Sheet FY'!C15</f>
        <v>6283</v>
      </c>
      <c r="D24" s="152">
        <f>'NVDA - Balance Sheet FY'!D15</f>
        <v>3914</v>
      </c>
      <c r="E24" s="152">
        <f>'NVDA - Balance Sheet FY'!E15</f>
        <v>3807</v>
      </c>
      <c r="F24" s="152">
        <f>'NVDA - Balance Sheet FY'!F15</f>
        <v>2778</v>
      </c>
      <c r="G24" s="152">
        <f>'NVDA - Balance Sheet FY'!G15</f>
        <v>2149</v>
      </c>
      <c r="H24" s="152">
        <f>'NVDA - Balance Sheet FY'!H15</f>
        <v>1674</v>
      </c>
    </row>
    <row r="25" spans="1:8" x14ac:dyDescent="0.25">
      <c r="A25" s="17" t="s">
        <v>66</v>
      </c>
      <c r="B25" s="152">
        <f>'NVDA - Balance Sheet FY'!B16</f>
        <v>20832</v>
      </c>
      <c r="C25" s="152">
        <f>'NVDA - Balance Sheet FY'!C16</f>
        <v>5188</v>
      </c>
      <c r="D25" s="152">
        <f>'NVDA - Balance Sheet FY'!D16</f>
        <v>4430</v>
      </c>
      <c r="E25" s="152">
        <f>'NVDA - Balance Sheet FY'!E16</f>
        <v>4372</v>
      </c>
      <c r="F25" s="152">
        <f>'NVDA - Balance Sheet FY'!F16</f>
        <v>4349</v>
      </c>
      <c r="G25" s="152">
        <f>'NVDA - Balance Sheet FY'!G16</f>
        <v>4193</v>
      </c>
      <c r="H25" s="152">
        <f>'NVDA - Balance Sheet FY'!H16</f>
        <v>618</v>
      </c>
    </row>
    <row r="26" spans="1:8" x14ac:dyDescent="0.25">
      <c r="A26" s="17" t="s">
        <v>237</v>
      </c>
      <c r="B26" s="152">
        <f>'NVDA - Balance Sheet FY'!B17</f>
        <v>3306</v>
      </c>
      <c r="C26" s="152">
        <f>'NVDA - Balance Sheet FY'!C17</f>
        <v>807</v>
      </c>
      <c r="D26" s="152">
        <f>'NVDA - Balance Sheet FY'!D17</f>
        <v>1112</v>
      </c>
      <c r="E26" s="152">
        <f>'NVDA - Balance Sheet FY'!E17</f>
        <v>1676</v>
      </c>
      <c r="F26" s="152">
        <f>'NVDA - Balance Sheet FY'!F17</f>
        <v>2339</v>
      </c>
      <c r="G26" s="152">
        <f>'NVDA - Balance Sheet FY'!G17</f>
        <v>2737</v>
      </c>
      <c r="H26" s="152">
        <f>'NVDA - Balance Sheet FY'!H17</f>
        <v>49</v>
      </c>
    </row>
    <row r="27" spans="1:8" x14ac:dyDescent="0.25">
      <c r="A27" s="17" t="s">
        <v>238</v>
      </c>
      <c r="B27" s="152">
        <f>'NVDA - Balance Sheet FY'!B21</f>
        <v>24426</v>
      </c>
      <c r="C27" s="152">
        <f>'NVDA - Balance Sheet FY'!C21</f>
        <v>15810</v>
      </c>
      <c r="D27" s="152">
        <f>'NVDA - Balance Sheet FY'!D21</f>
        <v>11927</v>
      </c>
      <c r="E27" s="152">
        <f>'NVDA - Balance Sheet FY'!E21</f>
        <v>8254</v>
      </c>
      <c r="F27" s="152">
        <f>'NVDA - Balance Sheet FY'!F21</f>
        <v>5892</v>
      </c>
      <c r="G27" s="152">
        <f>'NVDA - Balance Sheet FY'!G21</f>
        <v>3657</v>
      </c>
      <c r="H27" s="152">
        <f>'NVDA - Balance Sheet FY'!H21</f>
        <v>1284</v>
      </c>
    </row>
    <row r="28" spans="1:8" x14ac:dyDescent="0.25">
      <c r="A28" s="17" t="s">
        <v>239</v>
      </c>
      <c r="B28" s="152">
        <f>-'NVDA - Balance Sheet FY'!B35</f>
        <v>0</v>
      </c>
      <c r="C28" s="152">
        <f>-'NVDA - Balance Sheet FY'!C35</f>
        <v>0</v>
      </c>
      <c r="D28" s="152">
        <f>-'NVDA - Balance Sheet FY'!D35</f>
        <v>0</v>
      </c>
      <c r="E28" s="152">
        <f>-'NVDA - Balance Sheet FY'!E35</f>
        <v>0</v>
      </c>
      <c r="F28" s="152">
        <f>-'NVDA - Balance Sheet FY'!F35</f>
        <v>0</v>
      </c>
      <c r="G28" s="152">
        <f>-'NVDA - Balance Sheet FY'!G35</f>
        <v>0</v>
      </c>
      <c r="H28" s="152">
        <f>-'NVDA - Balance Sheet FY'!H35</f>
        <v>0</v>
      </c>
    </row>
    <row r="29" spans="1:8" x14ac:dyDescent="0.25">
      <c r="A29" s="17" t="s">
        <v>240</v>
      </c>
      <c r="B29" s="152">
        <f>-'NVDA - Balance Sheet FY'!B36</f>
        <v>0</v>
      </c>
      <c r="C29" s="152">
        <f>-'NVDA - Balance Sheet FY'!C36</f>
        <v>0</v>
      </c>
      <c r="D29" s="152">
        <f>-'NVDA - Balance Sheet FY'!D36</f>
        <v>0</v>
      </c>
      <c r="E29" s="152">
        <f>-'NVDA - Balance Sheet FY'!E36</f>
        <v>0</v>
      </c>
      <c r="F29" s="152">
        <f>-'NVDA - Balance Sheet FY'!F36</f>
        <v>0</v>
      </c>
      <c r="G29" s="152">
        <f>-'NVDA - Balance Sheet FY'!G36</f>
        <v>0</v>
      </c>
      <c r="H29" s="152">
        <f>-'NVDA - Balance Sheet FY'!H36</f>
        <v>0</v>
      </c>
    </row>
    <row r="30" spans="1:8" x14ac:dyDescent="0.25">
      <c r="A30" s="17" t="s">
        <v>241</v>
      </c>
      <c r="B30" s="152">
        <f>-'NVDA - Balance Sheet FY'!B37+B128</f>
        <v>-7306</v>
      </c>
      <c r="C30" s="152">
        <f>-'NVDA - Balance Sheet FY'!C37+C128</f>
        <v>-4245</v>
      </c>
      <c r="D30" s="152">
        <f>-'NVDA - Balance Sheet FY'!D37+D128</f>
        <v>-2541</v>
      </c>
      <c r="E30" s="152">
        <f>-'NVDA - Balance Sheet FY'!E37+E128</f>
        <v>-1913</v>
      </c>
      <c r="F30" s="152">
        <f>-'NVDA - Balance Sheet FY'!F37+F128</f>
        <v>-1553</v>
      </c>
      <c r="G30" s="152">
        <f>-'NVDA - Balance Sheet FY'!G37+G128</f>
        <v>-1375</v>
      </c>
      <c r="H30" s="152">
        <f>-'NVDA - Balance Sheet FY'!H37+H128</f>
        <v>-775</v>
      </c>
    </row>
    <row r="31" spans="1:8" x14ac:dyDescent="0.25">
      <c r="A31" s="19" t="s">
        <v>242</v>
      </c>
      <c r="B31" s="154">
        <f t="shared" ref="B31:H31" si="3">B22+B24+B26+B27+B28+B29+B30</f>
        <v>67384.760000000009</v>
      </c>
      <c r="C31" s="154">
        <f t="shared" si="3"/>
        <v>40421.94</v>
      </c>
      <c r="D31" s="154">
        <f t="shared" si="3"/>
        <v>24838.440000000002</v>
      </c>
      <c r="E31" s="154">
        <f t="shared" si="3"/>
        <v>17003.48</v>
      </c>
      <c r="F31" s="154">
        <f t="shared" si="3"/>
        <v>13424.279999999999</v>
      </c>
      <c r="G31" s="154">
        <f t="shared" si="3"/>
        <v>8191.5</v>
      </c>
      <c r="H31" s="154">
        <f t="shared" si="3"/>
        <v>3550.3600000000006</v>
      </c>
    </row>
    <row r="32" spans="1:8" x14ac:dyDescent="0.25">
      <c r="A32" s="19" t="s">
        <v>243</v>
      </c>
      <c r="B32" s="154">
        <f t="shared" ref="B32:H32" si="4">B31+B25</f>
        <v>88216.760000000009</v>
      </c>
      <c r="C32" s="154">
        <f t="shared" si="4"/>
        <v>45609.94</v>
      </c>
      <c r="D32" s="154">
        <f t="shared" si="4"/>
        <v>29268.440000000002</v>
      </c>
      <c r="E32" s="154">
        <f t="shared" si="4"/>
        <v>21375.48</v>
      </c>
      <c r="F32" s="154">
        <f t="shared" si="4"/>
        <v>17773.28</v>
      </c>
      <c r="G32" s="154">
        <f t="shared" si="4"/>
        <v>12384.5</v>
      </c>
      <c r="H32" s="154">
        <f t="shared" si="4"/>
        <v>4168.3600000000006</v>
      </c>
    </row>
    <row r="33" spans="1:8" x14ac:dyDescent="0.25">
      <c r="A33" s="17"/>
      <c r="B33" s="17"/>
      <c r="C33" s="17"/>
      <c r="D33" s="17"/>
      <c r="E33" s="17"/>
      <c r="F33" s="17"/>
      <c r="G33" s="17"/>
      <c r="H33" s="17"/>
    </row>
    <row r="34" spans="1:8" x14ac:dyDescent="0.25">
      <c r="A34" s="20" t="s">
        <v>244</v>
      </c>
      <c r="B34" s="20"/>
      <c r="C34" s="20"/>
      <c r="D34" s="20"/>
      <c r="E34" s="20"/>
      <c r="F34" s="20"/>
      <c r="G34" s="20"/>
      <c r="H34" s="20"/>
    </row>
    <row r="35" spans="1:8" x14ac:dyDescent="0.25">
      <c r="A35" s="17" t="s">
        <v>245</v>
      </c>
      <c r="B35" s="152">
        <f>'NVDA - Balance Sheet FY'!B7-B12</f>
        <v>6286.24</v>
      </c>
      <c r="C35" s="152">
        <f>'NVDA - Balance Sheet FY'!C7-C12</f>
        <v>5979.0599999999995</v>
      </c>
      <c r="D35" s="152">
        <f>'NVDA - Balance Sheet FY'!D7-D12</f>
        <v>6061.5599999999995</v>
      </c>
      <c r="E35" s="152">
        <f>'NVDA - Balance Sheet FY'!E7-E12</f>
        <v>2849.52</v>
      </c>
      <c r="F35" s="152">
        <f>'NVDA - Balance Sheet FY'!F7-F12</f>
        <v>1451.72</v>
      </c>
      <c r="G35" s="152">
        <f>'NVDA - Balance Sheet FY'!G7-G12</f>
        <v>513.5</v>
      </c>
      <c r="H35" s="152">
        <f>'NVDA - Balance Sheet FY'!H7-H12</f>
        <v>10677.64</v>
      </c>
    </row>
    <row r="36" spans="1:8" x14ac:dyDescent="0.25">
      <c r="A36" s="17" t="s">
        <v>246</v>
      </c>
      <c r="B36" s="152">
        <f>'NVDA - Balance Sheet FY'!B8</f>
        <v>51951</v>
      </c>
      <c r="C36" s="152">
        <f>'NVDA - Balance Sheet FY'!C8</f>
        <v>34621</v>
      </c>
      <c r="D36" s="152">
        <f>'NVDA - Balance Sheet FY'!D8</f>
        <v>18704</v>
      </c>
      <c r="E36" s="152">
        <f>'NVDA - Balance Sheet FY'!E8</f>
        <v>9907</v>
      </c>
      <c r="F36" s="152">
        <f>'NVDA - Balance Sheet FY'!F8</f>
        <v>19218</v>
      </c>
      <c r="G36" s="152">
        <f>'NVDA - Balance Sheet FY'!G8</f>
        <v>10714</v>
      </c>
      <c r="H36" s="152">
        <f>'NVDA - Balance Sheet FY'!H8</f>
        <v>1</v>
      </c>
    </row>
    <row r="37" spans="1:8" x14ac:dyDescent="0.25">
      <c r="A37" s="17" t="s">
        <v>247</v>
      </c>
      <c r="B37" s="152">
        <f>'NVDA - Balance Sheet FY'!B19</f>
        <v>22251</v>
      </c>
      <c r="C37" s="152">
        <f>'NVDA - Balance Sheet FY'!C19</f>
        <v>3387</v>
      </c>
      <c r="D37" s="152">
        <f>'NVDA - Balance Sheet FY'!D19</f>
        <v>0</v>
      </c>
      <c r="E37" s="152">
        <f>'NVDA - Balance Sheet FY'!E19</f>
        <v>0</v>
      </c>
      <c r="F37" s="152">
        <f>'NVDA - Balance Sheet FY'!F19</f>
        <v>0</v>
      </c>
      <c r="G37" s="152">
        <f>'NVDA - Balance Sheet FY'!G19</f>
        <v>0</v>
      </c>
      <c r="H37" s="152">
        <f>'NVDA - Balance Sheet FY'!H19</f>
        <v>0</v>
      </c>
    </row>
    <row r="38" spans="1:8" x14ac:dyDescent="0.25">
      <c r="A38" s="17" t="s">
        <v>248</v>
      </c>
      <c r="B38" s="152">
        <f>'NVDA - Balance Sheet FY'!B20</f>
        <v>0</v>
      </c>
      <c r="C38" s="152">
        <f>'NVDA - Balance Sheet FY'!C20</f>
        <v>0</v>
      </c>
      <c r="D38" s="152">
        <f>'NVDA - Balance Sheet FY'!D20</f>
        <v>0</v>
      </c>
      <c r="E38" s="152">
        <f>'NVDA - Balance Sheet FY'!E20</f>
        <v>0</v>
      </c>
      <c r="F38" s="152">
        <f>'NVDA - Balance Sheet FY'!F20</f>
        <v>0</v>
      </c>
      <c r="G38" s="152">
        <f>'NVDA - Balance Sheet FY'!G20</f>
        <v>0</v>
      </c>
      <c r="H38" s="152">
        <f>'NVDA - Balance Sheet FY'!H20</f>
        <v>0</v>
      </c>
    </row>
    <row r="39" spans="1:8" x14ac:dyDescent="0.25">
      <c r="A39" s="17" t="s">
        <v>249</v>
      </c>
      <c r="B39" s="152">
        <f>'NVDA - Balance Sheet FY'!B24</f>
        <v>0</v>
      </c>
      <c r="C39" s="152">
        <f>'NVDA - Balance Sheet FY'!C24</f>
        <v>0</v>
      </c>
      <c r="D39" s="152">
        <f>'NVDA - Balance Sheet FY'!D24</f>
        <v>0</v>
      </c>
      <c r="E39" s="152">
        <f>'NVDA - Balance Sheet FY'!E24</f>
        <v>0</v>
      </c>
      <c r="F39" s="152">
        <f>'NVDA - Balance Sheet FY'!F24</f>
        <v>0</v>
      </c>
      <c r="G39" s="152">
        <f>'NVDA - Balance Sheet FY'!G24</f>
        <v>0</v>
      </c>
      <c r="H39" s="152">
        <f>'NVDA - Balance Sheet FY'!H24</f>
        <v>0</v>
      </c>
    </row>
    <row r="40" spans="1:8" x14ac:dyDescent="0.25">
      <c r="A40" s="19" t="s">
        <v>250</v>
      </c>
      <c r="B40" s="154">
        <f t="shared" ref="B40:H40" si="5">SUM(B35:B39)</f>
        <v>80488.239999999991</v>
      </c>
      <c r="C40" s="154">
        <f t="shared" si="5"/>
        <v>43987.06</v>
      </c>
      <c r="D40" s="154">
        <f t="shared" si="5"/>
        <v>24765.559999999998</v>
      </c>
      <c r="E40" s="154">
        <f t="shared" si="5"/>
        <v>12756.52</v>
      </c>
      <c r="F40" s="154">
        <f t="shared" si="5"/>
        <v>20669.72</v>
      </c>
      <c r="G40" s="154">
        <f t="shared" si="5"/>
        <v>11227.5</v>
      </c>
      <c r="H40" s="154">
        <f t="shared" si="5"/>
        <v>10678.64</v>
      </c>
    </row>
    <row r="41" spans="1:8" x14ac:dyDescent="0.25">
      <c r="A41" s="17"/>
      <c r="B41" s="17"/>
      <c r="C41" s="17"/>
      <c r="D41" s="17"/>
      <c r="E41" s="17"/>
      <c r="F41" s="17"/>
      <c r="G41" s="17"/>
      <c r="H41" s="17"/>
    </row>
    <row r="42" spans="1:8" x14ac:dyDescent="0.25">
      <c r="A42" s="20" t="s">
        <v>251</v>
      </c>
      <c r="B42" s="155">
        <f t="shared" ref="B42:H42" si="6">B32+B40</f>
        <v>168705</v>
      </c>
      <c r="C42" s="155">
        <f t="shared" si="6"/>
        <v>89597</v>
      </c>
      <c r="D42" s="155">
        <f t="shared" si="6"/>
        <v>54034</v>
      </c>
      <c r="E42" s="155">
        <f t="shared" si="6"/>
        <v>34132</v>
      </c>
      <c r="F42" s="155">
        <f t="shared" si="6"/>
        <v>38443</v>
      </c>
      <c r="G42" s="155">
        <f t="shared" si="6"/>
        <v>23612</v>
      </c>
      <c r="H42" s="155">
        <f t="shared" si="6"/>
        <v>14847</v>
      </c>
    </row>
    <row r="43" spans="1:8" x14ac:dyDescent="0.25">
      <c r="A43" s="17"/>
      <c r="B43" s="17"/>
      <c r="C43" s="17"/>
      <c r="D43" s="17"/>
      <c r="E43" s="17"/>
      <c r="F43" s="17"/>
      <c r="G43" s="17"/>
      <c r="H43" s="17"/>
    </row>
    <row r="44" spans="1:8" x14ac:dyDescent="0.25">
      <c r="A44" s="20" t="s">
        <v>252</v>
      </c>
      <c r="B44" s="20"/>
      <c r="C44" s="20"/>
      <c r="D44" s="20"/>
      <c r="E44" s="20"/>
      <c r="F44" s="20"/>
      <c r="G44" s="20"/>
      <c r="H44" s="20"/>
    </row>
    <row r="45" spans="1:8" x14ac:dyDescent="0.25">
      <c r="A45" s="17" t="s">
        <v>253</v>
      </c>
      <c r="B45" s="152">
        <f>'NVDA - Balance Sheet FY'!B28</f>
        <v>999</v>
      </c>
      <c r="C45" s="152">
        <f>'NVDA - Balance Sheet FY'!C28</f>
        <v>0</v>
      </c>
      <c r="D45" s="152">
        <f>'NVDA - Balance Sheet FY'!D28</f>
        <v>1250</v>
      </c>
      <c r="E45" s="152">
        <f>'NVDA - Balance Sheet FY'!E28</f>
        <v>1250</v>
      </c>
      <c r="F45" s="152">
        <f>'NVDA - Balance Sheet FY'!F28</f>
        <v>0</v>
      </c>
      <c r="G45" s="152">
        <f>'NVDA - Balance Sheet FY'!G28</f>
        <v>0</v>
      </c>
      <c r="H45" s="152">
        <f>'NVDA - Balance Sheet FY'!H28</f>
        <v>0</v>
      </c>
    </row>
    <row r="46" spans="1:8" x14ac:dyDescent="0.25">
      <c r="A46" s="17" t="s">
        <v>254</v>
      </c>
      <c r="B46" s="152">
        <f>'NVDA - Balance Sheet FY'!B34</f>
        <v>7469</v>
      </c>
      <c r="C46" s="152">
        <f>'NVDA - Balance Sheet FY'!C34</f>
        <v>8463</v>
      </c>
      <c r="D46" s="152">
        <f>'NVDA - Balance Sheet FY'!D34</f>
        <v>8459</v>
      </c>
      <c r="E46" s="152">
        <f>'NVDA - Balance Sheet FY'!E34</f>
        <v>9703</v>
      </c>
      <c r="F46" s="152">
        <f>'NVDA - Balance Sheet FY'!F34</f>
        <v>10946</v>
      </c>
      <c r="G46" s="152">
        <f>'NVDA - Balance Sheet FY'!G34</f>
        <v>5964</v>
      </c>
      <c r="H46" s="152">
        <f>'NVDA - Balance Sheet FY'!H34</f>
        <v>1991</v>
      </c>
    </row>
    <row r="47" spans="1:8" x14ac:dyDescent="0.25">
      <c r="A47" s="19" t="s">
        <v>255</v>
      </c>
      <c r="B47" s="153">
        <f t="shared" ref="B47:H47" si="7">B45+B46</f>
        <v>8468</v>
      </c>
      <c r="C47" s="153">
        <f t="shared" si="7"/>
        <v>8463</v>
      </c>
      <c r="D47" s="153">
        <f t="shared" si="7"/>
        <v>9709</v>
      </c>
      <c r="E47" s="153">
        <f t="shared" si="7"/>
        <v>10953</v>
      </c>
      <c r="F47" s="153">
        <f t="shared" si="7"/>
        <v>10946</v>
      </c>
      <c r="G47" s="153">
        <f t="shared" si="7"/>
        <v>5964</v>
      </c>
      <c r="H47" s="153">
        <f t="shared" si="7"/>
        <v>1991</v>
      </c>
    </row>
    <row r="48" spans="1:8" x14ac:dyDescent="0.25">
      <c r="A48" s="17" t="s">
        <v>256</v>
      </c>
      <c r="B48" s="152">
        <f>'NVDA - Balance Sheet FY'!B47</f>
        <v>157293</v>
      </c>
      <c r="C48" s="152">
        <f>'NVDA - Balance Sheet FY'!C47</f>
        <v>79327</v>
      </c>
      <c r="D48" s="152">
        <f>'NVDA - Balance Sheet FY'!D47</f>
        <v>42978</v>
      </c>
      <c r="E48" s="152">
        <f>'NVDA - Balance Sheet FY'!E47</f>
        <v>22101</v>
      </c>
      <c r="F48" s="152">
        <f>'NVDA - Balance Sheet FY'!F47</f>
        <v>26612</v>
      </c>
      <c r="G48" s="152">
        <f>'NVDA - Balance Sheet FY'!G47</f>
        <v>16893</v>
      </c>
      <c r="H48" s="152">
        <f>'NVDA - Balance Sheet FY'!H47</f>
        <v>12204</v>
      </c>
    </row>
    <row r="49" spans="1:8" x14ac:dyDescent="0.25">
      <c r="A49" s="17" t="s">
        <v>283</v>
      </c>
      <c r="B49" s="152">
        <f>'NVDA - Balance Sheet FY'!B40+('NVDA - Balance Sheet FY'!B49-'NVDA - Balance Sheet FY'!B41-'NVDA - Balance Sheet FY'!B47)</f>
        <v>0</v>
      </c>
      <c r="C49" s="152">
        <f>'NVDA - Balance Sheet FY'!C40+('NVDA - Balance Sheet FY'!C49-'NVDA - Balance Sheet FY'!C41-'NVDA - Balance Sheet FY'!C47)</f>
        <v>0</v>
      </c>
      <c r="D49" s="152">
        <f>'NVDA - Balance Sheet FY'!D40+('NVDA - Balance Sheet FY'!D49-'NVDA - Balance Sheet FY'!D41-'NVDA - Balance Sheet FY'!D47)</f>
        <v>0</v>
      </c>
      <c r="E49" s="152">
        <f>'NVDA - Balance Sheet FY'!E40+('NVDA - Balance Sheet FY'!E49-'NVDA - Balance Sheet FY'!E41-'NVDA - Balance Sheet FY'!E47)</f>
        <v>0</v>
      </c>
      <c r="F49" s="152">
        <f>'NVDA - Balance Sheet FY'!F40+('NVDA - Balance Sheet FY'!F49-'NVDA - Balance Sheet FY'!F41-'NVDA - Balance Sheet FY'!F47)</f>
        <v>0</v>
      </c>
      <c r="G49" s="152">
        <f>'NVDA - Balance Sheet FY'!G40+('NVDA - Balance Sheet FY'!G49-'NVDA - Balance Sheet FY'!G41-'NVDA - Balance Sheet FY'!G47)</f>
        <v>0</v>
      </c>
      <c r="H49" s="152">
        <f>'NVDA - Balance Sheet FY'!H40+('NVDA - Balance Sheet FY'!H49-'NVDA - Balance Sheet FY'!H41-'NVDA - Balance Sheet FY'!H47)</f>
        <v>0</v>
      </c>
    </row>
    <row r="50" spans="1:8" x14ac:dyDescent="0.25">
      <c r="A50" s="19" t="s">
        <v>257</v>
      </c>
      <c r="B50" s="154">
        <f t="shared" ref="B50:H50" si="8">B47+B48+B49+B129</f>
        <v>168705</v>
      </c>
      <c r="C50" s="154">
        <f t="shared" si="8"/>
        <v>89597</v>
      </c>
      <c r="D50" s="154">
        <f t="shared" si="8"/>
        <v>54034</v>
      </c>
      <c r="E50" s="154">
        <f t="shared" si="8"/>
        <v>34132</v>
      </c>
      <c r="F50" s="154">
        <f t="shared" si="8"/>
        <v>38443</v>
      </c>
      <c r="G50" s="154">
        <f t="shared" si="8"/>
        <v>23612</v>
      </c>
      <c r="H50" s="154">
        <f t="shared" si="8"/>
        <v>14847</v>
      </c>
    </row>
    <row r="51" spans="1:8" x14ac:dyDescent="0.25">
      <c r="A51" s="22" t="s">
        <v>258</v>
      </c>
      <c r="B51" s="156">
        <f t="shared" ref="B51:H51" si="9">B42-B50</f>
        <v>0</v>
      </c>
      <c r="C51" s="156">
        <f t="shared" si="9"/>
        <v>0</v>
      </c>
      <c r="D51" s="156">
        <f t="shared" si="9"/>
        <v>0</v>
      </c>
      <c r="E51" s="156">
        <f t="shared" si="9"/>
        <v>0</v>
      </c>
      <c r="F51" s="156">
        <f t="shared" si="9"/>
        <v>0</v>
      </c>
      <c r="G51" s="156">
        <f t="shared" si="9"/>
        <v>0</v>
      </c>
      <c r="H51" s="156">
        <f t="shared" si="9"/>
        <v>0</v>
      </c>
    </row>
    <row r="52" spans="1:8" x14ac:dyDescent="0.25">
      <c r="A52" s="17"/>
      <c r="B52" s="17"/>
      <c r="C52" s="17"/>
      <c r="D52" s="17"/>
      <c r="E52" s="17"/>
      <c r="F52" s="17"/>
      <c r="G52" s="17"/>
      <c r="H52" s="17"/>
    </row>
    <row r="53" spans="1:8" x14ac:dyDescent="0.25">
      <c r="A53" s="20" t="s">
        <v>259</v>
      </c>
      <c r="B53" s="20"/>
      <c r="C53" s="20"/>
      <c r="D53" s="20"/>
      <c r="E53" s="20"/>
      <c r="F53" s="20"/>
      <c r="G53" s="20"/>
      <c r="H53" s="20"/>
    </row>
    <row r="54" spans="1:8" x14ac:dyDescent="0.25">
      <c r="A54" s="17" t="s">
        <v>260</v>
      </c>
      <c r="B54" s="152">
        <f>'NVDA - Income Statement FY'!B25</f>
        <v>130387</v>
      </c>
      <c r="C54" s="152">
        <f>'NVDA - Income Statement FY'!C25</f>
        <v>81453</v>
      </c>
      <c r="D54" s="152">
        <f>'NVDA - Income Statement FY'!D25</f>
        <v>32972</v>
      </c>
      <c r="E54" s="152">
        <f>'NVDA - Income Statement FY'!E25</f>
        <v>4224</v>
      </c>
      <c r="F54" s="152">
        <f>'NVDA - Income Statement FY'!F25</f>
        <v>10041</v>
      </c>
      <c r="G54" s="152">
        <f>'NVDA - Income Statement FY'!G25</f>
        <v>4532</v>
      </c>
      <c r="H54" s="152">
        <f>'NVDA - Income Statement FY'!H25</f>
        <v>2846</v>
      </c>
    </row>
    <row r="55" spans="1:8" x14ac:dyDescent="0.25">
      <c r="A55" s="17" t="s">
        <v>261</v>
      </c>
      <c r="B55" s="156">
        <f t="shared" ref="B55:H55" si="10">-B54*$B$9</f>
        <v>-27381.27</v>
      </c>
      <c r="C55" s="156">
        <f t="shared" si="10"/>
        <v>-17105.13</v>
      </c>
      <c r="D55" s="156">
        <f t="shared" si="10"/>
        <v>-6924.12</v>
      </c>
      <c r="E55" s="156">
        <f t="shared" si="10"/>
        <v>-887.04</v>
      </c>
      <c r="F55" s="156">
        <f t="shared" si="10"/>
        <v>-2108.61</v>
      </c>
      <c r="G55" s="156">
        <f t="shared" si="10"/>
        <v>-951.71999999999991</v>
      </c>
      <c r="H55" s="156">
        <f t="shared" si="10"/>
        <v>-597.66</v>
      </c>
    </row>
    <row r="56" spans="1:8" x14ac:dyDescent="0.25">
      <c r="A56" s="19" t="s">
        <v>259</v>
      </c>
      <c r="B56" s="154">
        <f t="shared" ref="B56:H56" si="11">B54+B55</f>
        <v>103005.73</v>
      </c>
      <c r="C56" s="154">
        <f t="shared" si="11"/>
        <v>64347.869999999995</v>
      </c>
      <c r="D56" s="154">
        <f t="shared" si="11"/>
        <v>26047.88</v>
      </c>
      <c r="E56" s="154">
        <f t="shared" si="11"/>
        <v>3336.96</v>
      </c>
      <c r="F56" s="154">
        <f t="shared" si="11"/>
        <v>7932.3899999999994</v>
      </c>
      <c r="G56" s="154">
        <f t="shared" si="11"/>
        <v>3580.28</v>
      </c>
      <c r="H56" s="154">
        <f t="shared" si="11"/>
        <v>2248.34</v>
      </c>
    </row>
    <row r="57" spans="1:8" x14ac:dyDescent="0.25">
      <c r="A57" s="17"/>
      <c r="B57" s="17"/>
      <c r="C57" s="17"/>
      <c r="D57" s="17"/>
      <c r="E57" s="17"/>
      <c r="F57" s="17"/>
      <c r="G57" s="17"/>
      <c r="H57" s="17"/>
    </row>
    <row r="58" spans="1:8" x14ac:dyDescent="0.25">
      <c r="A58" s="17" t="s">
        <v>259</v>
      </c>
      <c r="B58" s="156">
        <f t="shared" ref="B58:H58" si="12">B56</f>
        <v>103005.73</v>
      </c>
      <c r="C58" s="156">
        <f t="shared" si="12"/>
        <v>64347.869999999995</v>
      </c>
      <c r="D58" s="156">
        <f t="shared" si="12"/>
        <v>26047.88</v>
      </c>
      <c r="E58" s="156">
        <f t="shared" si="12"/>
        <v>3336.96</v>
      </c>
      <c r="F58" s="156">
        <f t="shared" si="12"/>
        <v>7932.3899999999994</v>
      </c>
      <c r="G58" s="156">
        <f t="shared" si="12"/>
        <v>3580.28</v>
      </c>
      <c r="H58" s="156">
        <f t="shared" si="12"/>
        <v>2248.34</v>
      </c>
    </row>
    <row r="59" spans="1:8" x14ac:dyDescent="0.25">
      <c r="A59" s="17" t="s">
        <v>262</v>
      </c>
      <c r="B59" s="152">
        <f>'NVDA - Income Statement FY'!B28</f>
        <v>11063</v>
      </c>
      <c r="C59" s="152">
        <f>'NVDA - Income Statement FY'!C28</f>
        <v>2573</v>
      </c>
      <c r="D59" s="152">
        <f>'NVDA - Income Statement FY'!D28</f>
        <v>846</v>
      </c>
      <c r="E59" s="152">
        <f>'NVDA - Income Statement FY'!E28</f>
        <v>-43</v>
      </c>
      <c r="F59" s="152">
        <f>'NVDA - Income Statement FY'!F28</f>
        <v>-100</v>
      </c>
      <c r="G59" s="152">
        <f>'NVDA - Income Statement FY'!G28</f>
        <v>-123</v>
      </c>
      <c r="H59" s="152">
        <f>'NVDA - Income Statement FY'!H28</f>
        <v>124</v>
      </c>
    </row>
    <row r="60" spans="1:8" x14ac:dyDescent="0.25">
      <c r="A60" s="17" t="s">
        <v>263</v>
      </c>
      <c r="B60" s="156">
        <f t="shared" ref="B60:H60" si="13">-B55</f>
        <v>27381.27</v>
      </c>
      <c r="C60" s="156">
        <f t="shared" si="13"/>
        <v>17105.13</v>
      </c>
      <c r="D60" s="156">
        <f t="shared" si="13"/>
        <v>6924.12</v>
      </c>
      <c r="E60" s="156">
        <f t="shared" si="13"/>
        <v>887.04</v>
      </c>
      <c r="F60" s="156">
        <f t="shared" si="13"/>
        <v>2108.61</v>
      </c>
      <c r="G60" s="156">
        <f t="shared" si="13"/>
        <v>951.71999999999991</v>
      </c>
      <c r="H60" s="156">
        <f t="shared" si="13"/>
        <v>597.66</v>
      </c>
    </row>
    <row r="61" spans="1:8" x14ac:dyDescent="0.25">
      <c r="A61" s="17" t="s">
        <v>264</v>
      </c>
      <c r="B61" s="152">
        <f>-'NVDA - Income Statement FY'!B31</f>
        <v>-21383</v>
      </c>
      <c r="C61" s="152">
        <f>-'NVDA - Income Statement FY'!C31</f>
        <v>-11146</v>
      </c>
      <c r="D61" s="152">
        <f>-'NVDA - Income Statement FY'!D31</f>
        <v>-4058</v>
      </c>
      <c r="E61" s="152">
        <f>-'NVDA - Income Statement FY'!E31</f>
        <v>187</v>
      </c>
      <c r="F61" s="152">
        <f>-'NVDA - Income Statement FY'!F31</f>
        <v>-189</v>
      </c>
      <c r="G61" s="152">
        <f>-'NVDA - Income Statement FY'!G31</f>
        <v>-77</v>
      </c>
      <c r="H61" s="152">
        <f>-'NVDA - Income Statement FY'!H31</f>
        <v>-174</v>
      </c>
    </row>
    <row r="62" spans="1:8" x14ac:dyDescent="0.25">
      <c r="A62" s="19" t="s">
        <v>284</v>
      </c>
      <c r="B62" s="154">
        <f t="shared" ref="B62:H62" si="14">SUM(B58:B61)</f>
        <v>120067</v>
      </c>
      <c r="C62" s="154">
        <f t="shared" si="14"/>
        <v>72880</v>
      </c>
      <c r="D62" s="154">
        <f t="shared" si="14"/>
        <v>29760</v>
      </c>
      <c r="E62" s="154">
        <f t="shared" si="14"/>
        <v>4368</v>
      </c>
      <c r="F62" s="154">
        <f t="shared" si="14"/>
        <v>9752</v>
      </c>
      <c r="G62" s="154">
        <f t="shared" si="14"/>
        <v>4332</v>
      </c>
      <c r="H62" s="154">
        <f t="shared" si="14"/>
        <v>2796</v>
      </c>
    </row>
    <row r="63" spans="1:8" x14ac:dyDescent="0.25">
      <c r="A63" s="22" t="s">
        <v>285</v>
      </c>
      <c r="B63" s="157">
        <f>B62-'NVDA - Income Statement FY'!B32</f>
        <v>0</v>
      </c>
      <c r="C63" s="157">
        <f>C62-'NVDA - Income Statement FY'!C32</f>
        <v>0</v>
      </c>
      <c r="D63" s="157">
        <f>D62-'NVDA - Income Statement FY'!D32</f>
        <v>0</v>
      </c>
      <c r="E63" s="157">
        <f>E62-'NVDA - Income Statement FY'!E32</f>
        <v>0</v>
      </c>
      <c r="F63" s="157">
        <f>F62-'NVDA - Income Statement FY'!F32</f>
        <v>0</v>
      </c>
      <c r="G63" s="157">
        <f>G62-'NVDA - Income Statement FY'!G32</f>
        <v>0</v>
      </c>
      <c r="H63" s="157">
        <f>H62-'NVDA - Income Statement FY'!H32</f>
        <v>0</v>
      </c>
    </row>
    <row r="64" spans="1:8" x14ac:dyDescent="0.25">
      <c r="A64" s="17"/>
      <c r="B64" s="17"/>
      <c r="C64" s="17"/>
      <c r="D64" s="17"/>
      <c r="E64" s="17"/>
      <c r="F64" s="17"/>
      <c r="G64" s="17"/>
      <c r="H64" s="17"/>
    </row>
    <row r="65" spans="1:8" x14ac:dyDescent="0.25">
      <c r="A65" s="20" t="s">
        <v>265</v>
      </c>
      <c r="B65" s="20"/>
      <c r="C65" s="20"/>
      <c r="D65" s="20"/>
      <c r="E65" s="20"/>
      <c r="F65" s="20"/>
      <c r="G65" s="20"/>
      <c r="H65" s="20"/>
    </row>
    <row r="66" spans="1:8" x14ac:dyDescent="0.25">
      <c r="A66" s="17" t="s">
        <v>259</v>
      </c>
      <c r="B66" s="156">
        <f t="shared" ref="B66:H66" si="15">B56</f>
        <v>103005.73</v>
      </c>
      <c r="C66" s="156">
        <f t="shared" si="15"/>
        <v>64347.869999999995</v>
      </c>
      <c r="D66" s="156">
        <f t="shared" si="15"/>
        <v>26047.88</v>
      </c>
      <c r="E66" s="156">
        <f t="shared" si="15"/>
        <v>3336.96</v>
      </c>
      <c r="F66" s="156">
        <f t="shared" si="15"/>
        <v>7932.3899999999994</v>
      </c>
      <c r="G66" s="156">
        <f t="shared" si="15"/>
        <v>3580.28</v>
      </c>
      <c r="H66" s="156">
        <f t="shared" si="15"/>
        <v>2248.34</v>
      </c>
    </row>
    <row r="67" spans="1:8" x14ac:dyDescent="0.25">
      <c r="A67" s="17" t="s">
        <v>266</v>
      </c>
      <c r="B67" s="152">
        <f>'NVDA - Cash Flow FY'!B8</f>
        <v>2843</v>
      </c>
      <c r="C67" s="152">
        <f>'NVDA - Cash Flow FY'!C8</f>
        <v>1864</v>
      </c>
      <c r="D67" s="152">
        <f>'NVDA - Cash Flow FY'!D8</f>
        <v>1508</v>
      </c>
      <c r="E67" s="152">
        <f>'NVDA - Cash Flow FY'!E8</f>
        <v>1544</v>
      </c>
      <c r="F67" s="152">
        <f>'NVDA - Cash Flow FY'!F8</f>
        <v>1174</v>
      </c>
      <c r="G67" s="152">
        <f>'NVDA - Cash Flow FY'!G8</f>
        <v>1098</v>
      </c>
      <c r="H67" s="152">
        <f>'NVDA - Cash Flow FY'!H8</f>
        <v>381</v>
      </c>
    </row>
    <row r="68" spans="1:8" x14ac:dyDescent="0.25">
      <c r="A68" s="19" t="s">
        <v>267</v>
      </c>
      <c r="B68" s="153">
        <f t="shared" ref="B68:H68" si="16">B66+B67</f>
        <v>105848.73</v>
      </c>
      <c r="C68" s="153">
        <f t="shared" si="16"/>
        <v>66211.87</v>
      </c>
      <c r="D68" s="153">
        <f t="shared" si="16"/>
        <v>27555.88</v>
      </c>
      <c r="E68" s="153">
        <f t="shared" si="16"/>
        <v>4880.96</v>
      </c>
      <c r="F68" s="153">
        <f t="shared" si="16"/>
        <v>9106.39</v>
      </c>
      <c r="G68" s="153">
        <f t="shared" si="16"/>
        <v>4678.2800000000007</v>
      </c>
      <c r="H68" s="153">
        <f t="shared" si="16"/>
        <v>2629.34</v>
      </c>
    </row>
    <row r="69" spans="1:8" x14ac:dyDescent="0.25">
      <c r="A69" s="17" t="s">
        <v>268</v>
      </c>
      <c r="B69" s="156">
        <f t="shared" ref="B69:G69" si="17">-(B22-C22)</f>
        <v>-14808.820000000007</v>
      </c>
      <c r="C69" s="156">
        <f t="shared" si="17"/>
        <v>-11340.5</v>
      </c>
      <c r="D69" s="156">
        <f t="shared" si="17"/>
        <v>-5246.9600000000028</v>
      </c>
      <c r="E69" s="156">
        <f t="shared" si="17"/>
        <v>-1211.1999999999998</v>
      </c>
      <c r="F69" s="156">
        <f t="shared" si="17"/>
        <v>-2944.7799999999997</v>
      </c>
      <c r="G69" s="156">
        <f t="shared" si="17"/>
        <v>294.86000000000013</v>
      </c>
      <c r="H69" s="18"/>
    </row>
    <row r="70" spans="1:8" x14ac:dyDescent="0.25">
      <c r="A70" s="17" t="s">
        <v>269</v>
      </c>
      <c r="B70" s="152">
        <f>'NVDA - Cash Flow FY'!B19</f>
        <v>-6042</v>
      </c>
      <c r="C70" s="152">
        <f>'NVDA - Cash Flow FY'!C19</f>
        <v>-3236</v>
      </c>
      <c r="D70" s="152">
        <f>'NVDA - Cash Flow FY'!D19</f>
        <v>-1069</v>
      </c>
      <c r="E70" s="152">
        <f>'NVDA - Cash Flow FY'!E19</f>
        <v>-1833</v>
      </c>
      <c r="F70" s="152">
        <f>'NVDA - Cash Flow FY'!F19</f>
        <v>-976</v>
      </c>
      <c r="G70" s="152">
        <f>'NVDA - Cash Flow FY'!G19</f>
        <v>-1128</v>
      </c>
      <c r="H70" s="152">
        <f>'NVDA - Cash Flow FY'!H19</f>
        <v>-489</v>
      </c>
    </row>
    <row r="71" spans="1:8" x14ac:dyDescent="0.25">
      <c r="A71" s="19" t="s">
        <v>270</v>
      </c>
      <c r="B71" s="154">
        <f t="shared" ref="B71:G71" si="18">B68+B69+B70</f>
        <v>84997.909999999989</v>
      </c>
      <c r="C71" s="154">
        <f t="shared" si="18"/>
        <v>51635.369999999995</v>
      </c>
      <c r="D71" s="154">
        <f t="shared" si="18"/>
        <v>21239.919999999998</v>
      </c>
      <c r="E71" s="154">
        <f t="shared" si="18"/>
        <v>1836.7600000000002</v>
      </c>
      <c r="F71" s="154">
        <f t="shared" si="18"/>
        <v>5185.6099999999997</v>
      </c>
      <c r="G71" s="154">
        <f t="shared" si="18"/>
        <v>3845.1400000000012</v>
      </c>
      <c r="H71" s="154">
        <f>H68+H70</f>
        <v>2140.34</v>
      </c>
    </row>
    <row r="72" spans="1:8" x14ac:dyDescent="0.25">
      <c r="A72" s="17" t="s">
        <v>271</v>
      </c>
      <c r="B72" s="152">
        <f>'NVDA - Cash Flow FY'!B39</f>
        <v>96676</v>
      </c>
      <c r="C72" s="152">
        <f>'NVDA - Cash Flow FY'!C39</f>
        <v>60853</v>
      </c>
      <c r="D72" s="152">
        <f>'NVDA - Cash Flow FY'!D39</f>
        <v>27021</v>
      </c>
      <c r="E72" s="152">
        <f>'NVDA - Cash Flow FY'!E39</f>
        <v>3808</v>
      </c>
      <c r="F72" s="152">
        <f>'NVDA - Cash Flow FY'!F39</f>
        <v>8132</v>
      </c>
      <c r="G72" s="152">
        <f>'NVDA - Cash Flow FY'!G39</f>
        <v>4694</v>
      </c>
      <c r="H72" s="152">
        <f>'NVDA - Cash Flow FY'!H39</f>
        <v>4272</v>
      </c>
    </row>
    <row r="73" spans="1:8" x14ac:dyDescent="0.25">
      <c r="A73" s="17" t="s">
        <v>272</v>
      </c>
      <c r="B73" s="156">
        <f t="shared" ref="B73:H73" si="19">B71-B72</f>
        <v>-11678.090000000011</v>
      </c>
      <c r="C73" s="156">
        <f t="shared" si="19"/>
        <v>-9217.6300000000047</v>
      </c>
      <c r="D73" s="156">
        <f t="shared" si="19"/>
        <v>-5781.0800000000017</v>
      </c>
      <c r="E73" s="156">
        <f t="shared" si="19"/>
        <v>-1971.2399999999998</v>
      </c>
      <c r="F73" s="156">
        <f t="shared" si="19"/>
        <v>-2946.3900000000003</v>
      </c>
      <c r="G73" s="156">
        <f t="shared" si="19"/>
        <v>-848.85999999999876</v>
      </c>
      <c r="H73" s="156">
        <f t="shared" si="19"/>
        <v>-2131.66</v>
      </c>
    </row>
    <row r="74" spans="1:8" x14ac:dyDescent="0.25">
      <c r="A74" s="17"/>
      <c r="B74" s="17"/>
      <c r="C74" s="17"/>
      <c r="D74" s="17"/>
      <c r="E74" s="17"/>
      <c r="F74" s="17"/>
      <c r="G74" s="17"/>
      <c r="H74" s="17"/>
    </row>
    <row r="75" spans="1:8" x14ac:dyDescent="0.25">
      <c r="A75" s="20" t="s">
        <v>273</v>
      </c>
      <c r="B75" s="20"/>
      <c r="C75" s="20"/>
      <c r="D75" s="20"/>
      <c r="E75" s="20"/>
      <c r="F75" s="20"/>
      <c r="G75" s="20"/>
      <c r="H75" s="20"/>
    </row>
    <row r="76" spans="1:8" x14ac:dyDescent="0.25">
      <c r="A76" s="17" t="s">
        <v>274</v>
      </c>
      <c r="B76" s="156">
        <f t="shared" ref="B76:G76" si="20">AVERAGE(B32,C32)</f>
        <v>66913.350000000006</v>
      </c>
      <c r="C76" s="156">
        <f t="shared" si="20"/>
        <v>37439.19</v>
      </c>
      <c r="D76" s="156">
        <f t="shared" si="20"/>
        <v>25321.96</v>
      </c>
      <c r="E76" s="156">
        <f t="shared" si="20"/>
        <v>19574.379999999997</v>
      </c>
      <c r="F76" s="156">
        <f t="shared" si="20"/>
        <v>15078.89</v>
      </c>
      <c r="G76" s="156">
        <f t="shared" si="20"/>
        <v>8276.43</v>
      </c>
      <c r="H76" s="156">
        <f>H32</f>
        <v>4168.3600000000006</v>
      </c>
    </row>
    <row r="77" spans="1:8" x14ac:dyDescent="0.25">
      <c r="A77" s="17" t="s">
        <v>275</v>
      </c>
      <c r="B77" s="158">
        <f t="shared" ref="B77:H77" si="21">IF(B76&lt;=0,"",B56/B76)</f>
        <v>1.539389822808154</v>
      </c>
      <c r="C77" s="158">
        <f t="shared" si="21"/>
        <v>1.7187302930431987</v>
      </c>
      <c r="D77" s="158">
        <f t="shared" si="21"/>
        <v>1.0286676070888667</v>
      </c>
      <c r="E77" s="158">
        <f t="shared" si="21"/>
        <v>0.17047589757632173</v>
      </c>
      <c r="F77" s="158">
        <f t="shared" si="21"/>
        <v>0.52605927889917625</v>
      </c>
      <c r="G77" s="158">
        <f t="shared" si="21"/>
        <v>0.43258748035082761</v>
      </c>
      <c r="H77" s="158">
        <f t="shared" si="21"/>
        <v>0.53938239499467411</v>
      </c>
    </row>
    <row r="78" spans="1:8" x14ac:dyDescent="0.25">
      <c r="A78" s="17" t="s">
        <v>276</v>
      </c>
      <c r="B78" s="156">
        <f t="shared" ref="B78:G78" si="22">AVERAGE(B31,C31)</f>
        <v>53903.350000000006</v>
      </c>
      <c r="C78" s="156">
        <f t="shared" si="22"/>
        <v>32630.190000000002</v>
      </c>
      <c r="D78" s="156">
        <f t="shared" si="22"/>
        <v>20920.96</v>
      </c>
      <c r="E78" s="156">
        <f t="shared" si="22"/>
        <v>15213.88</v>
      </c>
      <c r="F78" s="156">
        <f t="shared" si="22"/>
        <v>10807.89</v>
      </c>
      <c r="G78" s="156">
        <f t="shared" si="22"/>
        <v>5870.93</v>
      </c>
      <c r="H78" s="156">
        <f>H31</f>
        <v>3550.3600000000006</v>
      </c>
    </row>
    <row r="79" spans="1:8" x14ac:dyDescent="0.25">
      <c r="A79" s="17" t="s">
        <v>277</v>
      </c>
      <c r="B79" s="158">
        <f t="shared" ref="B79:H79" si="23">IF(B78&lt;=0,"",B56/B78)</f>
        <v>1.910933736029393</v>
      </c>
      <c r="C79" s="158">
        <f t="shared" si="23"/>
        <v>1.9720347935454863</v>
      </c>
      <c r="D79" s="158">
        <f t="shared" si="23"/>
        <v>1.2450614120958121</v>
      </c>
      <c r="E79" s="158">
        <f t="shared" si="23"/>
        <v>0.21933655320010412</v>
      </c>
      <c r="F79" s="158">
        <f t="shared" si="23"/>
        <v>0.73394436841973776</v>
      </c>
      <c r="G79" s="158">
        <f t="shared" si="23"/>
        <v>0.60983183243540628</v>
      </c>
      <c r="H79" s="158">
        <f t="shared" si="23"/>
        <v>0.63327099223740679</v>
      </c>
    </row>
    <row r="80" spans="1:8" x14ac:dyDescent="0.25">
      <c r="A80" s="17" t="s">
        <v>278</v>
      </c>
      <c r="B80" s="159">
        <f>B56/'NVDA - Income Statement FY'!B7</f>
        <v>0.47701530068816045</v>
      </c>
      <c r="C80" s="159">
        <f>C56/'NVDA - Income Statement FY'!C7</f>
        <v>0.49309846203360991</v>
      </c>
      <c r="D80" s="159">
        <f>D56/'NVDA - Income Statement FY'!D7</f>
        <v>0.42756114375759169</v>
      </c>
      <c r="E80" s="159">
        <f>E56/'NVDA - Income Statement FY'!E7</f>
        <v>0.12371023948987915</v>
      </c>
      <c r="F80" s="159">
        <f>F56/'NVDA - Income Statement FY'!F7</f>
        <v>0.29473099502117855</v>
      </c>
      <c r="G80" s="159">
        <f>G56/'NVDA - Income Statement FY'!G7</f>
        <v>0.21470944527736133</v>
      </c>
      <c r="H80" s="159">
        <f>H56/'NVDA - Income Statement FY'!H7</f>
        <v>0.20592965744641878</v>
      </c>
    </row>
    <row r="81" spans="1:8" x14ac:dyDescent="0.25">
      <c r="A81" s="17" t="s">
        <v>279</v>
      </c>
      <c r="B81" s="160">
        <f>IF(B76&lt;=0,"",'NVDA - Income Statement FY'!B7/B76)</f>
        <v>3.2271288165963887</v>
      </c>
      <c r="C81" s="160">
        <f>IF(C76&lt;=0,"",'NVDA - Income Statement FY'!C7/C76)</f>
        <v>3.485572203885821</v>
      </c>
      <c r="D81" s="160">
        <f>IF(D76&lt;=0,"",'NVDA - Income Statement FY'!D7/D76)</f>
        <v>2.4058959101112238</v>
      </c>
      <c r="E81" s="160">
        <f>IF(E76&lt;=0,"",'NVDA - Income Statement FY'!E7/E76)</f>
        <v>1.37802576633334</v>
      </c>
      <c r="F81" s="160">
        <f>IF(F76&lt;=0,"",'NVDA - Income Statement FY'!F7/F76)</f>
        <v>1.7848793909896552</v>
      </c>
      <c r="G81" s="160">
        <f>IF(G76&lt;=0,"",'NVDA - Income Statement FY'!G7/G76)</f>
        <v>2.0147575705950511</v>
      </c>
      <c r="H81" s="160">
        <f>IF(H76&lt;=0,"",'NVDA - Income Statement FY'!H7/H76)</f>
        <v>2.6192555345507582</v>
      </c>
    </row>
    <row r="83" spans="1:8" x14ac:dyDescent="0.25">
      <c r="A83" s="24" t="s">
        <v>309</v>
      </c>
      <c r="B83" s="24"/>
      <c r="C83" s="24"/>
      <c r="D83" s="24"/>
      <c r="E83" s="24"/>
      <c r="F83" s="24"/>
      <c r="G83" s="24"/>
      <c r="H83" s="24"/>
    </row>
    <row r="84" spans="1:8" x14ac:dyDescent="0.25">
      <c r="A84" t="s">
        <v>310</v>
      </c>
      <c r="B84" s="11">
        <f t="shared" ref="B84:G84" si="24">B56-C56</f>
        <v>38657.86</v>
      </c>
      <c r="C84" s="11">
        <f t="shared" si="24"/>
        <v>38299.989999999991</v>
      </c>
      <c r="D84" s="11">
        <f t="shared" si="24"/>
        <v>22710.920000000002</v>
      </c>
      <c r="E84" s="11">
        <f t="shared" si="24"/>
        <v>-4595.4299999999994</v>
      </c>
      <c r="F84" s="11">
        <f t="shared" si="24"/>
        <v>4352.1099999999988</v>
      </c>
      <c r="G84" s="11">
        <f t="shared" si="24"/>
        <v>1331.94</v>
      </c>
      <c r="H84" s="1"/>
    </row>
    <row r="85" spans="1:8" x14ac:dyDescent="0.25">
      <c r="A85" t="s">
        <v>311</v>
      </c>
      <c r="B85" s="11">
        <f t="shared" ref="B85:G85" si="25">B32-C32</f>
        <v>42606.820000000007</v>
      </c>
      <c r="C85" s="11">
        <f t="shared" si="25"/>
        <v>16341.5</v>
      </c>
      <c r="D85" s="11">
        <f t="shared" si="25"/>
        <v>7892.9600000000028</v>
      </c>
      <c r="E85" s="11">
        <f t="shared" si="25"/>
        <v>3602.2000000000007</v>
      </c>
      <c r="F85" s="11">
        <f t="shared" si="25"/>
        <v>5388.7799999999988</v>
      </c>
      <c r="G85" s="11">
        <f t="shared" si="25"/>
        <v>8216.14</v>
      </c>
      <c r="H85" s="1"/>
    </row>
    <row r="86" spans="1:8" x14ac:dyDescent="0.25">
      <c r="A86" s="9" t="s">
        <v>312</v>
      </c>
      <c r="B86" s="137">
        <f t="shared" ref="B86:G86" si="26">IF(B85=0,"",B84/B85)</f>
        <v>0.90731624655395526</v>
      </c>
      <c r="C86" s="137">
        <f t="shared" si="26"/>
        <v>2.3437254841966766</v>
      </c>
      <c r="D86" s="137">
        <f t="shared" si="26"/>
        <v>2.8773641320873278</v>
      </c>
      <c r="E86" s="137">
        <f t="shared" si="26"/>
        <v>-1.2757287213369604</v>
      </c>
      <c r="F86" s="137">
        <f t="shared" si="26"/>
        <v>0.80762436024480488</v>
      </c>
      <c r="G86" s="137">
        <f t="shared" si="26"/>
        <v>0.16211262222892991</v>
      </c>
      <c r="H86" s="30"/>
    </row>
    <row r="88" spans="1:8" x14ac:dyDescent="0.25">
      <c r="A88" s="24" t="s">
        <v>313</v>
      </c>
      <c r="B88" s="24"/>
      <c r="C88" s="24"/>
      <c r="D88" s="24"/>
      <c r="E88" s="24"/>
      <c r="F88" s="24"/>
      <c r="G88" s="24"/>
      <c r="H88" s="24"/>
    </row>
    <row r="89" spans="1:8" x14ac:dyDescent="0.25">
      <c r="A89" t="s">
        <v>278</v>
      </c>
      <c r="B89" s="134">
        <f t="shared" ref="B89:H89" si="27">B80</f>
        <v>0.47701530068816045</v>
      </c>
      <c r="C89" s="134">
        <f t="shared" si="27"/>
        <v>0.49309846203360991</v>
      </c>
      <c r="D89" s="134">
        <f t="shared" si="27"/>
        <v>0.42756114375759169</v>
      </c>
      <c r="E89" s="134">
        <f t="shared" si="27"/>
        <v>0.12371023948987915</v>
      </c>
      <c r="F89" s="134">
        <f t="shared" si="27"/>
        <v>0.29473099502117855</v>
      </c>
      <c r="G89" s="134">
        <f t="shared" si="27"/>
        <v>0.21470944527736133</v>
      </c>
      <c r="H89" s="134">
        <f t="shared" si="27"/>
        <v>0.20592965744641878</v>
      </c>
    </row>
    <row r="90" spans="1:8" x14ac:dyDescent="0.25">
      <c r="A90" t="s">
        <v>314</v>
      </c>
      <c r="B90" s="161">
        <f>IF(B76&lt;=0,"",'NVDA - Income Statement FY'!B7/B76)</f>
        <v>3.2271288165963887</v>
      </c>
      <c r="C90" s="161">
        <f>IF(C76&lt;=0,"",'NVDA - Income Statement FY'!C7/C76)</f>
        <v>3.485572203885821</v>
      </c>
      <c r="D90" s="161">
        <f>IF(D76&lt;=0,"",'NVDA - Income Statement FY'!D7/D76)</f>
        <v>2.4058959101112238</v>
      </c>
      <c r="E90" s="161">
        <f>IF(E76&lt;=0,"",'NVDA - Income Statement FY'!E7/E76)</f>
        <v>1.37802576633334</v>
      </c>
      <c r="F90" s="161">
        <f>IF(F76&lt;=0,"",'NVDA - Income Statement FY'!F7/F76)</f>
        <v>1.7848793909896552</v>
      </c>
      <c r="G90" s="161">
        <f>IF(G76&lt;=0,"",'NVDA - Income Statement FY'!G7/G76)</f>
        <v>2.0147575705950511</v>
      </c>
      <c r="H90" s="161">
        <f>IF(H76&lt;=0,"",'NVDA - Income Statement FY'!H7/H76)</f>
        <v>2.6192555345507582</v>
      </c>
    </row>
    <row r="91" spans="1:8" x14ac:dyDescent="0.25">
      <c r="A91" s="9" t="s">
        <v>315</v>
      </c>
      <c r="B91" s="137">
        <f t="shared" ref="B91:H91" si="28">IF(B90="","",B89*B90)</f>
        <v>1.5393898228081537</v>
      </c>
      <c r="C91" s="137">
        <f t="shared" si="28"/>
        <v>1.7187302930431985</v>
      </c>
      <c r="D91" s="137">
        <f t="shared" si="28"/>
        <v>1.028667607088867</v>
      </c>
      <c r="E91" s="137">
        <f t="shared" si="28"/>
        <v>0.17047589757632173</v>
      </c>
      <c r="F91" s="137">
        <f t="shared" si="28"/>
        <v>0.52605927889917625</v>
      </c>
      <c r="G91" s="137">
        <f t="shared" si="28"/>
        <v>0.43258748035082756</v>
      </c>
      <c r="H91" s="137">
        <f t="shared" si="28"/>
        <v>0.53938239499467411</v>
      </c>
    </row>
    <row r="93" spans="1:8" x14ac:dyDescent="0.25">
      <c r="A93" s="24" t="s">
        <v>316</v>
      </c>
      <c r="B93" s="24"/>
      <c r="C93" s="24"/>
      <c r="D93" s="24"/>
      <c r="E93" s="24"/>
      <c r="F93" s="24"/>
      <c r="G93" s="24"/>
      <c r="H93" s="24"/>
    </row>
    <row r="94" spans="1:8" x14ac:dyDescent="0.25">
      <c r="A94" t="s">
        <v>317</v>
      </c>
      <c r="B94" s="113">
        <f>'NVDA - Income Statement FY'!B10/'NVDA - Income Statement FY'!B7</f>
        <v>0.71068084357547079</v>
      </c>
      <c r="C94" s="113">
        <f>'NVDA - Income Statement FY'!C10/'NVDA - Income Statement FY'!C7</f>
        <v>0.74988697058169917</v>
      </c>
      <c r="D94" s="113">
        <f>'NVDA - Income Statement FY'!D10/'NVDA - Income Statement FY'!D7</f>
        <v>0.72717573290436954</v>
      </c>
      <c r="E94" s="113">
        <f>'NVDA - Income Statement FY'!E10/'NVDA - Income Statement FY'!E7</f>
        <v>0.56928894490991322</v>
      </c>
      <c r="F94" s="113">
        <f>'NVDA - Income Statement FY'!F10/'NVDA - Income Statement FY'!F7</f>
        <v>0.64929033216913135</v>
      </c>
      <c r="G94" s="113">
        <f>'NVDA - Income Statement FY'!G10/'NVDA - Income Statement FY'!G7</f>
        <v>0.62344827586206897</v>
      </c>
      <c r="H94" s="113">
        <f>'NVDA - Income Statement FY'!H10/'NVDA - Income Statement FY'!H7</f>
        <v>0.61989375343469499</v>
      </c>
    </row>
    <row r="95" spans="1:8" x14ac:dyDescent="0.25">
      <c r="A95" t="s">
        <v>318</v>
      </c>
      <c r="B95" s="113">
        <f>'NVDA - Income Statement FY'!B13/'NVDA - Income Statement FY'!B7</f>
        <v>8.5658846520760584E-2</v>
      </c>
      <c r="C95" s="113">
        <f>'NVDA - Income Statement FY'!C13/'NVDA - Income Statement FY'!C7</f>
        <v>9.8960129351632606E-2</v>
      </c>
      <c r="D95" s="113">
        <f>'NVDA - Income Statement FY'!D13/'NVDA - Income Statement FY'!D7</f>
        <v>0.14239519385443683</v>
      </c>
      <c r="E95" s="113">
        <f>'NVDA - Income Statement FY'!E13/'NVDA - Income Statement FY'!E7</f>
        <v>0.27207681471046191</v>
      </c>
      <c r="F95" s="113">
        <f>'NVDA - Income Statement FY'!F13/'NVDA - Income Statement FY'!F7</f>
        <v>0.19573456193802483</v>
      </c>
      <c r="G95" s="113">
        <f>'NVDA - Income Statement FY'!G13/'NVDA - Income Statement FY'!G7</f>
        <v>0.2353223388305847</v>
      </c>
      <c r="H95" s="113">
        <f>'NVDA - Income Statement FY'!H13/'NVDA - Income Statement FY'!H7</f>
        <v>0.25911339073090311</v>
      </c>
    </row>
    <row r="96" spans="1:8" x14ac:dyDescent="0.25">
      <c r="A96" t="s">
        <v>319</v>
      </c>
      <c r="B96" s="113">
        <f>'NVDA - Income Statement FY'!B14/'NVDA - Income Statement FY'!B7</f>
        <v>2.1205160740582946E-2</v>
      </c>
      <c r="C96" s="113">
        <f>'NVDA - Income Statement FY'!C14/'NVDA - Income Statement FY'!C7</f>
        <v>2.6751572833091947E-2</v>
      </c>
      <c r="D96" s="113">
        <f>'NVDA - Income Statement FY'!D14/'NVDA - Income Statement FY'!D7</f>
        <v>4.3563901382095135E-2</v>
      </c>
      <c r="E96" s="113">
        <f>'NVDA - Income Statement FY'!E14/'NVDA - Income Statement FY'!E7</f>
        <v>9.0457477570994288E-2</v>
      </c>
      <c r="F96" s="113">
        <f>'NVDA - Income Statement FY'!F14/'NVDA - Income Statement FY'!F7</f>
        <v>8.0478561343538674E-2</v>
      </c>
      <c r="G96" s="113">
        <f>'NVDA - Income Statement FY'!G14/'NVDA - Income Statement FY'!G7</f>
        <v>0.11634182908545727</v>
      </c>
      <c r="H96" s="113">
        <f>'NVDA - Income Statement FY'!H14/'NVDA - Income Statement FY'!H7</f>
        <v>0.10010991023997069</v>
      </c>
    </row>
    <row r="97" spans="1:8" x14ac:dyDescent="0.25">
      <c r="A97" t="s">
        <v>320</v>
      </c>
      <c r="B97" s="113">
        <f>'NVDA - Income Statement FY'!B25/'NVDA - Income Statement FY'!B7</f>
        <v>0.60381683631412719</v>
      </c>
      <c r="C97" s="113">
        <f>'NVDA - Income Statement FY'!C25/'NVDA - Income Statement FY'!C7</f>
        <v>0.62417526839697468</v>
      </c>
      <c r="D97" s="113">
        <f>'NVDA - Income Statement FY'!D25/'NVDA - Income Statement FY'!D7</f>
        <v>0.54121663766783756</v>
      </c>
      <c r="E97" s="113">
        <f>'NVDA - Income Statement FY'!E25/'NVDA - Income Statement FY'!E7</f>
        <v>0.1565952398606065</v>
      </c>
      <c r="F97" s="113">
        <f>'NVDA - Income Statement FY'!F25/'NVDA - Income Statement FY'!F7</f>
        <v>0.37307720888756779</v>
      </c>
      <c r="G97" s="113">
        <f>'NVDA - Income Statement FY'!G25/'NVDA - Income Statement FY'!G7</f>
        <v>0.27178410794602698</v>
      </c>
      <c r="H97" s="113">
        <f>'NVDA - Income Statement FY'!H25/'NVDA - Income Statement FY'!H7</f>
        <v>0.2606704524638212</v>
      </c>
    </row>
    <row r="98" spans="1:8" x14ac:dyDescent="0.25">
      <c r="A98" t="s">
        <v>321</v>
      </c>
      <c r="B98" s="134">
        <f t="shared" ref="B98:H98" si="29">1-$B$9</f>
        <v>0.79</v>
      </c>
      <c r="C98" s="134">
        <f t="shared" si="29"/>
        <v>0.79</v>
      </c>
      <c r="D98" s="134">
        <f t="shared" si="29"/>
        <v>0.79</v>
      </c>
      <c r="E98" s="134">
        <f t="shared" si="29"/>
        <v>0.79</v>
      </c>
      <c r="F98" s="134">
        <f t="shared" si="29"/>
        <v>0.79</v>
      </c>
      <c r="G98" s="134">
        <f t="shared" si="29"/>
        <v>0.79</v>
      </c>
      <c r="H98" s="134">
        <f t="shared" si="29"/>
        <v>0.79</v>
      </c>
    </row>
    <row r="99" spans="1:8" x14ac:dyDescent="0.25">
      <c r="A99" t="s">
        <v>831</v>
      </c>
      <c r="B99" s="134">
        <f t="shared" ref="B99:H99" si="30">B97*B98</f>
        <v>0.4770153006881605</v>
      </c>
      <c r="C99" s="134">
        <f t="shared" si="30"/>
        <v>0.49309846203361002</v>
      </c>
      <c r="D99" s="134">
        <f t="shared" si="30"/>
        <v>0.42756114375759169</v>
      </c>
      <c r="E99" s="134">
        <f t="shared" si="30"/>
        <v>0.12371023948987914</v>
      </c>
      <c r="F99" s="134">
        <f t="shared" si="30"/>
        <v>0.29473099502117855</v>
      </c>
      <c r="G99" s="134">
        <f t="shared" si="30"/>
        <v>0.21470944527736133</v>
      </c>
      <c r="H99" s="134">
        <f t="shared" si="30"/>
        <v>0.20592965744641875</v>
      </c>
    </row>
    <row r="101" spans="1:8" x14ac:dyDescent="0.25">
      <c r="A101" s="24" t="s">
        <v>322</v>
      </c>
      <c r="B101" s="24"/>
      <c r="C101" s="24"/>
      <c r="D101" s="24"/>
      <c r="E101" s="24"/>
      <c r="F101" s="24"/>
      <c r="G101" s="24"/>
      <c r="H101" s="24"/>
    </row>
    <row r="102" spans="1:8" x14ac:dyDescent="0.25">
      <c r="A102" t="s">
        <v>323</v>
      </c>
      <c r="B102" s="161">
        <f>IF(B22=0,"",'NVDA - Income Statement FY'!B7/B22)</f>
        <v>5.9038554496201838</v>
      </c>
      <c r="C102" s="161">
        <f>IF(C22=0,"",'NVDA - Income Statement FY'!C7/C22)</f>
        <v>5.9951927096780704</v>
      </c>
      <c r="D102" s="161">
        <f>IF(D22=0,"",'NVDA - Income Statement FY'!D7/D22)</f>
        <v>5.8430298356869637</v>
      </c>
      <c r="E102" s="161">
        <f>IF(E22=0,"",'NVDA - Income Statement FY'!E7/E22)</f>
        <v>5.2078587039625601</v>
      </c>
      <c r="F102" s="161">
        <f>IF(F22=0,"",'NVDA - Income Statement FY'!F7/F22)</f>
        <v>6.7822835082201864</v>
      </c>
      <c r="G102" s="161">
        <f>IF(G22=0,"",'NVDA - Income Statement FY'!G7/G22)</f>
        <v>16.292134831460675</v>
      </c>
      <c r="H102" s="161">
        <f>IF(H22=0,"",'NVDA - Income Statement FY'!H7/H22)</f>
        <v>8.2815012591401427</v>
      </c>
    </row>
    <row r="103" spans="1:8" x14ac:dyDescent="0.25">
      <c r="A103" t="s">
        <v>324</v>
      </c>
      <c r="B103" s="161">
        <f>IF(B24=0,"",'NVDA - Income Statement FY'!B7/B24)</f>
        <v>20.79726475970336</v>
      </c>
      <c r="C103" s="161">
        <f>IF(C24=0,"",'NVDA - Income Statement FY'!C7/C24)</f>
        <v>20.769855164730224</v>
      </c>
      <c r="D103" s="161">
        <f>IF(D24=0,"",'NVDA - Income Statement FY'!D7/D24)</f>
        <v>15.565150740929996</v>
      </c>
      <c r="E103" s="161">
        <f>IF(E24=0,"",'NVDA - Income Statement FY'!E7/E24)</f>
        <v>7.0853690570002623</v>
      </c>
      <c r="F103" s="161">
        <f>IF(F24=0,"",'NVDA - Income Statement FY'!F7/F24)</f>
        <v>9.6882649388048954</v>
      </c>
      <c r="G103" s="161">
        <f>IF(G24=0,"",'NVDA - Income Statement FY'!G7/G24)</f>
        <v>7.7594229874360163</v>
      </c>
      <c r="H103" s="161">
        <f>IF(H24=0,"",'NVDA - Income Statement FY'!H7/H24)</f>
        <v>6.5221027479091997</v>
      </c>
    </row>
    <row r="104" spans="1:8" x14ac:dyDescent="0.25">
      <c r="A104" t="s">
        <v>325</v>
      </c>
      <c r="B104" s="161">
        <f>IF(B25+B26=0,"",'NVDA - Income Statement FY'!B7/(B25+B26))</f>
        <v>8.9459772972077225</v>
      </c>
      <c r="C104" s="161">
        <f>IF(C25+C26=0,"",'NVDA - Income Statement FY'!C7/(C25+C26))</f>
        <v>21.767639699749793</v>
      </c>
      <c r="D104" s="161">
        <f>IF(D25+D26=0,"",'NVDA - Income Statement FY'!D7/(D25+D26))</f>
        <v>10.992782389029232</v>
      </c>
      <c r="E104" s="161">
        <f>IF(E25+E26=0,"",'NVDA - Income Statement FY'!E7/(E25+E26))</f>
        <v>4.4599867724867721</v>
      </c>
      <c r="F104" s="161">
        <f>IF(F25+F26=0,"",'NVDA - Income Statement FY'!F7/(F25+F26))</f>
        <v>4.0242224880382773</v>
      </c>
      <c r="G104" s="161">
        <f>IF(G25+G26=0,"",'NVDA - Income Statement FY'!G7/(G25+G26))</f>
        <v>2.406204906204906</v>
      </c>
      <c r="H104" s="161">
        <f>IF(H25+H26=0,"",'NVDA - Income Statement FY'!H7/(H25+H26))</f>
        <v>16.368815592203898</v>
      </c>
    </row>
    <row r="105" spans="1:8" x14ac:dyDescent="0.25">
      <c r="A105" t="s">
        <v>326</v>
      </c>
      <c r="B105" s="161">
        <f>IF(B32&lt;=0,"",'NVDA - Income Statement FY'!B7/B32)</f>
        <v>2.4478115042991826</v>
      </c>
      <c r="C105" s="161">
        <f>IF(C32&lt;=0,"",'NVDA - Income Statement FY'!C7/C32)</f>
        <v>2.8611526347107668</v>
      </c>
      <c r="D105" s="161">
        <f>IF(D32&lt;=0,"",'NVDA - Income Statement FY'!D7/D32)</f>
        <v>2.0814911898276778</v>
      </c>
      <c r="E105" s="161">
        <f>IF(E32&lt;=0,"",'NVDA - Income Statement FY'!E7/E32)</f>
        <v>1.2619131827682935</v>
      </c>
      <c r="F105" s="161">
        <f>IF(F32&lt;=0,"",'NVDA - Income Statement FY'!F7/F32)</f>
        <v>1.5142956167910482</v>
      </c>
      <c r="G105" s="161">
        <f>IF(G32&lt;=0,"",'NVDA - Income Statement FY'!G7/G32)</f>
        <v>1.3464411159110179</v>
      </c>
      <c r="H105" s="161">
        <f>IF(H32&lt;=0,"",'NVDA - Income Statement FY'!H7/H32)</f>
        <v>2.6192555345507582</v>
      </c>
    </row>
    <row r="107" spans="1:8" x14ac:dyDescent="0.25">
      <c r="A107" s="24" t="s">
        <v>399</v>
      </c>
      <c r="B107" s="24"/>
      <c r="C107" s="24"/>
      <c r="D107" s="24"/>
      <c r="E107" s="24"/>
      <c r="F107" s="24"/>
      <c r="G107" s="24"/>
      <c r="H107" s="24"/>
    </row>
    <row r="108" spans="1:8" x14ac:dyDescent="0.25">
      <c r="A108" t="s">
        <v>255</v>
      </c>
      <c r="B108" s="162">
        <f>'NVDA - Balance Sheet FY'!B51</f>
        <v>8468</v>
      </c>
      <c r="C108" s="162">
        <f>'NVDA - Balance Sheet FY'!C51</f>
        <v>8463</v>
      </c>
      <c r="D108" s="162">
        <f>'NVDA - Balance Sheet FY'!D51</f>
        <v>9709</v>
      </c>
      <c r="E108" s="162">
        <f>'NVDA - Balance Sheet FY'!E51</f>
        <v>10953</v>
      </c>
      <c r="F108" s="162">
        <f>'NVDA - Balance Sheet FY'!F51</f>
        <v>10946</v>
      </c>
      <c r="G108" s="162">
        <f>'NVDA - Balance Sheet FY'!G51</f>
        <v>5964</v>
      </c>
      <c r="H108" s="162">
        <f>'NVDA - Balance Sheet FY'!H51</f>
        <v>1991</v>
      </c>
    </row>
    <row r="109" spans="1:8" x14ac:dyDescent="0.25">
      <c r="A109" t="s">
        <v>400</v>
      </c>
      <c r="B109" s="162">
        <f>'NVDA - Balance Sheet FY'!B52</f>
        <v>-2137</v>
      </c>
      <c r="C109" s="162">
        <f>'NVDA - Balance Sheet FY'!C52</f>
        <v>-126</v>
      </c>
      <c r="D109" s="162">
        <f>'NVDA - Balance Sheet FY'!D52</f>
        <v>2429</v>
      </c>
      <c r="E109" s="162">
        <f>'NVDA - Balance Sheet FY'!E52</f>
        <v>7564</v>
      </c>
      <c r="F109" s="162">
        <f>'NVDA - Balance Sheet FY'!F52</f>
        <v>8956</v>
      </c>
      <c r="G109" s="162">
        <f>'NVDA - Balance Sheet FY'!G52</f>
        <v>5117</v>
      </c>
      <c r="H109" s="162">
        <f>'NVDA - Balance Sheet FY'!H52</f>
        <v>-8905</v>
      </c>
    </row>
    <row r="110" spans="1:8" x14ac:dyDescent="0.25">
      <c r="A110" t="s">
        <v>401</v>
      </c>
      <c r="B110" s="162">
        <f>'NVDA - Balance Sheet FY'!B41</f>
        <v>49510</v>
      </c>
      <c r="C110" s="162">
        <f>'NVDA - Balance Sheet FY'!C41</f>
        <v>32274</v>
      </c>
      <c r="D110" s="162">
        <f>'NVDA - Balance Sheet FY'!D41</f>
        <v>22750</v>
      </c>
      <c r="E110" s="162">
        <f>'NVDA - Balance Sheet FY'!E41</f>
        <v>19081</v>
      </c>
      <c r="F110" s="162">
        <f>'NVDA - Balance Sheet FY'!F41</f>
        <v>17575</v>
      </c>
      <c r="G110" s="162">
        <f>'NVDA - Balance Sheet FY'!G41</f>
        <v>11898</v>
      </c>
      <c r="H110" s="162">
        <f>'NVDA - Balance Sheet FY'!H41</f>
        <v>5111</v>
      </c>
    </row>
    <row r="111" spans="1:8" x14ac:dyDescent="0.25">
      <c r="A111" t="s">
        <v>256</v>
      </c>
      <c r="B111" s="162">
        <f>'NVDA - Balance Sheet FY'!B47</f>
        <v>157293</v>
      </c>
      <c r="C111" s="162">
        <f>'NVDA - Balance Sheet FY'!C47</f>
        <v>79327</v>
      </c>
      <c r="D111" s="162">
        <f>'NVDA - Balance Sheet FY'!D47</f>
        <v>42978</v>
      </c>
      <c r="E111" s="162">
        <f>'NVDA - Balance Sheet FY'!E47</f>
        <v>22101</v>
      </c>
      <c r="F111" s="162">
        <f>'NVDA - Balance Sheet FY'!F47</f>
        <v>26612</v>
      </c>
      <c r="G111" s="162">
        <f>'NVDA - Balance Sheet FY'!G47</f>
        <v>16893</v>
      </c>
      <c r="H111" s="162">
        <f>'NVDA - Balance Sheet FY'!H47</f>
        <v>12204</v>
      </c>
    </row>
    <row r="113" spans="1:8" x14ac:dyDescent="0.25">
      <c r="A113" t="s">
        <v>402</v>
      </c>
      <c r="B113" s="163">
        <f t="shared" ref="B113:H113" si="31">IFERROR(B108/B111,"")</f>
        <v>5.3835835033981171E-2</v>
      </c>
      <c r="C113" s="163">
        <f t="shared" si="31"/>
        <v>0.10668498745698186</v>
      </c>
      <c r="D113" s="163">
        <f t="shared" si="31"/>
        <v>0.22590627763041557</v>
      </c>
      <c r="E113" s="163">
        <f t="shared" si="31"/>
        <v>0.49558843491244742</v>
      </c>
      <c r="F113" s="163">
        <f t="shared" si="31"/>
        <v>0.41131820231474525</v>
      </c>
      <c r="G113" s="163">
        <f t="shared" si="31"/>
        <v>0.35304564020600249</v>
      </c>
      <c r="H113" s="163">
        <f t="shared" si="31"/>
        <v>0.16314323172730252</v>
      </c>
    </row>
    <row r="114" spans="1:8" x14ac:dyDescent="0.25">
      <c r="A114" t="s">
        <v>403</v>
      </c>
      <c r="B114" s="163">
        <f t="shared" ref="B114:H114" si="32">IFERROR(B110/B111,"")</f>
        <v>0.3147628947251308</v>
      </c>
      <c r="C114" s="163">
        <f t="shared" si="32"/>
        <v>0.40684760548110982</v>
      </c>
      <c r="D114" s="163">
        <f t="shared" si="32"/>
        <v>0.52934059286146395</v>
      </c>
      <c r="E114" s="163">
        <f t="shared" si="32"/>
        <v>0.8633545993393964</v>
      </c>
      <c r="F114" s="163">
        <f t="shared" si="32"/>
        <v>0.66041635352472572</v>
      </c>
      <c r="G114" s="163">
        <f t="shared" si="32"/>
        <v>0.7043153969099627</v>
      </c>
      <c r="H114" s="163">
        <f t="shared" si="32"/>
        <v>0.41879711569977057</v>
      </c>
    </row>
    <row r="115" spans="1:8" x14ac:dyDescent="0.25">
      <c r="A115" t="s">
        <v>404</v>
      </c>
      <c r="B115" s="113">
        <f>IFERROR(B108/'NVDA - Balance Sheet FY'!B25,"")</f>
        <v>4.0947181617287949E-2</v>
      </c>
      <c r="C115" s="113">
        <f>IFERROR(C108/'NVDA - Balance Sheet FY'!C25,"")</f>
        <v>7.5832653829266766E-2</v>
      </c>
      <c r="D115" s="113">
        <f>IFERROR(D108/'NVDA - Balance Sheet FY'!D25,"")</f>
        <v>0.1477148247322298</v>
      </c>
      <c r="E115" s="113">
        <f>IFERROR(E108/'NVDA - Balance Sheet FY'!E25,"")</f>
        <v>0.26596571317565926</v>
      </c>
      <c r="F115" s="113">
        <f>IFERROR(F108/'NVDA - Balance Sheet FY'!F25,"")</f>
        <v>0.24771991762283024</v>
      </c>
      <c r="G115" s="113">
        <f>IFERROR(G108/'NVDA - Balance Sheet FY'!G25,"")</f>
        <v>0.20714806710430342</v>
      </c>
      <c r="H115" s="113">
        <f>IFERROR(H108/'NVDA - Balance Sheet FY'!H25,"")</f>
        <v>0.11498700548657234</v>
      </c>
    </row>
    <row r="116" spans="1:8" x14ac:dyDescent="0.25">
      <c r="A116" t="s">
        <v>405</v>
      </c>
      <c r="B116" s="113">
        <f>IFERROR(B111/'NVDA - Balance Sheet FY'!B25,"")</f>
        <v>0.76059341498914423</v>
      </c>
      <c r="C116" s="113">
        <f>IFERROR(C111/'NVDA - Balance Sheet FY'!C25,"")</f>
        <v>0.7108090429297228</v>
      </c>
      <c r="D116" s="113">
        <f>IFERROR(D111/'NVDA - Balance Sheet FY'!D25,"")</f>
        <v>0.653876582278481</v>
      </c>
      <c r="E116" s="113">
        <f>IFERROR(E111/'NVDA - Balance Sheet FY'!E25,"")</f>
        <v>0.53666650478364331</v>
      </c>
      <c r="F116" s="113">
        <f>IFERROR(F111/'NVDA - Balance Sheet FY'!F25,"")</f>
        <v>0.60225858284110712</v>
      </c>
      <c r="G116" s="113">
        <f>IFERROR(G111/'NVDA - Balance Sheet FY'!G25,"")</f>
        <v>0.58674585808065016</v>
      </c>
      <c r="H116" s="113">
        <f>IFERROR(H111/'NVDA - Balance Sheet FY'!H25,"")</f>
        <v>0.70482240831648857</v>
      </c>
    </row>
    <row r="118" spans="1:8" x14ac:dyDescent="0.25">
      <c r="A118" t="s">
        <v>406</v>
      </c>
      <c r="B118" s="162">
        <f>'NVDA - Income Statement FY'!B21</f>
        <v>133230</v>
      </c>
      <c r="C118" s="162">
        <f>'NVDA - Income Statement FY'!C21</f>
        <v>83317</v>
      </c>
      <c r="D118" s="162">
        <f>'NVDA - Income Statement FY'!D21</f>
        <v>34480</v>
      </c>
      <c r="E118" s="162">
        <f>'NVDA - Income Statement FY'!E21</f>
        <v>5768</v>
      </c>
      <c r="F118" s="162">
        <f>'NVDA - Income Statement FY'!F21</f>
        <v>11215</v>
      </c>
      <c r="G118" s="162">
        <f>'NVDA - Income Statement FY'!G21</f>
        <v>5630</v>
      </c>
      <c r="H118" s="162">
        <f>'NVDA - Income Statement FY'!H21</f>
        <v>3227</v>
      </c>
    </row>
    <row r="119" spans="1:8" x14ac:dyDescent="0.25">
      <c r="A119" t="s">
        <v>407</v>
      </c>
      <c r="B119" s="163">
        <f t="shared" ref="B119:H119" si="33">IFERROR(B108/B118,"")</f>
        <v>6.3559258425279597E-2</v>
      </c>
      <c r="C119" s="163">
        <f t="shared" si="33"/>
        <v>0.10157590887814011</v>
      </c>
      <c r="D119" s="163">
        <f t="shared" si="33"/>
        <v>0.28158352668213454</v>
      </c>
      <c r="E119" s="163">
        <f t="shared" si="33"/>
        <v>1.8989251040221915</v>
      </c>
      <c r="F119" s="163">
        <f t="shared" si="33"/>
        <v>0.97601426660722246</v>
      </c>
      <c r="G119" s="163">
        <f t="shared" si="33"/>
        <v>1.0593250444049733</v>
      </c>
      <c r="H119" s="163">
        <f t="shared" si="33"/>
        <v>0.61698171676479707</v>
      </c>
    </row>
    <row r="120" spans="1:8" x14ac:dyDescent="0.25">
      <c r="A120" t="s">
        <v>408</v>
      </c>
      <c r="B120" s="163">
        <f t="shared" ref="B120:H120" si="34">IFERROR(B109/B118,"")</f>
        <v>-1.6039930946483524E-2</v>
      </c>
      <c r="C120" s="163">
        <f t="shared" si="34"/>
        <v>-1.5122964100963789E-3</v>
      </c>
      <c r="D120" s="163">
        <f t="shared" si="34"/>
        <v>7.0446635730858465E-2</v>
      </c>
      <c r="E120" s="163">
        <f t="shared" si="34"/>
        <v>1.3113730929264911</v>
      </c>
      <c r="F120" s="163">
        <f t="shared" si="34"/>
        <v>0.79857333927775298</v>
      </c>
      <c r="G120" s="163">
        <f t="shared" si="34"/>
        <v>0.90888099467140315</v>
      </c>
      <c r="H120" s="163">
        <f t="shared" si="34"/>
        <v>-2.7595289742795166</v>
      </c>
    </row>
    <row r="121" spans="1:8" x14ac:dyDescent="0.25">
      <c r="A121" t="s">
        <v>409</v>
      </c>
      <c r="B121" s="161">
        <f>IF('NVDA - Income Statement FY'!B23=0,"",B118/'NVDA - Income Statement FY'!B23)</f>
        <v>514.40154440154436</v>
      </c>
      <c r="C121" s="161">
        <f>IF('NVDA - Income Statement FY'!C23=0,"",C118/'NVDA - Income Statement FY'!C23)</f>
        <v>337.31578947368422</v>
      </c>
      <c r="D121" s="161">
        <f>IF('NVDA - Income Statement FY'!D23=0,"",D118/'NVDA - Income Statement FY'!D23)</f>
        <v>134.16342412451363</v>
      </c>
      <c r="E121" s="161">
        <f>IF('NVDA - Income Statement FY'!E23=0,"",E118/'NVDA - Income Statement FY'!E23)</f>
        <v>22.015267175572518</v>
      </c>
      <c r="F121" s="161">
        <f>IF('NVDA - Income Statement FY'!F23=0,"",F118/'NVDA - Income Statement FY'!F23)</f>
        <v>47.521186440677965</v>
      </c>
      <c r="G121" s="161">
        <f>IF('NVDA - Income Statement FY'!G23=0,"",G118/'NVDA - Income Statement FY'!G23)</f>
        <v>30.597826086956523</v>
      </c>
      <c r="H121" s="161">
        <f>IF('NVDA - Income Statement FY'!H23=0,"",H118/'NVDA - Income Statement FY'!H23)</f>
        <v>62.057692307692307</v>
      </c>
    </row>
    <row r="122" spans="1:8" x14ac:dyDescent="0.25">
      <c r="A122" t="s">
        <v>410</v>
      </c>
      <c r="B122" s="161">
        <f>IFERROR('NVDA - Balance Sheet FY'!B13/'NVDA - Balance Sheet FY'!B32,"")</f>
        <v>3.9052638124553058</v>
      </c>
      <c r="C122" s="161">
        <f>IFERROR('NVDA - Balance Sheet FY'!C13/'NVDA - Balance Sheet FY'!C32,"")</f>
        <v>4.4398514988640772</v>
      </c>
      <c r="D122" s="161">
        <f>IFERROR('NVDA - Balance Sheet FY'!D13/'NVDA - Balance Sheet FY'!D32,"")</f>
        <v>4.1712915059730973</v>
      </c>
      <c r="E122" s="161">
        <f>IFERROR('NVDA - Balance Sheet FY'!E13/'NVDA - Balance Sheet FY'!E32,"")</f>
        <v>3.5156178576870332</v>
      </c>
      <c r="F122" s="161">
        <f>IFERROR('NVDA - Balance Sheet FY'!F13/'NVDA - Balance Sheet FY'!F32,"")</f>
        <v>6.6502883506343711</v>
      </c>
      <c r="G122" s="161">
        <f>IFERROR('NVDA - Balance Sheet FY'!G13/'NVDA - Balance Sheet FY'!G32,"")</f>
        <v>4.0904458598726112</v>
      </c>
      <c r="H122" s="161">
        <f>IFERROR('NVDA - Balance Sheet FY'!H13/'NVDA - Balance Sheet FY'!H32,"")</f>
        <v>7.6737668161434973</v>
      </c>
    </row>
    <row r="125" spans="1:8" x14ac:dyDescent="0.25">
      <c r="A125" s="9" t="s">
        <v>913</v>
      </c>
    </row>
    <row r="126" spans="1:8" x14ac:dyDescent="0.25">
      <c r="A126" t="s">
        <v>914</v>
      </c>
      <c r="B126" t="s">
        <v>294</v>
      </c>
    </row>
    <row r="127" spans="1:8" x14ac:dyDescent="0.25">
      <c r="A127" t="s">
        <v>915</v>
      </c>
      <c r="B127" s="80">
        <f>SUMIFS(mag7_leases_fy2019_fy2026!$D:$D,mag7_leases_fy2019_fy2026!$A:$A,$B$126,mag7_leases_fy2019_fy2026!$B:$B,YEAR(B$5))+SUMIFS(mag7_leases_fy2019_fy2026!$F:$F,mag7_leases_fy2019_fy2026!$A:$A,$B$126,mag7_leases_fy2019_fy2026!$B:$B,YEAR(B$5))</f>
        <v>372</v>
      </c>
      <c r="C127" s="80">
        <f>SUMIFS(mag7_leases_fy2019_fy2026!$D:$D,mag7_leases_fy2019_fy2026!$A:$A,$B$126,mag7_leases_fy2019_fy2026!$B:$B,YEAR(C$5))+SUMIFS(mag7_leases_fy2019_fy2026!$F:$F,mag7_leases_fy2019_fy2026!$A:$A,$B$126,mag7_leases_fy2019_fy2026!$B:$B,YEAR(C$5))</f>
        <v>288</v>
      </c>
      <c r="D127" s="80">
        <f>SUMIFS(mag7_leases_fy2019_fy2026!$D:$D,mag7_leases_fy2019_fy2026!$A:$A,$B$126,mag7_leases_fy2019_fy2026!$B:$B,YEAR(D$5))+SUMIFS(mag7_leases_fy2019_fy2026!$F:$F,mag7_leases_fy2019_fy2026!$A:$A,$B$126,mag7_leases_fy2019_fy2026!$B:$B,YEAR(D$5))</f>
        <v>228</v>
      </c>
      <c r="E127" s="80">
        <f>SUMIFS(mag7_leases_fy2019_fy2026!$D:$D,mag7_leases_fy2019_fy2026!$A:$A,$B$126,mag7_leases_fy2019_fy2026!$B:$B,YEAR(E$5))+SUMIFS(mag7_leases_fy2019_fy2026!$F:$F,mag7_leases_fy2019_fy2026!$A:$A,$B$126,mag7_leases_fy2019_fy2026!$B:$B,YEAR(E$5))</f>
        <v>176</v>
      </c>
      <c r="F127" s="80">
        <f>SUMIFS(mag7_leases_fy2019_fy2026!$D:$D,mag7_leases_fy2019_fy2026!$A:$A,$B$126,mag7_leases_fy2019_fy2026!$B:$B,YEAR(F$5))+SUMIFS(mag7_leases_fy2019_fy2026!$F:$F,mag7_leases_fy2019_fy2026!$A:$A,$B$126,mag7_leases_fy2019_fy2026!$B:$B,YEAR(F$5))</f>
        <v>144</v>
      </c>
      <c r="G127" s="80">
        <f>SUMIFS(mag7_leases_fy2019_fy2026!$D:$D,mag7_leases_fy2019_fy2026!$A:$A,$B$126,mag7_leases_fy2019_fy2026!$B:$B,YEAR(G$5))+SUMIFS(mag7_leases_fy2019_fy2026!$F:$F,mag7_leases_fy2019_fy2026!$A:$A,$B$126,mag7_leases_fy2019_fy2026!$B:$B,YEAR(G$5))</f>
        <v>121</v>
      </c>
      <c r="H127" s="80">
        <f>SUMIFS(mag7_leases_fy2019_fy2026!$D:$D,mag7_leases_fy2019_fy2026!$A:$A,$B$126,mag7_leases_fy2019_fy2026!$B:$B,YEAR(H$5))+SUMIFS(mag7_leases_fy2019_fy2026!$F:$F,mag7_leases_fy2019_fy2026!$A:$A,$B$126,mag7_leases_fy2019_fy2026!$B:$B,YEAR(H$5))</f>
        <v>91</v>
      </c>
    </row>
    <row r="128" spans="1:8" x14ac:dyDescent="0.25">
      <c r="A128" t="s">
        <v>916</v>
      </c>
      <c r="B128" s="80">
        <f>SUMIFS(mag7_leases_fy2019_fy2026!$E:$E,mag7_leases_fy2019_fy2026!$A:$A,$B$126,mag7_leases_fy2019_fy2026!$B:$B,YEAR(B$5))+SUMIFS(mag7_leases_fy2019_fy2026!$G:$G,mag7_leases_fy2019_fy2026!$A:$A,$B$126,mag7_leases_fy2019_fy2026!$B:$B,YEAR(B$5))</f>
        <v>2572</v>
      </c>
      <c r="C128" s="80">
        <f>SUMIFS(mag7_leases_fy2019_fy2026!$E:$E,mag7_leases_fy2019_fy2026!$A:$A,$B$126,mag7_leases_fy2019_fy2026!$B:$B,YEAR(C$5))+SUMIFS(mag7_leases_fy2019_fy2026!$G:$G,mag7_leases_fy2019_fy2026!$A:$A,$B$126,mag7_leases_fy2019_fy2026!$B:$B,YEAR(C$5))</f>
        <v>1519</v>
      </c>
      <c r="D128" s="80">
        <f>SUMIFS(mag7_leases_fy2019_fy2026!$E:$E,mag7_leases_fy2019_fy2026!$A:$A,$B$126,mag7_leases_fy2019_fy2026!$B:$B,YEAR(D$5))+SUMIFS(mag7_leases_fy2019_fy2026!$G:$G,mag7_leases_fy2019_fy2026!$A:$A,$B$126,mag7_leases_fy2019_fy2026!$B:$B,YEAR(D$5))</f>
        <v>1119</v>
      </c>
      <c r="E128" s="80">
        <f>SUMIFS(mag7_leases_fy2019_fy2026!$E:$E,mag7_leases_fy2019_fy2026!$A:$A,$B$126,mag7_leases_fy2019_fy2026!$B:$B,YEAR(E$5))+SUMIFS(mag7_leases_fy2019_fy2026!$G:$G,mag7_leases_fy2019_fy2026!$A:$A,$B$126,mag7_leases_fy2019_fy2026!$B:$B,YEAR(E$5))</f>
        <v>902</v>
      </c>
      <c r="F128" s="80">
        <f>SUMIFS(mag7_leases_fy2019_fy2026!$E:$E,mag7_leases_fy2019_fy2026!$A:$A,$B$126,mag7_leases_fy2019_fy2026!$B:$B,YEAR(F$5))+SUMIFS(mag7_leases_fy2019_fy2026!$G:$G,mag7_leases_fy2019_fy2026!$A:$A,$B$126,mag7_leases_fy2019_fy2026!$B:$B,YEAR(F$5))</f>
        <v>741</v>
      </c>
      <c r="G128" s="80">
        <f>SUMIFS(mag7_leases_fy2019_fy2026!$E:$E,mag7_leases_fy2019_fy2026!$A:$A,$B$126,mag7_leases_fy2019_fy2026!$B:$B,YEAR(G$5))+SUMIFS(mag7_leases_fy2019_fy2026!$G:$G,mag7_leases_fy2019_fy2026!$A:$A,$B$126,mag7_leases_fy2019_fy2026!$B:$B,YEAR(G$5))</f>
        <v>634</v>
      </c>
      <c r="H128" s="80">
        <f>SUMIFS(mag7_leases_fy2019_fy2026!$E:$E,mag7_leases_fy2019_fy2026!$A:$A,$B$126,mag7_leases_fy2019_fy2026!$B:$B,YEAR(H$5))+SUMIFS(mag7_leases_fy2019_fy2026!$G:$G,mag7_leases_fy2019_fy2026!$A:$A,$B$126,mag7_leases_fy2019_fy2026!$B:$B,YEAR(H$5))</f>
        <v>561</v>
      </c>
    </row>
    <row r="129" spans="1:8" x14ac:dyDescent="0.25">
      <c r="A129" t="s">
        <v>917</v>
      </c>
      <c r="B129" s="135">
        <f t="shared" ref="B129:H129" si="35">B127+B128</f>
        <v>2944</v>
      </c>
      <c r="C129" s="135">
        <f t="shared" si="35"/>
        <v>1807</v>
      </c>
      <c r="D129" s="135">
        <f t="shared" si="35"/>
        <v>1347</v>
      </c>
      <c r="E129" s="135">
        <f t="shared" si="35"/>
        <v>1078</v>
      </c>
      <c r="F129" s="135">
        <f t="shared" si="35"/>
        <v>885</v>
      </c>
      <c r="G129" s="135">
        <f t="shared" si="35"/>
        <v>755</v>
      </c>
      <c r="H129" s="135">
        <f t="shared" si="35"/>
        <v>652</v>
      </c>
    </row>
    <row r="130" spans="1:8" x14ac:dyDescent="0.25">
      <c r="A130" t="s">
        <v>918</v>
      </c>
      <c r="B130" s="80">
        <f>SUMIFS(mag7_leases_fy2019_fy2026!$H:$H,mag7_leases_fy2019_fy2026!$A:$A,$B$126,mag7_leases_fy2019_fy2026!$B:$B,YEAR(B$5))</f>
        <v>2867</v>
      </c>
      <c r="C130" s="80">
        <f>SUMIFS(mag7_leases_fy2019_fy2026!$H:$H,mag7_leases_fy2019_fy2026!$A:$A,$B$126,mag7_leases_fy2019_fy2026!$B:$B,YEAR(C$5))</f>
        <v>1793</v>
      </c>
      <c r="D130" s="80">
        <f>SUMIFS(mag7_leases_fy2019_fy2026!$H:$H,mag7_leases_fy2019_fy2026!$A:$A,$B$126,mag7_leases_fy2019_fy2026!$B:$B,YEAR(D$5))</f>
        <v>1346</v>
      </c>
      <c r="E130" s="80">
        <f>SUMIFS(mag7_leases_fy2019_fy2026!$H:$H,mag7_leases_fy2019_fy2026!$A:$A,$B$126,mag7_leases_fy2019_fy2026!$B:$B,YEAR(E$5))</f>
        <v>1038</v>
      </c>
      <c r="F130" s="80">
        <f>SUMIFS(mag7_leases_fy2019_fy2026!$H:$H,mag7_leases_fy2019_fy2026!$A:$A,$B$126,mag7_leases_fy2019_fy2026!$B:$B,YEAR(F$5))</f>
        <v>829</v>
      </c>
      <c r="G130" s="80">
        <f>SUMIFS(mag7_leases_fy2019_fy2026!$H:$H,mag7_leases_fy2019_fy2026!$A:$A,$B$126,mag7_leases_fy2019_fy2026!$B:$B,YEAR(G$5))</f>
        <v>707</v>
      </c>
      <c r="H130" s="80">
        <f>SUMIFS(mag7_leases_fy2019_fy2026!$H:$H,mag7_leases_fy2019_fy2026!$A:$A,$B$126,mag7_leases_fy2019_fy2026!$B:$B,YEAR(H$5))</f>
        <v>618</v>
      </c>
    </row>
    <row r="135" spans="1:8" x14ac:dyDescent="0.25">
      <c r="A135" s="67" t="s">
        <v>1358</v>
      </c>
    </row>
    <row r="136" spans="1:8" x14ac:dyDescent="0.25">
      <c r="A136" t="s">
        <v>1359</v>
      </c>
      <c r="B136" s="190">
        <v>5</v>
      </c>
    </row>
    <row r="137" spans="1:8" x14ac:dyDescent="0.25">
      <c r="A137" t="s">
        <v>1360</v>
      </c>
      <c r="B137" s="35">
        <f>'NVDA - Income Statement FY'!B13</f>
        <v>18497</v>
      </c>
      <c r="C137" s="35">
        <f>'NVDA - Income Statement FY'!C13</f>
        <v>12914</v>
      </c>
      <c r="D137" s="35">
        <f>'NVDA - Income Statement FY'!D13</f>
        <v>8675</v>
      </c>
      <c r="E137" s="35">
        <f>'NVDA - Income Statement FY'!E13</f>
        <v>7339</v>
      </c>
      <c r="F137" s="35">
        <f>'NVDA - Income Statement FY'!F13</f>
        <v>5268</v>
      </c>
      <c r="G137" s="35">
        <f>'NVDA - Income Statement FY'!G13</f>
        <v>3924</v>
      </c>
      <c r="H137" s="35">
        <f>'NVDA - Income Statement FY'!H13</f>
        <v>2829</v>
      </c>
    </row>
    <row r="138" spans="1:8" x14ac:dyDescent="0.25">
      <c r="A138" t="s">
        <v>1361</v>
      </c>
      <c r="B138" s="35">
        <f>B137*MAX(0,($B$136-0)/$B$136)+C137*MAX(0,($B$136-1)/$B$136)+D137*MAX(0,($B$136-2)/$B$136)+E137*MAX(0,($B$136-3)/$B$136)+F137*MAX(0,($B$136-4)/$B$136)</f>
        <v>38022.399999999994</v>
      </c>
      <c r="C138" s="35">
        <f>C137*MAX(0,($B$136-0)/$B$136)+D137*MAX(0,($B$136-1)/$B$136)+E137*MAX(0,($B$136-2)/$B$136)+F137*MAX(0,($B$136-3)/$B$136)+G137*MAX(0,($B$136-4)/$B$136)</f>
        <v>27149.4</v>
      </c>
      <c r="D138" s="35">
        <f>D137*MAX(0,($B$136-0)/$B$136)+E137*MAX(0,($B$136-1)/$B$136)+F137*MAX(0,($B$136-2)/$B$136)+G137*MAX(0,($B$136-3)/$B$136)+H137*MAX(0,($B$136-4)/$B$136)</f>
        <v>19842.399999999998</v>
      </c>
      <c r="E138" s="35" t="str">
        <f>""</f>
        <v/>
      </c>
      <c r="F138" s="35" t="str">
        <f>""</f>
        <v/>
      </c>
      <c r="G138" s="35" t="str">
        <f>""</f>
        <v/>
      </c>
      <c r="H138" s="35" t="str">
        <f>""</f>
        <v/>
      </c>
    </row>
    <row r="139" spans="1:8" x14ac:dyDescent="0.25">
      <c r="A139" t="s">
        <v>1362</v>
      </c>
      <c r="B139" s="35">
        <f>(C137*IF($B$136&gt;=1,1,0)+D137*IF($B$136&gt;=2,1,0)+E137*IF($B$136&gt;=3,1,0)+F137*IF($B$136&gt;=4,1,0)+G137*IF($B$136&gt;=5,1,0))/$B$136</f>
        <v>7624</v>
      </c>
      <c r="C139" s="35">
        <f>(D137*IF($B$136&gt;=1,1,0)+E137*IF($B$136&gt;=2,1,0)+F137*IF($B$136&gt;=3,1,0)+G137*IF($B$136&gt;=4,1,0)+H137*IF($B$136&gt;=5,1,0))/$B$136</f>
        <v>5607</v>
      </c>
      <c r="D139" s="35" t="str">
        <f>""</f>
        <v/>
      </c>
      <c r="E139" s="35" t="str">
        <f>""</f>
        <v/>
      </c>
      <c r="F139" s="35" t="str">
        <f>""</f>
        <v/>
      </c>
      <c r="G139" s="35" t="str">
        <f>""</f>
        <v/>
      </c>
      <c r="H139" s="35" t="str">
        <f>""</f>
        <v/>
      </c>
    </row>
    <row r="140" spans="1:8" x14ac:dyDescent="0.25">
      <c r="A140" t="s">
        <v>1363</v>
      </c>
      <c r="B140" s="35">
        <f t="shared" ref="B140:H140" si="36">B54</f>
        <v>130387</v>
      </c>
      <c r="C140" s="35">
        <f t="shared" si="36"/>
        <v>81453</v>
      </c>
      <c r="D140" s="35">
        <f t="shared" si="36"/>
        <v>32972</v>
      </c>
      <c r="E140" s="35">
        <f t="shared" si="36"/>
        <v>4224</v>
      </c>
      <c r="F140" s="35">
        <f t="shared" si="36"/>
        <v>10041</v>
      </c>
      <c r="G140" s="35">
        <f t="shared" si="36"/>
        <v>4532</v>
      </c>
      <c r="H140" s="35">
        <f t="shared" si="36"/>
        <v>2846</v>
      </c>
    </row>
    <row r="141" spans="1:8" x14ac:dyDescent="0.25">
      <c r="A141" t="s">
        <v>1364</v>
      </c>
      <c r="B141" s="35">
        <f>B140+B137-B139</f>
        <v>141260</v>
      </c>
      <c r="C141" s="35">
        <f>C140+C137-C139</f>
        <v>88760</v>
      </c>
      <c r="D141" s="35" t="str">
        <f>""</f>
        <v/>
      </c>
      <c r="E141" s="35" t="str">
        <f>""</f>
        <v/>
      </c>
      <c r="F141" s="35" t="str">
        <f>""</f>
        <v/>
      </c>
      <c r="G141" s="35" t="str">
        <f>""</f>
        <v/>
      </c>
      <c r="H141" s="35" t="str">
        <f>""</f>
        <v/>
      </c>
    </row>
    <row r="142" spans="1:8" x14ac:dyDescent="0.25">
      <c r="A142" t="s">
        <v>1365</v>
      </c>
      <c r="B142" s="35">
        <f>B141*(1-$B$9)</f>
        <v>111595.40000000001</v>
      </c>
      <c r="C142" s="35">
        <f>C141*(1-$B$9)</f>
        <v>70120.400000000009</v>
      </c>
      <c r="D142" s="35" t="str">
        <f>""</f>
        <v/>
      </c>
      <c r="E142" s="35" t="str">
        <f>""</f>
        <v/>
      </c>
      <c r="F142" s="35" t="str">
        <f>""</f>
        <v/>
      </c>
      <c r="G142" s="35" t="str">
        <f>""</f>
        <v/>
      </c>
      <c r="H142" s="35" t="str">
        <f>""</f>
        <v/>
      </c>
    </row>
    <row r="143" spans="1:8" x14ac:dyDescent="0.25">
      <c r="A143" t="s">
        <v>1366</v>
      </c>
      <c r="B143" s="35">
        <f t="shared" ref="B143:H143" si="37">B32</f>
        <v>88216.760000000009</v>
      </c>
      <c r="C143" s="35">
        <f t="shared" si="37"/>
        <v>45609.94</v>
      </c>
      <c r="D143" s="35">
        <f t="shared" si="37"/>
        <v>29268.440000000002</v>
      </c>
      <c r="E143" s="35">
        <f t="shared" si="37"/>
        <v>21375.48</v>
      </c>
      <c r="F143" s="35">
        <f t="shared" si="37"/>
        <v>17773.28</v>
      </c>
      <c r="G143" s="35">
        <f t="shared" si="37"/>
        <v>12384.5</v>
      </c>
      <c r="H143" s="35">
        <f t="shared" si="37"/>
        <v>4168.3600000000006</v>
      </c>
    </row>
    <row r="144" spans="1:8" x14ac:dyDescent="0.25">
      <c r="A144" t="s">
        <v>1367</v>
      </c>
      <c r="B144" s="35">
        <f>B32+B138</f>
        <v>126239.16</v>
      </c>
      <c r="C144" s="35">
        <f>C32+C138</f>
        <v>72759.34</v>
      </c>
      <c r="D144" s="35">
        <f>D32+D138</f>
        <v>49110.84</v>
      </c>
      <c r="E144" s="35" t="str">
        <f>""</f>
        <v/>
      </c>
      <c r="F144" s="35" t="str">
        <f>""</f>
        <v/>
      </c>
      <c r="G144" s="35" t="str">
        <f>""</f>
        <v/>
      </c>
      <c r="H144" s="35" t="str">
        <f>""</f>
        <v/>
      </c>
    </row>
    <row r="145" spans="1:8" x14ac:dyDescent="0.25">
      <c r="A145" t="s">
        <v>1368</v>
      </c>
      <c r="B145" s="28">
        <f t="shared" ref="B145:H145" si="38">IFERROR(B56/B32,"")</f>
        <v>1.1676435407512131</v>
      </c>
      <c r="C145" s="28">
        <f t="shared" si="38"/>
        <v>1.41082996381929</v>
      </c>
      <c r="D145" s="28">
        <f t="shared" si="38"/>
        <v>0.88996475384407225</v>
      </c>
      <c r="E145" s="28">
        <f t="shared" si="38"/>
        <v>0.15611158205570122</v>
      </c>
      <c r="F145" s="28">
        <f t="shared" si="38"/>
        <v>0.44630985389303496</v>
      </c>
      <c r="G145" s="28">
        <f t="shared" si="38"/>
        <v>0.28909362509588599</v>
      </c>
      <c r="H145" s="28">
        <f t="shared" si="38"/>
        <v>0.53938239499467411</v>
      </c>
    </row>
    <row r="146" spans="1:8" x14ac:dyDescent="0.25">
      <c r="A146" t="s">
        <v>1369</v>
      </c>
      <c r="B146" s="28">
        <f>IFERROR(B142/B144,"")</f>
        <v>0.88399986184952439</v>
      </c>
      <c r="C146" s="28">
        <f>IFERROR(C142/C144,"")</f>
        <v>0.96373056709970173</v>
      </c>
      <c r="D146" s="28" t="str">
        <f>""</f>
        <v/>
      </c>
      <c r="E146" s="28" t="str">
        <f>""</f>
        <v/>
      </c>
      <c r="F146" s="28" t="str">
        <f>""</f>
        <v/>
      </c>
      <c r="G146" s="28" t="str">
        <f>""</f>
        <v/>
      </c>
      <c r="H146" s="28" t="str">
        <f>""</f>
        <v/>
      </c>
    </row>
    <row r="148" spans="1:8" x14ac:dyDescent="0.25">
      <c r="A148" s="67" t="s">
        <v>1497</v>
      </c>
    </row>
    <row r="149" spans="1:8" x14ac:dyDescent="0.25">
      <c r="A149" t="s">
        <v>1498</v>
      </c>
      <c r="B149" s="3">
        <f>IF(COUNTIFS(mag7_leases_fy2019_fy2026!$A:$A,$B$126,mag7_leases_fy2019_fy2026!$B:$B,YEAR(B$5),mag7_leases_fy2019_fy2026!$L:$L,"&gt;0")=0,"",SUMIFS(mag7_leases_fy2019_fy2026!$L:$L,mag7_leases_fy2019_fy2026!$A:$A,$B$126,mag7_leases_fy2019_fy2026!$B:$B,YEAR(B$5))/100)</f>
        <v>4.3799999999999999E-2</v>
      </c>
      <c r="C149" s="3">
        <f>IF(COUNTIFS(mag7_leases_fy2019_fy2026!$A:$A,$B$126,mag7_leases_fy2019_fy2026!$B:$B,YEAR(C$5),mag7_leases_fy2019_fy2026!$L:$L,"&gt;0")=0,"",SUMIFS(mag7_leases_fy2019_fy2026!$L:$L,mag7_leases_fy2019_fy2026!$A:$A,$B$126,mag7_leases_fy2019_fy2026!$B:$B,YEAR(C$5))/100)</f>
        <v>4.1599999999999998E-2</v>
      </c>
      <c r="D149" s="3">
        <f>IF(COUNTIFS(mag7_leases_fy2019_fy2026!$A:$A,$B$126,mag7_leases_fy2019_fy2026!$B:$B,YEAR(D$5),mag7_leases_fy2019_fy2026!$L:$L,"&gt;0")=0,"",SUMIFS(mag7_leases_fy2019_fy2026!$L:$L,mag7_leases_fy2019_fy2026!$A:$A,$B$126,mag7_leases_fy2019_fy2026!$B:$B,YEAR(D$5))/100)</f>
        <v>3.7599999999999995E-2</v>
      </c>
      <c r="E149" s="3">
        <f>IF(COUNTIFS(mag7_leases_fy2019_fy2026!$A:$A,$B$126,mag7_leases_fy2019_fy2026!$B:$B,YEAR(E$5),mag7_leases_fy2019_fy2026!$L:$L,"&gt;0")=0,"",SUMIFS(mag7_leases_fy2019_fy2026!$L:$L,mag7_leases_fy2019_fy2026!$A:$A,$B$126,mag7_leases_fy2019_fy2026!$B:$B,YEAR(E$5))/100)</f>
        <v>3.2099999999999997E-2</v>
      </c>
      <c r="F149" s="3">
        <f>IF(COUNTIFS(mag7_leases_fy2019_fy2026!$A:$A,$B$126,mag7_leases_fy2019_fy2026!$B:$B,YEAR(F$5),mag7_leases_fy2019_fy2026!$L:$L,"&gt;0")=0,"",SUMIFS(mag7_leases_fy2019_fy2026!$L:$L,mag7_leases_fy2019_fy2026!$A:$A,$B$126,mag7_leases_fy2019_fy2026!$B:$B,YEAR(F$5))/100)</f>
        <v>2.5099999999999997E-2</v>
      </c>
      <c r="G149" s="3">
        <f>IF(COUNTIFS(mag7_leases_fy2019_fy2026!$A:$A,$B$126,mag7_leases_fy2019_fy2026!$B:$B,YEAR(G$5),mag7_leases_fy2019_fy2026!$L:$L,"&gt;0")=0,"",SUMIFS(mag7_leases_fy2019_fy2026!$L:$L,mag7_leases_fy2019_fy2026!$A:$A,$B$126,mag7_leases_fy2019_fy2026!$B:$B,YEAR(G$5))/100)</f>
        <v>2.87E-2</v>
      </c>
      <c r="H149" s="3">
        <f>IF(COUNTIFS(mag7_leases_fy2019_fy2026!$A:$A,$B$126,mag7_leases_fy2019_fy2026!$B:$B,YEAR(H$5),mag7_leases_fy2019_fy2026!$L:$L,"&gt;0")=0,"",SUMIFS(mag7_leases_fy2019_fy2026!$L:$L,mag7_leases_fy2019_fy2026!$A:$A,$B$126,mag7_leases_fy2019_fy2026!$B:$B,YEAR(H$5))/100)</f>
        <v>3.4500000000000003E-2</v>
      </c>
    </row>
    <row r="150" spans="1:8" x14ac:dyDescent="0.25">
      <c r="A150" t="s">
        <v>917</v>
      </c>
      <c r="B150" s="35">
        <f t="shared" ref="B150:H150" si="39">B129</f>
        <v>2944</v>
      </c>
      <c r="C150" s="35">
        <f t="shared" si="39"/>
        <v>1807</v>
      </c>
      <c r="D150" s="35">
        <f t="shared" si="39"/>
        <v>1347</v>
      </c>
      <c r="E150" s="35">
        <f t="shared" si="39"/>
        <v>1078</v>
      </c>
      <c r="F150" s="35">
        <f t="shared" si="39"/>
        <v>885</v>
      </c>
      <c r="G150" s="35">
        <f t="shared" si="39"/>
        <v>755</v>
      </c>
      <c r="H150" s="35">
        <f t="shared" si="39"/>
        <v>652</v>
      </c>
    </row>
    <row r="151" spans="1:8" x14ac:dyDescent="0.25">
      <c r="A151" t="s">
        <v>1499</v>
      </c>
      <c r="B151" s="35">
        <f t="shared" ref="B151:H151" si="40">IF(B149="","",B149*B150)</f>
        <v>128.94720000000001</v>
      </c>
      <c r="C151" s="35">
        <f t="shared" si="40"/>
        <v>75.171199999999999</v>
      </c>
      <c r="D151" s="35">
        <f t="shared" si="40"/>
        <v>50.647199999999991</v>
      </c>
      <c r="E151" s="35">
        <f t="shared" si="40"/>
        <v>34.6038</v>
      </c>
      <c r="F151" s="35">
        <f t="shared" si="40"/>
        <v>22.213499999999996</v>
      </c>
      <c r="G151" s="35">
        <f t="shared" si="40"/>
        <v>21.668499999999998</v>
      </c>
      <c r="H151" s="35">
        <f t="shared" si="40"/>
        <v>22.494000000000003</v>
      </c>
    </row>
    <row r="152" spans="1:8" x14ac:dyDescent="0.25">
      <c r="A152" t="s">
        <v>1500</v>
      </c>
      <c r="B152" s="3">
        <f>IF(B151="","",B151/'NVDA - Income Statement FY'!B7)</f>
        <v>5.9714918170956487E-4</v>
      </c>
      <c r="C152" s="3">
        <f>IF(C151="","",C151/'NVDA - Income Statement FY'!C7)</f>
        <v>5.7603776332022956E-4</v>
      </c>
      <c r="D152" s="3">
        <f>IF(D151="","",D151/'NVDA - Income Statement FY'!D7)</f>
        <v>8.3134499852270097E-4</v>
      </c>
      <c r="E152" s="3">
        <f>IF(E151="","",E151/'NVDA - Income Statement FY'!E7)</f>
        <v>1.2828575665455623E-3</v>
      </c>
      <c r="F152" s="3">
        <f>IF(F151="","",F151/'NVDA - Income Statement FY'!F7)</f>
        <v>8.2535111837705273E-4</v>
      </c>
      <c r="G152" s="3">
        <f>IF(G151="","",G151/'NVDA - Income Statement FY'!G7)</f>
        <v>1.2994602698650673E-3</v>
      </c>
      <c r="H152" s="3">
        <f>IF(H151="","",H151/'NVDA - Income Statement FY'!H7)</f>
        <v>2.0602674482505957E-3</v>
      </c>
    </row>
    <row r="153" spans="1:8" x14ac:dyDescent="0.25">
      <c r="A153" t="s">
        <v>1363</v>
      </c>
      <c r="B153" s="35">
        <f t="shared" ref="B153:H153" si="41">B54</f>
        <v>130387</v>
      </c>
      <c r="C153" s="35">
        <f t="shared" si="41"/>
        <v>81453</v>
      </c>
      <c r="D153" s="35">
        <f t="shared" si="41"/>
        <v>32972</v>
      </c>
      <c r="E153" s="35">
        <f t="shared" si="41"/>
        <v>4224</v>
      </c>
      <c r="F153" s="35">
        <f t="shared" si="41"/>
        <v>10041</v>
      </c>
      <c r="G153" s="35">
        <f t="shared" si="41"/>
        <v>4532</v>
      </c>
      <c r="H153" s="35">
        <f t="shared" si="41"/>
        <v>2846</v>
      </c>
    </row>
    <row r="154" spans="1:8" x14ac:dyDescent="0.25">
      <c r="A154" t="s">
        <v>1501</v>
      </c>
      <c r="B154" s="35">
        <f t="shared" ref="B154:H154" si="42">IF(B151="",B153,B153+B151)</f>
        <v>130515.9472</v>
      </c>
      <c r="C154" s="35">
        <f t="shared" si="42"/>
        <v>81528.171199999997</v>
      </c>
      <c r="D154" s="35">
        <f t="shared" si="42"/>
        <v>33022.647199999999</v>
      </c>
      <c r="E154" s="35">
        <f t="shared" si="42"/>
        <v>4258.6037999999999</v>
      </c>
      <c r="F154" s="35">
        <f t="shared" si="42"/>
        <v>10063.2135</v>
      </c>
      <c r="G154" s="35">
        <f t="shared" si="42"/>
        <v>4553.6684999999998</v>
      </c>
      <c r="H154" s="35">
        <f t="shared" si="42"/>
        <v>2868.4940000000001</v>
      </c>
    </row>
    <row r="155" spans="1:8" x14ac:dyDescent="0.25">
      <c r="A155" t="s">
        <v>1365</v>
      </c>
      <c r="B155" s="35">
        <f t="shared" ref="B155:H155" si="43">B154*(1-$B$9)</f>
        <v>103107.59828799999</v>
      </c>
      <c r="C155" s="35">
        <f t="shared" si="43"/>
        <v>64407.255248000001</v>
      </c>
      <c r="D155" s="35">
        <f t="shared" si="43"/>
        <v>26087.891288000003</v>
      </c>
      <c r="E155" s="35">
        <f t="shared" si="43"/>
        <v>3364.2970020000002</v>
      </c>
      <c r="F155" s="35">
        <f t="shared" si="43"/>
        <v>7949.9386650000006</v>
      </c>
      <c r="G155" s="35">
        <f t="shared" si="43"/>
        <v>3597.398115</v>
      </c>
      <c r="H155" s="35">
        <f t="shared" si="43"/>
        <v>2266.1102600000004</v>
      </c>
    </row>
    <row r="156" spans="1:8" x14ac:dyDescent="0.25">
      <c r="A156" t="s">
        <v>1502</v>
      </c>
      <c r="B156" s="62" t="str">
        <f t="shared" ref="B156:H156" si="44">IF(B149="","MISSING - add-back omitted","ok")</f>
        <v>ok</v>
      </c>
      <c r="C156" s="62" t="str">
        <f t="shared" si="44"/>
        <v>ok</v>
      </c>
      <c r="D156" s="62" t="str">
        <f t="shared" si="44"/>
        <v>ok</v>
      </c>
      <c r="E156" s="62" t="str">
        <f t="shared" si="44"/>
        <v>ok</v>
      </c>
      <c r="F156" s="62" t="str">
        <f t="shared" si="44"/>
        <v>ok</v>
      </c>
      <c r="G156" s="62" t="str">
        <f t="shared" si="44"/>
        <v>ok</v>
      </c>
      <c r="H156" s="62" t="str">
        <f t="shared" si="44"/>
        <v>ok</v>
      </c>
    </row>
  </sheetData>
  <conditionalFormatting sqref="B51:H51">
    <cfRule type="cellIs" dxfId="5" priority="1" operator="notBetween">
      <formula>0.5</formula>
      <formula>-0.5</formula>
    </cfRule>
  </conditionalFormatting>
  <conditionalFormatting sqref="B156:H156">
    <cfRule type="containsText" dxfId="4" priority="2" operator="containsText" text="MISSING">
      <formula>NOT(ISERROR(SEARCH("MISSING",B156)))</formula>
    </cfRule>
  </conditionalFormatting>
  <pageMargins left="0.7" right="0.7" top="0.75" bottom="0.75" header="0.3" footer="0.3"/>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8E6F15-EDBA-450F-9845-24048A7B973B}">
  <sheetPr>
    <tabColor rgb="FFFFE699"/>
  </sheetPr>
  <dimension ref="A1:H156"/>
  <sheetViews>
    <sheetView topLeftCell="A39" workbookViewId="0">
      <pane xSplit="1" topLeftCell="B1" activePane="topRight" state="frozen"/>
      <selection pane="topRight"/>
    </sheetView>
  </sheetViews>
  <sheetFormatPr defaultRowHeight="15" x14ac:dyDescent="0.25"/>
  <cols>
    <col min="1" max="1" width="61.7109375" bestFit="1" customWidth="1"/>
    <col min="2" max="8" width="16.7109375" customWidth="1"/>
  </cols>
  <sheetData>
    <row r="1" spans="1:8" ht="15.75" x14ac:dyDescent="0.25">
      <c r="A1" s="16" t="s">
        <v>288</v>
      </c>
      <c r="B1" s="16"/>
      <c r="C1" s="16"/>
      <c r="D1" s="16"/>
      <c r="E1" s="16"/>
      <c r="F1" s="16"/>
      <c r="G1" s="16"/>
      <c r="H1" s="16"/>
    </row>
    <row r="2" spans="1:8" x14ac:dyDescent="0.25">
      <c r="A2" s="17" t="s">
        <v>1</v>
      </c>
      <c r="B2" s="149" t="str">
        <f>'META - Income Statement FY'!B2</f>
        <v>META (NASDAQ)</v>
      </c>
      <c r="C2" s="17"/>
      <c r="D2" s="17"/>
      <c r="E2" s="17"/>
      <c r="F2" s="17"/>
      <c r="G2" s="17"/>
      <c r="H2" s="17"/>
    </row>
    <row r="3" spans="1:8" x14ac:dyDescent="0.25">
      <c r="A3" s="17" t="s">
        <v>3</v>
      </c>
      <c r="B3" s="149" t="str">
        <f>'META - Income Statement FY'!B3</f>
        <v>USD</v>
      </c>
      <c r="C3" s="17"/>
      <c r="D3" s="17"/>
      <c r="E3" s="17"/>
      <c r="F3" s="17"/>
      <c r="G3" s="17"/>
      <c r="H3" s="17"/>
    </row>
    <row r="4" spans="1:8" x14ac:dyDescent="0.25">
      <c r="A4" s="17" t="s">
        <v>32</v>
      </c>
      <c r="B4" s="150" t="str">
        <f>'META - Income Statement FY'!B4</f>
        <v>FY</v>
      </c>
      <c r="C4" s="150">
        <f>'META - Income Statement FY'!C4</f>
        <v>0</v>
      </c>
      <c r="D4" s="150">
        <f>'META - Income Statement FY'!D4</f>
        <v>0</v>
      </c>
      <c r="E4" s="150">
        <f>'META - Income Statement FY'!E4</f>
        <v>0</v>
      </c>
      <c r="F4" s="150">
        <f>'META - Income Statement FY'!F4</f>
        <v>0</v>
      </c>
      <c r="G4" s="150">
        <f>'META - Income Statement FY'!G4</f>
        <v>0</v>
      </c>
      <c r="H4" s="150">
        <f>'META - Income Statement FY'!H4</f>
        <v>0</v>
      </c>
    </row>
    <row r="5" spans="1:8" x14ac:dyDescent="0.25">
      <c r="A5" s="17" t="s">
        <v>34</v>
      </c>
      <c r="B5" s="151">
        <f>'META - Income Statement FY'!B5</f>
        <v>46022</v>
      </c>
      <c r="C5" s="151">
        <f>'META - Income Statement FY'!C5</f>
        <v>45657</v>
      </c>
      <c r="D5" s="151">
        <f>'META - Income Statement FY'!D5</f>
        <v>45291</v>
      </c>
      <c r="E5" s="151">
        <f>'META - Income Statement FY'!E5</f>
        <v>44926</v>
      </c>
      <c r="F5" s="151">
        <f>'META - Income Statement FY'!F5</f>
        <v>44561</v>
      </c>
      <c r="G5" s="151">
        <f>'META - Income Statement FY'!G5</f>
        <v>44196</v>
      </c>
      <c r="H5" s="151">
        <f>'META - Income Statement FY'!H5</f>
        <v>43830</v>
      </c>
    </row>
    <row r="6" spans="1:8" x14ac:dyDescent="0.25">
      <c r="A6" s="17"/>
      <c r="B6" s="17"/>
      <c r="C6" s="17"/>
      <c r="D6" s="17"/>
      <c r="E6" s="17"/>
      <c r="F6" s="17"/>
      <c r="G6" s="17"/>
      <c r="H6" s="17"/>
    </row>
    <row r="7" spans="1:8" x14ac:dyDescent="0.25">
      <c r="A7" s="20" t="s">
        <v>222</v>
      </c>
      <c r="B7" s="20"/>
      <c r="C7" s="20"/>
      <c r="D7" s="20"/>
      <c r="E7" s="20"/>
      <c r="F7" s="20"/>
      <c r="G7" s="20"/>
      <c r="H7" s="20"/>
    </row>
    <row r="8" spans="1:8" x14ac:dyDescent="0.25">
      <c r="A8" s="17" t="s">
        <v>223</v>
      </c>
      <c r="B8" s="21">
        <v>0.02</v>
      </c>
      <c r="C8" s="17"/>
      <c r="D8" s="17"/>
      <c r="E8" s="17"/>
      <c r="F8" s="17"/>
      <c r="G8" s="17"/>
      <c r="H8" s="17"/>
    </row>
    <row r="9" spans="1:8" x14ac:dyDescent="0.25">
      <c r="A9" s="17" t="s">
        <v>224</v>
      </c>
      <c r="B9" s="180">
        <f>'Valuation Dashboard'!$B$12</f>
        <v>0.21</v>
      </c>
      <c r="C9" s="17"/>
      <c r="D9" s="17"/>
      <c r="E9" s="17"/>
      <c r="F9" s="17"/>
      <c r="G9" s="17"/>
      <c r="H9" s="17"/>
    </row>
    <row r="10" spans="1:8" x14ac:dyDescent="0.25">
      <c r="A10" s="17"/>
      <c r="B10" s="17"/>
      <c r="C10" s="17"/>
      <c r="D10" s="17"/>
      <c r="E10" s="17"/>
      <c r="F10" s="17"/>
      <c r="G10" s="17"/>
      <c r="H10" s="17"/>
    </row>
    <row r="11" spans="1:8" x14ac:dyDescent="0.25">
      <c r="A11" s="20" t="s">
        <v>225</v>
      </c>
      <c r="B11" s="20"/>
      <c r="C11" s="20"/>
      <c r="D11" s="20"/>
      <c r="E11" s="20"/>
      <c r="F11" s="20"/>
      <c r="G11" s="20"/>
      <c r="H11" s="20"/>
    </row>
    <row r="12" spans="1:8" x14ac:dyDescent="0.25">
      <c r="A12" s="17" t="s">
        <v>226</v>
      </c>
      <c r="B12" s="152">
        <f>MIN('META - Balance Sheet FY'!B7,$B$8*'META - Income Statement FY'!B7)</f>
        <v>4019.32</v>
      </c>
      <c r="C12" s="152">
        <f>MIN('META - Balance Sheet FY'!C7,$B$8*'META - Income Statement FY'!C7)</f>
        <v>3290.02</v>
      </c>
      <c r="D12" s="152">
        <f>MIN('META - Balance Sheet FY'!D7,$B$8*'META - Income Statement FY'!D7)</f>
        <v>2698.04</v>
      </c>
      <c r="E12" s="152">
        <f>MIN('META - Balance Sheet FY'!E7,$B$8*'META - Income Statement FY'!E7)</f>
        <v>2332.1799999999998</v>
      </c>
      <c r="F12" s="152">
        <f>MIN('META - Balance Sheet FY'!F7,$B$8*'META - Income Statement FY'!F7)</f>
        <v>2358.58</v>
      </c>
      <c r="G12" s="152">
        <f>MIN('META - Balance Sheet FY'!G7,$B$8*'META - Income Statement FY'!G7)</f>
        <v>1719.3</v>
      </c>
      <c r="H12" s="152">
        <f>MIN('META - Balance Sheet FY'!H7,$B$8*'META - Income Statement FY'!H7)</f>
        <v>1413.94</v>
      </c>
    </row>
    <row r="13" spans="1:8" x14ac:dyDescent="0.25">
      <c r="A13" s="17" t="s">
        <v>227</v>
      </c>
      <c r="B13" s="152">
        <f>'META - Balance Sheet FY'!B10</f>
        <v>19769</v>
      </c>
      <c r="C13" s="152">
        <f>'META - Balance Sheet FY'!C10</f>
        <v>16994</v>
      </c>
      <c r="D13" s="152">
        <f>'META - Balance Sheet FY'!D10</f>
        <v>16169</v>
      </c>
      <c r="E13" s="152">
        <f>'META - Balance Sheet FY'!E10</f>
        <v>13466</v>
      </c>
      <c r="F13" s="152">
        <f>'META - Balance Sheet FY'!F10</f>
        <v>14039</v>
      </c>
      <c r="G13" s="152">
        <f>'META - Balance Sheet FY'!G10</f>
        <v>11335</v>
      </c>
      <c r="H13" s="152">
        <f>'META - Balance Sheet FY'!H10</f>
        <v>9518</v>
      </c>
    </row>
    <row r="14" spans="1:8" x14ac:dyDescent="0.25">
      <c r="A14" s="17" t="s">
        <v>70</v>
      </c>
      <c r="B14" s="152">
        <f>'META - Balance Sheet FY'!B11</f>
        <v>0</v>
      </c>
      <c r="C14" s="152">
        <f>'META - Balance Sheet FY'!C11</f>
        <v>0</v>
      </c>
      <c r="D14" s="152">
        <f>'META - Balance Sheet FY'!D11</f>
        <v>0</v>
      </c>
      <c r="E14" s="152">
        <f>'META - Balance Sheet FY'!E11</f>
        <v>0</v>
      </c>
      <c r="F14" s="152">
        <f>'META - Balance Sheet FY'!F11</f>
        <v>0</v>
      </c>
      <c r="G14" s="152">
        <f>'META - Balance Sheet FY'!G11</f>
        <v>0</v>
      </c>
      <c r="H14" s="152">
        <f>'META - Balance Sheet FY'!H11</f>
        <v>0</v>
      </c>
    </row>
    <row r="15" spans="1:8" x14ac:dyDescent="0.25">
      <c r="A15" s="17" t="s">
        <v>228</v>
      </c>
      <c r="B15" s="152">
        <f>'META - Balance Sheet FY'!B12</f>
        <v>7361</v>
      </c>
      <c r="C15" s="152">
        <f>'META - Balance Sheet FY'!C12</f>
        <v>5236</v>
      </c>
      <c r="D15" s="152">
        <f>'META - Balance Sheet FY'!D12</f>
        <v>3793</v>
      </c>
      <c r="E15" s="152">
        <f>'META - Balance Sheet FY'!E12</f>
        <v>5345</v>
      </c>
      <c r="F15" s="152">
        <f>'META - Balance Sheet FY'!F12</f>
        <v>4629</v>
      </c>
      <c r="G15" s="152">
        <f>'META - Balance Sheet FY'!G12</f>
        <v>2381</v>
      </c>
      <c r="H15" s="152">
        <f>'META - Balance Sheet FY'!H12</f>
        <v>1852</v>
      </c>
    </row>
    <row r="16" spans="1:8" x14ac:dyDescent="0.25">
      <c r="A16" s="19" t="s">
        <v>229</v>
      </c>
      <c r="B16" s="153">
        <f t="shared" ref="B16:H16" si="0">SUM(B12:B15)</f>
        <v>31149.32</v>
      </c>
      <c r="C16" s="153">
        <f t="shared" si="0"/>
        <v>25520.02</v>
      </c>
      <c r="D16" s="153">
        <f t="shared" si="0"/>
        <v>22660.04</v>
      </c>
      <c r="E16" s="153">
        <f t="shared" si="0"/>
        <v>21143.18</v>
      </c>
      <c r="F16" s="153">
        <f t="shared" si="0"/>
        <v>21026.58</v>
      </c>
      <c r="G16" s="153">
        <f t="shared" si="0"/>
        <v>15435.3</v>
      </c>
      <c r="H16" s="153">
        <f t="shared" si="0"/>
        <v>12783.94</v>
      </c>
    </row>
    <row r="17" spans="1:8" x14ac:dyDescent="0.25">
      <c r="A17" s="17" t="s">
        <v>230</v>
      </c>
      <c r="B17" s="152">
        <f>-'META - Balance Sheet FY'!B27</f>
        <v>-8894</v>
      </c>
      <c r="C17" s="152">
        <f>-'META - Balance Sheet FY'!C27</f>
        <v>-7687</v>
      </c>
      <c r="D17" s="152">
        <f>-'META - Balance Sheet FY'!D27</f>
        <v>-4849</v>
      </c>
      <c r="E17" s="152">
        <f>-'META - Balance Sheet FY'!E27</f>
        <v>-4990</v>
      </c>
      <c r="F17" s="152">
        <f>-'META - Balance Sheet FY'!F27</f>
        <v>-4083</v>
      </c>
      <c r="G17" s="152">
        <f>-'META - Balance Sheet FY'!G27</f>
        <v>-1331</v>
      </c>
      <c r="H17" s="152">
        <f>-'META - Balance Sheet FY'!H27</f>
        <v>-1363</v>
      </c>
    </row>
    <row r="18" spans="1:8" x14ac:dyDescent="0.25">
      <c r="A18" s="17" t="s">
        <v>231</v>
      </c>
      <c r="B18" s="152">
        <f>-'META - Balance Sheet FY'!B29</f>
        <v>0</v>
      </c>
      <c r="C18" s="152">
        <f>-'META - Balance Sheet FY'!C29</f>
        <v>0</v>
      </c>
      <c r="D18" s="152">
        <f>-'META - Balance Sheet FY'!D29</f>
        <v>0</v>
      </c>
      <c r="E18" s="152">
        <f>-'META - Balance Sheet FY'!E29</f>
        <v>0</v>
      </c>
      <c r="F18" s="152">
        <f>-'META - Balance Sheet FY'!F29</f>
        <v>0</v>
      </c>
      <c r="G18" s="152">
        <f>-'META - Balance Sheet FY'!G29</f>
        <v>0</v>
      </c>
      <c r="H18" s="152">
        <f>-'META - Balance Sheet FY'!H29</f>
        <v>0</v>
      </c>
    </row>
    <row r="19" spans="1:8" x14ac:dyDescent="0.25">
      <c r="A19" s="17" t="s">
        <v>232</v>
      </c>
      <c r="B19" s="152">
        <f>-'META - Balance Sheet FY'!B30</f>
        <v>0</v>
      </c>
      <c r="C19" s="152">
        <f>-'META - Balance Sheet FY'!C30</f>
        <v>0</v>
      </c>
      <c r="D19" s="152">
        <f>-'META - Balance Sheet FY'!D30</f>
        <v>0</v>
      </c>
      <c r="E19" s="152">
        <f>-'META - Balance Sheet FY'!E30</f>
        <v>0</v>
      </c>
      <c r="F19" s="152">
        <f>-'META - Balance Sheet FY'!F30</f>
        <v>-561</v>
      </c>
      <c r="G19" s="152">
        <f>-'META - Balance Sheet FY'!G30</f>
        <v>-382</v>
      </c>
      <c r="H19" s="152">
        <f>-'META - Balance Sheet FY'!H30</f>
        <v>-269</v>
      </c>
    </row>
    <row r="20" spans="1:8" x14ac:dyDescent="0.25">
      <c r="A20" s="17" t="s">
        <v>233</v>
      </c>
      <c r="B20" s="152">
        <f>-'META - Balance Sheet FY'!B31</f>
        <v>-32942</v>
      </c>
      <c r="C20" s="152">
        <f>-'META - Balance Sheet FY'!C31</f>
        <v>-25909</v>
      </c>
      <c r="D20" s="152">
        <f>-'META - Balance Sheet FY'!D31</f>
        <v>-27111</v>
      </c>
      <c r="E20" s="152">
        <f>-'META - Balance Sheet FY'!E31</f>
        <v>-22036</v>
      </c>
      <c r="F20" s="152">
        <f>-'META - Balance Sheet FY'!F31</f>
        <v>-16491</v>
      </c>
      <c r="G20" s="152">
        <f>-'META - Balance Sheet FY'!G31</f>
        <v>-13268</v>
      </c>
      <c r="H20" s="152">
        <f>-'META - Balance Sheet FY'!H31</f>
        <v>-13421</v>
      </c>
    </row>
    <row r="21" spans="1:8" x14ac:dyDescent="0.25">
      <c r="A21" s="19" t="s">
        <v>234</v>
      </c>
      <c r="B21" s="153">
        <f t="shared" ref="B21:H21" si="1">SUM(B17:B20)+B127</f>
        <v>-39315</v>
      </c>
      <c r="C21" s="153">
        <f t="shared" si="1"/>
        <v>-31578</v>
      </c>
      <c r="D21" s="153">
        <f t="shared" si="1"/>
        <v>-30247</v>
      </c>
      <c r="E21" s="153">
        <f t="shared" si="1"/>
        <v>-25530</v>
      </c>
      <c r="F21" s="153">
        <f t="shared" si="1"/>
        <v>-19933</v>
      </c>
      <c r="G21" s="153">
        <f t="shared" si="1"/>
        <v>-13904</v>
      </c>
      <c r="H21" s="153">
        <f t="shared" si="1"/>
        <v>-14198</v>
      </c>
    </row>
    <row r="22" spans="1:8" x14ac:dyDescent="0.25">
      <c r="A22" s="19" t="s">
        <v>235</v>
      </c>
      <c r="B22" s="154">
        <f t="shared" ref="B22:H22" si="2">B16+B21</f>
        <v>-8165.68</v>
      </c>
      <c r="C22" s="154">
        <f t="shared" si="2"/>
        <v>-6057.98</v>
      </c>
      <c r="D22" s="154">
        <f t="shared" si="2"/>
        <v>-7586.9599999999991</v>
      </c>
      <c r="E22" s="154">
        <f t="shared" si="2"/>
        <v>-4386.82</v>
      </c>
      <c r="F22" s="154">
        <f t="shared" si="2"/>
        <v>1093.5800000000017</v>
      </c>
      <c r="G22" s="154">
        <f t="shared" si="2"/>
        <v>1531.2999999999993</v>
      </c>
      <c r="H22" s="154">
        <f t="shared" si="2"/>
        <v>-1414.0599999999995</v>
      </c>
    </row>
    <row r="23" spans="1:8" x14ac:dyDescent="0.25">
      <c r="A23" s="17"/>
      <c r="B23" s="17"/>
      <c r="C23" s="17"/>
      <c r="D23" s="17"/>
      <c r="E23" s="17"/>
      <c r="F23" s="17"/>
      <c r="G23" s="17"/>
      <c r="H23" s="17"/>
    </row>
    <row r="24" spans="1:8" x14ac:dyDescent="0.25">
      <c r="A24" s="17" t="s">
        <v>236</v>
      </c>
      <c r="B24" s="152">
        <f>'META - Balance Sheet FY'!B15</f>
        <v>176400</v>
      </c>
      <c r="C24" s="152">
        <f>'META - Balance Sheet FY'!C15</f>
        <v>121346</v>
      </c>
      <c r="D24" s="152">
        <f>'META - Balance Sheet FY'!D15</f>
        <v>96587</v>
      </c>
      <c r="E24" s="152">
        <f>'META - Balance Sheet FY'!E15</f>
        <v>79518</v>
      </c>
      <c r="F24" s="152">
        <f>'META - Balance Sheet FY'!F15</f>
        <v>57809</v>
      </c>
      <c r="G24" s="152">
        <f>'META - Balance Sheet FY'!G15</f>
        <v>45633</v>
      </c>
      <c r="H24" s="152">
        <f>'META - Balance Sheet FY'!H15</f>
        <v>35323</v>
      </c>
    </row>
    <row r="25" spans="1:8" x14ac:dyDescent="0.25">
      <c r="A25" s="17" t="s">
        <v>66</v>
      </c>
      <c r="B25" s="152">
        <f>'META - Balance Sheet FY'!B16</f>
        <v>24534</v>
      </c>
      <c r="C25" s="152">
        <f>'META - Balance Sheet FY'!C16</f>
        <v>20654</v>
      </c>
      <c r="D25" s="152">
        <f>'META - Balance Sheet FY'!D16</f>
        <v>20654</v>
      </c>
      <c r="E25" s="152">
        <f>'META - Balance Sheet FY'!E16</f>
        <v>20306</v>
      </c>
      <c r="F25" s="152">
        <f>'META - Balance Sheet FY'!F16</f>
        <v>19197</v>
      </c>
      <c r="G25" s="152">
        <f>'META - Balance Sheet FY'!G16</f>
        <v>19050</v>
      </c>
      <c r="H25" s="152">
        <f>'META - Balance Sheet FY'!H16</f>
        <v>18715</v>
      </c>
    </row>
    <row r="26" spans="1:8" x14ac:dyDescent="0.25">
      <c r="A26" s="17" t="s">
        <v>237</v>
      </c>
      <c r="B26" s="152">
        <f>'META - Balance Sheet FY'!B17</f>
        <v>0</v>
      </c>
      <c r="C26" s="152">
        <f>'META - Balance Sheet FY'!C17</f>
        <v>0</v>
      </c>
      <c r="D26" s="152">
        <f>'META - Balance Sheet FY'!D17</f>
        <v>788</v>
      </c>
      <c r="E26" s="152">
        <f>'META - Balance Sheet FY'!E17</f>
        <v>897</v>
      </c>
      <c r="F26" s="152">
        <f>'META - Balance Sheet FY'!F17</f>
        <v>634</v>
      </c>
      <c r="G26" s="152">
        <f>'META - Balance Sheet FY'!G17</f>
        <v>623</v>
      </c>
      <c r="H26" s="152">
        <f>'META - Balance Sheet FY'!H17</f>
        <v>894</v>
      </c>
    </row>
    <row r="27" spans="1:8" x14ac:dyDescent="0.25">
      <c r="A27" s="17" t="s">
        <v>238</v>
      </c>
      <c r="B27" s="152">
        <f>'META - Balance Sheet FY'!B21</f>
        <v>28841</v>
      </c>
      <c r="C27" s="152">
        <f>'META - Balance Sheet FY'!C21</f>
        <v>27939</v>
      </c>
      <c r="D27" s="152">
        <f>'META - Balance Sheet FY'!D21</f>
        <v>20088</v>
      </c>
      <c r="E27" s="152">
        <f>'META - Balance Sheet FY'!E21</f>
        <v>19256</v>
      </c>
      <c r="F27" s="152">
        <f>'META - Balance Sheet FY'!F21</f>
        <v>14906</v>
      </c>
      <c r="G27" s="152">
        <f>'META - Balance Sheet FY'!G21</f>
        <v>12106</v>
      </c>
      <c r="H27" s="152">
        <f>'META - Balance Sheet FY'!H21</f>
        <v>12133</v>
      </c>
    </row>
    <row r="28" spans="1:8" x14ac:dyDescent="0.25">
      <c r="A28" s="17" t="s">
        <v>239</v>
      </c>
      <c r="B28" s="152">
        <f>-'META - Balance Sheet FY'!B35</f>
        <v>0</v>
      </c>
      <c r="C28" s="152">
        <f>-'META - Balance Sheet FY'!C35</f>
        <v>0</v>
      </c>
      <c r="D28" s="152">
        <f>-'META - Balance Sheet FY'!D35</f>
        <v>0</v>
      </c>
      <c r="E28" s="152">
        <f>-'META - Balance Sheet FY'!E35</f>
        <v>0</v>
      </c>
      <c r="F28" s="152">
        <f>-'META - Balance Sheet FY'!F35</f>
        <v>0</v>
      </c>
      <c r="G28" s="152">
        <f>-'META - Balance Sheet FY'!G35</f>
        <v>0</v>
      </c>
      <c r="H28" s="152">
        <f>-'META - Balance Sheet FY'!H35</f>
        <v>0</v>
      </c>
    </row>
    <row r="29" spans="1:8" x14ac:dyDescent="0.25">
      <c r="A29" s="17" t="s">
        <v>240</v>
      </c>
      <c r="B29" s="152">
        <f>-'META - Balance Sheet FY'!B36</f>
        <v>0</v>
      </c>
      <c r="C29" s="152">
        <f>-'META - Balance Sheet FY'!C36</f>
        <v>0</v>
      </c>
      <c r="D29" s="152">
        <f>-'META - Balance Sheet FY'!D36</f>
        <v>0</v>
      </c>
      <c r="E29" s="152">
        <f>-'META - Balance Sheet FY'!E36</f>
        <v>0</v>
      </c>
      <c r="F29" s="152">
        <f>-'META - Balance Sheet FY'!F36</f>
        <v>0</v>
      </c>
      <c r="G29" s="152">
        <f>-'META - Balance Sheet FY'!G36</f>
        <v>0</v>
      </c>
      <c r="H29" s="152">
        <f>-'META - Balance Sheet FY'!H36</f>
        <v>0</v>
      </c>
    </row>
    <row r="30" spans="1:8" x14ac:dyDescent="0.25">
      <c r="A30" s="17" t="s">
        <v>241</v>
      </c>
      <c r="B30" s="152">
        <f>-'META - Balance Sheet FY'!B37+B128</f>
        <v>-24382</v>
      </c>
      <c r="C30" s="152">
        <f>-'META - Balance Sheet FY'!C37+C128</f>
        <v>-12070</v>
      </c>
      <c r="D30" s="152">
        <f>-'META - Balance Sheet FY'!D37+D128</f>
        <v>-8284</v>
      </c>
      <c r="E30" s="152">
        <f>-'META - Balance Sheet FY'!E37+E128</f>
        <v>-7206</v>
      </c>
      <c r="F30" s="152">
        <f>-'META - Balance Sheet FY'!F37+F128</f>
        <v>-6721</v>
      </c>
      <c r="G30" s="152">
        <f>-'META - Balance Sheet FY'!G37+G128</f>
        <v>-5945</v>
      </c>
      <c r="H30" s="152">
        <f>-'META - Balance Sheet FY'!H37+H128</f>
        <v>-7327</v>
      </c>
    </row>
    <row r="31" spans="1:8" x14ac:dyDescent="0.25">
      <c r="A31" s="19" t="s">
        <v>242</v>
      </c>
      <c r="B31" s="154">
        <f t="shared" ref="B31:H31" si="3">B22+B24+B26+B27+B28+B29+B30</f>
        <v>172693.32</v>
      </c>
      <c r="C31" s="154">
        <f t="shared" si="3"/>
        <v>131157.02000000002</v>
      </c>
      <c r="D31" s="154">
        <f t="shared" si="3"/>
        <v>101592.04000000001</v>
      </c>
      <c r="E31" s="154">
        <f t="shared" si="3"/>
        <v>88078.18</v>
      </c>
      <c r="F31" s="154">
        <f t="shared" si="3"/>
        <v>67721.58</v>
      </c>
      <c r="G31" s="154">
        <f t="shared" si="3"/>
        <v>53948.3</v>
      </c>
      <c r="H31" s="154">
        <f t="shared" si="3"/>
        <v>39608.94</v>
      </c>
    </row>
    <row r="32" spans="1:8" x14ac:dyDescent="0.25">
      <c r="A32" s="19" t="s">
        <v>243</v>
      </c>
      <c r="B32" s="154">
        <f t="shared" ref="B32:H32" si="4">B31+B25</f>
        <v>197227.32</v>
      </c>
      <c r="C32" s="154">
        <f t="shared" si="4"/>
        <v>151811.02000000002</v>
      </c>
      <c r="D32" s="154">
        <f t="shared" si="4"/>
        <v>122246.04000000001</v>
      </c>
      <c r="E32" s="154">
        <f t="shared" si="4"/>
        <v>108384.18</v>
      </c>
      <c r="F32" s="154">
        <f t="shared" si="4"/>
        <v>86918.58</v>
      </c>
      <c r="G32" s="154">
        <f t="shared" si="4"/>
        <v>72998.3</v>
      </c>
      <c r="H32" s="154">
        <f t="shared" si="4"/>
        <v>58323.94</v>
      </c>
    </row>
    <row r="33" spans="1:8" x14ac:dyDescent="0.25">
      <c r="A33" s="17"/>
      <c r="B33" s="17"/>
      <c r="C33" s="17"/>
      <c r="D33" s="17"/>
      <c r="E33" s="17"/>
      <c r="F33" s="17"/>
      <c r="G33" s="17"/>
      <c r="H33" s="17"/>
    </row>
    <row r="34" spans="1:8" x14ac:dyDescent="0.25">
      <c r="A34" s="20" t="s">
        <v>244</v>
      </c>
      <c r="B34" s="20"/>
      <c r="C34" s="20"/>
      <c r="D34" s="20"/>
      <c r="E34" s="20"/>
      <c r="F34" s="20"/>
      <c r="G34" s="20"/>
      <c r="H34" s="20"/>
    </row>
    <row r="35" spans="1:8" x14ac:dyDescent="0.25">
      <c r="A35" s="17" t="s">
        <v>245</v>
      </c>
      <c r="B35" s="152">
        <f>'META - Balance Sheet FY'!B7-B12</f>
        <v>31853.68</v>
      </c>
      <c r="C35" s="152">
        <f>'META - Balance Sheet FY'!C7-C12</f>
        <v>40598.980000000003</v>
      </c>
      <c r="D35" s="152">
        <f>'META - Balance Sheet FY'!D7-D12</f>
        <v>39163.96</v>
      </c>
      <c r="E35" s="152">
        <f>'META - Balance Sheet FY'!E7-E12</f>
        <v>12348.82</v>
      </c>
      <c r="F35" s="152">
        <f>'META - Balance Sheet FY'!F7-F12</f>
        <v>14242.42</v>
      </c>
      <c r="G35" s="152">
        <f>'META - Balance Sheet FY'!G7-G12</f>
        <v>15856.7</v>
      </c>
      <c r="H35" s="152">
        <f>'META - Balance Sheet FY'!H7-H12</f>
        <v>17665.060000000001</v>
      </c>
    </row>
    <row r="36" spans="1:8" x14ac:dyDescent="0.25">
      <c r="A36" s="17" t="s">
        <v>246</v>
      </c>
      <c r="B36" s="152">
        <f>'META - Balance Sheet FY'!B8</f>
        <v>45719</v>
      </c>
      <c r="C36" s="152">
        <f>'META - Balance Sheet FY'!C8</f>
        <v>33926</v>
      </c>
      <c r="D36" s="152">
        <f>'META - Balance Sheet FY'!D8</f>
        <v>23541</v>
      </c>
      <c r="E36" s="152">
        <f>'META - Balance Sheet FY'!E8</f>
        <v>26057</v>
      </c>
      <c r="F36" s="152">
        <f>'META - Balance Sheet FY'!F8</f>
        <v>31397</v>
      </c>
      <c r="G36" s="152">
        <f>'META - Balance Sheet FY'!G8</f>
        <v>44378</v>
      </c>
      <c r="H36" s="152">
        <f>'META - Balance Sheet FY'!H8</f>
        <v>35776</v>
      </c>
    </row>
    <row r="37" spans="1:8" x14ac:dyDescent="0.25">
      <c r="A37" s="17" t="s">
        <v>247</v>
      </c>
      <c r="B37" s="152">
        <f>'META - Balance Sheet FY'!B19</f>
        <v>27524</v>
      </c>
      <c r="C37" s="152">
        <f>'META - Balance Sheet FY'!C19</f>
        <v>6070</v>
      </c>
      <c r="D37" s="152">
        <f>'META - Balance Sheet FY'!D19</f>
        <v>6141</v>
      </c>
      <c r="E37" s="152">
        <f>'META - Balance Sheet FY'!E19</f>
        <v>6201</v>
      </c>
      <c r="F37" s="152">
        <f>'META - Balance Sheet FY'!F19</f>
        <v>6775</v>
      </c>
      <c r="G37" s="152">
        <f>'META - Balance Sheet FY'!G19</f>
        <v>6234</v>
      </c>
      <c r="H37" s="152">
        <f>'META - Balance Sheet FY'!H19</f>
        <v>86</v>
      </c>
    </row>
    <row r="38" spans="1:8" x14ac:dyDescent="0.25">
      <c r="A38" s="17" t="s">
        <v>248</v>
      </c>
      <c r="B38" s="152">
        <f>'META - Balance Sheet FY'!B20</f>
        <v>0</v>
      </c>
      <c r="C38" s="152">
        <f>'META - Balance Sheet FY'!C20</f>
        <v>0</v>
      </c>
      <c r="D38" s="152">
        <f>'META - Balance Sheet FY'!D20</f>
        <v>0</v>
      </c>
      <c r="E38" s="152">
        <f>'META - Balance Sheet FY'!E20</f>
        <v>0</v>
      </c>
      <c r="F38" s="152">
        <f>'META - Balance Sheet FY'!F20</f>
        <v>0</v>
      </c>
      <c r="G38" s="152">
        <f>'META - Balance Sheet FY'!G20</f>
        <v>0</v>
      </c>
      <c r="H38" s="152">
        <f>'META - Balance Sheet FY'!H20</f>
        <v>0</v>
      </c>
    </row>
    <row r="39" spans="1:8" x14ac:dyDescent="0.25">
      <c r="A39" s="17" t="s">
        <v>249</v>
      </c>
      <c r="B39" s="152">
        <f>'META - Balance Sheet FY'!B24</f>
        <v>0</v>
      </c>
      <c r="C39" s="152">
        <f>'META - Balance Sheet FY'!C24</f>
        <v>0</v>
      </c>
      <c r="D39" s="152">
        <f>'META - Balance Sheet FY'!D24</f>
        <v>0</v>
      </c>
      <c r="E39" s="152">
        <f>'META - Balance Sheet FY'!E24</f>
        <v>0</v>
      </c>
      <c r="F39" s="152">
        <f>'META - Balance Sheet FY'!F24</f>
        <v>0</v>
      </c>
      <c r="G39" s="152">
        <f>'META - Balance Sheet FY'!G24</f>
        <v>0</v>
      </c>
      <c r="H39" s="152">
        <f>'META - Balance Sheet FY'!H24</f>
        <v>0</v>
      </c>
    </row>
    <row r="40" spans="1:8" x14ac:dyDescent="0.25">
      <c r="A40" s="19" t="s">
        <v>250</v>
      </c>
      <c r="B40" s="154">
        <f t="shared" ref="B40:H40" si="5">SUM(B35:B39)</f>
        <v>105096.68</v>
      </c>
      <c r="C40" s="154">
        <f t="shared" si="5"/>
        <v>80594.98000000001</v>
      </c>
      <c r="D40" s="154">
        <f t="shared" si="5"/>
        <v>68845.959999999992</v>
      </c>
      <c r="E40" s="154">
        <f t="shared" si="5"/>
        <v>44606.82</v>
      </c>
      <c r="F40" s="154">
        <f t="shared" si="5"/>
        <v>52414.42</v>
      </c>
      <c r="G40" s="154">
        <f t="shared" si="5"/>
        <v>66468.7</v>
      </c>
      <c r="H40" s="154">
        <f t="shared" si="5"/>
        <v>53527.06</v>
      </c>
    </row>
    <row r="41" spans="1:8" x14ac:dyDescent="0.25">
      <c r="A41" s="17"/>
      <c r="B41" s="17"/>
      <c r="C41" s="17"/>
      <c r="D41" s="17"/>
      <c r="E41" s="17"/>
      <c r="F41" s="17"/>
      <c r="G41" s="17"/>
      <c r="H41" s="17"/>
    </row>
    <row r="42" spans="1:8" x14ac:dyDescent="0.25">
      <c r="A42" s="20" t="s">
        <v>251</v>
      </c>
      <c r="B42" s="155">
        <f t="shared" ref="B42:H42" si="6">B32+B40</f>
        <v>302324</v>
      </c>
      <c r="C42" s="155">
        <f t="shared" si="6"/>
        <v>232406.00000000003</v>
      </c>
      <c r="D42" s="155">
        <f t="shared" si="6"/>
        <v>191092</v>
      </c>
      <c r="E42" s="155">
        <f t="shared" si="6"/>
        <v>152991</v>
      </c>
      <c r="F42" s="155">
        <f t="shared" si="6"/>
        <v>139333</v>
      </c>
      <c r="G42" s="155">
        <f t="shared" si="6"/>
        <v>139467</v>
      </c>
      <c r="H42" s="155">
        <f t="shared" si="6"/>
        <v>111851</v>
      </c>
    </row>
    <row r="43" spans="1:8" x14ac:dyDescent="0.25">
      <c r="A43" s="17"/>
      <c r="B43" s="17"/>
      <c r="C43" s="17"/>
      <c r="D43" s="17"/>
      <c r="E43" s="17"/>
      <c r="F43" s="17"/>
      <c r="G43" s="17"/>
      <c r="H43" s="17"/>
    </row>
    <row r="44" spans="1:8" x14ac:dyDescent="0.25">
      <c r="A44" s="20" t="s">
        <v>252</v>
      </c>
      <c r="B44" s="20"/>
      <c r="C44" s="20"/>
      <c r="D44" s="20"/>
      <c r="E44" s="20"/>
      <c r="F44" s="20"/>
      <c r="G44" s="20"/>
      <c r="H44" s="20"/>
    </row>
    <row r="45" spans="1:8" x14ac:dyDescent="0.25">
      <c r="A45" s="17" t="s">
        <v>253</v>
      </c>
      <c r="B45" s="152">
        <f>'META - Balance Sheet FY'!B28</f>
        <v>0</v>
      </c>
      <c r="C45" s="152">
        <f>'META - Balance Sheet FY'!C28</f>
        <v>0</v>
      </c>
      <c r="D45" s="152">
        <f>'META - Balance Sheet FY'!D28</f>
        <v>0</v>
      </c>
      <c r="E45" s="152">
        <f>'META - Balance Sheet FY'!E28</f>
        <v>0</v>
      </c>
      <c r="F45" s="152">
        <f>'META - Balance Sheet FY'!F28</f>
        <v>0</v>
      </c>
      <c r="G45" s="152">
        <f>'META - Balance Sheet FY'!G28</f>
        <v>0</v>
      </c>
      <c r="H45" s="152">
        <f>'META - Balance Sheet FY'!H28</f>
        <v>0</v>
      </c>
    </row>
    <row r="46" spans="1:8" x14ac:dyDescent="0.25">
      <c r="A46" s="17" t="s">
        <v>254</v>
      </c>
      <c r="B46" s="152">
        <f>'META - Balance Sheet FY'!B34</f>
        <v>58744</v>
      </c>
      <c r="C46" s="152">
        <f>'META - Balance Sheet FY'!C34</f>
        <v>28826</v>
      </c>
      <c r="D46" s="152">
        <f>'META - Balance Sheet FY'!D34</f>
        <v>18385</v>
      </c>
      <c r="E46" s="152">
        <f>'META - Balance Sheet FY'!E34</f>
        <v>9923</v>
      </c>
      <c r="F46" s="152">
        <f>'META - Balance Sheet FY'!F34</f>
        <v>0</v>
      </c>
      <c r="G46" s="152">
        <f>'META - Balance Sheet FY'!G34</f>
        <v>0</v>
      </c>
      <c r="H46" s="152">
        <f>'META - Balance Sheet FY'!H34</f>
        <v>0</v>
      </c>
    </row>
    <row r="47" spans="1:8" x14ac:dyDescent="0.25">
      <c r="A47" s="19" t="s">
        <v>255</v>
      </c>
      <c r="B47" s="153">
        <f t="shared" ref="B47:H47" si="7">B45+B46</f>
        <v>58744</v>
      </c>
      <c r="C47" s="153">
        <f t="shared" si="7"/>
        <v>28826</v>
      </c>
      <c r="D47" s="153">
        <f t="shared" si="7"/>
        <v>18385</v>
      </c>
      <c r="E47" s="153">
        <f t="shared" si="7"/>
        <v>9923</v>
      </c>
      <c r="F47" s="153">
        <f t="shared" si="7"/>
        <v>0</v>
      </c>
      <c r="G47" s="153">
        <f t="shared" si="7"/>
        <v>0</v>
      </c>
      <c r="H47" s="153">
        <f t="shared" si="7"/>
        <v>0</v>
      </c>
    </row>
    <row r="48" spans="1:8" x14ac:dyDescent="0.25">
      <c r="A48" s="17" t="s">
        <v>256</v>
      </c>
      <c r="B48" s="152">
        <f>'META - Balance Sheet FY'!B47</f>
        <v>217243</v>
      </c>
      <c r="C48" s="152">
        <f>'META - Balance Sheet FY'!C47</f>
        <v>182637</v>
      </c>
      <c r="D48" s="152">
        <f>'META - Balance Sheet FY'!D47</f>
        <v>153168</v>
      </c>
      <c r="E48" s="152">
        <f>'META - Balance Sheet FY'!E47</f>
        <v>125713</v>
      </c>
      <c r="F48" s="152">
        <f>'META - Balance Sheet FY'!F47</f>
        <v>124879</v>
      </c>
      <c r="G48" s="152">
        <f>'META - Balance Sheet FY'!G47</f>
        <v>128290</v>
      </c>
      <c r="H48" s="152">
        <f>'META - Balance Sheet FY'!H47</f>
        <v>101054</v>
      </c>
    </row>
    <row r="49" spans="1:8" x14ac:dyDescent="0.25">
      <c r="A49" s="17" t="s">
        <v>283</v>
      </c>
      <c r="B49" s="152">
        <f>'META - Balance Sheet FY'!B40+('META - Balance Sheet FY'!B49-'META - Balance Sheet FY'!B41-'META - Balance Sheet FY'!B47)</f>
        <v>0</v>
      </c>
      <c r="C49" s="152">
        <f>'META - Balance Sheet FY'!C40+('META - Balance Sheet FY'!C49-'META - Balance Sheet FY'!C41-'META - Balance Sheet FY'!C47)</f>
        <v>0</v>
      </c>
      <c r="D49" s="152">
        <f>'META - Balance Sheet FY'!D40+('META - Balance Sheet FY'!D49-'META - Balance Sheet FY'!D41-'META - Balance Sheet FY'!D47)</f>
        <v>0</v>
      </c>
      <c r="E49" s="152">
        <f>'META - Balance Sheet FY'!E40+('META - Balance Sheet FY'!E49-'META - Balance Sheet FY'!E41-'META - Balance Sheet FY'!E47)</f>
        <v>0</v>
      </c>
      <c r="F49" s="152">
        <f>'META - Balance Sheet FY'!F40+('META - Balance Sheet FY'!F49-'META - Balance Sheet FY'!F41-'META - Balance Sheet FY'!F47)</f>
        <v>0</v>
      </c>
      <c r="G49" s="152">
        <f>'META - Balance Sheet FY'!G40+('META - Balance Sheet FY'!G49-'META - Balance Sheet FY'!G41-'META - Balance Sheet FY'!G47)</f>
        <v>0</v>
      </c>
      <c r="H49" s="152">
        <f>'META - Balance Sheet FY'!H40+('META - Balance Sheet FY'!H49-'META - Balance Sheet FY'!H41-'META - Balance Sheet FY'!H47)</f>
        <v>0</v>
      </c>
    </row>
    <row r="50" spans="1:8" x14ac:dyDescent="0.25">
      <c r="A50" s="19" t="s">
        <v>257</v>
      </c>
      <c r="B50" s="154">
        <f t="shared" ref="B50:H50" si="8">B47+B48+B49+B129</f>
        <v>302324</v>
      </c>
      <c r="C50" s="154">
        <f t="shared" si="8"/>
        <v>232406</v>
      </c>
      <c r="D50" s="154">
        <f t="shared" si="8"/>
        <v>191092</v>
      </c>
      <c r="E50" s="154">
        <f t="shared" si="8"/>
        <v>152991</v>
      </c>
      <c r="F50" s="154">
        <f t="shared" si="8"/>
        <v>139333</v>
      </c>
      <c r="G50" s="154">
        <f t="shared" si="8"/>
        <v>139467</v>
      </c>
      <c r="H50" s="154">
        <f t="shared" si="8"/>
        <v>111851</v>
      </c>
    </row>
    <row r="51" spans="1:8" x14ac:dyDescent="0.25">
      <c r="A51" s="22" t="s">
        <v>258</v>
      </c>
      <c r="B51" s="156">
        <f t="shared" ref="B51:H51" si="9">B42-B50</f>
        <v>0</v>
      </c>
      <c r="C51" s="156">
        <f t="shared" si="9"/>
        <v>0</v>
      </c>
      <c r="D51" s="156">
        <f t="shared" si="9"/>
        <v>0</v>
      </c>
      <c r="E51" s="156">
        <f t="shared" si="9"/>
        <v>0</v>
      </c>
      <c r="F51" s="156">
        <f t="shared" si="9"/>
        <v>0</v>
      </c>
      <c r="G51" s="156">
        <f t="shared" si="9"/>
        <v>0</v>
      </c>
      <c r="H51" s="156">
        <f t="shared" si="9"/>
        <v>0</v>
      </c>
    </row>
    <row r="52" spans="1:8" x14ac:dyDescent="0.25">
      <c r="A52" s="17"/>
      <c r="B52" s="17"/>
      <c r="C52" s="17"/>
      <c r="D52" s="17"/>
      <c r="E52" s="17"/>
      <c r="F52" s="17"/>
      <c r="G52" s="17"/>
      <c r="H52" s="17"/>
    </row>
    <row r="53" spans="1:8" x14ac:dyDescent="0.25">
      <c r="A53" s="20" t="s">
        <v>259</v>
      </c>
      <c r="B53" s="20"/>
      <c r="C53" s="20"/>
      <c r="D53" s="20"/>
      <c r="E53" s="20"/>
      <c r="F53" s="20"/>
      <c r="G53" s="20"/>
      <c r="H53" s="20"/>
    </row>
    <row r="54" spans="1:8" x14ac:dyDescent="0.25">
      <c r="A54" s="17" t="s">
        <v>260</v>
      </c>
      <c r="B54" s="152">
        <f>'META - Income Statement FY'!B25</f>
        <v>83276</v>
      </c>
      <c r="C54" s="152">
        <f>'META - Income Statement FY'!C25</f>
        <v>69380</v>
      </c>
      <c r="D54" s="152">
        <f>'META - Income Statement FY'!D25</f>
        <v>46751</v>
      </c>
      <c r="E54" s="152">
        <f>'META - Income Statement FY'!E25</f>
        <v>28944</v>
      </c>
      <c r="F54" s="152">
        <f>'META - Income Statement FY'!F25</f>
        <v>46753</v>
      </c>
      <c r="G54" s="152">
        <f>'META - Income Statement FY'!G25</f>
        <v>32671</v>
      </c>
      <c r="H54" s="152">
        <f>'META - Income Statement FY'!H25</f>
        <v>23986</v>
      </c>
    </row>
    <row r="55" spans="1:8" x14ac:dyDescent="0.25">
      <c r="A55" s="17" t="s">
        <v>261</v>
      </c>
      <c r="B55" s="156">
        <f t="shared" ref="B55:H55" si="10">-B54*$B$9</f>
        <v>-17487.96</v>
      </c>
      <c r="C55" s="156">
        <f t="shared" si="10"/>
        <v>-14569.8</v>
      </c>
      <c r="D55" s="156">
        <f t="shared" si="10"/>
        <v>-9817.7099999999991</v>
      </c>
      <c r="E55" s="156">
        <f t="shared" si="10"/>
        <v>-6078.24</v>
      </c>
      <c r="F55" s="156">
        <f t="shared" si="10"/>
        <v>-9818.1299999999992</v>
      </c>
      <c r="G55" s="156">
        <f t="shared" si="10"/>
        <v>-6860.91</v>
      </c>
      <c r="H55" s="156">
        <f t="shared" si="10"/>
        <v>-5037.0599999999995</v>
      </c>
    </row>
    <row r="56" spans="1:8" x14ac:dyDescent="0.25">
      <c r="A56" s="19" t="s">
        <v>259</v>
      </c>
      <c r="B56" s="154">
        <f t="shared" ref="B56:H56" si="11">B54+B55</f>
        <v>65788.040000000008</v>
      </c>
      <c r="C56" s="154">
        <f t="shared" si="11"/>
        <v>54810.2</v>
      </c>
      <c r="D56" s="154">
        <f t="shared" si="11"/>
        <v>36933.29</v>
      </c>
      <c r="E56" s="154">
        <f t="shared" si="11"/>
        <v>22865.760000000002</v>
      </c>
      <c r="F56" s="154">
        <f t="shared" si="11"/>
        <v>36934.870000000003</v>
      </c>
      <c r="G56" s="154">
        <f t="shared" si="11"/>
        <v>25810.09</v>
      </c>
      <c r="H56" s="154">
        <f t="shared" si="11"/>
        <v>18948.940000000002</v>
      </c>
    </row>
    <row r="57" spans="1:8" x14ac:dyDescent="0.25">
      <c r="A57" s="17"/>
      <c r="B57" s="17"/>
      <c r="C57" s="17"/>
      <c r="D57" s="17"/>
      <c r="E57" s="17"/>
      <c r="F57" s="17"/>
      <c r="G57" s="17"/>
      <c r="H57" s="17"/>
    </row>
    <row r="58" spans="1:8" x14ac:dyDescent="0.25">
      <c r="A58" s="17" t="s">
        <v>259</v>
      </c>
      <c r="B58" s="156">
        <f t="shared" ref="B58:H58" si="12">B56</f>
        <v>65788.040000000008</v>
      </c>
      <c r="C58" s="156">
        <f t="shared" si="12"/>
        <v>54810.2</v>
      </c>
      <c r="D58" s="156">
        <f t="shared" si="12"/>
        <v>36933.29</v>
      </c>
      <c r="E58" s="156">
        <f t="shared" si="12"/>
        <v>22865.760000000002</v>
      </c>
      <c r="F58" s="156">
        <f t="shared" si="12"/>
        <v>36934.870000000003</v>
      </c>
      <c r="G58" s="156">
        <f t="shared" si="12"/>
        <v>25810.09</v>
      </c>
      <c r="H58" s="156">
        <f t="shared" si="12"/>
        <v>18948.940000000002</v>
      </c>
    </row>
    <row r="59" spans="1:8" x14ac:dyDescent="0.25">
      <c r="A59" s="17" t="s">
        <v>262</v>
      </c>
      <c r="B59" s="152">
        <f>'META - Income Statement FY'!B28</f>
        <v>2656</v>
      </c>
      <c r="C59" s="152">
        <f>'META - Income Statement FY'!C28</f>
        <v>1283</v>
      </c>
      <c r="D59" s="152">
        <f>'META - Income Statement FY'!D28</f>
        <v>677</v>
      </c>
      <c r="E59" s="152">
        <f>'META - Income Statement FY'!E28</f>
        <v>-125</v>
      </c>
      <c r="F59" s="152">
        <f>'META - Income Statement FY'!F28</f>
        <v>531</v>
      </c>
      <c r="G59" s="152">
        <f>'META - Income Statement FY'!G28</f>
        <v>509</v>
      </c>
      <c r="H59" s="152">
        <f>'META - Income Statement FY'!H28</f>
        <v>826</v>
      </c>
    </row>
    <row r="60" spans="1:8" x14ac:dyDescent="0.25">
      <c r="A60" s="17" t="s">
        <v>263</v>
      </c>
      <c r="B60" s="156">
        <f t="shared" ref="B60:H60" si="13">-B55</f>
        <v>17487.96</v>
      </c>
      <c r="C60" s="156">
        <f t="shared" si="13"/>
        <v>14569.8</v>
      </c>
      <c r="D60" s="156">
        <f t="shared" si="13"/>
        <v>9817.7099999999991</v>
      </c>
      <c r="E60" s="156">
        <f t="shared" si="13"/>
        <v>6078.24</v>
      </c>
      <c r="F60" s="156">
        <f t="shared" si="13"/>
        <v>9818.1299999999992</v>
      </c>
      <c r="G60" s="156">
        <f t="shared" si="13"/>
        <v>6860.91</v>
      </c>
      <c r="H60" s="156">
        <f t="shared" si="13"/>
        <v>5037.0599999999995</v>
      </c>
    </row>
    <row r="61" spans="1:8" x14ac:dyDescent="0.25">
      <c r="A61" s="17" t="s">
        <v>264</v>
      </c>
      <c r="B61" s="152">
        <f>-'META - Income Statement FY'!B31</f>
        <v>-25474</v>
      </c>
      <c r="C61" s="152">
        <f>-'META - Income Statement FY'!C31</f>
        <v>-8303</v>
      </c>
      <c r="D61" s="152">
        <f>-'META - Income Statement FY'!D31</f>
        <v>-8330</v>
      </c>
      <c r="E61" s="152">
        <f>-'META - Income Statement FY'!E31</f>
        <v>-5619</v>
      </c>
      <c r="F61" s="152">
        <f>-'META - Income Statement FY'!F31</f>
        <v>-7914</v>
      </c>
      <c r="G61" s="152">
        <f>-'META - Income Statement FY'!G31</f>
        <v>-4034</v>
      </c>
      <c r="H61" s="152">
        <f>-'META - Income Statement FY'!H31</f>
        <v>-6327</v>
      </c>
    </row>
    <row r="62" spans="1:8" x14ac:dyDescent="0.25">
      <c r="A62" s="19" t="s">
        <v>284</v>
      </c>
      <c r="B62" s="154">
        <f t="shared" ref="B62:H62" si="14">SUM(B58:B61)</f>
        <v>60458</v>
      </c>
      <c r="C62" s="154">
        <f t="shared" si="14"/>
        <v>62360</v>
      </c>
      <c r="D62" s="154">
        <f t="shared" si="14"/>
        <v>39098</v>
      </c>
      <c r="E62" s="154">
        <f t="shared" si="14"/>
        <v>23200</v>
      </c>
      <c r="F62" s="154">
        <f t="shared" si="14"/>
        <v>39370</v>
      </c>
      <c r="G62" s="154">
        <f t="shared" si="14"/>
        <v>29146</v>
      </c>
      <c r="H62" s="154">
        <f t="shared" si="14"/>
        <v>18485</v>
      </c>
    </row>
    <row r="63" spans="1:8" x14ac:dyDescent="0.25">
      <c r="A63" s="22" t="s">
        <v>285</v>
      </c>
      <c r="B63" s="157">
        <f>B62-'META - Income Statement FY'!B32</f>
        <v>0</v>
      </c>
      <c r="C63" s="157">
        <f>C62-'META - Income Statement FY'!C32</f>
        <v>0</v>
      </c>
      <c r="D63" s="157">
        <f>D62-'META - Income Statement FY'!D32</f>
        <v>0</v>
      </c>
      <c r="E63" s="157">
        <f>E62-'META - Income Statement FY'!E32</f>
        <v>0</v>
      </c>
      <c r="F63" s="157">
        <f>F62-'META - Income Statement FY'!F32</f>
        <v>0</v>
      </c>
      <c r="G63" s="157">
        <f>G62-'META - Income Statement FY'!G32</f>
        <v>0</v>
      </c>
      <c r="H63" s="157">
        <f>H62-'META - Income Statement FY'!H32</f>
        <v>0</v>
      </c>
    </row>
    <row r="64" spans="1:8" x14ac:dyDescent="0.25">
      <c r="A64" s="17"/>
      <c r="B64" s="17"/>
      <c r="C64" s="17"/>
      <c r="D64" s="17"/>
      <c r="E64" s="17"/>
      <c r="F64" s="17"/>
      <c r="G64" s="17"/>
      <c r="H64" s="17"/>
    </row>
    <row r="65" spans="1:8" x14ac:dyDescent="0.25">
      <c r="A65" s="20" t="s">
        <v>265</v>
      </c>
      <c r="B65" s="20"/>
      <c r="C65" s="20"/>
      <c r="D65" s="20"/>
      <c r="E65" s="20"/>
      <c r="F65" s="20"/>
      <c r="G65" s="20"/>
      <c r="H65" s="20"/>
    </row>
    <row r="66" spans="1:8" x14ac:dyDescent="0.25">
      <c r="A66" s="17" t="s">
        <v>259</v>
      </c>
      <c r="B66" s="156">
        <f t="shared" ref="B66:H66" si="15">B56</f>
        <v>65788.040000000008</v>
      </c>
      <c r="C66" s="156">
        <f t="shared" si="15"/>
        <v>54810.2</v>
      </c>
      <c r="D66" s="156">
        <f t="shared" si="15"/>
        <v>36933.29</v>
      </c>
      <c r="E66" s="156">
        <f t="shared" si="15"/>
        <v>22865.760000000002</v>
      </c>
      <c r="F66" s="156">
        <f t="shared" si="15"/>
        <v>36934.870000000003</v>
      </c>
      <c r="G66" s="156">
        <f t="shared" si="15"/>
        <v>25810.09</v>
      </c>
      <c r="H66" s="156">
        <f t="shared" si="15"/>
        <v>18948.940000000002</v>
      </c>
    </row>
    <row r="67" spans="1:8" x14ac:dyDescent="0.25">
      <c r="A67" s="17" t="s">
        <v>266</v>
      </c>
      <c r="B67" s="152">
        <f>'META - Cash Flow FY'!B8</f>
        <v>18616</v>
      </c>
      <c r="C67" s="152">
        <f>'META - Cash Flow FY'!C8</f>
        <v>15498</v>
      </c>
      <c r="D67" s="152">
        <f>'META - Cash Flow FY'!D8</f>
        <v>11178</v>
      </c>
      <c r="E67" s="152">
        <f>'META - Cash Flow FY'!E8</f>
        <v>8686</v>
      </c>
      <c r="F67" s="152">
        <f>'META - Cash Flow FY'!F8</f>
        <v>7967</v>
      </c>
      <c r="G67" s="152">
        <f>'META - Cash Flow FY'!G8</f>
        <v>6862</v>
      </c>
      <c r="H67" s="152">
        <f>'META - Cash Flow FY'!H8</f>
        <v>5741</v>
      </c>
    </row>
    <row r="68" spans="1:8" x14ac:dyDescent="0.25">
      <c r="A68" s="19" t="s">
        <v>267</v>
      </c>
      <c r="B68" s="153">
        <f t="shared" ref="B68:H68" si="16">B66+B67</f>
        <v>84404.040000000008</v>
      </c>
      <c r="C68" s="153">
        <f t="shared" si="16"/>
        <v>70308.2</v>
      </c>
      <c r="D68" s="153">
        <f t="shared" si="16"/>
        <v>48111.29</v>
      </c>
      <c r="E68" s="153">
        <f t="shared" si="16"/>
        <v>31551.760000000002</v>
      </c>
      <c r="F68" s="153">
        <f t="shared" si="16"/>
        <v>44901.87</v>
      </c>
      <c r="G68" s="153">
        <f t="shared" si="16"/>
        <v>32672.09</v>
      </c>
      <c r="H68" s="153">
        <f t="shared" si="16"/>
        <v>24689.940000000002</v>
      </c>
    </row>
    <row r="69" spans="1:8" x14ac:dyDescent="0.25">
      <c r="A69" s="17" t="s">
        <v>268</v>
      </c>
      <c r="B69" s="156">
        <f t="shared" ref="B69:G69" si="17">-(B22-C22)</f>
        <v>2107.7000000000007</v>
      </c>
      <c r="C69" s="156">
        <f t="shared" si="17"/>
        <v>-1528.9799999999996</v>
      </c>
      <c r="D69" s="156">
        <f t="shared" si="17"/>
        <v>3200.1399999999994</v>
      </c>
      <c r="E69" s="156">
        <f t="shared" si="17"/>
        <v>5480.4000000000015</v>
      </c>
      <c r="F69" s="156">
        <f t="shared" si="17"/>
        <v>437.71999999999753</v>
      </c>
      <c r="G69" s="156">
        <f t="shared" si="17"/>
        <v>-2945.3599999999988</v>
      </c>
      <c r="H69" s="18"/>
    </row>
    <row r="70" spans="1:8" x14ac:dyDescent="0.25">
      <c r="A70" s="17" t="s">
        <v>269</v>
      </c>
      <c r="B70" s="152">
        <f>'META - Cash Flow FY'!B19</f>
        <v>-69691</v>
      </c>
      <c r="C70" s="152">
        <f>'META - Cash Flow FY'!C19</f>
        <v>-37256</v>
      </c>
      <c r="D70" s="152">
        <f>'META - Cash Flow FY'!D19</f>
        <v>-27045</v>
      </c>
      <c r="E70" s="152">
        <f>'META - Cash Flow FY'!E19</f>
        <v>-31431</v>
      </c>
      <c r="F70" s="152">
        <f>'META - Cash Flow FY'!F19</f>
        <v>-18690</v>
      </c>
      <c r="G70" s="152">
        <f>'META - Cash Flow FY'!G19</f>
        <v>-15115</v>
      </c>
      <c r="H70" s="152">
        <f>'META - Cash Flow FY'!H19</f>
        <v>-15102</v>
      </c>
    </row>
    <row r="71" spans="1:8" x14ac:dyDescent="0.25">
      <c r="A71" s="19" t="s">
        <v>270</v>
      </c>
      <c r="B71" s="154">
        <f t="shared" ref="B71:G71" si="18">B68+B69+B70</f>
        <v>16820.740000000005</v>
      </c>
      <c r="C71" s="154">
        <f t="shared" si="18"/>
        <v>31523.22</v>
      </c>
      <c r="D71" s="154">
        <f t="shared" si="18"/>
        <v>24266.43</v>
      </c>
      <c r="E71" s="154">
        <f t="shared" si="18"/>
        <v>5601.1600000000035</v>
      </c>
      <c r="F71" s="154">
        <f t="shared" si="18"/>
        <v>26649.589999999997</v>
      </c>
      <c r="G71" s="154">
        <f t="shared" si="18"/>
        <v>14611.730000000003</v>
      </c>
      <c r="H71" s="154">
        <f>H68+H70</f>
        <v>9587.9400000000023</v>
      </c>
    </row>
    <row r="72" spans="1:8" x14ac:dyDescent="0.25">
      <c r="A72" s="17" t="s">
        <v>271</v>
      </c>
      <c r="B72" s="152">
        <f>'META - Cash Flow FY'!B39</f>
        <v>46109</v>
      </c>
      <c r="C72" s="152">
        <f>'META - Cash Flow FY'!C39</f>
        <v>54072</v>
      </c>
      <c r="D72" s="152">
        <f>'META - Cash Flow FY'!D39</f>
        <v>44068</v>
      </c>
      <c r="E72" s="152">
        <f>'META - Cash Flow FY'!E39</f>
        <v>19044</v>
      </c>
      <c r="F72" s="152">
        <f>'META - Cash Flow FY'!F39</f>
        <v>38993</v>
      </c>
      <c r="G72" s="152">
        <f>'META - Cash Flow FY'!G39</f>
        <v>23632</v>
      </c>
      <c r="H72" s="152">
        <f>'META - Cash Flow FY'!H39</f>
        <v>21212</v>
      </c>
    </row>
    <row r="73" spans="1:8" x14ac:dyDescent="0.25">
      <c r="A73" s="17" t="s">
        <v>272</v>
      </c>
      <c r="B73" s="156">
        <f t="shared" ref="B73:H73" si="19">B71-B72</f>
        <v>-29288.259999999995</v>
      </c>
      <c r="C73" s="156">
        <f t="shared" si="19"/>
        <v>-22548.78</v>
      </c>
      <c r="D73" s="156">
        <f t="shared" si="19"/>
        <v>-19801.57</v>
      </c>
      <c r="E73" s="156">
        <f t="shared" si="19"/>
        <v>-13442.839999999997</v>
      </c>
      <c r="F73" s="156">
        <f t="shared" si="19"/>
        <v>-12343.410000000003</v>
      </c>
      <c r="G73" s="156">
        <f t="shared" si="19"/>
        <v>-9020.2699999999968</v>
      </c>
      <c r="H73" s="156">
        <f t="shared" si="19"/>
        <v>-11624.059999999998</v>
      </c>
    </row>
    <row r="74" spans="1:8" x14ac:dyDescent="0.25">
      <c r="A74" s="17"/>
      <c r="B74" s="17"/>
      <c r="C74" s="17"/>
      <c r="D74" s="17"/>
      <c r="E74" s="17"/>
      <c r="F74" s="17"/>
      <c r="G74" s="17"/>
      <c r="H74" s="17"/>
    </row>
    <row r="75" spans="1:8" x14ac:dyDescent="0.25">
      <c r="A75" s="20" t="s">
        <v>273</v>
      </c>
      <c r="B75" s="20"/>
      <c r="C75" s="20"/>
      <c r="D75" s="20"/>
      <c r="E75" s="20"/>
      <c r="F75" s="20"/>
      <c r="G75" s="20"/>
      <c r="H75" s="20"/>
    </row>
    <row r="76" spans="1:8" x14ac:dyDescent="0.25">
      <c r="A76" s="17" t="s">
        <v>274</v>
      </c>
      <c r="B76" s="156">
        <f t="shared" ref="B76:G76" si="20">AVERAGE(B32,C32)</f>
        <v>174519.17</v>
      </c>
      <c r="C76" s="156">
        <f t="shared" si="20"/>
        <v>137028.53000000003</v>
      </c>
      <c r="D76" s="156">
        <f t="shared" si="20"/>
        <v>115315.11</v>
      </c>
      <c r="E76" s="156">
        <f t="shared" si="20"/>
        <v>97651.38</v>
      </c>
      <c r="F76" s="156">
        <f t="shared" si="20"/>
        <v>79958.44</v>
      </c>
      <c r="G76" s="156">
        <f t="shared" si="20"/>
        <v>65661.119999999995</v>
      </c>
      <c r="H76" s="156">
        <f>H32</f>
        <v>58323.94</v>
      </c>
    </row>
    <row r="77" spans="1:8" x14ac:dyDescent="0.25">
      <c r="A77" s="17" t="s">
        <v>275</v>
      </c>
      <c r="B77" s="158">
        <f t="shared" ref="B77:H77" si="21">IF(B76&lt;=0,"",B56/B76)</f>
        <v>0.37696741280628371</v>
      </c>
      <c r="C77" s="158">
        <f t="shared" si="21"/>
        <v>0.39999115512660016</v>
      </c>
      <c r="D77" s="158">
        <f t="shared" si="21"/>
        <v>0.32028144446985307</v>
      </c>
      <c r="E77" s="158">
        <f t="shared" si="21"/>
        <v>0.23415705953157037</v>
      </c>
      <c r="F77" s="158">
        <f t="shared" si="21"/>
        <v>0.46192584547672516</v>
      </c>
      <c r="G77" s="158">
        <f t="shared" si="21"/>
        <v>0.39308025814972397</v>
      </c>
      <c r="H77" s="158">
        <f t="shared" si="21"/>
        <v>0.32489128820858126</v>
      </c>
    </row>
    <row r="78" spans="1:8" x14ac:dyDescent="0.25">
      <c r="A78" s="17" t="s">
        <v>276</v>
      </c>
      <c r="B78" s="156">
        <f t="shared" ref="B78:G78" si="22">AVERAGE(B31,C31)</f>
        <v>151925.17000000001</v>
      </c>
      <c r="C78" s="156">
        <f t="shared" si="22"/>
        <v>116374.53000000001</v>
      </c>
      <c r="D78" s="156">
        <f t="shared" si="22"/>
        <v>94835.11</v>
      </c>
      <c r="E78" s="156">
        <f t="shared" si="22"/>
        <v>77899.88</v>
      </c>
      <c r="F78" s="156">
        <f t="shared" si="22"/>
        <v>60834.94</v>
      </c>
      <c r="G78" s="156">
        <f t="shared" si="22"/>
        <v>46778.62</v>
      </c>
      <c r="H78" s="156">
        <f>H31</f>
        <v>39608.94</v>
      </c>
    </row>
    <row r="79" spans="1:8" x14ac:dyDescent="0.25">
      <c r="A79" s="17" t="s">
        <v>277</v>
      </c>
      <c r="B79" s="158">
        <f t="shared" ref="B79:H79" si="23">IF(B78&lt;=0,"",B56/B78)</f>
        <v>0.43302923406305882</v>
      </c>
      <c r="C79" s="158">
        <f t="shared" si="23"/>
        <v>0.47098106432739184</v>
      </c>
      <c r="D79" s="158">
        <f t="shared" si="23"/>
        <v>0.38944743144179411</v>
      </c>
      <c r="E79" s="158">
        <f t="shared" si="23"/>
        <v>0.29352753816822313</v>
      </c>
      <c r="F79" s="158">
        <f t="shared" si="23"/>
        <v>0.60713251299335547</v>
      </c>
      <c r="G79" s="158">
        <f t="shared" si="23"/>
        <v>0.55174970958955183</v>
      </c>
      <c r="H79" s="158">
        <f t="shared" si="23"/>
        <v>0.47840058330265844</v>
      </c>
    </row>
    <row r="80" spans="1:8" x14ac:dyDescent="0.25">
      <c r="A80" s="17" t="s">
        <v>278</v>
      </c>
      <c r="B80" s="159">
        <f>B56/'META - Income Statement FY'!B7</f>
        <v>0.32735905576067598</v>
      </c>
      <c r="C80" s="159">
        <f>C56/'META - Income Statement FY'!C7</f>
        <v>0.33319067969191674</v>
      </c>
      <c r="D80" s="159">
        <f>D56/'META - Income Statement FY'!D7</f>
        <v>0.27377866895968928</v>
      </c>
      <c r="E80" s="159">
        <f>E56/'META - Income Statement FY'!E7</f>
        <v>0.19608915263830409</v>
      </c>
      <c r="F80" s="159">
        <f>F56/'META - Income Statement FY'!F7</f>
        <v>0.31319582121445955</v>
      </c>
      <c r="G80" s="159">
        <f>G56/'META - Income Statement FY'!G7</f>
        <v>0.30023951608212646</v>
      </c>
      <c r="H80" s="159">
        <f>H56/'META - Income Statement FY'!H7</f>
        <v>0.26803032660508935</v>
      </c>
    </row>
    <row r="81" spans="1:8" x14ac:dyDescent="0.25">
      <c r="A81" s="17" t="s">
        <v>279</v>
      </c>
      <c r="B81" s="160">
        <f>IF(B76&lt;=0,"",'META - Income Statement FY'!B7/B76)</f>
        <v>1.1515411172308463</v>
      </c>
      <c r="C81" s="160">
        <f>IF(C76&lt;=0,"",'META - Income Statement FY'!C7/C76)</f>
        <v>1.2004872270030187</v>
      </c>
      <c r="D81" s="160">
        <f>IF(D76&lt;=0,"",'META - Income Statement FY'!D7/D76)</f>
        <v>1.169855364140918</v>
      </c>
      <c r="E81" s="160">
        <f>IF(E76&lt;=0,"",'META - Income Statement FY'!E7/E76)</f>
        <v>1.1941357101149006</v>
      </c>
      <c r="F81" s="160">
        <f>IF(F76&lt;=0,"",'META - Income Statement FY'!F7/F76)</f>
        <v>1.4748786994843821</v>
      </c>
      <c r="G81" s="160">
        <f>IF(G76&lt;=0,"",'META - Income Statement FY'!G7/G76)</f>
        <v>1.3092222612102871</v>
      </c>
      <c r="H81" s="160">
        <f>IF(H76&lt;=0,"",'META - Income Statement FY'!H7/H76)</f>
        <v>1.2121437612068047</v>
      </c>
    </row>
    <row r="83" spans="1:8" x14ac:dyDescent="0.25">
      <c r="A83" s="24" t="s">
        <v>309</v>
      </c>
      <c r="B83" s="24"/>
      <c r="C83" s="24"/>
      <c r="D83" s="24"/>
      <c r="E83" s="24"/>
      <c r="F83" s="24"/>
      <c r="G83" s="24"/>
      <c r="H83" s="24"/>
    </row>
    <row r="84" spans="1:8" x14ac:dyDescent="0.25">
      <c r="A84" t="s">
        <v>310</v>
      </c>
      <c r="B84" s="11">
        <f t="shared" ref="B84:G84" si="24">B56-C56</f>
        <v>10977.840000000011</v>
      </c>
      <c r="C84" s="11">
        <f t="shared" si="24"/>
        <v>17876.909999999996</v>
      </c>
      <c r="D84" s="11">
        <f t="shared" si="24"/>
        <v>14067.529999999999</v>
      </c>
      <c r="E84" s="11">
        <f t="shared" si="24"/>
        <v>-14069.11</v>
      </c>
      <c r="F84" s="11">
        <f t="shared" si="24"/>
        <v>11124.780000000002</v>
      </c>
      <c r="G84" s="11">
        <f t="shared" si="24"/>
        <v>6861.1499999999978</v>
      </c>
      <c r="H84" s="1"/>
    </row>
    <row r="85" spans="1:8" x14ac:dyDescent="0.25">
      <c r="A85" t="s">
        <v>311</v>
      </c>
      <c r="B85" s="11">
        <f t="shared" ref="B85:G85" si="25">B32-C32</f>
        <v>45416.299999999988</v>
      </c>
      <c r="C85" s="11">
        <f t="shared" si="25"/>
        <v>29564.98000000001</v>
      </c>
      <c r="D85" s="11">
        <f t="shared" si="25"/>
        <v>13861.860000000015</v>
      </c>
      <c r="E85" s="11">
        <f t="shared" si="25"/>
        <v>21465.599999999991</v>
      </c>
      <c r="F85" s="11">
        <f t="shared" si="25"/>
        <v>13920.279999999999</v>
      </c>
      <c r="G85" s="11">
        <f t="shared" si="25"/>
        <v>14674.36</v>
      </c>
      <c r="H85" s="1"/>
    </row>
    <row r="86" spans="1:8" x14ac:dyDescent="0.25">
      <c r="A86" s="9" t="s">
        <v>312</v>
      </c>
      <c r="B86" s="137">
        <f t="shared" ref="B86:G86" si="26">IF(B85=0,"",B84/B85)</f>
        <v>0.2417158597243724</v>
      </c>
      <c r="C86" s="137">
        <f t="shared" si="26"/>
        <v>0.60466504628110651</v>
      </c>
      <c r="D86" s="137">
        <f t="shared" si="26"/>
        <v>1.0148371142112229</v>
      </c>
      <c r="E86" s="137">
        <f t="shared" si="26"/>
        <v>-0.65542589072748991</v>
      </c>
      <c r="F86" s="137">
        <f t="shared" si="26"/>
        <v>0.79917789009991202</v>
      </c>
      <c r="G86" s="137">
        <f t="shared" si="26"/>
        <v>0.46756042512245832</v>
      </c>
      <c r="H86" s="30"/>
    </row>
    <row r="88" spans="1:8" x14ac:dyDescent="0.25">
      <c r="A88" s="24" t="s">
        <v>313</v>
      </c>
      <c r="B88" s="24"/>
      <c r="C88" s="24"/>
      <c r="D88" s="24"/>
      <c r="E88" s="24"/>
      <c r="F88" s="24"/>
      <c r="G88" s="24"/>
      <c r="H88" s="24"/>
    </row>
    <row r="89" spans="1:8" x14ac:dyDescent="0.25">
      <c r="A89" t="s">
        <v>278</v>
      </c>
      <c r="B89" s="134">
        <f t="shared" ref="B89:H89" si="27">B80</f>
        <v>0.32735905576067598</v>
      </c>
      <c r="C89" s="134">
        <f t="shared" si="27"/>
        <v>0.33319067969191674</v>
      </c>
      <c r="D89" s="134">
        <f t="shared" si="27"/>
        <v>0.27377866895968928</v>
      </c>
      <c r="E89" s="134">
        <f t="shared" si="27"/>
        <v>0.19608915263830409</v>
      </c>
      <c r="F89" s="134">
        <f t="shared" si="27"/>
        <v>0.31319582121445955</v>
      </c>
      <c r="G89" s="134">
        <f t="shared" si="27"/>
        <v>0.30023951608212646</v>
      </c>
      <c r="H89" s="134">
        <f t="shared" si="27"/>
        <v>0.26803032660508935</v>
      </c>
    </row>
    <row r="90" spans="1:8" x14ac:dyDescent="0.25">
      <c r="A90" t="s">
        <v>314</v>
      </c>
      <c r="B90" s="161">
        <f>IF(B76&lt;=0,"",'META - Income Statement FY'!B7/B76)</f>
        <v>1.1515411172308463</v>
      </c>
      <c r="C90" s="161">
        <f>IF(C76&lt;=0,"",'META - Income Statement FY'!C7/C76)</f>
        <v>1.2004872270030187</v>
      </c>
      <c r="D90" s="161">
        <f>IF(D76&lt;=0,"",'META - Income Statement FY'!D7/D76)</f>
        <v>1.169855364140918</v>
      </c>
      <c r="E90" s="161">
        <f>IF(E76&lt;=0,"",'META - Income Statement FY'!E7/E76)</f>
        <v>1.1941357101149006</v>
      </c>
      <c r="F90" s="161">
        <f>IF(F76&lt;=0,"",'META - Income Statement FY'!F7/F76)</f>
        <v>1.4748786994843821</v>
      </c>
      <c r="G90" s="161">
        <f>IF(G76&lt;=0,"",'META - Income Statement FY'!G7/G76)</f>
        <v>1.3092222612102871</v>
      </c>
      <c r="H90" s="161">
        <f>IF(H76&lt;=0,"",'META - Income Statement FY'!H7/H76)</f>
        <v>1.2121437612068047</v>
      </c>
    </row>
    <row r="91" spans="1:8" x14ac:dyDescent="0.25">
      <c r="A91" s="9" t="s">
        <v>315</v>
      </c>
      <c r="B91" s="137">
        <f t="shared" ref="B91:H91" si="28">IF(B90="","",B89*B90)</f>
        <v>0.37696741280628371</v>
      </c>
      <c r="C91" s="137">
        <f t="shared" si="28"/>
        <v>0.39999115512660016</v>
      </c>
      <c r="D91" s="137">
        <f t="shared" si="28"/>
        <v>0.32028144446985313</v>
      </c>
      <c r="E91" s="137">
        <f t="shared" si="28"/>
        <v>0.2341570595315704</v>
      </c>
      <c r="F91" s="137">
        <f t="shared" si="28"/>
        <v>0.46192584547672516</v>
      </c>
      <c r="G91" s="137">
        <f t="shared" si="28"/>
        <v>0.39308025814972397</v>
      </c>
      <c r="H91" s="137">
        <f t="shared" si="28"/>
        <v>0.32489128820858132</v>
      </c>
    </row>
    <row r="93" spans="1:8" x14ac:dyDescent="0.25">
      <c r="A93" s="24" t="s">
        <v>316</v>
      </c>
      <c r="B93" s="24"/>
      <c r="C93" s="24"/>
      <c r="D93" s="24"/>
      <c r="E93" s="24"/>
      <c r="F93" s="24"/>
      <c r="G93" s="24"/>
      <c r="H93" s="24"/>
    </row>
    <row r="94" spans="1:8" x14ac:dyDescent="0.25">
      <c r="A94" t="s">
        <v>317</v>
      </c>
      <c r="B94" s="113">
        <f>'META - Income Statement FY'!B10/'META - Income Statement FY'!B7</f>
        <v>0.81999442691798607</v>
      </c>
      <c r="C94" s="113">
        <f>'META - Income Statement FY'!C10/'META - Income Statement FY'!C7</f>
        <v>0.81665157050717019</v>
      </c>
      <c r="D94" s="113">
        <f>'META - Income Statement FY'!D10/'META - Income Statement FY'!D7</f>
        <v>0.8075714222176098</v>
      </c>
      <c r="E94" s="113">
        <f>'META - Income Statement FY'!E10/'META - Income Statement FY'!E7</f>
        <v>0.78347297378418479</v>
      </c>
      <c r="F94" s="113">
        <f>'META - Income Statement FY'!F10/'META - Income Statement FY'!F7</f>
        <v>0.80794376277251567</v>
      </c>
      <c r="G94" s="113">
        <f>'META - Income Statement FY'!G10/'META - Income Statement FY'!G7</f>
        <v>0.80582795323678236</v>
      </c>
      <c r="H94" s="113">
        <f>'META - Income Statement FY'!H10/'META - Income Statement FY'!H7</f>
        <v>0.81936998741106415</v>
      </c>
    </row>
    <row r="95" spans="1:8" x14ac:dyDescent="0.25">
      <c r="A95" t="s">
        <v>318</v>
      </c>
      <c r="B95" s="113">
        <f>'META - Income Statement FY'!B13/'META - Income Statement FY'!B7</f>
        <v>0.28548112616064408</v>
      </c>
      <c r="C95" s="113">
        <f>'META - Income Statement FY'!C13/'META - Income Statement FY'!C7</f>
        <v>0.26670354587510109</v>
      </c>
      <c r="D95" s="113">
        <f>'META - Income Statement FY'!D13/'META - Income Statement FY'!D7</f>
        <v>0.28526634149234259</v>
      </c>
      <c r="E95" s="113">
        <f>'META - Income Statement FY'!E13/'META - Income Statement FY'!E7</f>
        <v>0.30304693462768739</v>
      </c>
      <c r="F95" s="113">
        <f>'META - Income Statement FY'!F13/'META - Income Statement FY'!F7</f>
        <v>0.20906647219937419</v>
      </c>
      <c r="G95" s="113">
        <f>'META - Income Statement FY'!G13/'META - Income Statement FY'!G7</f>
        <v>0.21458733205374281</v>
      </c>
      <c r="H95" s="113">
        <f>'META - Income Statement FY'!H13/'META - Income Statement FY'!H7</f>
        <v>0.19237025616362788</v>
      </c>
    </row>
    <row r="96" spans="1:8" x14ac:dyDescent="0.25">
      <c r="A96" t="s">
        <v>319</v>
      </c>
      <c r="B96" s="113">
        <f>'META - Income Statement FY'!B14/'META - Income Statement FY'!B7</f>
        <v>0.12013474916154972</v>
      </c>
      <c r="C96" s="113">
        <f>'META - Income Statement FY'!C14/'META - Income Statement FY'!C7</f>
        <v>0.12818767059166813</v>
      </c>
      <c r="D96" s="113">
        <f>'META - Income Statement FY'!D14/'META - Income Statement FY'!D7</f>
        <v>0.17574980356110362</v>
      </c>
      <c r="E96" s="113">
        <f>'META - Income Statement FY'!E14/'META - Income Statement FY'!E7</f>
        <v>0.2322119218928213</v>
      </c>
      <c r="F96" s="113">
        <f>'META - Income Statement FY'!F14/'META - Income Statement FY'!F7</f>
        <v>0.20242688397255976</v>
      </c>
      <c r="G96" s="113">
        <f>'META - Income Statement FY'!G14/'META - Income Statement FY'!G7</f>
        <v>0.21119060082591753</v>
      </c>
      <c r="H96" s="113">
        <f>'META - Income Statement FY'!H14/'META - Income Statement FY'!H7</f>
        <v>0.28772083681061433</v>
      </c>
    </row>
    <row r="97" spans="1:8" x14ac:dyDescent="0.25">
      <c r="A97" t="s">
        <v>320</v>
      </c>
      <c r="B97" s="113">
        <f>'META - Income Statement FY'!B25/'META - Income Statement FY'!B7</f>
        <v>0.41437855159579234</v>
      </c>
      <c r="C97" s="113">
        <f>'META - Income Statement FY'!C25/'META - Income Statement FY'!C7</f>
        <v>0.42176035404040096</v>
      </c>
      <c r="D97" s="113">
        <f>'META - Income Statement FY'!D25/'META - Income Statement FY'!D7</f>
        <v>0.34655527716416362</v>
      </c>
      <c r="E97" s="113">
        <f>'META - Income Statement FY'!E25/'META - Income Statement FY'!E7</f>
        <v>0.24821411726367604</v>
      </c>
      <c r="F97" s="113">
        <f>'META - Income Statement FY'!F25/'META - Income Statement FY'!F7</f>
        <v>0.39645040660058173</v>
      </c>
      <c r="G97" s="113">
        <f>'META - Income Statement FY'!G25/'META - Income Statement FY'!G7</f>
        <v>0.3800500203571221</v>
      </c>
      <c r="H97" s="113">
        <f>'META - Income Statement FY'!H25/'META - Income Statement FY'!H7</f>
        <v>0.33927889443682191</v>
      </c>
    </row>
    <row r="98" spans="1:8" x14ac:dyDescent="0.25">
      <c r="A98" t="s">
        <v>321</v>
      </c>
      <c r="B98" s="134">
        <f t="shared" ref="B98:H98" si="29">1-$B$9</f>
        <v>0.79</v>
      </c>
      <c r="C98" s="134">
        <f t="shared" si="29"/>
        <v>0.79</v>
      </c>
      <c r="D98" s="134">
        <f t="shared" si="29"/>
        <v>0.79</v>
      </c>
      <c r="E98" s="134">
        <f t="shared" si="29"/>
        <v>0.79</v>
      </c>
      <c r="F98" s="134">
        <f t="shared" si="29"/>
        <v>0.79</v>
      </c>
      <c r="G98" s="134">
        <f t="shared" si="29"/>
        <v>0.79</v>
      </c>
      <c r="H98" s="134">
        <f t="shared" si="29"/>
        <v>0.79</v>
      </c>
    </row>
    <row r="99" spans="1:8" x14ac:dyDescent="0.25">
      <c r="A99" t="s">
        <v>831</v>
      </c>
      <c r="B99" s="134">
        <f t="shared" ref="B99:H99" si="30">B97*B98</f>
        <v>0.32735905576067598</v>
      </c>
      <c r="C99" s="134">
        <f t="shared" si="30"/>
        <v>0.33319067969191679</v>
      </c>
      <c r="D99" s="134">
        <f t="shared" si="30"/>
        <v>0.27377866895968928</v>
      </c>
      <c r="E99" s="134">
        <f t="shared" si="30"/>
        <v>0.19608915263830407</v>
      </c>
      <c r="F99" s="134">
        <f t="shared" si="30"/>
        <v>0.3131958212144596</v>
      </c>
      <c r="G99" s="134">
        <f t="shared" si="30"/>
        <v>0.30023951608212646</v>
      </c>
      <c r="H99" s="134">
        <f t="shared" si="30"/>
        <v>0.2680303266050893</v>
      </c>
    </row>
    <row r="101" spans="1:8" x14ac:dyDescent="0.25">
      <c r="A101" s="24" t="s">
        <v>322</v>
      </c>
      <c r="B101" s="24"/>
      <c r="C101" s="24"/>
      <c r="D101" s="24"/>
      <c r="E101" s="24"/>
      <c r="F101" s="24"/>
      <c r="G101" s="24"/>
      <c r="H101" s="24"/>
    </row>
    <row r="102" spans="1:8" x14ac:dyDescent="0.25">
      <c r="A102" t="s">
        <v>323</v>
      </c>
      <c r="B102" s="161">
        <f>IF(B22=0,"",'META - Income Statement FY'!B7/B22)</f>
        <v>-24.611055049916235</v>
      </c>
      <c r="C102" s="161">
        <f>IF(C22=0,"",'META - Income Statement FY'!C7/C22)</f>
        <v>-27.154431014958785</v>
      </c>
      <c r="D102" s="161">
        <f>IF(D22=0,"",'META - Income Statement FY'!D7/D22)</f>
        <v>-17.780771217984544</v>
      </c>
      <c r="E102" s="161">
        <f>IF(E22=0,"",'META - Income Statement FY'!E7/E22)</f>
        <v>-26.581669637687437</v>
      </c>
      <c r="F102" s="161">
        <f>IF(F22=0,"",'META - Income Statement FY'!F7/F22)</f>
        <v>107.83756103805831</v>
      </c>
      <c r="G102" s="161">
        <f>IF(G22=0,"",'META - Income Statement FY'!G7/G22)</f>
        <v>56.138575066936617</v>
      </c>
      <c r="H102" s="161">
        <f>IF(H22=0,"",'META - Income Statement FY'!H7/H22)</f>
        <v>-49.995756898575749</v>
      </c>
    </row>
    <row r="103" spans="1:8" x14ac:dyDescent="0.25">
      <c r="A103" t="s">
        <v>324</v>
      </c>
      <c r="B103" s="161">
        <f>IF(B24=0,"",'META - Income Statement FY'!B7/B24)</f>
        <v>1.1392630385487528</v>
      </c>
      <c r="C103" s="161">
        <f>IF(C24=0,"",'META - Income Statement FY'!C7/C24)</f>
        <v>1.3556359500931221</v>
      </c>
      <c r="D103" s="161">
        <f>IF(D24=0,"",'META - Income Statement FY'!D7/D24)</f>
        <v>1.3966889954134614</v>
      </c>
      <c r="E103" s="161">
        <f>IF(E24=0,"",'META - Income Statement FY'!E7/E24)</f>
        <v>1.4664478482859227</v>
      </c>
      <c r="F103" s="161">
        <f>IF(F24=0,"",'META - Income Statement FY'!F7/F24)</f>
        <v>2.0399764742514139</v>
      </c>
      <c r="G103" s="161">
        <f>IF(G24=0,"",'META - Income Statement FY'!G7/G24)</f>
        <v>1.8838340674511866</v>
      </c>
      <c r="H103" s="161">
        <f>IF(H24=0,"",'META - Income Statement FY'!H7/H24)</f>
        <v>2.0014438184752144</v>
      </c>
    </row>
    <row r="104" spans="1:8" x14ac:dyDescent="0.25">
      <c r="A104" t="s">
        <v>325</v>
      </c>
      <c r="B104" s="161">
        <f>IF(B25+B26=0,"",'META - Income Statement FY'!B7/(B25+B26))</f>
        <v>8.191326322654275</v>
      </c>
      <c r="C104" s="161">
        <f>IF(C25+C26=0,"",'META - Income Statement FY'!C7/(C25+C26))</f>
        <v>7.9646073399825701</v>
      </c>
      <c r="D104" s="161">
        <f>IF(D25+D26=0,"",'META - Income Statement FY'!D7/(D25+D26))</f>
        <v>6.2914840033578958</v>
      </c>
      <c r="E104" s="161">
        <f>IF(E25+E26=0,"",'META - Income Statement FY'!E7/(E25+E26))</f>
        <v>5.4996462764703109</v>
      </c>
      <c r="F104" s="161">
        <f>IF(F25+F26=0,"",'META - Income Statement FY'!F7/(F25+F26))</f>
        <v>5.9466996117190254</v>
      </c>
      <c r="G104" s="161">
        <f>IF(G25+G26=0,"",'META - Income Statement FY'!G7/(G25+G26))</f>
        <v>4.3696945051593552</v>
      </c>
      <c r="H104" s="161">
        <f>IF(H25+H26=0,"",'META - Income Statement FY'!H7/(H25+H26))</f>
        <v>3.6053342852771686</v>
      </c>
    </row>
    <row r="105" spans="1:8" x14ac:dyDescent="0.25">
      <c r="A105" t="s">
        <v>326</v>
      </c>
      <c r="B105" s="161">
        <f>IF(B32&lt;=0,"",'META - Income Statement FY'!B7/B32)</f>
        <v>1.0189561973462906</v>
      </c>
      <c r="C105" s="161">
        <f>IF(C32&lt;=0,"",'META - Income Statement FY'!C7/C32)</f>
        <v>1.0835906378864986</v>
      </c>
      <c r="D105" s="161">
        <f>IF(D32&lt;=0,"",'META - Income Statement FY'!D7/D32)</f>
        <v>1.1035285887379256</v>
      </c>
      <c r="E105" s="161">
        <f>IF(E32&lt;=0,"",'META - Income Statement FY'!E7/E32)</f>
        <v>1.0758857980934118</v>
      </c>
      <c r="F105" s="161">
        <f>IF(F32&lt;=0,"",'META - Income Statement FY'!F7/F32)</f>
        <v>1.3567755018547243</v>
      </c>
      <c r="G105" s="161">
        <f>IF(G32&lt;=0,"",'META - Income Statement FY'!G7/G32)</f>
        <v>1.1776301639901203</v>
      </c>
      <c r="H105" s="161">
        <f>IF(H32&lt;=0,"",'META - Income Statement FY'!H7/H32)</f>
        <v>1.2121437612068047</v>
      </c>
    </row>
    <row r="107" spans="1:8" x14ac:dyDescent="0.25">
      <c r="A107" s="24" t="s">
        <v>399</v>
      </c>
      <c r="B107" s="24"/>
      <c r="C107" s="24"/>
      <c r="D107" s="24"/>
      <c r="E107" s="24"/>
      <c r="F107" s="24"/>
      <c r="G107" s="24"/>
      <c r="H107" s="24"/>
    </row>
    <row r="108" spans="1:8" x14ac:dyDescent="0.25">
      <c r="A108" t="s">
        <v>255</v>
      </c>
      <c r="B108" s="162">
        <f>'META - Balance Sheet FY'!B51</f>
        <v>58744</v>
      </c>
      <c r="C108" s="162">
        <f>'META - Balance Sheet FY'!C51</f>
        <v>28826</v>
      </c>
      <c r="D108" s="162">
        <f>'META - Balance Sheet FY'!D51</f>
        <v>18385</v>
      </c>
      <c r="E108" s="162">
        <f>'META - Balance Sheet FY'!E51</f>
        <v>9923</v>
      </c>
      <c r="F108" s="162">
        <f>'META - Balance Sheet FY'!F51</f>
        <v>0</v>
      </c>
      <c r="G108" s="162">
        <f>'META - Balance Sheet FY'!G51</f>
        <v>0</v>
      </c>
      <c r="H108" s="162">
        <f>'META - Balance Sheet FY'!H51</f>
        <v>0</v>
      </c>
    </row>
    <row r="109" spans="1:8" x14ac:dyDescent="0.25">
      <c r="A109" t="s">
        <v>400</v>
      </c>
      <c r="B109" s="162">
        <f>'META - Balance Sheet FY'!B52</f>
        <v>22871</v>
      </c>
      <c r="C109" s="162">
        <f>'META - Balance Sheet FY'!C52</f>
        <v>-15063</v>
      </c>
      <c r="D109" s="162">
        <f>'META - Balance Sheet FY'!D52</f>
        <v>-23477</v>
      </c>
      <c r="E109" s="162">
        <f>'META - Balance Sheet FY'!E52</f>
        <v>-4758</v>
      </c>
      <c r="F109" s="162">
        <f>'META - Balance Sheet FY'!F52</f>
        <v>-16601</v>
      </c>
      <c r="G109" s="162">
        <f>'META - Balance Sheet FY'!G52</f>
        <v>-17576</v>
      </c>
      <c r="H109" s="162">
        <f>'META - Balance Sheet FY'!H52</f>
        <v>-19079</v>
      </c>
    </row>
    <row r="110" spans="1:8" x14ac:dyDescent="0.25">
      <c r="A110" t="s">
        <v>401</v>
      </c>
      <c r="B110" s="162">
        <f>'META - Balance Sheet FY'!B41</f>
        <v>148778</v>
      </c>
      <c r="C110" s="162">
        <f>'META - Balance Sheet FY'!C41</f>
        <v>93417</v>
      </c>
      <c r="D110" s="162">
        <f>'META - Balance Sheet FY'!D41</f>
        <v>76455</v>
      </c>
      <c r="E110" s="162">
        <f>'META - Balance Sheet FY'!E41</f>
        <v>60014</v>
      </c>
      <c r="F110" s="162">
        <f>'META - Balance Sheet FY'!F41</f>
        <v>41108</v>
      </c>
      <c r="G110" s="162">
        <f>'META - Balance Sheet FY'!G41</f>
        <v>31026</v>
      </c>
      <c r="H110" s="162">
        <f>'META - Balance Sheet FY'!H41</f>
        <v>32322</v>
      </c>
    </row>
    <row r="111" spans="1:8" x14ac:dyDescent="0.25">
      <c r="A111" t="s">
        <v>256</v>
      </c>
      <c r="B111" s="162">
        <f>'META - Balance Sheet FY'!B47</f>
        <v>217243</v>
      </c>
      <c r="C111" s="162">
        <f>'META - Balance Sheet FY'!C47</f>
        <v>182637</v>
      </c>
      <c r="D111" s="162">
        <f>'META - Balance Sheet FY'!D47</f>
        <v>153168</v>
      </c>
      <c r="E111" s="162">
        <f>'META - Balance Sheet FY'!E47</f>
        <v>125713</v>
      </c>
      <c r="F111" s="162">
        <f>'META - Balance Sheet FY'!F47</f>
        <v>124879</v>
      </c>
      <c r="G111" s="162">
        <f>'META - Balance Sheet FY'!G47</f>
        <v>128290</v>
      </c>
      <c r="H111" s="162">
        <f>'META - Balance Sheet FY'!H47</f>
        <v>101054</v>
      </c>
    </row>
    <row r="113" spans="1:8" x14ac:dyDescent="0.25">
      <c r="A113" t="s">
        <v>402</v>
      </c>
      <c r="B113" s="163">
        <f t="shared" ref="B113:H113" si="31">IFERROR(B108/B111,"")</f>
        <v>0.27040687156778354</v>
      </c>
      <c r="C113" s="163">
        <f t="shared" si="31"/>
        <v>0.157832202675252</v>
      </c>
      <c r="D113" s="163">
        <f t="shared" si="31"/>
        <v>0.12003159928966886</v>
      </c>
      <c r="E113" s="163">
        <f t="shared" si="31"/>
        <v>7.8933761822564091E-2</v>
      </c>
      <c r="F113" s="163">
        <f t="shared" si="31"/>
        <v>0</v>
      </c>
      <c r="G113" s="163">
        <f t="shared" si="31"/>
        <v>0</v>
      </c>
      <c r="H113" s="163">
        <f t="shared" si="31"/>
        <v>0</v>
      </c>
    </row>
    <row r="114" spans="1:8" x14ac:dyDescent="0.25">
      <c r="A114" t="s">
        <v>403</v>
      </c>
      <c r="B114" s="163">
        <f t="shared" ref="B114:H114" si="32">IFERROR(B110/B111,"")</f>
        <v>0.68484600194252521</v>
      </c>
      <c r="C114" s="163">
        <f t="shared" si="32"/>
        <v>0.51149000476354733</v>
      </c>
      <c r="D114" s="163">
        <f t="shared" si="32"/>
        <v>0.49915778752742085</v>
      </c>
      <c r="E114" s="163">
        <f t="shared" si="32"/>
        <v>0.4773889732963178</v>
      </c>
      <c r="F114" s="163">
        <f t="shared" si="32"/>
        <v>0.3291826488040423</v>
      </c>
      <c r="G114" s="163">
        <f t="shared" si="32"/>
        <v>0.24184270013251227</v>
      </c>
      <c r="H114" s="163">
        <f t="shared" si="32"/>
        <v>0.31984879371425179</v>
      </c>
    </row>
    <row r="115" spans="1:8" x14ac:dyDescent="0.25">
      <c r="A115" t="s">
        <v>404</v>
      </c>
      <c r="B115" s="113">
        <f>IFERROR(B108/'META - Balance Sheet FY'!B25,"")</f>
        <v>0.16049352359564067</v>
      </c>
      <c r="C115" s="113">
        <f>IFERROR(C108/'META - Balance Sheet FY'!C25,"")</f>
        <v>0.10442159867272345</v>
      </c>
      <c r="D115" s="113">
        <f>IFERROR(D108/'META - Balance Sheet FY'!D25,"")</f>
        <v>8.0066021260936399E-2</v>
      </c>
      <c r="E115" s="113">
        <f>IFERROR(E108/'META - Balance Sheet FY'!E25,"")</f>
        <v>5.3427880706628544E-2</v>
      </c>
      <c r="F115" s="113">
        <f>IFERROR(F108/'META - Balance Sheet FY'!F25,"")</f>
        <v>0</v>
      </c>
      <c r="G115" s="113">
        <f>IFERROR(G108/'META - Balance Sheet FY'!G25,"")</f>
        <v>0</v>
      </c>
      <c r="H115" s="113">
        <f>IFERROR(H108/'META - Balance Sheet FY'!H25,"")</f>
        <v>0</v>
      </c>
    </row>
    <row r="116" spans="1:8" x14ac:dyDescent="0.25">
      <c r="A116" t="s">
        <v>405</v>
      </c>
      <c r="B116" s="113">
        <f>IFERROR(B111/'META - Balance Sheet FY'!B25,"")</f>
        <v>0.59352605451599771</v>
      </c>
      <c r="C116" s="113">
        <f>IFERROR(C111/'META - Balance Sheet FY'!C25,"")</f>
        <v>0.66159881762263906</v>
      </c>
      <c r="D116" s="113">
        <f>IFERROR(D111/'META - Balance Sheet FY'!D25,"")</f>
        <v>0.66704119360865421</v>
      </c>
      <c r="E116" s="113">
        <f>IFERROR(E111/'META - Balance Sheet FY'!E25,"")</f>
        <v>0.67686981429732884</v>
      </c>
      <c r="F116" s="113">
        <f>IFERROR(F111/'META - Balance Sheet FY'!F25,"")</f>
        <v>0.75234205088350292</v>
      </c>
      <c r="G116" s="113">
        <f>IFERROR(G111/'META - Balance Sheet FY'!G25,"")</f>
        <v>0.80525496497526927</v>
      </c>
      <c r="H116" s="113">
        <f>IFERROR(H111/'META - Balance Sheet FY'!H25,"")</f>
        <v>0.75766254798464494</v>
      </c>
    </row>
    <row r="118" spans="1:8" x14ac:dyDescent="0.25">
      <c r="A118" t="s">
        <v>406</v>
      </c>
      <c r="B118" s="162">
        <f>'META - Income Statement FY'!B21</f>
        <v>101892</v>
      </c>
      <c r="C118" s="162">
        <f>'META - Income Statement FY'!C21</f>
        <v>84878</v>
      </c>
      <c r="D118" s="162">
        <f>'META - Income Statement FY'!D21</f>
        <v>57929</v>
      </c>
      <c r="E118" s="162">
        <f>'META - Income Statement FY'!E21</f>
        <v>37630</v>
      </c>
      <c r="F118" s="162">
        <f>'META - Income Statement FY'!F21</f>
        <v>54720</v>
      </c>
      <c r="G118" s="162">
        <f>'META - Income Statement FY'!G21</f>
        <v>39533</v>
      </c>
      <c r="H118" s="162">
        <f>'META - Income Statement FY'!H21</f>
        <v>29727</v>
      </c>
    </row>
    <row r="119" spans="1:8" x14ac:dyDescent="0.25">
      <c r="A119" t="s">
        <v>407</v>
      </c>
      <c r="B119" s="163">
        <f t="shared" ref="B119:H119" si="33">IFERROR(B108/B118,"")</f>
        <v>0.57653201428963996</v>
      </c>
      <c r="C119" s="163">
        <f t="shared" si="33"/>
        <v>0.33961686184877116</v>
      </c>
      <c r="D119" s="163">
        <f t="shared" si="33"/>
        <v>0.31737126482418132</v>
      </c>
      <c r="E119" s="163">
        <f t="shared" si="33"/>
        <v>0.26369917618921074</v>
      </c>
      <c r="F119" s="163">
        <f t="shared" si="33"/>
        <v>0</v>
      </c>
      <c r="G119" s="163">
        <f t="shared" si="33"/>
        <v>0</v>
      </c>
      <c r="H119" s="163">
        <f t="shared" si="33"/>
        <v>0</v>
      </c>
    </row>
    <row r="120" spans="1:8" x14ac:dyDescent="0.25">
      <c r="A120" t="s">
        <v>408</v>
      </c>
      <c r="B120" s="163">
        <f t="shared" ref="B120:H120" si="34">IFERROR(B109/B118,"")</f>
        <v>0.22446315706826836</v>
      </c>
      <c r="C120" s="163">
        <f t="shared" si="34"/>
        <v>-0.17746648130257547</v>
      </c>
      <c r="D120" s="163">
        <f t="shared" si="34"/>
        <v>-0.4052719708608814</v>
      </c>
      <c r="E120" s="163">
        <f t="shared" si="34"/>
        <v>-0.12644166888121181</v>
      </c>
      <c r="F120" s="163">
        <f t="shared" si="34"/>
        <v>-0.30338084795321635</v>
      </c>
      <c r="G120" s="163">
        <f t="shared" si="34"/>
        <v>-0.44459059519894772</v>
      </c>
      <c r="H120" s="163">
        <f t="shared" si="34"/>
        <v>-0.64180711138022672</v>
      </c>
    </row>
    <row r="121" spans="1:8" x14ac:dyDescent="0.25">
      <c r="A121" t="s">
        <v>409</v>
      </c>
      <c r="B121" s="161" t="str">
        <f>IF('META - Income Statement FY'!B23=0,"",B118/'META - Income Statement FY'!B23)</f>
        <v/>
      </c>
      <c r="C121" s="161" t="str">
        <f>IF('META - Income Statement FY'!C23=0,"",C118/'META - Income Statement FY'!C23)</f>
        <v/>
      </c>
      <c r="D121" s="161" t="str">
        <f>IF('META - Income Statement FY'!D23=0,"",D118/'META - Income Statement FY'!D23)</f>
        <v/>
      </c>
      <c r="E121" s="161" t="str">
        <f>IF('META - Income Statement FY'!E23=0,"",E118/'META - Income Statement FY'!E23)</f>
        <v/>
      </c>
      <c r="F121" s="161" t="str">
        <f>IF('META - Income Statement FY'!F23=0,"",F118/'META - Income Statement FY'!F23)</f>
        <v/>
      </c>
      <c r="G121" s="161" t="str">
        <f>IF('META - Income Statement FY'!G23=0,"",G118/'META - Income Statement FY'!G23)</f>
        <v/>
      </c>
      <c r="H121" s="161" t="str">
        <f>IF('META - Income Statement FY'!H23=0,"",H118/'META - Income Statement FY'!H23)</f>
        <v/>
      </c>
    </row>
    <row r="122" spans="1:8" x14ac:dyDescent="0.25">
      <c r="A122" t="s">
        <v>410</v>
      </c>
      <c r="B122" s="161">
        <f>IFERROR('META - Balance Sheet FY'!B13/'META - Balance Sheet FY'!B32,"")</f>
        <v>2.5987666124868536</v>
      </c>
      <c r="C122" s="161">
        <f>IFERROR('META - Balance Sheet FY'!C13/'META - Balance Sheet FY'!C32,"")</f>
        <v>2.9778842719371355</v>
      </c>
      <c r="D122" s="161">
        <f>IFERROR('META - Balance Sheet FY'!D13/'META - Balance Sheet FY'!D32,"")</f>
        <v>2.6709949937421777</v>
      </c>
      <c r="E122" s="161">
        <f>IFERROR('META - Balance Sheet FY'!E13/'META - Balance Sheet FY'!E32,"")</f>
        <v>2.2033967290757048</v>
      </c>
      <c r="F122" s="161">
        <f>IFERROR('META - Balance Sheet FY'!F13/'META - Balance Sheet FY'!F32,"")</f>
        <v>3.1542938254080908</v>
      </c>
      <c r="G122" s="161">
        <f>IFERROR('META - Balance Sheet FY'!G13/'META - Balance Sheet FY'!G32,"")</f>
        <v>5.0510646819304457</v>
      </c>
      <c r="H122" s="161">
        <f>IFERROR('META - Balance Sheet FY'!H13/'META - Balance Sheet FY'!H32,"")</f>
        <v>4.3994552580880883</v>
      </c>
    </row>
    <row r="125" spans="1:8" x14ac:dyDescent="0.25">
      <c r="A125" s="9" t="s">
        <v>913</v>
      </c>
    </row>
    <row r="126" spans="1:8" x14ac:dyDescent="0.25">
      <c r="A126" t="s">
        <v>914</v>
      </c>
      <c r="B126" t="s">
        <v>292</v>
      </c>
    </row>
    <row r="127" spans="1:8" x14ac:dyDescent="0.25">
      <c r="A127" t="s">
        <v>915</v>
      </c>
      <c r="B127" s="80">
        <f>SUMIFS(mag7_leases_fy2019_fy2026!$D:$D,mag7_leases_fy2019_fy2026!$A:$A,$B$126,mag7_leases_fy2019_fy2026!$B:$B,YEAR(B$5))+SUMIFS(mag7_leases_fy2019_fy2026!$F:$F,mag7_leases_fy2019_fy2026!$A:$A,$B$126,mag7_leases_fy2019_fy2026!$B:$B,YEAR(B$5))</f>
        <v>2521</v>
      </c>
      <c r="C127" s="80">
        <f>SUMIFS(mag7_leases_fy2019_fy2026!$D:$D,mag7_leases_fy2019_fy2026!$A:$A,$B$126,mag7_leases_fy2019_fy2026!$B:$B,YEAR(C$5))+SUMIFS(mag7_leases_fy2019_fy2026!$F:$F,mag7_leases_fy2019_fy2026!$A:$A,$B$126,mag7_leases_fy2019_fy2026!$B:$B,YEAR(C$5))</f>
        <v>2018</v>
      </c>
      <c r="D127" s="80">
        <f>SUMIFS(mag7_leases_fy2019_fy2026!$D:$D,mag7_leases_fy2019_fy2026!$A:$A,$B$126,mag7_leases_fy2019_fy2026!$B:$B,YEAR(D$5))+SUMIFS(mag7_leases_fy2019_fy2026!$F:$F,mag7_leases_fy2019_fy2026!$A:$A,$B$126,mag7_leases_fy2019_fy2026!$B:$B,YEAR(D$5))</f>
        <v>1713</v>
      </c>
      <c r="E127" s="80">
        <f>SUMIFS(mag7_leases_fy2019_fy2026!$D:$D,mag7_leases_fy2019_fy2026!$A:$A,$B$126,mag7_leases_fy2019_fy2026!$B:$B,YEAR(E$5))+SUMIFS(mag7_leases_fy2019_fy2026!$F:$F,mag7_leases_fy2019_fy2026!$A:$A,$B$126,mag7_leases_fy2019_fy2026!$B:$B,YEAR(E$5))</f>
        <v>1496</v>
      </c>
      <c r="F127" s="80">
        <f>SUMIFS(mag7_leases_fy2019_fy2026!$D:$D,mag7_leases_fy2019_fy2026!$A:$A,$B$126,mag7_leases_fy2019_fy2026!$B:$B,YEAR(F$5))+SUMIFS(mag7_leases_fy2019_fy2026!$F:$F,mag7_leases_fy2019_fy2026!$A:$A,$B$126,mag7_leases_fy2019_fy2026!$B:$B,YEAR(F$5))</f>
        <v>1202</v>
      </c>
      <c r="G127" s="80">
        <f>SUMIFS(mag7_leases_fy2019_fy2026!$D:$D,mag7_leases_fy2019_fy2026!$A:$A,$B$126,mag7_leases_fy2019_fy2026!$B:$B,YEAR(G$5))+SUMIFS(mag7_leases_fy2019_fy2026!$F:$F,mag7_leases_fy2019_fy2026!$A:$A,$B$126,mag7_leases_fy2019_fy2026!$B:$B,YEAR(G$5))</f>
        <v>1077</v>
      </c>
      <c r="H127" s="80">
        <f>SUMIFS(mag7_leases_fy2019_fy2026!$D:$D,mag7_leases_fy2019_fy2026!$A:$A,$B$126,mag7_leases_fy2019_fy2026!$B:$B,YEAR(H$5))+SUMIFS(mag7_leases_fy2019_fy2026!$F:$F,mag7_leases_fy2019_fy2026!$A:$A,$B$126,mag7_leases_fy2019_fy2026!$B:$B,YEAR(H$5))</f>
        <v>855</v>
      </c>
    </row>
    <row r="128" spans="1:8" x14ac:dyDescent="0.25">
      <c r="A128" t="s">
        <v>916</v>
      </c>
      <c r="B128" s="80">
        <f>SUMIFS(mag7_leases_fy2019_fy2026!$E:$E,mag7_leases_fy2019_fy2026!$A:$A,$B$126,mag7_leases_fy2019_fy2026!$B:$B,YEAR(B$5))+SUMIFS(mag7_leases_fy2019_fy2026!$G:$G,mag7_leases_fy2019_fy2026!$A:$A,$B$126,mag7_leases_fy2019_fy2026!$B:$B,YEAR(B$5))</f>
        <v>23816</v>
      </c>
      <c r="C128" s="80">
        <f>SUMIFS(mag7_leases_fy2019_fy2026!$E:$E,mag7_leases_fy2019_fy2026!$A:$A,$B$126,mag7_leases_fy2019_fy2026!$B:$B,YEAR(C$5))+SUMIFS(mag7_leases_fy2019_fy2026!$G:$G,mag7_leases_fy2019_fy2026!$A:$A,$B$126,mag7_leases_fy2019_fy2026!$B:$B,YEAR(C$5))</f>
        <v>18925</v>
      </c>
      <c r="D128" s="80">
        <f>SUMIFS(mag7_leases_fy2019_fy2026!$E:$E,mag7_leases_fy2019_fy2026!$A:$A,$B$126,mag7_leases_fy2019_fy2026!$B:$B,YEAR(D$5))+SUMIFS(mag7_leases_fy2019_fy2026!$G:$G,mag7_leases_fy2019_fy2026!$A:$A,$B$126,mag7_leases_fy2019_fy2026!$B:$B,YEAR(D$5))</f>
        <v>17826</v>
      </c>
      <c r="E128" s="80">
        <f>SUMIFS(mag7_leases_fy2019_fy2026!$E:$E,mag7_leases_fy2019_fy2026!$A:$A,$B$126,mag7_leases_fy2019_fy2026!$B:$B,YEAR(E$5))+SUMIFS(mag7_leases_fy2019_fy2026!$G:$G,mag7_leases_fy2019_fy2026!$A:$A,$B$126,mag7_leases_fy2019_fy2026!$B:$B,YEAR(E$5))</f>
        <v>15859</v>
      </c>
      <c r="F128" s="80">
        <f>SUMIFS(mag7_leases_fy2019_fy2026!$E:$E,mag7_leases_fy2019_fy2026!$A:$A,$B$126,mag7_leases_fy2019_fy2026!$B:$B,YEAR(F$5))+SUMIFS(mag7_leases_fy2019_fy2026!$G:$G,mag7_leases_fy2019_fy2026!$A:$A,$B$126,mag7_leases_fy2019_fy2026!$B:$B,YEAR(F$5))</f>
        <v>13252</v>
      </c>
      <c r="G128" s="80">
        <f>SUMIFS(mag7_leases_fy2019_fy2026!$E:$E,mag7_leases_fy2019_fy2026!$A:$A,$B$126,mag7_leases_fy2019_fy2026!$B:$B,YEAR(G$5))+SUMIFS(mag7_leases_fy2019_fy2026!$G:$G,mag7_leases_fy2019_fy2026!$A:$A,$B$126,mag7_leases_fy2019_fy2026!$B:$B,YEAR(G$5))</f>
        <v>10100</v>
      </c>
      <c r="H128" s="80">
        <f>SUMIFS(mag7_leases_fy2019_fy2026!$E:$E,mag7_leases_fy2019_fy2026!$A:$A,$B$126,mag7_leases_fy2019_fy2026!$B:$B,YEAR(H$5))+SUMIFS(mag7_leases_fy2019_fy2026!$G:$G,mag7_leases_fy2019_fy2026!$A:$A,$B$126,mag7_leases_fy2019_fy2026!$B:$B,YEAR(H$5))</f>
        <v>9942</v>
      </c>
    </row>
    <row r="129" spans="1:8" x14ac:dyDescent="0.25">
      <c r="A129" t="s">
        <v>917</v>
      </c>
      <c r="B129" s="135">
        <f t="shared" ref="B129:H129" si="35">B127+B128</f>
        <v>26337</v>
      </c>
      <c r="C129" s="135">
        <f t="shared" si="35"/>
        <v>20943</v>
      </c>
      <c r="D129" s="135">
        <f t="shared" si="35"/>
        <v>19539</v>
      </c>
      <c r="E129" s="135">
        <f t="shared" si="35"/>
        <v>17355</v>
      </c>
      <c r="F129" s="135">
        <f t="shared" si="35"/>
        <v>14454</v>
      </c>
      <c r="G129" s="135">
        <f t="shared" si="35"/>
        <v>11177</v>
      </c>
      <c r="H129" s="135">
        <f t="shared" si="35"/>
        <v>10797</v>
      </c>
    </row>
    <row r="130" spans="1:8" x14ac:dyDescent="0.25">
      <c r="A130" t="s">
        <v>918</v>
      </c>
      <c r="B130" s="80">
        <f>SUMIFS(mag7_leases_fy2019_fy2026!$H:$H,mag7_leases_fy2019_fy2026!$A:$A,$B$126,mag7_leases_fy2019_fy2026!$B:$B,YEAR(B$5))</f>
        <v>20404</v>
      </c>
      <c r="C130" s="80">
        <f>SUMIFS(mag7_leases_fy2019_fy2026!$H:$H,mag7_leases_fy2019_fy2026!$A:$A,$B$126,mag7_leases_fy2019_fy2026!$B:$B,YEAR(C$5))</f>
        <v>14922</v>
      </c>
      <c r="D130" s="80">
        <f>SUMIFS(mag7_leases_fy2019_fy2026!$H:$H,mag7_leases_fy2019_fy2026!$A:$A,$B$126,mag7_leases_fy2019_fy2026!$B:$B,YEAR(D$5))</f>
        <v>13294</v>
      </c>
      <c r="E130" s="80">
        <f>SUMIFS(mag7_leases_fy2019_fy2026!$H:$H,mag7_leases_fy2019_fy2026!$A:$A,$B$126,mag7_leases_fy2019_fy2026!$B:$B,YEAR(E$5))</f>
        <v>12673</v>
      </c>
      <c r="F130" s="80">
        <f>SUMIFS(mag7_leases_fy2019_fy2026!$H:$H,mag7_leases_fy2019_fy2026!$A:$A,$B$126,mag7_leases_fy2019_fy2026!$B:$B,YEAR(F$5))</f>
        <v>12155</v>
      </c>
      <c r="G130" s="80">
        <f>SUMIFS(mag7_leases_fy2019_fy2026!$H:$H,mag7_leases_fy2019_fy2026!$A:$A,$B$126,mag7_leases_fy2019_fy2026!$B:$B,YEAR(G$5))</f>
        <v>9348</v>
      </c>
      <c r="H130" s="80">
        <f>SUMIFS(mag7_leases_fy2019_fy2026!$H:$H,mag7_leases_fy2019_fy2026!$A:$A,$B$126,mag7_leases_fy2019_fy2026!$B:$B,YEAR(H$5))</f>
        <v>9460</v>
      </c>
    </row>
    <row r="135" spans="1:8" x14ac:dyDescent="0.25">
      <c r="A135" s="67" t="s">
        <v>1358</v>
      </c>
    </row>
    <row r="136" spans="1:8" x14ac:dyDescent="0.25">
      <c r="A136" t="s">
        <v>1359</v>
      </c>
      <c r="B136" s="190">
        <v>5</v>
      </c>
    </row>
    <row r="137" spans="1:8" x14ac:dyDescent="0.25">
      <c r="A137" t="s">
        <v>1360</v>
      </c>
      <c r="B137" s="35">
        <f>'META - Income Statement FY'!B13</f>
        <v>57372</v>
      </c>
      <c r="C137" s="35">
        <f>'META - Income Statement FY'!C13</f>
        <v>43873</v>
      </c>
      <c r="D137" s="35">
        <f>'META - Income Statement FY'!D13</f>
        <v>38483</v>
      </c>
      <c r="E137" s="35">
        <f>'META - Income Statement FY'!E13</f>
        <v>35338</v>
      </c>
      <c r="F137" s="35">
        <f>'META - Income Statement FY'!F13</f>
        <v>24655</v>
      </c>
      <c r="G137" s="35">
        <f>'META - Income Statement FY'!G13</f>
        <v>18447</v>
      </c>
      <c r="H137" s="35">
        <f>'META - Income Statement FY'!H13</f>
        <v>13600</v>
      </c>
    </row>
    <row r="138" spans="1:8" x14ac:dyDescent="0.25">
      <c r="A138" t="s">
        <v>1361</v>
      </c>
      <c r="B138" s="35">
        <f>B137*MAX(0,($B$136-0)/$B$136)+C137*MAX(0,($B$136-1)/$B$136)+D137*MAX(0,($B$136-2)/$B$136)+E137*MAX(0,($B$136-3)/$B$136)+F137*MAX(0,($B$136-4)/$B$136)</f>
        <v>134626.4</v>
      </c>
      <c r="C138" s="35">
        <f>C137*MAX(0,($B$136-0)/$B$136)+D137*MAX(0,($B$136-1)/$B$136)+E137*MAX(0,($B$136-2)/$B$136)+F137*MAX(0,($B$136-3)/$B$136)+G137*MAX(0,($B$136-4)/$B$136)</f>
        <v>109413.59999999999</v>
      </c>
      <c r="D138" s="35">
        <f>D137*MAX(0,($B$136-0)/$B$136)+E137*MAX(0,($B$136-1)/$B$136)+F137*MAX(0,($B$136-2)/$B$136)+G137*MAX(0,($B$136-3)/$B$136)+H137*MAX(0,($B$136-4)/$B$136)</f>
        <v>91645.2</v>
      </c>
      <c r="E138" s="35" t="str">
        <f>""</f>
        <v/>
      </c>
      <c r="F138" s="35" t="str">
        <f>""</f>
        <v/>
      </c>
      <c r="G138" s="35" t="str">
        <f>""</f>
        <v/>
      </c>
      <c r="H138" s="35" t="str">
        <f>""</f>
        <v/>
      </c>
    </row>
    <row r="139" spans="1:8" x14ac:dyDescent="0.25">
      <c r="A139" t="s">
        <v>1362</v>
      </c>
      <c r="B139" s="35">
        <f>(C137*IF($B$136&gt;=1,1,0)+D137*IF($B$136&gt;=2,1,0)+E137*IF($B$136&gt;=3,1,0)+F137*IF($B$136&gt;=4,1,0)+G137*IF($B$136&gt;=5,1,0))/$B$136</f>
        <v>32159.200000000001</v>
      </c>
      <c r="C139" s="35">
        <f>(D137*IF($B$136&gt;=1,1,0)+E137*IF($B$136&gt;=2,1,0)+F137*IF($B$136&gt;=3,1,0)+G137*IF($B$136&gt;=4,1,0)+H137*IF($B$136&gt;=5,1,0))/$B$136</f>
        <v>26104.6</v>
      </c>
      <c r="D139" s="35" t="str">
        <f>""</f>
        <v/>
      </c>
      <c r="E139" s="35" t="str">
        <f>""</f>
        <v/>
      </c>
      <c r="F139" s="35" t="str">
        <f>""</f>
        <v/>
      </c>
      <c r="G139" s="35" t="str">
        <f>""</f>
        <v/>
      </c>
      <c r="H139" s="35" t="str">
        <f>""</f>
        <v/>
      </c>
    </row>
    <row r="140" spans="1:8" x14ac:dyDescent="0.25">
      <c r="A140" t="s">
        <v>1363</v>
      </c>
      <c r="B140" s="35">
        <f t="shared" ref="B140:H140" si="36">B54</f>
        <v>83276</v>
      </c>
      <c r="C140" s="35">
        <f t="shared" si="36"/>
        <v>69380</v>
      </c>
      <c r="D140" s="35">
        <f t="shared" si="36"/>
        <v>46751</v>
      </c>
      <c r="E140" s="35">
        <f t="shared" si="36"/>
        <v>28944</v>
      </c>
      <c r="F140" s="35">
        <f t="shared" si="36"/>
        <v>46753</v>
      </c>
      <c r="G140" s="35">
        <f t="shared" si="36"/>
        <v>32671</v>
      </c>
      <c r="H140" s="35">
        <f t="shared" si="36"/>
        <v>23986</v>
      </c>
    </row>
    <row r="141" spans="1:8" x14ac:dyDescent="0.25">
      <c r="A141" t="s">
        <v>1364</v>
      </c>
      <c r="B141" s="35">
        <f>B140+B137-B139</f>
        <v>108488.8</v>
      </c>
      <c r="C141" s="35">
        <f>C140+C137-C139</f>
        <v>87148.4</v>
      </c>
      <c r="D141" s="35" t="str">
        <f>""</f>
        <v/>
      </c>
      <c r="E141" s="35" t="str">
        <f>""</f>
        <v/>
      </c>
      <c r="F141" s="35" t="str">
        <f>""</f>
        <v/>
      </c>
      <c r="G141" s="35" t="str">
        <f>""</f>
        <v/>
      </c>
      <c r="H141" s="35" t="str">
        <f>""</f>
        <v/>
      </c>
    </row>
    <row r="142" spans="1:8" x14ac:dyDescent="0.25">
      <c r="A142" t="s">
        <v>1365</v>
      </c>
      <c r="B142" s="35">
        <f>B141*(1-$B$9)</f>
        <v>85706.152000000002</v>
      </c>
      <c r="C142" s="35">
        <f>C141*(1-$B$9)</f>
        <v>68847.236000000004</v>
      </c>
      <c r="D142" s="35" t="str">
        <f>""</f>
        <v/>
      </c>
      <c r="E142" s="35" t="str">
        <f>""</f>
        <v/>
      </c>
      <c r="F142" s="35" t="str">
        <f>""</f>
        <v/>
      </c>
      <c r="G142" s="35" t="str">
        <f>""</f>
        <v/>
      </c>
      <c r="H142" s="35" t="str">
        <f>""</f>
        <v/>
      </c>
    </row>
    <row r="143" spans="1:8" x14ac:dyDescent="0.25">
      <c r="A143" t="s">
        <v>1366</v>
      </c>
      <c r="B143" s="35">
        <f t="shared" ref="B143:H143" si="37">B32</f>
        <v>197227.32</v>
      </c>
      <c r="C143" s="35">
        <f t="shared" si="37"/>
        <v>151811.02000000002</v>
      </c>
      <c r="D143" s="35">
        <f t="shared" si="37"/>
        <v>122246.04000000001</v>
      </c>
      <c r="E143" s="35">
        <f t="shared" si="37"/>
        <v>108384.18</v>
      </c>
      <c r="F143" s="35">
        <f t="shared" si="37"/>
        <v>86918.58</v>
      </c>
      <c r="G143" s="35">
        <f t="shared" si="37"/>
        <v>72998.3</v>
      </c>
      <c r="H143" s="35">
        <f t="shared" si="37"/>
        <v>58323.94</v>
      </c>
    </row>
    <row r="144" spans="1:8" x14ac:dyDescent="0.25">
      <c r="A144" t="s">
        <v>1367</v>
      </c>
      <c r="B144" s="35">
        <f>B32+B138</f>
        <v>331853.71999999997</v>
      </c>
      <c r="C144" s="35">
        <f>C32+C138</f>
        <v>261224.62</v>
      </c>
      <c r="D144" s="35">
        <f>D32+D138</f>
        <v>213891.24</v>
      </c>
      <c r="E144" s="35" t="str">
        <f>""</f>
        <v/>
      </c>
      <c r="F144" s="35" t="str">
        <f>""</f>
        <v/>
      </c>
      <c r="G144" s="35" t="str">
        <f>""</f>
        <v/>
      </c>
      <c r="H144" s="35" t="str">
        <f>""</f>
        <v/>
      </c>
    </row>
    <row r="145" spans="1:8" x14ac:dyDescent="0.25">
      <c r="A145" t="s">
        <v>1368</v>
      </c>
      <c r="B145" s="28">
        <f t="shared" ref="B145:H145" si="38">IFERROR(B56/B32,"")</f>
        <v>0.3335645386247707</v>
      </c>
      <c r="C145" s="28">
        <f t="shared" si="38"/>
        <v>0.36104230114520008</v>
      </c>
      <c r="D145" s="28">
        <f t="shared" si="38"/>
        <v>0.30212258818363358</v>
      </c>
      <c r="E145" s="28">
        <f t="shared" si="38"/>
        <v>0.21096953448372266</v>
      </c>
      <c r="F145" s="28">
        <f t="shared" si="38"/>
        <v>0.42493641750705086</v>
      </c>
      <c r="G145" s="28">
        <f t="shared" si="38"/>
        <v>0.35357111056010893</v>
      </c>
      <c r="H145" s="28">
        <f t="shared" si="38"/>
        <v>0.32489128820858126</v>
      </c>
    </row>
    <row r="146" spans="1:8" x14ac:dyDescent="0.25">
      <c r="A146" t="s">
        <v>1369</v>
      </c>
      <c r="B146" s="28">
        <f>IFERROR(B142/B144,"")</f>
        <v>0.25826485235723745</v>
      </c>
      <c r="C146" s="28">
        <f>IFERROR(C142/C144,"")</f>
        <v>0.26355569394645884</v>
      </c>
      <c r="D146" s="28" t="str">
        <f>""</f>
        <v/>
      </c>
      <c r="E146" s="28" t="str">
        <f>""</f>
        <v/>
      </c>
      <c r="F146" s="28" t="str">
        <f>""</f>
        <v/>
      </c>
      <c r="G146" s="28" t="str">
        <f>""</f>
        <v/>
      </c>
      <c r="H146" s="28" t="str">
        <f>""</f>
        <v/>
      </c>
    </row>
    <row r="148" spans="1:8" x14ac:dyDescent="0.25">
      <c r="A148" s="67" t="s">
        <v>1497</v>
      </c>
    </row>
    <row r="149" spans="1:8" x14ac:dyDescent="0.25">
      <c r="A149" t="s">
        <v>1498</v>
      </c>
      <c r="B149" s="3">
        <f>IF(COUNTIFS(mag7_leases_fy2019_fy2026!$A:$A,$B$126,mag7_leases_fy2019_fy2026!$B:$B,YEAR(B$5),mag7_leases_fy2019_fy2026!$L:$L,"&gt;0")=0,"",SUMIFS(mag7_leases_fy2019_fy2026!$L:$L,mag7_leases_fy2019_fy2026!$A:$A,$B$126,mag7_leases_fy2019_fy2026!$B:$B,YEAR(B$5))/100)</f>
        <v>4.2999999999999997E-2</v>
      </c>
      <c r="C149" s="3">
        <f>IF(COUNTIFS(mag7_leases_fy2019_fy2026!$A:$A,$B$126,mag7_leases_fy2019_fy2026!$B:$B,YEAR(C$5),mag7_leases_fy2019_fy2026!$L:$L,"&gt;0")=0,"",SUMIFS(mag7_leases_fy2019_fy2026!$L:$L,mag7_leases_fy2019_fy2026!$A:$A,$B$126,mag7_leases_fy2019_fy2026!$B:$B,YEAR(C$5))/100)</f>
        <v>3.9E-2</v>
      </c>
      <c r="D149" s="3">
        <f>IF(COUNTIFS(mag7_leases_fy2019_fy2026!$A:$A,$B$126,mag7_leases_fy2019_fy2026!$B:$B,YEAR(D$5),mag7_leases_fy2019_fy2026!$L:$L,"&gt;0")=0,"",SUMIFS(mag7_leases_fy2019_fy2026!$L:$L,mag7_leases_fy2019_fy2026!$A:$A,$B$126,mag7_leases_fy2019_fy2026!$B:$B,YEAR(D$5))/100)</f>
        <v>3.7000000000000005E-2</v>
      </c>
      <c r="E149" s="3">
        <f>IF(COUNTIFS(mag7_leases_fy2019_fy2026!$A:$A,$B$126,mag7_leases_fy2019_fy2026!$B:$B,YEAR(E$5),mag7_leases_fy2019_fy2026!$L:$L,"&gt;0")=0,"",SUMIFS(mag7_leases_fy2019_fy2026!$L:$L,mag7_leases_fy2019_fy2026!$A:$A,$B$126,mag7_leases_fy2019_fy2026!$B:$B,YEAR(E$5))/100)</f>
        <v>3.2000000000000001E-2</v>
      </c>
      <c r="F149" s="3">
        <f>IF(COUNTIFS(mag7_leases_fy2019_fy2026!$A:$A,$B$126,mag7_leases_fy2019_fy2026!$B:$B,YEAR(F$5),mag7_leases_fy2019_fy2026!$L:$L,"&gt;0")=0,"",SUMIFS(mag7_leases_fy2019_fy2026!$L:$L,mag7_leases_fy2019_fy2026!$A:$A,$B$126,mag7_leases_fy2019_fy2026!$B:$B,YEAR(F$5))/100)</f>
        <v>2.7999999999999997E-2</v>
      </c>
      <c r="G149" s="3">
        <f>IF(COUNTIFS(mag7_leases_fy2019_fy2026!$A:$A,$B$126,mag7_leases_fy2019_fy2026!$B:$B,YEAR(G$5),mag7_leases_fy2019_fy2026!$L:$L,"&gt;0")=0,"",SUMIFS(mag7_leases_fy2019_fy2026!$L:$L,mag7_leases_fy2019_fy2026!$A:$A,$B$126,mag7_leases_fy2019_fy2026!$B:$B,YEAR(G$5))/100)</f>
        <v>3.1E-2</v>
      </c>
      <c r="H149" s="3">
        <f>IF(COUNTIFS(mag7_leases_fy2019_fy2026!$A:$A,$B$126,mag7_leases_fy2019_fy2026!$B:$B,YEAR(H$5),mag7_leases_fy2019_fy2026!$L:$L,"&gt;0")=0,"",SUMIFS(mag7_leases_fy2019_fy2026!$L:$L,mag7_leases_fy2019_fy2026!$A:$A,$B$126,mag7_leases_fy2019_fy2026!$B:$B,YEAR(H$5))/100)</f>
        <v>3.2000000000000001E-2</v>
      </c>
    </row>
    <row r="150" spans="1:8" x14ac:dyDescent="0.25">
      <c r="A150" t="s">
        <v>917</v>
      </c>
      <c r="B150" s="35">
        <f t="shared" ref="B150:H150" si="39">B129</f>
        <v>26337</v>
      </c>
      <c r="C150" s="35">
        <f t="shared" si="39"/>
        <v>20943</v>
      </c>
      <c r="D150" s="35">
        <f t="shared" si="39"/>
        <v>19539</v>
      </c>
      <c r="E150" s="35">
        <f t="shared" si="39"/>
        <v>17355</v>
      </c>
      <c r="F150" s="35">
        <f t="shared" si="39"/>
        <v>14454</v>
      </c>
      <c r="G150" s="35">
        <f t="shared" si="39"/>
        <v>11177</v>
      </c>
      <c r="H150" s="35">
        <f t="shared" si="39"/>
        <v>10797</v>
      </c>
    </row>
    <row r="151" spans="1:8" x14ac:dyDescent="0.25">
      <c r="A151" t="s">
        <v>1499</v>
      </c>
      <c r="B151" s="35">
        <f t="shared" ref="B151:H151" si="40">IF(B149="","",B149*B150)</f>
        <v>1132.491</v>
      </c>
      <c r="C151" s="35">
        <f t="shared" si="40"/>
        <v>816.77700000000004</v>
      </c>
      <c r="D151" s="35">
        <f t="shared" si="40"/>
        <v>722.9430000000001</v>
      </c>
      <c r="E151" s="35">
        <f t="shared" si="40"/>
        <v>555.36</v>
      </c>
      <c r="F151" s="35">
        <f t="shared" si="40"/>
        <v>404.71199999999993</v>
      </c>
      <c r="G151" s="35">
        <f t="shared" si="40"/>
        <v>346.48700000000002</v>
      </c>
      <c r="H151" s="35">
        <f t="shared" si="40"/>
        <v>345.50400000000002</v>
      </c>
    </row>
    <row r="152" spans="1:8" x14ac:dyDescent="0.25">
      <c r="A152" t="s">
        <v>1500</v>
      </c>
      <c r="B152" s="3">
        <f>IF(B151="","",B151/'META - Income Statement FY'!B7)</f>
        <v>5.635236806225929E-3</v>
      </c>
      <c r="C152" s="3">
        <f>IF(C151="","",C151/'META - Income Statement FY'!C7)</f>
        <v>4.9651795429815019E-3</v>
      </c>
      <c r="D152" s="3">
        <f>IF(D151="","",D151/'META - Income Statement FY'!D7)</f>
        <v>5.3590235874931436E-3</v>
      </c>
      <c r="E152" s="3">
        <f>IF(E151="","",E151/'META - Income Statement FY'!E7)</f>
        <v>4.7625826479945803E-3</v>
      </c>
      <c r="F152" s="3">
        <f>IF(F151="","",F151/'META - Income Statement FY'!F7)</f>
        <v>3.4318276250964556E-3</v>
      </c>
      <c r="G152" s="3">
        <f>IF(G151="","",G151/'META - Income Statement FY'!G7)</f>
        <v>4.0305589484092366E-3</v>
      </c>
      <c r="H152" s="3">
        <f>IF(H151="","",H151/'META - Income Statement FY'!H7)</f>
        <v>4.8871097783498591E-3</v>
      </c>
    </row>
    <row r="153" spans="1:8" x14ac:dyDescent="0.25">
      <c r="A153" t="s">
        <v>1363</v>
      </c>
      <c r="B153" s="35">
        <f t="shared" ref="B153:H153" si="41">B54</f>
        <v>83276</v>
      </c>
      <c r="C153" s="35">
        <f t="shared" si="41"/>
        <v>69380</v>
      </c>
      <c r="D153" s="35">
        <f t="shared" si="41"/>
        <v>46751</v>
      </c>
      <c r="E153" s="35">
        <f t="shared" si="41"/>
        <v>28944</v>
      </c>
      <c r="F153" s="35">
        <f t="shared" si="41"/>
        <v>46753</v>
      </c>
      <c r="G153" s="35">
        <f t="shared" si="41"/>
        <v>32671</v>
      </c>
      <c r="H153" s="35">
        <f t="shared" si="41"/>
        <v>23986</v>
      </c>
    </row>
    <row r="154" spans="1:8" x14ac:dyDescent="0.25">
      <c r="A154" t="s">
        <v>1501</v>
      </c>
      <c r="B154" s="35">
        <f t="shared" ref="B154:H154" si="42">IF(B151="",B153,B153+B151)</f>
        <v>84408.490999999995</v>
      </c>
      <c r="C154" s="35">
        <f t="shared" si="42"/>
        <v>70196.777000000002</v>
      </c>
      <c r="D154" s="35">
        <f t="shared" si="42"/>
        <v>47473.942999999999</v>
      </c>
      <c r="E154" s="35">
        <f t="shared" si="42"/>
        <v>29499.360000000001</v>
      </c>
      <c r="F154" s="35">
        <f t="shared" si="42"/>
        <v>47157.712</v>
      </c>
      <c r="G154" s="35">
        <f t="shared" si="42"/>
        <v>33017.487000000001</v>
      </c>
      <c r="H154" s="35">
        <f t="shared" si="42"/>
        <v>24331.504000000001</v>
      </c>
    </row>
    <row r="155" spans="1:8" x14ac:dyDescent="0.25">
      <c r="A155" t="s">
        <v>1365</v>
      </c>
      <c r="B155" s="35">
        <f t="shared" ref="B155:H155" si="43">B154*(1-$B$9)</f>
        <v>66682.707890000005</v>
      </c>
      <c r="C155" s="35">
        <f t="shared" si="43"/>
        <v>55455.453830000006</v>
      </c>
      <c r="D155" s="35">
        <f t="shared" si="43"/>
        <v>37504.414969999998</v>
      </c>
      <c r="E155" s="35">
        <f t="shared" si="43"/>
        <v>23304.494400000003</v>
      </c>
      <c r="F155" s="35">
        <f t="shared" si="43"/>
        <v>37254.592479999999</v>
      </c>
      <c r="G155" s="35">
        <f t="shared" si="43"/>
        <v>26083.814730000002</v>
      </c>
      <c r="H155" s="35">
        <f t="shared" si="43"/>
        <v>19221.888160000002</v>
      </c>
    </row>
    <row r="156" spans="1:8" x14ac:dyDescent="0.25">
      <c r="A156" t="s">
        <v>1502</v>
      </c>
      <c r="B156" s="62" t="str">
        <f t="shared" ref="B156:H156" si="44">IF(B149="","MISSING - add-back omitted","ok")</f>
        <v>ok</v>
      </c>
      <c r="C156" s="62" t="str">
        <f t="shared" si="44"/>
        <v>ok</v>
      </c>
      <c r="D156" s="62" t="str">
        <f t="shared" si="44"/>
        <v>ok</v>
      </c>
      <c r="E156" s="62" t="str">
        <f t="shared" si="44"/>
        <v>ok</v>
      </c>
      <c r="F156" s="62" t="str">
        <f t="shared" si="44"/>
        <v>ok</v>
      </c>
      <c r="G156" s="62" t="str">
        <f t="shared" si="44"/>
        <v>ok</v>
      </c>
      <c r="H156" s="62" t="str">
        <f t="shared" si="44"/>
        <v>ok</v>
      </c>
    </row>
  </sheetData>
  <conditionalFormatting sqref="B51:H51">
    <cfRule type="cellIs" dxfId="3" priority="1" operator="notBetween">
      <formula>0.5</formula>
      <formula>-0.5</formula>
    </cfRule>
  </conditionalFormatting>
  <conditionalFormatting sqref="B156:H156">
    <cfRule type="containsText" dxfId="2" priority="2" operator="containsText" text="MISSING">
      <formula>NOT(ISERROR(SEARCH("MISSING",B156)))</formula>
    </cfRule>
  </conditionalFormatting>
  <pageMargins left="0.7" right="0.7" top="0.75" bottom="0.75" header="0.3" footer="0.3"/>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F1456B-A484-4591-BCBA-9E15D6D2E3D6}">
  <sheetPr>
    <tabColor rgb="FFFFE699"/>
  </sheetPr>
  <dimension ref="A1:H156"/>
  <sheetViews>
    <sheetView workbookViewId="0">
      <pane xSplit="1" topLeftCell="B1" activePane="topRight" state="frozen"/>
      <selection pane="topRight"/>
    </sheetView>
  </sheetViews>
  <sheetFormatPr defaultRowHeight="15" x14ac:dyDescent="0.25"/>
  <cols>
    <col min="1" max="1" width="61.7109375" bestFit="1" customWidth="1"/>
    <col min="2" max="8" width="16.7109375" customWidth="1"/>
  </cols>
  <sheetData>
    <row r="1" spans="1:8" ht="15.75" x14ac:dyDescent="0.25">
      <c r="A1" s="16" t="s">
        <v>281</v>
      </c>
      <c r="B1" s="16"/>
      <c r="C1" s="16"/>
      <c r="D1" s="16"/>
      <c r="E1" s="16"/>
      <c r="F1" s="16"/>
      <c r="G1" s="16"/>
      <c r="H1" s="16"/>
    </row>
    <row r="2" spans="1:8" x14ac:dyDescent="0.25">
      <c r="A2" s="17" t="s">
        <v>1</v>
      </c>
      <c r="B2" s="149" t="str">
        <f>'TSLA - Income Statement FY'!B2</f>
        <v>TSLA (NASDAQ)</v>
      </c>
      <c r="C2" s="17"/>
      <c r="D2" s="17"/>
      <c r="E2" s="17"/>
      <c r="F2" s="17"/>
      <c r="G2" s="17"/>
      <c r="H2" s="17"/>
    </row>
    <row r="3" spans="1:8" x14ac:dyDescent="0.25">
      <c r="A3" s="17" t="s">
        <v>3</v>
      </c>
      <c r="B3" s="149" t="str">
        <f>'TSLA - Income Statement FY'!B3</f>
        <v>USD</v>
      </c>
      <c r="C3" s="17"/>
      <c r="D3" s="17"/>
      <c r="E3" s="17"/>
      <c r="F3" s="17"/>
      <c r="G3" s="17"/>
      <c r="H3" s="17"/>
    </row>
    <row r="4" spans="1:8" x14ac:dyDescent="0.25">
      <c r="A4" s="17" t="s">
        <v>32</v>
      </c>
      <c r="B4" s="150" t="str">
        <f>'TSLA - Income Statement FY'!B4</f>
        <v>FY</v>
      </c>
      <c r="C4" s="150">
        <f>'TSLA - Income Statement FY'!C4</f>
        <v>0</v>
      </c>
      <c r="D4" s="150">
        <f>'TSLA - Income Statement FY'!D4</f>
        <v>0</v>
      </c>
      <c r="E4" s="150">
        <f>'TSLA - Income Statement FY'!E4</f>
        <v>0</v>
      </c>
      <c r="F4" s="150">
        <f>'TSLA - Income Statement FY'!F4</f>
        <v>0</v>
      </c>
      <c r="G4" s="150">
        <f>'TSLA - Income Statement FY'!G4</f>
        <v>0</v>
      </c>
      <c r="H4" s="150">
        <f>'TSLA - Income Statement FY'!H4</f>
        <v>0</v>
      </c>
    </row>
    <row r="5" spans="1:8" x14ac:dyDescent="0.25">
      <c r="A5" s="17" t="s">
        <v>34</v>
      </c>
      <c r="B5" s="151">
        <f>'TSLA - Income Statement FY'!B5</f>
        <v>46022</v>
      </c>
      <c r="C5" s="151">
        <f>'TSLA - Income Statement FY'!C5</f>
        <v>45657</v>
      </c>
      <c r="D5" s="151">
        <f>'TSLA - Income Statement FY'!D5</f>
        <v>45291</v>
      </c>
      <c r="E5" s="151">
        <f>'TSLA - Income Statement FY'!E5</f>
        <v>44926</v>
      </c>
      <c r="F5" s="151">
        <f>'TSLA - Income Statement FY'!F5</f>
        <v>44561</v>
      </c>
      <c r="G5" s="151">
        <f>'TSLA - Income Statement FY'!G5</f>
        <v>44196</v>
      </c>
      <c r="H5" s="151">
        <f>'TSLA - Income Statement FY'!H5</f>
        <v>43830</v>
      </c>
    </row>
    <row r="6" spans="1:8" x14ac:dyDescent="0.25">
      <c r="A6" s="17"/>
      <c r="B6" s="17"/>
      <c r="C6" s="17"/>
      <c r="D6" s="17"/>
      <c r="E6" s="17"/>
      <c r="F6" s="17"/>
      <c r="G6" s="17"/>
      <c r="H6" s="17"/>
    </row>
    <row r="7" spans="1:8" x14ac:dyDescent="0.25">
      <c r="A7" s="20" t="s">
        <v>222</v>
      </c>
      <c r="B7" s="20"/>
      <c r="C7" s="20"/>
      <c r="D7" s="20"/>
      <c r="E7" s="20"/>
      <c r="F7" s="20"/>
      <c r="G7" s="20"/>
      <c r="H7" s="20"/>
    </row>
    <row r="8" spans="1:8" x14ac:dyDescent="0.25">
      <c r="A8" s="17" t="s">
        <v>223</v>
      </c>
      <c r="B8" s="21">
        <v>0.02</v>
      </c>
      <c r="C8" s="17"/>
      <c r="D8" s="17"/>
      <c r="E8" s="17"/>
      <c r="F8" s="17"/>
      <c r="G8" s="17"/>
      <c r="H8" s="17"/>
    </row>
    <row r="9" spans="1:8" x14ac:dyDescent="0.25">
      <c r="A9" s="17" t="s">
        <v>224</v>
      </c>
      <c r="B9" s="180">
        <f>'Valuation Dashboard'!$B$12</f>
        <v>0.21</v>
      </c>
      <c r="C9" s="17"/>
      <c r="D9" s="17"/>
      <c r="E9" s="17"/>
      <c r="F9" s="17"/>
      <c r="G9" s="17"/>
      <c r="H9" s="17"/>
    </row>
    <row r="10" spans="1:8" x14ac:dyDescent="0.25">
      <c r="A10" s="17"/>
      <c r="B10" s="17"/>
      <c r="C10" s="17"/>
      <c r="D10" s="17"/>
      <c r="E10" s="17"/>
      <c r="F10" s="17"/>
      <c r="G10" s="17"/>
      <c r="H10" s="17"/>
    </row>
    <row r="11" spans="1:8" x14ac:dyDescent="0.25">
      <c r="A11" s="20" t="s">
        <v>225</v>
      </c>
      <c r="B11" s="20"/>
      <c r="C11" s="20"/>
      <c r="D11" s="20"/>
      <c r="E11" s="20"/>
      <c r="F11" s="20"/>
      <c r="G11" s="20"/>
      <c r="H11" s="20"/>
    </row>
    <row r="12" spans="1:8" x14ac:dyDescent="0.25">
      <c r="A12" s="17" t="s">
        <v>226</v>
      </c>
      <c r="B12" s="152">
        <f>MIN('TSLA - Balance Sheet FY'!B7,$B$8*'TSLA - Income Statement FY'!B7)</f>
        <v>1896.54</v>
      </c>
      <c r="C12" s="152">
        <f>MIN('TSLA - Balance Sheet FY'!C7,$B$8*'TSLA - Income Statement FY'!C7)</f>
        <v>1953.8</v>
      </c>
      <c r="D12" s="152">
        <f>MIN('TSLA - Balance Sheet FY'!D7,$B$8*'TSLA - Income Statement FY'!D7)</f>
        <v>1935.46</v>
      </c>
      <c r="E12" s="152">
        <f>MIN('TSLA - Balance Sheet FY'!E7,$B$8*'TSLA - Income Statement FY'!E7)</f>
        <v>1629.24</v>
      </c>
      <c r="F12" s="152">
        <f>MIN('TSLA - Balance Sheet FY'!F7,$B$8*'TSLA - Income Statement FY'!F7)</f>
        <v>1076.46</v>
      </c>
      <c r="G12" s="152">
        <f>MIN('TSLA - Balance Sheet FY'!G7,$B$8*'TSLA - Income Statement FY'!G7)</f>
        <v>630.72</v>
      </c>
      <c r="H12" s="152">
        <f>MIN('TSLA - Balance Sheet FY'!H7,$B$8*'TSLA - Income Statement FY'!H7)</f>
        <v>491.56</v>
      </c>
    </row>
    <row r="13" spans="1:8" x14ac:dyDescent="0.25">
      <c r="A13" s="17" t="s">
        <v>227</v>
      </c>
      <c r="B13" s="152">
        <f>'TSLA - Balance Sheet FY'!B10</f>
        <v>4576</v>
      </c>
      <c r="C13" s="152">
        <f>'TSLA - Balance Sheet FY'!C10</f>
        <v>4418</v>
      </c>
      <c r="D13" s="152">
        <f>'TSLA - Balance Sheet FY'!D10</f>
        <v>3508</v>
      </c>
      <c r="E13" s="152">
        <f>'TSLA - Balance Sheet FY'!E10</f>
        <v>2952</v>
      </c>
      <c r="F13" s="152">
        <f>'TSLA - Balance Sheet FY'!F10</f>
        <v>1913</v>
      </c>
      <c r="G13" s="152">
        <f>'TSLA - Balance Sheet FY'!G10</f>
        <v>1886</v>
      </c>
      <c r="H13" s="152">
        <f>'TSLA - Balance Sheet FY'!H10</f>
        <v>1324</v>
      </c>
    </row>
    <row r="14" spans="1:8" x14ac:dyDescent="0.25">
      <c r="A14" s="17" t="s">
        <v>70</v>
      </c>
      <c r="B14" s="152">
        <f>'TSLA - Balance Sheet FY'!B11</f>
        <v>12392</v>
      </c>
      <c r="C14" s="152">
        <f>'TSLA - Balance Sheet FY'!C11</f>
        <v>12017</v>
      </c>
      <c r="D14" s="152">
        <f>'TSLA - Balance Sheet FY'!D11</f>
        <v>13626</v>
      </c>
      <c r="E14" s="152">
        <f>'TSLA - Balance Sheet FY'!E11</f>
        <v>12839</v>
      </c>
      <c r="F14" s="152">
        <f>'TSLA - Balance Sheet FY'!F11</f>
        <v>5757</v>
      </c>
      <c r="G14" s="152">
        <f>'TSLA - Balance Sheet FY'!G11</f>
        <v>4101</v>
      </c>
      <c r="H14" s="152">
        <f>'TSLA - Balance Sheet FY'!H11</f>
        <v>3552</v>
      </c>
    </row>
    <row r="15" spans="1:8" x14ac:dyDescent="0.25">
      <c r="A15" s="17" t="s">
        <v>228</v>
      </c>
      <c r="B15" s="152">
        <f>'TSLA - Balance Sheet FY'!B12</f>
        <v>7615</v>
      </c>
      <c r="C15" s="152">
        <f>'TSLA - Balance Sheet FY'!C12</f>
        <v>5362</v>
      </c>
      <c r="D15" s="152">
        <f>'TSLA - Balance Sheet FY'!D12</f>
        <v>3388</v>
      </c>
      <c r="E15" s="152">
        <f>'TSLA - Balance Sheet FY'!E12</f>
        <v>2941</v>
      </c>
      <c r="F15" s="152">
        <f>'TSLA - Balance Sheet FY'!F12</f>
        <v>1723</v>
      </c>
      <c r="G15" s="152">
        <f>'TSLA - Balance Sheet FY'!G12</f>
        <v>1346</v>
      </c>
      <c r="H15" s="152">
        <f>'TSLA - Balance Sheet FY'!H12</f>
        <v>959</v>
      </c>
    </row>
    <row r="16" spans="1:8" x14ac:dyDescent="0.25">
      <c r="A16" s="19" t="s">
        <v>229</v>
      </c>
      <c r="B16" s="153">
        <f t="shared" ref="B16:H16" si="0">SUM(B12:B15)</f>
        <v>26479.54</v>
      </c>
      <c r="C16" s="153">
        <f t="shared" si="0"/>
        <v>23750.799999999999</v>
      </c>
      <c r="D16" s="153">
        <f t="shared" si="0"/>
        <v>22457.46</v>
      </c>
      <c r="E16" s="153">
        <f t="shared" si="0"/>
        <v>20361.239999999998</v>
      </c>
      <c r="F16" s="153">
        <f t="shared" si="0"/>
        <v>10469.459999999999</v>
      </c>
      <c r="G16" s="153">
        <f t="shared" si="0"/>
        <v>7963.72</v>
      </c>
      <c r="H16" s="153">
        <f t="shared" si="0"/>
        <v>6326.5599999999995</v>
      </c>
    </row>
    <row r="17" spans="1:8" x14ac:dyDescent="0.25">
      <c r="A17" s="17" t="s">
        <v>230</v>
      </c>
      <c r="B17" s="152">
        <f>-'TSLA - Balance Sheet FY'!B27</f>
        <v>-13371</v>
      </c>
      <c r="C17" s="152">
        <f>-'TSLA - Balance Sheet FY'!C27</f>
        <v>-12474</v>
      </c>
      <c r="D17" s="152">
        <f>-'TSLA - Balance Sheet FY'!D27</f>
        <v>-14431</v>
      </c>
      <c r="E17" s="152">
        <f>-'TSLA - Balance Sheet FY'!E27</f>
        <v>-15255</v>
      </c>
      <c r="F17" s="152">
        <f>-'TSLA - Balance Sheet FY'!F27</f>
        <v>-10025</v>
      </c>
      <c r="G17" s="152">
        <f>-'TSLA - Balance Sheet FY'!G27</f>
        <v>-6051</v>
      </c>
      <c r="H17" s="152">
        <f>-'TSLA - Balance Sheet FY'!H27</f>
        <v>-3771</v>
      </c>
    </row>
    <row r="18" spans="1:8" x14ac:dyDescent="0.25">
      <c r="A18" s="17" t="s">
        <v>231</v>
      </c>
      <c r="B18" s="152">
        <f>-'TSLA - Balance Sheet FY'!B29</f>
        <v>0</v>
      </c>
      <c r="C18" s="152">
        <f>-'TSLA - Balance Sheet FY'!C29</f>
        <v>-1367</v>
      </c>
      <c r="D18" s="152">
        <f>-'TSLA - Balance Sheet FY'!D29</f>
        <v>-1204</v>
      </c>
      <c r="E18" s="152">
        <f>-'TSLA - Balance Sheet FY'!E29</f>
        <v>-1235</v>
      </c>
      <c r="F18" s="152">
        <f>-'TSLA - Balance Sheet FY'!F29</f>
        <v>-1122</v>
      </c>
      <c r="G18" s="152">
        <f>-'TSLA - Balance Sheet FY'!G29</f>
        <v>-777</v>
      </c>
      <c r="H18" s="152">
        <f>-'TSLA - Balance Sheet FY'!H29</f>
        <v>-611</v>
      </c>
    </row>
    <row r="19" spans="1:8" x14ac:dyDescent="0.25">
      <c r="A19" s="17" t="s">
        <v>232</v>
      </c>
      <c r="B19" s="152">
        <f>-'TSLA - Balance Sheet FY'!B30</f>
        <v>-3424</v>
      </c>
      <c r="C19" s="152">
        <f>-'TSLA - Balance Sheet FY'!C30</f>
        <v>-4161</v>
      </c>
      <c r="D19" s="152">
        <f>-'TSLA - Balance Sheet FY'!D30</f>
        <v>-3740</v>
      </c>
      <c r="E19" s="152">
        <f>-'TSLA - Balance Sheet FY'!E30</f>
        <v>-2810</v>
      </c>
      <c r="F19" s="152">
        <f>-'TSLA - Balance Sheet FY'!F30</f>
        <v>-2372</v>
      </c>
      <c r="G19" s="152">
        <f>-'TSLA - Balance Sheet FY'!G30</f>
        <v>-2210</v>
      </c>
      <c r="H19" s="152">
        <f>-'TSLA - Balance Sheet FY'!H30</f>
        <v>-1889</v>
      </c>
    </row>
    <row r="20" spans="1:8" x14ac:dyDescent="0.25">
      <c r="A20" s="17" t="s">
        <v>233</v>
      </c>
      <c r="B20" s="152">
        <f>-'TSLA - Balance Sheet FY'!B31</f>
        <v>-13279</v>
      </c>
      <c r="C20" s="152">
        <f>-'TSLA - Balance Sheet FY'!C31</f>
        <v>-7556</v>
      </c>
      <c r="D20" s="152">
        <f>-'TSLA - Balance Sheet FY'!D31</f>
        <v>-6328</v>
      </c>
      <c r="E20" s="152">
        <f>-'TSLA - Balance Sheet FY'!E31</f>
        <v>-5422</v>
      </c>
      <c r="F20" s="152">
        <f>-'TSLA - Balance Sheet FY'!F31</f>
        <v>-4229</v>
      </c>
      <c r="G20" s="152">
        <f>-'TSLA - Balance Sheet FY'!G31</f>
        <v>-2792</v>
      </c>
      <c r="H20" s="152">
        <f>-'TSLA - Balance Sheet FY'!H31</f>
        <v>-2383</v>
      </c>
    </row>
    <row r="21" spans="1:8" x14ac:dyDescent="0.25">
      <c r="A21" s="19" t="s">
        <v>234</v>
      </c>
      <c r="B21" s="153">
        <f t="shared" ref="B21:H21" si="1">SUM(B17:B20)+B127</f>
        <v>-29049</v>
      </c>
      <c r="C21" s="153">
        <f t="shared" si="1"/>
        <v>-24638</v>
      </c>
      <c r="D21" s="153">
        <f t="shared" si="1"/>
        <v>-24633</v>
      </c>
      <c r="E21" s="153">
        <f t="shared" si="1"/>
        <v>-23751</v>
      </c>
      <c r="F21" s="153">
        <f t="shared" si="1"/>
        <v>-16879</v>
      </c>
      <c r="G21" s="153">
        <f t="shared" si="1"/>
        <v>-11170</v>
      </c>
      <c r="H21" s="153">
        <f t="shared" si="1"/>
        <v>-8040</v>
      </c>
    </row>
    <row r="22" spans="1:8" x14ac:dyDescent="0.25">
      <c r="A22" s="19" t="s">
        <v>235</v>
      </c>
      <c r="B22" s="154">
        <f t="shared" ref="B22:H22" si="2">B16+B21</f>
        <v>-2569.4599999999991</v>
      </c>
      <c r="C22" s="154">
        <f t="shared" si="2"/>
        <v>-887.20000000000073</v>
      </c>
      <c r="D22" s="154">
        <f t="shared" si="2"/>
        <v>-2175.5400000000009</v>
      </c>
      <c r="E22" s="154">
        <f t="shared" si="2"/>
        <v>-3389.760000000002</v>
      </c>
      <c r="F22" s="154">
        <f t="shared" si="2"/>
        <v>-6409.5400000000009</v>
      </c>
      <c r="G22" s="154">
        <f t="shared" si="2"/>
        <v>-3206.2799999999997</v>
      </c>
      <c r="H22" s="154">
        <f t="shared" si="2"/>
        <v>-1713.4400000000005</v>
      </c>
    </row>
    <row r="23" spans="1:8" x14ac:dyDescent="0.25">
      <c r="A23" s="17"/>
      <c r="B23" s="17"/>
      <c r="C23" s="17"/>
      <c r="D23" s="17"/>
      <c r="E23" s="17"/>
      <c r="F23" s="17"/>
      <c r="G23" s="17"/>
      <c r="H23" s="17"/>
    </row>
    <row r="24" spans="1:8" x14ac:dyDescent="0.25">
      <c r="A24" s="17" t="s">
        <v>236</v>
      </c>
      <c r="B24" s="152">
        <f>'TSLA - Balance Sheet FY'!B15</f>
        <v>40643</v>
      </c>
      <c r="C24" s="152">
        <f>'TSLA - Balance Sheet FY'!C15</f>
        <v>51507</v>
      </c>
      <c r="D24" s="152">
        <f>'TSLA - Balance Sheet FY'!D15</f>
        <v>45123</v>
      </c>
      <c r="E24" s="152">
        <f>'TSLA - Balance Sheet FY'!E15</f>
        <v>36635</v>
      </c>
      <c r="F24" s="152">
        <f>'TSLA - Balance Sheet FY'!F15</f>
        <v>31176</v>
      </c>
      <c r="G24" s="152">
        <f>'TSLA - Balance Sheet FY'!G15</f>
        <v>23378</v>
      </c>
      <c r="H24" s="152">
        <f>'TSLA - Balance Sheet FY'!H15</f>
        <v>20196</v>
      </c>
    </row>
    <row r="25" spans="1:8" x14ac:dyDescent="0.25">
      <c r="A25" s="17" t="s">
        <v>66</v>
      </c>
      <c r="B25" s="152">
        <f>'TSLA - Balance Sheet FY'!B16</f>
        <v>257</v>
      </c>
      <c r="C25" s="152">
        <f>'TSLA - Balance Sheet FY'!C16</f>
        <v>244</v>
      </c>
      <c r="D25" s="152">
        <f>'TSLA - Balance Sheet FY'!D16</f>
        <v>253</v>
      </c>
      <c r="E25" s="152">
        <f>'TSLA - Balance Sheet FY'!E16</f>
        <v>194</v>
      </c>
      <c r="F25" s="152">
        <f>'TSLA - Balance Sheet FY'!F16</f>
        <v>200</v>
      </c>
      <c r="G25" s="152">
        <f>'TSLA - Balance Sheet FY'!G16</f>
        <v>207</v>
      </c>
      <c r="H25" s="152">
        <f>'TSLA - Balance Sheet FY'!H16</f>
        <v>198</v>
      </c>
    </row>
    <row r="26" spans="1:8" x14ac:dyDescent="0.25">
      <c r="A26" s="17" t="s">
        <v>237</v>
      </c>
      <c r="B26" s="152">
        <f>'TSLA - Balance Sheet FY'!B17</f>
        <v>135</v>
      </c>
      <c r="C26" s="152">
        <f>'TSLA - Balance Sheet FY'!C17</f>
        <v>1226</v>
      </c>
      <c r="D26" s="152">
        <f>'TSLA - Balance Sheet FY'!D17</f>
        <v>362</v>
      </c>
      <c r="E26" s="152">
        <f>'TSLA - Balance Sheet FY'!E17</f>
        <v>399</v>
      </c>
      <c r="F26" s="152">
        <f>'TSLA - Balance Sheet FY'!F17</f>
        <v>1517</v>
      </c>
      <c r="G26" s="152">
        <f>'TSLA - Balance Sheet FY'!G17</f>
        <v>313</v>
      </c>
      <c r="H26" s="152">
        <f>'TSLA - Balance Sheet FY'!H17</f>
        <v>339</v>
      </c>
    </row>
    <row r="27" spans="1:8" x14ac:dyDescent="0.25">
      <c r="A27" s="17" t="s">
        <v>238</v>
      </c>
      <c r="B27" s="152">
        <f>'TSLA - Balance Sheet FY'!B21</f>
        <v>21204</v>
      </c>
      <c r="C27" s="152">
        <f>'TSLA - Balance Sheet FY'!C21</f>
        <v>4215</v>
      </c>
      <c r="D27" s="152">
        <f>'TSLA - Balance Sheet FY'!D21</f>
        <v>4532</v>
      </c>
      <c r="E27" s="152">
        <f>'TSLA - Balance Sheet FY'!E21</f>
        <v>3208</v>
      </c>
      <c r="F27" s="152">
        <f>'TSLA - Balance Sheet FY'!F21</f>
        <v>1612</v>
      </c>
      <c r="G27" s="152">
        <f>'TSLA - Balance Sheet FY'!G21</f>
        <v>923</v>
      </c>
      <c r="H27" s="152">
        <f>'TSLA - Balance Sheet FY'!H21</f>
        <v>1469</v>
      </c>
    </row>
    <row r="28" spans="1:8" x14ac:dyDescent="0.25">
      <c r="A28" s="17" t="s">
        <v>239</v>
      </c>
      <c r="B28" s="152">
        <f>-'TSLA - Balance Sheet FY'!B35</f>
        <v>-3631</v>
      </c>
      <c r="C28" s="152">
        <f>-'TSLA - Balance Sheet FY'!C35</f>
        <v>-3317</v>
      </c>
      <c r="D28" s="152">
        <f>-'TSLA - Balance Sheet FY'!D35</f>
        <v>-3251</v>
      </c>
      <c r="E28" s="152">
        <f>-'TSLA - Balance Sheet FY'!E35</f>
        <v>-2804</v>
      </c>
      <c r="F28" s="152">
        <f>-'TSLA - Balance Sheet FY'!F35</f>
        <v>-2052</v>
      </c>
      <c r="G28" s="152">
        <f>-'TSLA - Balance Sheet FY'!G35</f>
        <v>-1284</v>
      </c>
      <c r="H28" s="152">
        <f>-'TSLA - Balance Sheet FY'!H35</f>
        <v>-1207</v>
      </c>
    </row>
    <row r="29" spans="1:8" x14ac:dyDescent="0.25">
      <c r="A29" s="17" t="s">
        <v>240</v>
      </c>
      <c r="B29" s="152">
        <f>-'TSLA - Balance Sheet FY'!B36</f>
        <v>0</v>
      </c>
      <c r="C29" s="152">
        <f>-'TSLA - Balance Sheet FY'!C36</f>
        <v>0</v>
      </c>
      <c r="D29" s="152">
        <f>-'TSLA - Balance Sheet FY'!D36</f>
        <v>0</v>
      </c>
      <c r="E29" s="152">
        <f>-'TSLA - Balance Sheet FY'!E36</f>
        <v>-82</v>
      </c>
      <c r="F29" s="152">
        <f>-'TSLA - Balance Sheet FY'!F36</f>
        <v>-24</v>
      </c>
      <c r="G29" s="152">
        <f>-'TSLA - Balance Sheet FY'!G36</f>
        <v>-151</v>
      </c>
      <c r="H29" s="152">
        <f>-'TSLA - Balance Sheet FY'!H36</f>
        <v>-66</v>
      </c>
    </row>
    <row r="30" spans="1:8" x14ac:dyDescent="0.25">
      <c r="A30" s="17" t="s">
        <v>241</v>
      </c>
      <c r="B30" s="152">
        <f>-'TSLA - Balance Sheet FY'!B37+B128</f>
        <v>-7319</v>
      </c>
      <c r="C30" s="152">
        <f>-'TSLA - Balance Sheet FY'!C37+C128</f>
        <v>-1067</v>
      </c>
      <c r="D30" s="152">
        <f>-'TSLA - Balance Sheet FY'!D37+D128</f>
        <v>-636</v>
      </c>
      <c r="E30" s="152">
        <f>-'TSLA - Balance Sheet FY'!E37+E128</f>
        <v>-352</v>
      </c>
      <c r="F30" s="152">
        <f>-'TSLA - Balance Sheet FY'!F37+F128</f>
        <v>811</v>
      </c>
      <c r="G30" s="152">
        <f>-'TSLA - Balance Sheet FY'!G37+G128</f>
        <v>423</v>
      </c>
      <c r="H30" s="152">
        <f>-'TSLA - Balance Sheet FY'!H37+H128</f>
        <v>519</v>
      </c>
    </row>
    <row r="31" spans="1:8" x14ac:dyDescent="0.25">
      <c r="A31" s="19" t="s">
        <v>242</v>
      </c>
      <c r="B31" s="154">
        <f t="shared" ref="B31:H31" si="3">B22+B24+B26+B27+B28+B29+B30</f>
        <v>48462.54</v>
      </c>
      <c r="C31" s="154">
        <f t="shared" si="3"/>
        <v>51676.800000000003</v>
      </c>
      <c r="D31" s="154">
        <f t="shared" si="3"/>
        <v>43954.46</v>
      </c>
      <c r="E31" s="154">
        <f t="shared" si="3"/>
        <v>33614.239999999998</v>
      </c>
      <c r="F31" s="154">
        <f t="shared" si="3"/>
        <v>26630.46</v>
      </c>
      <c r="G31" s="154">
        <f t="shared" si="3"/>
        <v>20395.72</v>
      </c>
      <c r="H31" s="154">
        <f t="shared" si="3"/>
        <v>19536.559999999998</v>
      </c>
    </row>
    <row r="32" spans="1:8" x14ac:dyDescent="0.25">
      <c r="A32" s="19" t="s">
        <v>243</v>
      </c>
      <c r="B32" s="154">
        <f t="shared" ref="B32:H32" si="4">B31+B25</f>
        <v>48719.54</v>
      </c>
      <c r="C32" s="154">
        <f t="shared" si="4"/>
        <v>51920.800000000003</v>
      </c>
      <c r="D32" s="154">
        <f t="shared" si="4"/>
        <v>44207.46</v>
      </c>
      <c r="E32" s="154">
        <f t="shared" si="4"/>
        <v>33808.239999999998</v>
      </c>
      <c r="F32" s="154">
        <f t="shared" si="4"/>
        <v>26830.46</v>
      </c>
      <c r="G32" s="154">
        <f t="shared" si="4"/>
        <v>20602.72</v>
      </c>
      <c r="H32" s="154">
        <f t="shared" si="4"/>
        <v>19734.559999999998</v>
      </c>
    </row>
    <row r="33" spans="1:8" x14ac:dyDescent="0.25">
      <c r="A33" s="17"/>
      <c r="B33" s="17"/>
      <c r="C33" s="17"/>
      <c r="D33" s="17"/>
      <c r="E33" s="17"/>
      <c r="F33" s="17"/>
      <c r="G33" s="17"/>
      <c r="H33" s="17"/>
    </row>
    <row r="34" spans="1:8" x14ac:dyDescent="0.25">
      <c r="A34" s="20" t="s">
        <v>244</v>
      </c>
      <c r="B34" s="20"/>
      <c r="C34" s="20"/>
      <c r="D34" s="20"/>
      <c r="E34" s="20"/>
      <c r="F34" s="20"/>
      <c r="G34" s="20"/>
      <c r="H34" s="20"/>
    </row>
    <row r="35" spans="1:8" x14ac:dyDescent="0.25">
      <c r="A35" s="17" t="s">
        <v>245</v>
      </c>
      <c r="B35" s="152">
        <f>'TSLA - Balance Sheet FY'!B7-B12</f>
        <v>14616.46</v>
      </c>
      <c r="C35" s="152">
        <f>'TSLA - Balance Sheet FY'!C7-C12</f>
        <v>14185.2</v>
      </c>
      <c r="D35" s="152">
        <f>'TSLA - Balance Sheet FY'!D7-D12</f>
        <v>14462.54</v>
      </c>
      <c r="E35" s="152">
        <f>'TSLA - Balance Sheet FY'!E7-E12</f>
        <v>14623.76</v>
      </c>
      <c r="F35" s="152">
        <f>'TSLA - Balance Sheet FY'!F7-F12</f>
        <v>16499.54</v>
      </c>
      <c r="G35" s="152">
        <f>'TSLA - Balance Sheet FY'!G7-G12</f>
        <v>18753.28</v>
      </c>
      <c r="H35" s="152">
        <f>'TSLA - Balance Sheet FY'!H7-H12</f>
        <v>5776.44</v>
      </c>
    </row>
    <row r="36" spans="1:8" x14ac:dyDescent="0.25">
      <c r="A36" s="17" t="s">
        <v>246</v>
      </c>
      <c r="B36" s="152">
        <f>'TSLA - Balance Sheet FY'!B8</f>
        <v>27546</v>
      </c>
      <c r="C36" s="152">
        <f>'TSLA - Balance Sheet FY'!C8</f>
        <v>20424</v>
      </c>
      <c r="D36" s="152">
        <f>'TSLA - Balance Sheet FY'!D8</f>
        <v>12696</v>
      </c>
      <c r="E36" s="152">
        <f>'TSLA - Balance Sheet FY'!E8</f>
        <v>5932</v>
      </c>
      <c r="F36" s="152">
        <f>'TSLA - Balance Sheet FY'!F8</f>
        <v>131</v>
      </c>
      <c r="G36" s="152">
        <f>'TSLA - Balance Sheet FY'!G8</f>
        <v>0</v>
      </c>
      <c r="H36" s="152">
        <f>'TSLA - Balance Sheet FY'!H8</f>
        <v>0</v>
      </c>
    </row>
    <row r="37" spans="1:8" x14ac:dyDescent="0.25">
      <c r="A37" s="17" t="s">
        <v>247</v>
      </c>
      <c r="B37" s="152">
        <f>'TSLA - Balance Sheet FY'!B19</f>
        <v>0</v>
      </c>
      <c r="C37" s="152">
        <f>'TSLA - Balance Sheet FY'!C19</f>
        <v>0</v>
      </c>
      <c r="D37" s="152">
        <f>'TSLA - Balance Sheet FY'!D19</f>
        <v>0</v>
      </c>
      <c r="E37" s="152">
        <f>'TSLA - Balance Sheet FY'!E19</f>
        <v>657</v>
      </c>
      <c r="F37" s="152">
        <f>'TSLA - Balance Sheet FY'!F19</f>
        <v>522</v>
      </c>
      <c r="G37" s="152">
        <f>'TSLA - Balance Sheet FY'!G19</f>
        <v>613</v>
      </c>
      <c r="H37" s="152">
        <f>'TSLA - Balance Sheet FY'!H19</f>
        <v>1</v>
      </c>
    </row>
    <row r="38" spans="1:8" x14ac:dyDescent="0.25">
      <c r="A38" s="17" t="s">
        <v>248</v>
      </c>
      <c r="B38" s="152">
        <f>'TSLA - Balance Sheet FY'!B20</f>
        <v>6925</v>
      </c>
      <c r="C38" s="152">
        <f>'TSLA - Balance Sheet FY'!C20</f>
        <v>6524</v>
      </c>
      <c r="D38" s="152">
        <f>'TSLA - Balance Sheet FY'!D20</f>
        <v>6733</v>
      </c>
      <c r="E38" s="152">
        <f>'TSLA - Balance Sheet FY'!E20</f>
        <v>328</v>
      </c>
      <c r="F38" s="152">
        <f>'TSLA - Balance Sheet FY'!F20</f>
        <v>0</v>
      </c>
      <c r="G38" s="152">
        <f>'TSLA - Balance Sheet FY'!G20</f>
        <v>0</v>
      </c>
      <c r="H38" s="152">
        <f>'TSLA - Balance Sheet FY'!H20</f>
        <v>0</v>
      </c>
    </row>
    <row r="39" spans="1:8" x14ac:dyDescent="0.25">
      <c r="A39" s="17" t="s">
        <v>249</v>
      </c>
      <c r="B39" s="152">
        <f>'TSLA - Balance Sheet FY'!B24</f>
        <v>0</v>
      </c>
      <c r="C39" s="152">
        <f>'TSLA - Balance Sheet FY'!C24</f>
        <v>-6</v>
      </c>
      <c r="D39" s="152">
        <f>'TSLA - Balance Sheet FY'!D24</f>
        <v>-1</v>
      </c>
      <c r="E39" s="152">
        <f>'TSLA - Balance Sheet FY'!E24</f>
        <v>0</v>
      </c>
      <c r="F39" s="152">
        <f>'TSLA - Balance Sheet FY'!F24</f>
        <v>4</v>
      </c>
      <c r="G39" s="152">
        <f>'TSLA - Balance Sheet FY'!G24</f>
        <v>-3</v>
      </c>
      <c r="H39" s="152">
        <f>'TSLA - Balance Sheet FY'!H24</f>
        <v>3</v>
      </c>
    </row>
    <row r="40" spans="1:8" x14ac:dyDescent="0.25">
      <c r="A40" s="19" t="s">
        <v>250</v>
      </c>
      <c r="B40" s="154">
        <f t="shared" ref="B40:H40" si="5">SUM(B35:B39)</f>
        <v>49087.46</v>
      </c>
      <c r="C40" s="154">
        <f t="shared" si="5"/>
        <v>41127.199999999997</v>
      </c>
      <c r="D40" s="154">
        <f t="shared" si="5"/>
        <v>33890.54</v>
      </c>
      <c r="E40" s="154">
        <f t="shared" si="5"/>
        <v>21540.760000000002</v>
      </c>
      <c r="F40" s="154">
        <f t="shared" si="5"/>
        <v>17156.54</v>
      </c>
      <c r="G40" s="154">
        <f t="shared" si="5"/>
        <v>19363.28</v>
      </c>
      <c r="H40" s="154">
        <f t="shared" si="5"/>
        <v>5780.44</v>
      </c>
    </row>
    <row r="41" spans="1:8" x14ac:dyDescent="0.25">
      <c r="A41" s="17"/>
      <c r="B41" s="17"/>
      <c r="C41" s="17"/>
      <c r="D41" s="17"/>
      <c r="E41" s="17"/>
      <c r="F41" s="17"/>
      <c r="G41" s="17"/>
      <c r="H41" s="17"/>
    </row>
    <row r="42" spans="1:8" x14ac:dyDescent="0.25">
      <c r="A42" s="20" t="s">
        <v>251</v>
      </c>
      <c r="B42" s="155">
        <f t="shared" ref="B42:H42" si="6">B32+B40</f>
        <v>97807</v>
      </c>
      <c r="C42" s="155">
        <f t="shared" si="6"/>
        <v>93048</v>
      </c>
      <c r="D42" s="155">
        <f t="shared" si="6"/>
        <v>78098</v>
      </c>
      <c r="E42" s="155">
        <f t="shared" si="6"/>
        <v>55349</v>
      </c>
      <c r="F42" s="155">
        <f t="shared" si="6"/>
        <v>43987</v>
      </c>
      <c r="G42" s="155">
        <f t="shared" si="6"/>
        <v>39966</v>
      </c>
      <c r="H42" s="155">
        <f t="shared" si="6"/>
        <v>25514.999999999996</v>
      </c>
    </row>
    <row r="43" spans="1:8" x14ac:dyDescent="0.25">
      <c r="A43" s="17"/>
      <c r="B43" s="17"/>
      <c r="C43" s="17"/>
      <c r="D43" s="17"/>
      <c r="E43" s="17"/>
      <c r="F43" s="17"/>
      <c r="G43" s="17"/>
      <c r="H43" s="17"/>
    </row>
    <row r="44" spans="1:8" x14ac:dyDescent="0.25">
      <c r="A44" s="20" t="s">
        <v>252</v>
      </c>
      <c r="B44" s="20"/>
      <c r="C44" s="20"/>
      <c r="D44" s="20"/>
      <c r="E44" s="20"/>
      <c r="F44" s="20"/>
      <c r="G44" s="20"/>
      <c r="H44" s="20"/>
    </row>
    <row r="45" spans="1:8" x14ac:dyDescent="0.25">
      <c r="A45" s="17" t="s">
        <v>253</v>
      </c>
      <c r="B45" s="152">
        <f>'TSLA - Balance Sheet FY'!B28</f>
        <v>1640</v>
      </c>
      <c r="C45" s="152">
        <f>'TSLA - Balance Sheet FY'!C28</f>
        <v>3263</v>
      </c>
      <c r="D45" s="152">
        <f>'TSLA - Balance Sheet FY'!D28</f>
        <v>3045</v>
      </c>
      <c r="E45" s="152">
        <f>'TSLA - Balance Sheet FY'!E28</f>
        <v>1987</v>
      </c>
      <c r="F45" s="152">
        <f>'TSLA - Balance Sheet FY'!F28</f>
        <v>1957</v>
      </c>
      <c r="G45" s="152">
        <f>'TSLA - Balance Sheet FY'!G28</f>
        <v>2418</v>
      </c>
      <c r="H45" s="152">
        <f>'TSLA - Balance Sheet FY'!H28</f>
        <v>2013</v>
      </c>
    </row>
    <row r="46" spans="1:8" x14ac:dyDescent="0.25">
      <c r="A46" s="17" t="s">
        <v>254</v>
      </c>
      <c r="B46" s="152">
        <f>'TSLA - Balance Sheet FY'!B34</f>
        <v>6736</v>
      </c>
      <c r="C46" s="152">
        <f>'TSLA - Balance Sheet FY'!C34</f>
        <v>10360</v>
      </c>
      <c r="D46" s="152">
        <f>'TSLA - Balance Sheet FY'!D34</f>
        <v>6528</v>
      </c>
      <c r="E46" s="152">
        <f>'TSLA - Balance Sheet FY'!E34</f>
        <v>3761</v>
      </c>
      <c r="F46" s="152">
        <f>'TSLA - Balance Sheet FY'!F34</f>
        <v>6916</v>
      </c>
      <c r="G46" s="152">
        <f>'TSLA - Balance Sheet FY'!G34</f>
        <v>10861</v>
      </c>
      <c r="H46" s="152">
        <f>'TSLA - Balance Sheet FY'!H34</f>
        <v>12590</v>
      </c>
    </row>
    <row r="47" spans="1:8" x14ac:dyDescent="0.25">
      <c r="A47" s="19" t="s">
        <v>255</v>
      </c>
      <c r="B47" s="153">
        <f t="shared" ref="B47:H47" si="7">B45+B46</f>
        <v>8376</v>
      </c>
      <c r="C47" s="153">
        <f t="shared" si="7"/>
        <v>13623</v>
      </c>
      <c r="D47" s="153">
        <f t="shared" si="7"/>
        <v>9573</v>
      </c>
      <c r="E47" s="153">
        <f t="shared" si="7"/>
        <v>5748</v>
      </c>
      <c r="F47" s="153">
        <f t="shared" si="7"/>
        <v>8873</v>
      </c>
      <c r="G47" s="153">
        <f t="shared" si="7"/>
        <v>13279</v>
      </c>
      <c r="H47" s="153">
        <f t="shared" si="7"/>
        <v>14603</v>
      </c>
    </row>
    <row r="48" spans="1:8" x14ac:dyDescent="0.25">
      <c r="A48" s="17" t="s">
        <v>256</v>
      </c>
      <c r="B48" s="152">
        <f>'TSLA - Balance Sheet FY'!B47</f>
        <v>82137</v>
      </c>
      <c r="C48" s="152">
        <f>'TSLA - Balance Sheet FY'!C47</f>
        <v>72913</v>
      </c>
      <c r="D48" s="152">
        <f>'TSLA - Balance Sheet FY'!D47</f>
        <v>62634</v>
      </c>
      <c r="E48" s="152">
        <f>'TSLA - Balance Sheet FY'!E47</f>
        <v>44704</v>
      </c>
      <c r="F48" s="152">
        <f>'TSLA - Balance Sheet FY'!F47</f>
        <v>30189</v>
      </c>
      <c r="G48" s="152">
        <f>'TSLA - Balance Sheet FY'!G47</f>
        <v>22225</v>
      </c>
      <c r="H48" s="152">
        <f>'TSLA - Balance Sheet FY'!H47</f>
        <v>6618</v>
      </c>
    </row>
    <row r="49" spans="1:8" x14ac:dyDescent="0.25">
      <c r="A49" s="17" t="s">
        <v>283</v>
      </c>
      <c r="B49" s="152">
        <f>'TSLA - Balance Sheet FY'!B40+('TSLA - Balance Sheet FY'!B49-'TSLA - Balance Sheet FY'!B41-'TSLA - Balance Sheet FY'!B47)</f>
        <v>728</v>
      </c>
      <c r="C49" s="152">
        <f>'TSLA - Balance Sheet FY'!C40+('TSLA - Balance Sheet FY'!C49-'TSLA - Balance Sheet FY'!C41-'TSLA - Balance Sheet FY'!C47)</f>
        <v>767</v>
      </c>
      <c r="D49" s="152">
        <f>'TSLA - Balance Sheet FY'!D40+('TSLA - Balance Sheet FY'!D49-'TSLA - Balance Sheet FY'!D41-'TSLA - Balance Sheet FY'!D47)</f>
        <v>975</v>
      </c>
      <c r="E49" s="152">
        <f>'TSLA - Balance Sheet FY'!E40+('TSLA - Balance Sheet FY'!E49-'TSLA - Balance Sheet FY'!E41-'TSLA - Balance Sheet FY'!E47)</f>
        <v>1194</v>
      </c>
      <c r="F49" s="152">
        <f>'TSLA - Balance Sheet FY'!F40+('TSLA - Balance Sheet FY'!F49-'TSLA - Balance Sheet FY'!F41-'TSLA - Balance Sheet FY'!F47)</f>
        <v>1394</v>
      </c>
      <c r="G49" s="152">
        <f>'TSLA - Balance Sheet FY'!G40+('TSLA - Balance Sheet FY'!G49-'TSLA - Balance Sheet FY'!G41-'TSLA - Balance Sheet FY'!G47)</f>
        <v>1454</v>
      </c>
      <c r="H49" s="152">
        <f>'TSLA - Balance Sheet FY'!H40+('TSLA - Balance Sheet FY'!H49-'TSLA - Balance Sheet FY'!H41-'TSLA - Balance Sheet FY'!H47)</f>
        <v>1492</v>
      </c>
    </row>
    <row r="50" spans="1:8" x14ac:dyDescent="0.25">
      <c r="A50" s="19" t="s">
        <v>257</v>
      </c>
      <c r="B50" s="154">
        <f t="shared" ref="B50:H50" si="8">B47+B48+B49+B129</f>
        <v>97807</v>
      </c>
      <c r="C50" s="154">
        <f t="shared" si="8"/>
        <v>93048</v>
      </c>
      <c r="D50" s="154">
        <f t="shared" si="8"/>
        <v>78098</v>
      </c>
      <c r="E50" s="154">
        <f t="shared" si="8"/>
        <v>55349</v>
      </c>
      <c r="F50" s="154">
        <f t="shared" si="8"/>
        <v>43987</v>
      </c>
      <c r="G50" s="154">
        <f t="shared" si="8"/>
        <v>39966</v>
      </c>
      <c r="H50" s="154">
        <f t="shared" si="8"/>
        <v>25515</v>
      </c>
    </row>
    <row r="51" spans="1:8" x14ac:dyDescent="0.25">
      <c r="A51" s="22" t="s">
        <v>258</v>
      </c>
      <c r="B51" s="156">
        <f t="shared" ref="B51:H51" si="9">B42-B50</f>
        <v>0</v>
      </c>
      <c r="C51" s="156">
        <f t="shared" si="9"/>
        <v>0</v>
      </c>
      <c r="D51" s="156">
        <f t="shared" si="9"/>
        <v>0</v>
      </c>
      <c r="E51" s="156">
        <f t="shared" si="9"/>
        <v>0</v>
      </c>
      <c r="F51" s="156">
        <f t="shared" si="9"/>
        <v>0</v>
      </c>
      <c r="G51" s="156">
        <f t="shared" si="9"/>
        <v>0</v>
      </c>
      <c r="H51" s="156">
        <f t="shared" si="9"/>
        <v>0</v>
      </c>
    </row>
    <row r="52" spans="1:8" x14ac:dyDescent="0.25">
      <c r="A52" s="17"/>
      <c r="B52" s="17"/>
      <c r="C52" s="17"/>
      <c r="D52" s="17"/>
      <c r="E52" s="17"/>
      <c r="F52" s="17"/>
      <c r="G52" s="17"/>
      <c r="H52" s="17"/>
    </row>
    <row r="53" spans="1:8" x14ac:dyDescent="0.25">
      <c r="A53" s="20" t="s">
        <v>259</v>
      </c>
      <c r="B53" s="20"/>
      <c r="C53" s="20"/>
      <c r="D53" s="20"/>
      <c r="E53" s="20"/>
      <c r="F53" s="20"/>
      <c r="G53" s="20"/>
      <c r="H53" s="20"/>
    </row>
    <row r="54" spans="1:8" x14ac:dyDescent="0.25">
      <c r="A54" s="17" t="s">
        <v>260</v>
      </c>
      <c r="B54" s="152">
        <f>'TSLA - Income Statement FY'!B25</f>
        <v>4355</v>
      </c>
      <c r="C54" s="152">
        <f>'TSLA - Income Statement FY'!C25</f>
        <v>7076</v>
      </c>
      <c r="D54" s="152">
        <f>'TSLA - Income Statement FY'!D25</f>
        <v>8891</v>
      </c>
      <c r="E54" s="152">
        <f>'TSLA - Income Statement FY'!E25</f>
        <v>13656</v>
      </c>
      <c r="F54" s="152">
        <f>'TSLA - Income Statement FY'!F25</f>
        <v>6523</v>
      </c>
      <c r="G54" s="152">
        <f>'TSLA - Income Statement FY'!G25</f>
        <v>1994</v>
      </c>
      <c r="H54" s="152">
        <f>'TSLA - Income Statement FY'!H25</f>
        <v>-69</v>
      </c>
    </row>
    <row r="55" spans="1:8" x14ac:dyDescent="0.25">
      <c r="A55" s="17" t="s">
        <v>261</v>
      </c>
      <c r="B55" s="156">
        <f t="shared" ref="B55:H55" si="10">-B54*$B$9</f>
        <v>-914.55</v>
      </c>
      <c r="C55" s="156">
        <f t="shared" si="10"/>
        <v>-1485.96</v>
      </c>
      <c r="D55" s="156">
        <f t="shared" si="10"/>
        <v>-1867.11</v>
      </c>
      <c r="E55" s="156">
        <f t="shared" si="10"/>
        <v>-2867.7599999999998</v>
      </c>
      <c r="F55" s="156">
        <f t="shared" si="10"/>
        <v>-1369.83</v>
      </c>
      <c r="G55" s="156">
        <f t="shared" si="10"/>
        <v>-418.74</v>
      </c>
      <c r="H55" s="156">
        <f t="shared" si="10"/>
        <v>14.49</v>
      </c>
    </row>
    <row r="56" spans="1:8" x14ac:dyDescent="0.25">
      <c r="A56" s="19" t="s">
        <v>259</v>
      </c>
      <c r="B56" s="154">
        <f t="shared" ref="B56:H56" si="11">B54+B55</f>
        <v>3440.45</v>
      </c>
      <c r="C56" s="154">
        <f t="shared" si="11"/>
        <v>5590.04</v>
      </c>
      <c r="D56" s="154">
        <f t="shared" si="11"/>
        <v>7023.89</v>
      </c>
      <c r="E56" s="154">
        <f t="shared" si="11"/>
        <v>10788.24</v>
      </c>
      <c r="F56" s="154">
        <f t="shared" si="11"/>
        <v>5153.17</v>
      </c>
      <c r="G56" s="154">
        <f t="shared" si="11"/>
        <v>1575.26</v>
      </c>
      <c r="H56" s="154">
        <f t="shared" si="11"/>
        <v>-54.51</v>
      </c>
    </row>
    <row r="57" spans="1:8" x14ac:dyDescent="0.25">
      <c r="A57" s="17"/>
      <c r="B57" s="17"/>
      <c r="C57" s="17"/>
      <c r="D57" s="17"/>
      <c r="E57" s="17"/>
      <c r="F57" s="17"/>
      <c r="G57" s="17"/>
      <c r="H57" s="17"/>
    </row>
    <row r="58" spans="1:8" x14ac:dyDescent="0.25">
      <c r="A58" s="17" t="s">
        <v>259</v>
      </c>
      <c r="B58" s="156">
        <f t="shared" ref="B58:H58" si="12">B56</f>
        <v>3440.45</v>
      </c>
      <c r="C58" s="156">
        <f t="shared" si="12"/>
        <v>5590.04</v>
      </c>
      <c r="D58" s="156">
        <f t="shared" si="12"/>
        <v>7023.89</v>
      </c>
      <c r="E58" s="156">
        <f t="shared" si="12"/>
        <v>10788.24</v>
      </c>
      <c r="F58" s="156">
        <f t="shared" si="12"/>
        <v>5153.17</v>
      </c>
      <c r="G58" s="156">
        <f t="shared" si="12"/>
        <v>1575.26</v>
      </c>
      <c r="H58" s="156">
        <f t="shared" si="12"/>
        <v>-54.51</v>
      </c>
    </row>
    <row r="59" spans="1:8" x14ac:dyDescent="0.25">
      <c r="A59" s="17" t="s">
        <v>262</v>
      </c>
      <c r="B59" s="152">
        <f>'TSLA - Income Statement FY'!B28</f>
        <v>923</v>
      </c>
      <c r="C59" s="152">
        <f>'TSLA - Income Statement FY'!C28</f>
        <v>1914</v>
      </c>
      <c r="D59" s="152">
        <f>'TSLA - Income Statement FY'!D28</f>
        <v>1082</v>
      </c>
      <c r="E59" s="152">
        <f>'TSLA - Income Statement FY'!E28</f>
        <v>63</v>
      </c>
      <c r="F59" s="152">
        <f>'TSLA - Income Statement FY'!F28</f>
        <v>-180</v>
      </c>
      <c r="G59" s="152">
        <f>'TSLA - Income Statement FY'!G28</f>
        <v>-840</v>
      </c>
      <c r="H59" s="152">
        <f>'TSLA - Income Statement FY'!H28</f>
        <v>-596</v>
      </c>
    </row>
    <row r="60" spans="1:8" x14ac:dyDescent="0.25">
      <c r="A60" s="17" t="s">
        <v>263</v>
      </c>
      <c r="B60" s="156">
        <f t="shared" ref="B60:H60" si="13">-B55</f>
        <v>914.55</v>
      </c>
      <c r="C60" s="156">
        <f t="shared" si="13"/>
        <v>1485.96</v>
      </c>
      <c r="D60" s="156">
        <f t="shared" si="13"/>
        <v>1867.11</v>
      </c>
      <c r="E60" s="156">
        <f t="shared" si="13"/>
        <v>2867.7599999999998</v>
      </c>
      <c r="F60" s="156">
        <f t="shared" si="13"/>
        <v>1369.83</v>
      </c>
      <c r="G60" s="156">
        <f t="shared" si="13"/>
        <v>418.74</v>
      </c>
      <c r="H60" s="156">
        <f t="shared" si="13"/>
        <v>-14.49</v>
      </c>
    </row>
    <row r="61" spans="1:8" x14ac:dyDescent="0.25">
      <c r="A61" s="17" t="s">
        <v>264</v>
      </c>
      <c r="B61" s="152">
        <f>-'TSLA - Income Statement FY'!B31</f>
        <v>-1423</v>
      </c>
      <c r="C61" s="152">
        <f>-'TSLA - Income Statement FY'!C31</f>
        <v>-1837</v>
      </c>
      <c r="D61" s="152">
        <f>-'TSLA - Income Statement FY'!D31</f>
        <v>5001</v>
      </c>
      <c r="E61" s="152">
        <f>-'TSLA - Income Statement FY'!E31</f>
        <v>-1132</v>
      </c>
      <c r="F61" s="152">
        <f>-'TSLA - Income Statement FY'!F31</f>
        <v>-699</v>
      </c>
      <c r="G61" s="152">
        <f>-'TSLA - Income Statement FY'!G31</f>
        <v>-292</v>
      </c>
      <c r="H61" s="152">
        <f>-'TSLA - Income Statement FY'!H31</f>
        <v>-110</v>
      </c>
    </row>
    <row r="62" spans="1:8" x14ac:dyDescent="0.25">
      <c r="A62" s="19" t="s">
        <v>284</v>
      </c>
      <c r="B62" s="154">
        <f t="shared" ref="B62:H62" si="14">SUM(B58:B61)</f>
        <v>3855</v>
      </c>
      <c r="C62" s="154">
        <f t="shared" si="14"/>
        <v>7153</v>
      </c>
      <c r="D62" s="154">
        <f t="shared" si="14"/>
        <v>14974</v>
      </c>
      <c r="E62" s="154">
        <f t="shared" si="14"/>
        <v>12587</v>
      </c>
      <c r="F62" s="154">
        <f t="shared" si="14"/>
        <v>5644</v>
      </c>
      <c r="G62" s="154">
        <f t="shared" si="14"/>
        <v>862</v>
      </c>
      <c r="H62" s="154">
        <f t="shared" si="14"/>
        <v>-775</v>
      </c>
    </row>
    <row r="63" spans="1:8" x14ac:dyDescent="0.25">
      <c r="A63" s="22" t="s">
        <v>285</v>
      </c>
      <c r="B63" s="157">
        <f>B62-'TSLA - Income Statement FY'!B32</f>
        <v>61</v>
      </c>
      <c r="C63" s="157">
        <f>C62-'TSLA - Income Statement FY'!C32</f>
        <v>23</v>
      </c>
      <c r="D63" s="157">
        <f>D62-'TSLA - Income Statement FY'!D32</f>
        <v>-25</v>
      </c>
      <c r="E63" s="157">
        <f>E62-'TSLA - Income Statement FY'!E32</f>
        <v>4</v>
      </c>
      <c r="F63" s="157">
        <f>F62-'TSLA - Income Statement FY'!F32</f>
        <v>120</v>
      </c>
      <c r="G63" s="157">
        <f>G62-'TSLA - Income Statement FY'!G32</f>
        <v>141</v>
      </c>
      <c r="H63" s="157">
        <f>H62-'TSLA - Income Statement FY'!H32</f>
        <v>87</v>
      </c>
    </row>
    <row r="64" spans="1:8" x14ac:dyDescent="0.25">
      <c r="A64" s="17"/>
      <c r="B64" s="17"/>
      <c r="C64" s="17"/>
      <c r="D64" s="17"/>
      <c r="E64" s="17"/>
      <c r="F64" s="17"/>
      <c r="G64" s="17"/>
      <c r="H64" s="17"/>
    </row>
    <row r="65" spans="1:8" x14ac:dyDescent="0.25">
      <c r="A65" s="20" t="s">
        <v>265</v>
      </c>
      <c r="B65" s="20"/>
      <c r="C65" s="20"/>
      <c r="D65" s="20"/>
      <c r="E65" s="20"/>
      <c r="F65" s="20"/>
      <c r="G65" s="20"/>
      <c r="H65" s="20"/>
    </row>
    <row r="66" spans="1:8" x14ac:dyDescent="0.25">
      <c r="A66" s="17" t="s">
        <v>259</v>
      </c>
      <c r="B66" s="156">
        <f t="shared" ref="B66:H66" si="15">B56</f>
        <v>3440.45</v>
      </c>
      <c r="C66" s="156">
        <f t="shared" si="15"/>
        <v>5590.04</v>
      </c>
      <c r="D66" s="156">
        <f t="shared" si="15"/>
        <v>7023.89</v>
      </c>
      <c r="E66" s="156">
        <f t="shared" si="15"/>
        <v>10788.24</v>
      </c>
      <c r="F66" s="156">
        <f t="shared" si="15"/>
        <v>5153.17</v>
      </c>
      <c r="G66" s="156">
        <f t="shared" si="15"/>
        <v>1575.26</v>
      </c>
      <c r="H66" s="156">
        <f t="shared" si="15"/>
        <v>-54.51</v>
      </c>
    </row>
    <row r="67" spans="1:8" x14ac:dyDescent="0.25">
      <c r="A67" s="17" t="s">
        <v>266</v>
      </c>
      <c r="B67" s="152">
        <f>'TSLA - Cash Flow FY'!B8</f>
        <v>6148</v>
      </c>
      <c r="C67" s="152">
        <f>'TSLA - Cash Flow FY'!C8</f>
        <v>5368</v>
      </c>
      <c r="D67" s="152">
        <f>'TSLA - Cash Flow FY'!D8</f>
        <v>4667</v>
      </c>
      <c r="E67" s="152">
        <f>'TSLA - Cash Flow FY'!E8</f>
        <v>3543</v>
      </c>
      <c r="F67" s="152">
        <f>'TSLA - Cash Flow FY'!F8</f>
        <v>2911</v>
      </c>
      <c r="G67" s="152">
        <f>'TSLA - Cash Flow FY'!G8</f>
        <v>2322</v>
      </c>
      <c r="H67" s="152">
        <f>'TSLA - Cash Flow FY'!H8</f>
        <v>2154</v>
      </c>
    </row>
    <row r="68" spans="1:8" x14ac:dyDescent="0.25">
      <c r="A68" s="19" t="s">
        <v>267</v>
      </c>
      <c r="B68" s="153">
        <f t="shared" ref="B68:H68" si="16">B66+B67</f>
        <v>9588.4500000000007</v>
      </c>
      <c r="C68" s="153">
        <f t="shared" si="16"/>
        <v>10958.04</v>
      </c>
      <c r="D68" s="153">
        <f t="shared" si="16"/>
        <v>11690.89</v>
      </c>
      <c r="E68" s="153">
        <f t="shared" si="16"/>
        <v>14331.24</v>
      </c>
      <c r="F68" s="153">
        <f t="shared" si="16"/>
        <v>8064.17</v>
      </c>
      <c r="G68" s="153">
        <f t="shared" si="16"/>
        <v>3897.26</v>
      </c>
      <c r="H68" s="153">
        <f t="shared" si="16"/>
        <v>2099.4899999999998</v>
      </c>
    </row>
    <row r="69" spans="1:8" x14ac:dyDescent="0.25">
      <c r="A69" s="17" t="s">
        <v>268</v>
      </c>
      <c r="B69" s="156">
        <f t="shared" ref="B69:G69" si="17">-(B22-C22)</f>
        <v>1682.2599999999984</v>
      </c>
      <c r="C69" s="156">
        <f t="shared" si="17"/>
        <v>-1288.3400000000001</v>
      </c>
      <c r="D69" s="156">
        <f t="shared" si="17"/>
        <v>-1214.2200000000012</v>
      </c>
      <c r="E69" s="156">
        <f t="shared" si="17"/>
        <v>-3019.7799999999988</v>
      </c>
      <c r="F69" s="156">
        <f t="shared" si="17"/>
        <v>3203.2600000000011</v>
      </c>
      <c r="G69" s="156">
        <f t="shared" si="17"/>
        <v>1492.8399999999992</v>
      </c>
      <c r="H69" s="18"/>
    </row>
    <row r="70" spans="1:8" x14ac:dyDescent="0.25">
      <c r="A70" s="17" t="s">
        <v>269</v>
      </c>
      <c r="B70" s="152">
        <f>'TSLA - Cash Flow FY'!B19</f>
        <v>-8527</v>
      </c>
      <c r="C70" s="152">
        <f>'TSLA - Cash Flow FY'!C19</f>
        <v>-11342</v>
      </c>
      <c r="D70" s="152">
        <f>'TSLA - Cash Flow FY'!D19</f>
        <v>-8899</v>
      </c>
      <c r="E70" s="152">
        <f>'TSLA - Cash Flow FY'!E19</f>
        <v>-7163</v>
      </c>
      <c r="F70" s="152">
        <f>'TSLA - Cash Flow FY'!F19</f>
        <v>-6514</v>
      </c>
      <c r="G70" s="152">
        <f>'TSLA - Cash Flow FY'!G19</f>
        <v>-3232</v>
      </c>
      <c r="H70" s="152">
        <f>'TSLA - Cash Flow FY'!H19</f>
        <v>-1432</v>
      </c>
    </row>
    <row r="71" spans="1:8" x14ac:dyDescent="0.25">
      <c r="A71" s="19" t="s">
        <v>270</v>
      </c>
      <c r="B71" s="154">
        <f t="shared" ref="B71:G71" si="18">B68+B69+B70</f>
        <v>2743.7099999999991</v>
      </c>
      <c r="C71" s="154">
        <f t="shared" si="18"/>
        <v>-1672.2999999999993</v>
      </c>
      <c r="D71" s="154">
        <f t="shared" si="18"/>
        <v>1577.6699999999983</v>
      </c>
      <c r="E71" s="154">
        <f t="shared" si="18"/>
        <v>4148.4600000000009</v>
      </c>
      <c r="F71" s="154">
        <f t="shared" si="18"/>
        <v>4753.43</v>
      </c>
      <c r="G71" s="154">
        <f t="shared" si="18"/>
        <v>2158.0999999999995</v>
      </c>
      <c r="H71" s="154">
        <f>H68+H70</f>
        <v>667.48999999999978</v>
      </c>
    </row>
    <row r="72" spans="1:8" x14ac:dyDescent="0.25">
      <c r="A72" s="17" t="s">
        <v>271</v>
      </c>
      <c r="B72" s="152">
        <f>'TSLA - Cash Flow FY'!B39</f>
        <v>6220</v>
      </c>
      <c r="C72" s="152">
        <f>'TSLA - Cash Flow FY'!C39</f>
        <v>3581</v>
      </c>
      <c r="D72" s="152">
        <f>'TSLA - Cash Flow FY'!D39</f>
        <v>4357</v>
      </c>
      <c r="E72" s="152">
        <f>'TSLA - Cash Flow FY'!E39</f>
        <v>7552</v>
      </c>
      <c r="F72" s="152">
        <f>'TSLA - Cash Flow FY'!F39</f>
        <v>3483</v>
      </c>
      <c r="G72" s="152">
        <f>'TSLA - Cash Flow FY'!G39</f>
        <v>2701</v>
      </c>
      <c r="H72" s="152">
        <f>'TSLA - Cash Flow FY'!H39</f>
        <v>968</v>
      </c>
    </row>
    <row r="73" spans="1:8" x14ac:dyDescent="0.25">
      <c r="A73" s="17" t="s">
        <v>272</v>
      </c>
      <c r="B73" s="156">
        <f t="shared" ref="B73:H73" si="19">B71-B72</f>
        <v>-3476.2900000000009</v>
      </c>
      <c r="C73" s="156">
        <f t="shared" si="19"/>
        <v>-5253.2999999999993</v>
      </c>
      <c r="D73" s="156">
        <f t="shared" si="19"/>
        <v>-2779.3300000000017</v>
      </c>
      <c r="E73" s="156">
        <f t="shared" si="19"/>
        <v>-3403.5399999999991</v>
      </c>
      <c r="F73" s="156">
        <f t="shared" si="19"/>
        <v>1270.4300000000003</v>
      </c>
      <c r="G73" s="156">
        <f t="shared" si="19"/>
        <v>-542.90000000000055</v>
      </c>
      <c r="H73" s="156">
        <f t="shared" si="19"/>
        <v>-300.51000000000022</v>
      </c>
    </row>
    <row r="74" spans="1:8" x14ac:dyDescent="0.25">
      <c r="A74" s="17"/>
      <c r="B74" s="17"/>
      <c r="C74" s="17"/>
      <c r="D74" s="17"/>
      <c r="E74" s="17"/>
      <c r="F74" s="17"/>
      <c r="G74" s="17"/>
      <c r="H74" s="17"/>
    </row>
    <row r="75" spans="1:8" x14ac:dyDescent="0.25">
      <c r="A75" s="20" t="s">
        <v>273</v>
      </c>
      <c r="B75" s="20"/>
      <c r="C75" s="20"/>
      <c r="D75" s="20"/>
      <c r="E75" s="20"/>
      <c r="F75" s="20"/>
      <c r="G75" s="20"/>
      <c r="H75" s="20"/>
    </row>
    <row r="76" spans="1:8" x14ac:dyDescent="0.25">
      <c r="A76" s="17" t="s">
        <v>274</v>
      </c>
      <c r="B76" s="156">
        <f t="shared" ref="B76:G76" si="20">AVERAGE(B32,C32)</f>
        <v>50320.17</v>
      </c>
      <c r="C76" s="156">
        <f t="shared" si="20"/>
        <v>48064.130000000005</v>
      </c>
      <c r="D76" s="156">
        <f t="shared" si="20"/>
        <v>39007.85</v>
      </c>
      <c r="E76" s="156">
        <f t="shared" si="20"/>
        <v>30319.35</v>
      </c>
      <c r="F76" s="156">
        <f t="shared" si="20"/>
        <v>23716.59</v>
      </c>
      <c r="G76" s="156">
        <f t="shared" si="20"/>
        <v>20168.64</v>
      </c>
      <c r="H76" s="156">
        <f>H32</f>
        <v>19734.559999999998</v>
      </c>
    </row>
    <row r="77" spans="1:8" x14ac:dyDescent="0.25">
      <c r="A77" s="17" t="s">
        <v>275</v>
      </c>
      <c r="B77" s="158">
        <f t="shared" ref="B77:H77" si="21">IF(B76&lt;=0,"",B56/B76)</f>
        <v>6.8371191909725265E-2</v>
      </c>
      <c r="C77" s="158">
        <f t="shared" si="21"/>
        <v>0.11630377997063505</v>
      </c>
      <c r="D77" s="158">
        <f t="shared" si="21"/>
        <v>0.18006350003909471</v>
      </c>
      <c r="E77" s="158">
        <f t="shared" si="21"/>
        <v>0.35582029298121498</v>
      </c>
      <c r="F77" s="158">
        <f t="shared" si="21"/>
        <v>0.21728123646780587</v>
      </c>
      <c r="G77" s="158">
        <f t="shared" si="21"/>
        <v>7.8104423501039244E-2</v>
      </c>
      <c r="H77" s="158">
        <f t="shared" si="21"/>
        <v>-2.7621593792818287E-3</v>
      </c>
    </row>
    <row r="78" spans="1:8" x14ac:dyDescent="0.25">
      <c r="A78" s="17" t="s">
        <v>276</v>
      </c>
      <c r="B78" s="156">
        <f t="shared" ref="B78:G78" si="22">AVERAGE(B31,C31)</f>
        <v>50069.67</v>
      </c>
      <c r="C78" s="156">
        <f t="shared" si="22"/>
        <v>47815.630000000005</v>
      </c>
      <c r="D78" s="156">
        <f t="shared" si="22"/>
        <v>38784.35</v>
      </c>
      <c r="E78" s="156">
        <f t="shared" si="22"/>
        <v>30122.35</v>
      </c>
      <c r="F78" s="156">
        <f t="shared" si="22"/>
        <v>23513.09</v>
      </c>
      <c r="G78" s="156">
        <f t="shared" si="22"/>
        <v>19966.14</v>
      </c>
      <c r="H78" s="156">
        <f>H31</f>
        <v>19536.559999999998</v>
      </c>
    </row>
    <row r="79" spans="1:8" x14ac:dyDescent="0.25">
      <c r="A79" s="17" t="s">
        <v>277</v>
      </c>
      <c r="B79" s="158">
        <f t="shared" ref="B79:H79" si="23">IF(B78&lt;=0,"",B56/B78)</f>
        <v>6.8713254950551902E-2</v>
      </c>
      <c r="C79" s="158">
        <f t="shared" si="23"/>
        <v>0.11690821599548096</v>
      </c>
      <c r="D79" s="158">
        <f t="shared" si="23"/>
        <v>0.18110114002168401</v>
      </c>
      <c r="E79" s="158">
        <f t="shared" si="23"/>
        <v>0.35814735570099943</v>
      </c>
      <c r="F79" s="158">
        <f t="shared" si="23"/>
        <v>0.21916175202833826</v>
      </c>
      <c r="G79" s="158">
        <f t="shared" si="23"/>
        <v>7.8896571896220305E-2</v>
      </c>
      <c r="H79" s="158">
        <f t="shared" si="23"/>
        <v>-2.7901534354052098E-3</v>
      </c>
    </row>
    <row r="80" spans="1:8" x14ac:dyDescent="0.25">
      <c r="A80" s="17" t="s">
        <v>278</v>
      </c>
      <c r="B80" s="159">
        <f>B56/'TSLA - Income Statement FY'!B7</f>
        <v>3.6281333375515409E-2</v>
      </c>
      <c r="C80" s="159">
        <f>C56/'TSLA - Income Statement FY'!C7</f>
        <v>5.7222233596069198E-2</v>
      </c>
      <c r="D80" s="159">
        <f>D56/'TSLA - Income Statement FY'!D7</f>
        <v>7.2581091833465949E-2</v>
      </c>
      <c r="E80" s="159">
        <f>E56/'TSLA - Income Statement FY'!E7</f>
        <v>0.13243279074906092</v>
      </c>
      <c r="F80" s="159">
        <f>F56/'TSLA - Income Statement FY'!F7</f>
        <v>9.5742898017576128E-2</v>
      </c>
      <c r="G80" s="159">
        <f>G56/'TSLA - Income Statement FY'!G7</f>
        <v>4.9951166920345E-2</v>
      </c>
      <c r="H80" s="159">
        <f>H56/'TSLA - Income Statement FY'!H7</f>
        <v>-2.2178370900805596E-3</v>
      </c>
    </row>
    <row r="81" spans="1:8" x14ac:dyDescent="0.25">
      <c r="A81" s="17" t="s">
        <v>279</v>
      </c>
      <c r="B81" s="160">
        <f>IF(B76&lt;=0,"",'TSLA - Income Statement FY'!B7/B76)</f>
        <v>1.8844729658107278</v>
      </c>
      <c r="C81" s="160">
        <f>IF(C76&lt;=0,"",'TSLA - Income Statement FY'!C7/C76)</f>
        <v>2.0324928382142771</v>
      </c>
      <c r="D81" s="160">
        <f>IF(D76&lt;=0,"",'TSLA - Income Statement FY'!D7/D76)</f>
        <v>2.4808596218453465</v>
      </c>
      <c r="E81" s="160">
        <f>IF(E76&lt;=0,"",'TSLA - Income Statement FY'!E7/E76)</f>
        <v>2.6867990243854174</v>
      </c>
      <c r="F81" s="160">
        <f>IF(F76&lt;=0,"",'TSLA - Income Statement FY'!F7/F76)</f>
        <v>2.2694240613848788</v>
      </c>
      <c r="G81" s="160">
        <f>IF(G76&lt;=0,"",'TSLA - Income Statement FY'!G7/G76)</f>
        <v>1.5636155933171498</v>
      </c>
      <c r="H81" s="160">
        <f>IF(H76&lt;=0,"",'TSLA - Income Statement FY'!H7/H76)</f>
        <v>1.2454293381762758</v>
      </c>
    </row>
    <row r="83" spans="1:8" x14ac:dyDescent="0.25">
      <c r="A83" s="24" t="s">
        <v>309</v>
      </c>
      <c r="B83" s="24"/>
      <c r="C83" s="24"/>
      <c r="D83" s="24"/>
      <c r="E83" s="24"/>
      <c r="F83" s="24"/>
      <c r="G83" s="24"/>
      <c r="H83" s="24"/>
    </row>
    <row r="84" spans="1:8" x14ac:dyDescent="0.25">
      <c r="A84" t="s">
        <v>310</v>
      </c>
      <c r="B84" s="11">
        <f t="shared" ref="B84:G84" si="24">B56-C56</f>
        <v>-2149.59</v>
      </c>
      <c r="C84" s="11">
        <f t="shared" si="24"/>
        <v>-1433.8500000000004</v>
      </c>
      <c r="D84" s="11">
        <f t="shared" si="24"/>
        <v>-3764.3499999999995</v>
      </c>
      <c r="E84" s="11">
        <f t="shared" si="24"/>
        <v>5635.07</v>
      </c>
      <c r="F84" s="11">
        <f t="shared" si="24"/>
        <v>3577.91</v>
      </c>
      <c r="G84" s="11">
        <f t="shared" si="24"/>
        <v>1629.77</v>
      </c>
      <c r="H84" s="1"/>
    </row>
    <row r="85" spans="1:8" x14ac:dyDescent="0.25">
      <c r="A85" t="s">
        <v>311</v>
      </c>
      <c r="B85" s="11">
        <f t="shared" ref="B85:G85" si="25">B32-C32</f>
        <v>-3201.260000000002</v>
      </c>
      <c r="C85" s="11">
        <f t="shared" si="25"/>
        <v>7713.3400000000038</v>
      </c>
      <c r="D85" s="11">
        <f t="shared" si="25"/>
        <v>10399.220000000001</v>
      </c>
      <c r="E85" s="11">
        <f t="shared" si="25"/>
        <v>6977.7799999999988</v>
      </c>
      <c r="F85" s="11">
        <f t="shared" si="25"/>
        <v>6227.739999999998</v>
      </c>
      <c r="G85" s="11">
        <f t="shared" si="25"/>
        <v>868.16000000000349</v>
      </c>
      <c r="H85" s="1"/>
    </row>
    <row r="86" spans="1:8" x14ac:dyDescent="0.25">
      <c r="A86" s="9" t="s">
        <v>312</v>
      </c>
      <c r="B86" s="137">
        <f t="shared" ref="B86:G86" si="26">IF(B85=0,"",B84/B85)</f>
        <v>0.67148247877398237</v>
      </c>
      <c r="C86" s="137">
        <f t="shared" si="26"/>
        <v>-0.18589223345528652</v>
      </c>
      <c r="D86" s="137">
        <f t="shared" si="26"/>
        <v>-0.36198387956019767</v>
      </c>
      <c r="E86" s="137">
        <f t="shared" si="26"/>
        <v>0.80757346892564696</v>
      </c>
      <c r="F86" s="137">
        <f t="shared" si="26"/>
        <v>0.57451178115977886</v>
      </c>
      <c r="G86" s="137">
        <f t="shared" si="26"/>
        <v>1.8772691669738222</v>
      </c>
      <c r="H86" s="30"/>
    </row>
    <row r="88" spans="1:8" x14ac:dyDescent="0.25">
      <c r="A88" s="24" t="s">
        <v>313</v>
      </c>
      <c r="B88" s="24"/>
      <c r="C88" s="24"/>
      <c r="D88" s="24"/>
      <c r="E88" s="24"/>
      <c r="F88" s="24"/>
      <c r="G88" s="24"/>
      <c r="H88" s="24"/>
    </row>
    <row r="89" spans="1:8" x14ac:dyDescent="0.25">
      <c r="A89" t="s">
        <v>278</v>
      </c>
      <c r="B89" s="134">
        <f t="shared" ref="B89:H89" si="27">B80</f>
        <v>3.6281333375515409E-2</v>
      </c>
      <c r="C89" s="134">
        <f t="shared" si="27"/>
        <v>5.7222233596069198E-2</v>
      </c>
      <c r="D89" s="134">
        <f t="shared" si="27"/>
        <v>7.2581091833465949E-2</v>
      </c>
      <c r="E89" s="134">
        <f t="shared" si="27"/>
        <v>0.13243279074906092</v>
      </c>
      <c r="F89" s="134">
        <f t="shared" si="27"/>
        <v>9.5742898017576128E-2</v>
      </c>
      <c r="G89" s="134">
        <f t="shared" si="27"/>
        <v>4.9951166920345E-2</v>
      </c>
      <c r="H89" s="134">
        <f t="shared" si="27"/>
        <v>-2.2178370900805596E-3</v>
      </c>
    </row>
    <row r="90" spans="1:8" x14ac:dyDescent="0.25">
      <c r="A90" t="s">
        <v>314</v>
      </c>
      <c r="B90" s="161">
        <f>IF(B76&lt;=0,"",'TSLA - Income Statement FY'!B7/B76)</f>
        <v>1.8844729658107278</v>
      </c>
      <c r="C90" s="161">
        <f>IF(C76&lt;=0,"",'TSLA - Income Statement FY'!C7/C76)</f>
        <v>2.0324928382142771</v>
      </c>
      <c r="D90" s="161">
        <f>IF(D76&lt;=0,"",'TSLA - Income Statement FY'!D7/D76)</f>
        <v>2.4808596218453465</v>
      </c>
      <c r="E90" s="161">
        <f>IF(E76&lt;=0,"",'TSLA - Income Statement FY'!E7/E76)</f>
        <v>2.6867990243854174</v>
      </c>
      <c r="F90" s="161">
        <f>IF(F76&lt;=0,"",'TSLA - Income Statement FY'!F7/F76)</f>
        <v>2.2694240613848788</v>
      </c>
      <c r="G90" s="161">
        <f>IF(G76&lt;=0,"",'TSLA - Income Statement FY'!G7/G76)</f>
        <v>1.5636155933171498</v>
      </c>
      <c r="H90" s="161">
        <f>IF(H76&lt;=0,"",'TSLA - Income Statement FY'!H7/H76)</f>
        <v>1.2454293381762758</v>
      </c>
    </row>
    <row r="91" spans="1:8" x14ac:dyDescent="0.25">
      <c r="A91" s="9" t="s">
        <v>315</v>
      </c>
      <c r="B91" s="137">
        <f t="shared" ref="B91:H91" si="28">IF(B90="","",B89*B90)</f>
        <v>6.8371191909725265E-2</v>
      </c>
      <c r="C91" s="137">
        <f t="shared" si="28"/>
        <v>0.11630377997063504</v>
      </c>
      <c r="D91" s="137">
        <f t="shared" si="28"/>
        <v>0.18006350003909469</v>
      </c>
      <c r="E91" s="137">
        <f t="shared" si="28"/>
        <v>0.35582029298121498</v>
      </c>
      <c r="F91" s="137">
        <f t="shared" si="28"/>
        <v>0.21728123646780589</v>
      </c>
      <c r="G91" s="137">
        <f t="shared" si="28"/>
        <v>7.810442350103923E-2</v>
      </c>
      <c r="H91" s="137">
        <f t="shared" si="28"/>
        <v>-2.7621593792818287E-3</v>
      </c>
    </row>
    <row r="93" spans="1:8" x14ac:dyDescent="0.25">
      <c r="A93" s="24" t="s">
        <v>316</v>
      </c>
      <c r="B93" s="24"/>
      <c r="C93" s="24"/>
      <c r="D93" s="24"/>
      <c r="E93" s="24"/>
      <c r="F93" s="24"/>
      <c r="G93" s="24"/>
      <c r="H93" s="24"/>
    </row>
    <row r="94" spans="1:8" x14ac:dyDescent="0.25">
      <c r="A94" t="s">
        <v>317</v>
      </c>
      <c r="B94" s="113">
        <f>'TSLA - Income Statement FY'!B10/'TSLA - Income Statement FY'!B7</f>
        <v>0.18026511436616155</v>
      </c>
      <c r="C94" s="113">
        <f>'TSLA - Income Statement FY'!C10/'TSLA - Income Statement FY'!C7</f>
        <v>0.17862626676220697</v>
      </c>
      <c r="D94" s="113">
        <f>'TSLA - Income Statement FY'!D10/'TSLA - Income Statement FY'!D7</f>
        <v>0.18248891736331416</v>
      </c>
      <c r="E94" s="113">
        <f>'TSLA - Income Statement FY'!E10/'TSLA - Income Statement FY'!E7</f>
        <v>0.25598438535759005</v>
      </c>
      <c r="F94" s="113">
        <f>'TSLA - Income Statement FY'!F10/'TSLA - Income Statement FY'!F7</f>
        <v>0.25279155751258753</v>
      </c>
      <c r="G94" s="113">
        <f>'TSLA - Income Statement FY'!G10/'TSLA - Income Statement FY'!G7</f>
        <v>0.2102359208523592</v>
      </c>
      <c r="H94" s="113">
        <f>'TSLA - Income Statement FY'!H10/'TSLA - Income Statement FY'!H7</f>
        <v>0.1655545609895028</v>
      </c>
    </row>
    <row r="95" spans="1:8" x14ac:dyDescent="0.25">
      <c r="A95" t="s">
        <v>318</v>
      </c>
      <c r="B95" s="113">
        <f>'TSLA - Income Statement FY'!B13/'TSLA - Income Statement FY'!B7</f>
        <v>6.7607327027112529E-2</v>
      </c>
      <c r="C95" s="113">
        <f>'TSLA - Income Statement FY'!C13/'TSLA - Income Statement FY'!C7</f>
        <v>4.6473538745009722E-2</v>
      </c>
      <c r="D95" s="113">
        <f>'TSLA - Income Statement FY'!D13/'TSLA - Income Statement FY'!D7</f>
        <v>4.1013505833238609E-2</v>
      </c>
      <c r="E95" s="113">
        <f>'TSLA - Income Statement FY'!E13/'TSLA - Income Statement FY'!E7</f>
        <v>3.7747661486337188E-2</v>
      </c>
      <c r="F95" s="113">
        <f>'TSLA - Income Statement FY'!F13/'TSLA - Income Statement FY'!F7</f>
        <v>4.817643015067908E-2</v>
      </c>
      <c r="G95" s="113">
        <f>'TSLA - Income Statement FY'!G13/'TSLA - Income Statement FY'!G7</f>
        <v>4.7279299847792999E-2</v>
      </c>
      <c r="H95" s="113">
        <f>'TSLA - Income Statement FY'!H13/'TSLA - Income Statement FY'!H7</f>
        <v>5.4642363088941333E-2</v>
      </c>
    </row>
    <row r="96" spans="1:8" x14ac:dyDescent="0.25">
      <c r="A96" t="s">
        <v>319</v>
      </c>
      <c r="B96" s="113">
        <f>'TSLA - Income Statement FY'!B14/'TSLA - Income Statement FY'!B7</f>
        <v>6.1522562139475045E-2</v>
      </c>
      <c r="C96" s="113">
        <f>'TSLA - Income Statement FY'!C14/'TSLA - Income Statement FY'!C7</f>
        <v>5.2717780734977994E-2</v>
      </c>
      <c r="D96" s="113">
        <f>'TSLA - Income Statement FY'!D14/'TSLA - Income Statement FY'!D7</f>
        <v>4.9600611740878139E-2</v>
      </c>
      <c r="E96" s="113">
        <f>'TSLA - Income Statement FY'!E14/'TSLA - Income Statement FY'!E7</f>
        <v>4.8439763325231394E-2</v>
      </c>
      <c r="F96" s="113">
        <f>'TSLA - Income Statement FY'!F14/'TSLA - Income Statement FY'!F7</f>
        <v>8.3923229845976624E-2</v>
      </c>
      <c r="G96" s="113">
        <f>'TSLA - Income Statement FY'!G14/'TSLA - Income Statement FY'!G7</f>
        <v>9.9727295788939629E-2</v>
      </c>
      <c r="H96" s="113">
        <f>'TSLA - Income Statement FY'!H14/'TSLA - Income Statement FY'!H7</f>
        <v>0.10765725445520384</v>
      </c>
    </row>
    <row r="97" spans="1:8" x14ac:dyDescent="0.25">
      <c r="A97" t="s">
        <v>320</v>
      </c>
      <c r="B97" s="113">
        <f>'TSLA - Income Statement FY'!B25/'TSLA - Income Statement FY'!B7</f>
        <v>4.5925738450019508E-2</v>
      </c>
      <c r="C97" s="113">
        <f>'TSLA - Income Statement FY'!C25/'TSLA - Income Statement FY'!C7</f>
        <v>7.2433207083631893E-2</v>
      </c>
      <c r="D97" s="113">
        <f>'TSLA - Income Statement FY'!D25/'TSLA - Income Statement FY'!D7</f>
        <v>9.1874799789197395E-2</v>
      </c>
      <c r="E97" s="113">
        <f>'TSLA - Income Statement FY'!E25/'TSLA - Income Statement FY'!E7</f>
        <v>0.16763644398615304</v>
      </c>
      <c r="F97" s="113">
        <f>'TSLA - Income Statement FY'!F25/'TSLA - Income Statement FY'!F7</f>
        <v>0.12119354179440016</v>
      </c>
      <c r="G97" s="113">
        <f>'TSLA - Income Statement FY'!G25/'TSLA - Income Statement FY'!G7</f>
        <v>6.3229325215626589E-2</v>
      </c>
      <c r="H97" s="113">
        <f>'TSLA - Income Statement FY'!H25/'TSLA - Income Statement FY'!H7</f>
        <v>-2.8073887216209618E-3</v>
      </c>
    </row>
    <row r="98" spans="1:8" x14ac:dyDescent="0.25">
      <c r="A98" t="s">
        <v>321</v>
      </c>
      <c r="B98" s="134">
        <f t="shared" ref="B98:H98" si="29">1-$B$9</f>
        <v>0.79</v>
      </c>
      <c r="C98" s="134">
        <f t="shared" si="29"/>
        <v>0.79</v>
      </c>
      <c r="D98" s="134">
        <f t="shared" si="29"/>
        <v>0.79</v>
      </c>
      <c r="E98" s="134">
        <f t="shared" si="29"/>
        <v>0.79</v>
      </c>
      <c r="F98" s="134">
        <f t="shared" si="29"/>
        <v>0.79</v>
      </c>
      <c r="G98" s="134">
        <f t="shared" si="29"/>
        <v>0.79</v>
      </c>
      <c r="H98" s="134">
        <f t="shared" si="29"/>
        <v>0.79</v>
      </c>
    </row>
    <row r="99" spans="1:8" x14ac:dyDescent="0.25">
      <c r="A99" t="s">
        <v>831</v>
      </c>
      <c r="B99" s="134">
        <f t="shared" ref="B99:H99" si="30">B97*B98</f>
        <v>3.6281333375515416E-2</v>
      </c>
      <c r="C99" s="134">
        <f t="shared" si="30"/>
        <v>5.7222233596069198E-2</v>
      </c>
      <c r="D99" s="134">
        <f t="shared" si="30"/>
        <v>7.2581091833465949E-2</v>
      </c>
      <c r="E99" s="134">
        <f t="shared" si="30"/>
        <v>0.13243279074906092</v>
      </c>
      <c r="F99" s="134">
        <f t="shared" si="30"/>
        <v>9.5742898017576128E-2</v>
      </c>
      <c r="G99" s="134">
        <f t="shared" si="30"/>
        <v>4.9951166920345007E-2</v>
      </c>
      <c r="H99" s="134">
        <f t="shared" si="30"/>
        <v>-2.21783709008056E-3</v>
      </c>
    </row>
    <row r="101" spans="1:8" x14ac:dyDescent="0.25">
      <c r="A101" s="24" t="s">
        <v>322</v>
      </c>
      <c r="B101" s="24"/>
      <c r="C101" s="24"/>
      <c r="D101" s="24"/>
      <c r="E101" s="24"/>
      <c r="F101" s="24"/>
      <c r="G101" s="24"/>
      <c r="H101" s="24"/>
    </row>
    <row r="102" spans="1:8" x14ac:dyDescent="0.25">
      <c r="A102" t="s">
        <v>323</v>
      </c>
      <c r="B102" s="161">
        <f>IF(B22=0,"",'TSLA - Income Statement FY'!B7/B22)</f>
        <v>-36.905419815836801</v>
      </c>
      <c r="C102" s="161">
        <f>IF(C22=0,"",'TSLA - Income Statement FY'!C7/C22)</f>
        <v>-110.11045987376005</v>
      </c>
      <c r="D102" s="161">
        <f>IF(D22=0,"",'TSLA - Income Statement FY'!D7/D22)</f>
        <v>-44.482289454572182</v>
      </c>
      <c r="E102" s="161">
        <f>IF(E22=0,"",'TSLA - Income Statement FY'!E7/E22)</f>
        <v>-24.0317898612291</v>
      </c>
      <c r="F102" s="161">
        <f>IF(F22=0,"",'TSLA - Income Statement FY'!F7/F22)</f>
        <v>-8.3973264852079854</v>
      </c>
      <c r="G102" s="161">
        <f>IF(G22=0,"",'TSLA - Income Statement FY'!G7/G22)</f>
        <v>-9.8356974437666089</v>
      </c>
      <c r="H102" s="161">
        <f>IF(H22=0,"",'TSLA - Income Statement FY'!H7/H22)</f>
        <v>-14.344243159958909</v>
      </c>
    </row>
    <row r="103" spans="1:8" x14ac:dyDescent="0.25">
      <c r="A103" t="s">
        <v>324</v>
      </c>
      <c r="B103" s="161">
        <f>IF(B24=0,"",'TSLA - Income Statement FY'!B7/B24)</f>
        <v>2.3331693034470882</v>
      </c>
      <c r="C103" s="161">
        <f>IF(C24=0,"",'TSLA - Income Statement FY'!C7/C24)</f>
        <v>1.8966354087793893</v>
      </c>
      <c r="D103" s="161">
        <f>IF(D24=0,"",'TSLA - Income Statement FY'!D7/D24)</f>
        <v>2.1446490703189061</v>
      </c>
      <c r="E103" s="161">
        <f>IF(E24=0,"",'TSLA - Income Statement FY'!E7/E24)</f>
        <v>2.2236113006687592</v>
      </c>
      <c r="F103" s="161">
        <f>IF(F24=0,"",'TSLA - Income Statement FY'!F7/F24)</f>
        <v>1.7264241724403386</v>
      </c>
      <c r="G103" s="161">
        <f>IF(G24=0,"",'TSLA - Income Statement FY'!G7/G24)</f>
        <v>1.3489605612113953</v>
      </c>
      <c r="H103" s="161">
        <f>IF(H24=0,"",'TSLA - Income Statement FY'!H7/H24)</f>
        <v>1.2169736581501287</v>
      </c>
    </row>
    <row r="104" spans="1:8" x14ac:dyDescent="0.25">
      <c r="A104" t="s">
        <v>325</v>
      </c>
      <c r="B104" s="161">
        <f>IF(B25+B26=0,"",'TSLA - Income Statement FY'!B7/(B25+B26))</f>
        <v>241.90561224489795</v>
      </c>
      <c r="C104" s="161">
        <f>IF(C25+C26=0,"",'TSLA - Income Statement FY'!C7/(C25+C26))</f>
        <v>66.455782312925166</v>
      </c>
      <c r="D104" s="161">
        <f>IF(D25+D26=0,"",'TSLA - Income Statement FY'!D7/(D25+D26))</f>
        <v>157.35447154471544</v>
      </c>
      <c r="E104" s="161">
        <f>IF(E25+E26=0,"",'TSLA - Income Statement FY'!E7/(E25+E26))</f>
        <v>137.3726812816189</v>
      </c>
      <c r="F104" s="161">
        <f>IF(F25+F26=0,"",'TSLA - Income Statement FY'!F7/(F25+F26))</f>
        <v>31.347117064647641</v>
      </c>
      <c r="G104" s="161">
        <f>IF(G25+G26=0,"",'TSLA - Income Statement FY'!G7/(G25+G26))</f>
        <v>60.646153846153844</v>
      </c>
      <c r="H104" s="161">
        <f>IF(H25+H26=0,"",'TSLA - Income Statement FY'!H7/(H25+H26))</f>
        <v>45.76908752327747</v>
      </c>
    </row>
    <row r="105" spans="1:8" x14ac:dyDescent="0.25">
      <c r="A105" t="s">
        <v>326</v>
      </c>
      <c r="B105" s="161">
        <f>IF(B32&lt;=0,"",'TSLA - Income Statement FY'!B7/B32)</f>
        <v>1.9463853722756823</v>
      </c>
      <c r="C105" s="161">
        <f>IF(C32&lt;=0,"",'TSLA - Income Statement FY'!C7/C32)</f>
        <v>1.8815195451533873</v>
      </c>
      <c r="D105" s="161">
        <f>IF(D32&lt;=0,"",'TSLA - Income Statement FY'!D7/D32)</f>
        <v>2.1890649225266503</v>
      </c>
      <c r="E105" s="161">
        <f>IF(E32&lt;=0,"",'TSLA - Income Statement FY'!E7/E32)</f>
        <v>2.4095309309209827</v>
      </c>
      <c r="F105" s="161">
        <f>IF(F32&lt;=0,"",'TSLA - Income Statement FY'!F7/F32)</f>
        <v>2.0060408953107776</v>
      </c>
      <c r="G105" s="161">
        <f>IF(G32&lt;=0,"",'TSLA - Income Statement FY'!G7/G32)</f>
        <v>1.5306716783026706</v>
      </c>
      <c r="H105" s="161">
        <f>IF(H32&lt;=0,"",'TSLA - Income Statement FY'!H7/H32)</f>
        <v>1.2454293381762758</v>
      </c>
    </row>
    <row r="107" spans="1:8" x14ac:dyDescent="0.25">
      <c r="A107" s="24" t="s">
        <v>399</v>
      </c>
      <c r="B107" s="24"/>
      <c r="C107" s="24"/>
      <c r="D107" s="24"/>
      <c r="E107" s="24"/>
      <c r="F107" s="24"/>
      <c r="G107" s="24"/>
      <c r="H107" s="24"/>
    </row>
    <row r="108" spans="1:8" x14ac:dyDescent="0.25">
      <c r="A108" t="s">
        <v>255</v>
      </c>
      <c r="B108" s="162">
        <f>'TSLA - Balance Sheet FY'!B51</f>
        <v>8376</v>
      </c>
      <c r="C108" s="162">
        <f>'TSLA - Balance Sheet FY'!C51</f>
        <v>13623</v>
      </c>
      <c r="D108" s="162">
        <f>'TSLA - Balance Sheet FY'!D51</f>
        <v>9573</v>
      </c>
      <c r="E108" s="162">
        <f>'TSLA - Balance Sheet FY'!E51</f>
        <v>5748</v>
      </c>
      <c r="F108" s="162">
        <f>'TSLA - Balance Sheet FY'!F51</f>
        <v>8873</v>
      </c>
      <c r="G108" s="162">
        <f>'TSLA - Balance Sheet FY'!G51</f>
        <v>13279</v>
      </c>
      <c r="H108" s="162">
        <f>'TSLA - Balance Sheet FY'!H51</f>
        <v>14603</v>
      </c>
    </row>
    <row r="109" spans="1:8" x14ac:dyDescent="0.25">
      <c r="A109" t="s">
        <v>400</v>
      </c>
      <c r="B109" s="162">
        <f>'TSLA - Balance Sheet FY'!B52</f>
        <v>-8137</v>
      </c>
      <c r="C109" s="162">
        <f>'TSLA - Balance Sheet FY'!C52</f>
        <v>-2516</v>
      </c>
      <c r="D109" s="162">
        <f>'TSLA - Balance Sheet FY'!D52</f>
        <v>-6825</v>
      </c>
      <c r="E109" s="162">
        <f>'TSLA - Balance Sheet FY'!E52</f>
        <v>-10505</v>
      </c>
      <c r="F109" s="162">
        <f>'TSLA - Balance Sheet FY'!F52</f>
        <v>-8703</v>
      </c>
      <c r="G109" s="162">
        <f>'TSLA - Balance Sheet FY'!G52</f>
        <v>-6105</v>
      </c>
      <c r="H109" s="162">
        <f>'TSLA - Balance Sheet FY'!H52</f>
        <v>8335</v>
      </c>
    </row>
    <row r="110" spans="1:8" x14ac:dyDescent="0.25">
      <c r="A110" t="s">
        <v>401</v>
      </c>
      <c r="B110" s="162">
        <f>'TSLA - Balance Sheet FY'!B41</f>
        <v>54941</v>
      </c>
      <c r="C110" s="162">
        <f>'TSLA - Balance Sheet FY'!C41</f>
        <v>48390</v>
      </c>
      <c r="D110" s="162">
        <f>'TSLA - Balance Sheet FY'!D41</f>
        <v>43009</v>
      </c>
      <c r="E110" s="162">
        <f>'TSLA - Balance Sheet FY'!E41</f>
        <v>36440</v>
      </c>
      <c r="F110" s="162">
        <f>'TSLA - Balance Sheet FY'!F41</f>
        <v>30548</v>
      </c>
      <c r="G110" s="162">
        <f>'TSLA - Balance Sheet FY'!G41</f>
        <v>28469</v>
      </c>
      <c r="H110" s="162">
        <f>'TSLA - Balance Sheet FY'!H41</f>
        <v>26199</v>
      </c>
    </row>
    <row r="111" spans="1:8" x14ac:dyDescent="0.25">
      <c r="A111" t="s">
        <v>256</v>
      </c>
      <c r="B111" s="162">
        <f>'TSLA - Balance Sheet FY'!B47</f>
        <v>82137</v>
      </c>
      <c r="C111" s="162">
        <f>'TSLA - Balance Sheet FY'!C47</f>
        <v>72913</v>
      </c>
      <c r="D111" s="162">
        <f>'TSLA - Balance Sheet FY'!D47</f>
        <v>62634</v>
      </c>
      <c r="E111" s="162">
        <f>'TSLA - Balance Sheet FY'!E47</f>
        <v>44704</v>
      </c>
      <c r="F111" s="162">
        <f>'TSLA - Balance Sheet FY'!F47</f>
        <v>30189</v>
      </c>
      <c r="G111" s="162">
        <f>'TSLA - Balance Sheet FY'!G47</f>
        <v>22225</v>
      </c>
      <c r="H111" s="162">
        <f>'TSLA - Balance Sheet FY'!H47</f>
        <v>6618</v>
      </c>
    </row>
    <row r="113" spans="1:8" x14ac:dyDescent="0.25">
      <c r="A113" t="s">
        <v>402</v>
      </c>
      <c r="B113" s="163">
        <f t="shared" ref="B113:H113" si="31">IFERROR(B108/B111,"")</f>
        <v>0.1019759669819935</v>
      </c>
      <c r="C113" s="163">
        <f t="shared" si="31"/>
        <v>0.18683910962379824</v>
      </c>
      <c r="D113" s="163">
        <f t="shared" si="31"/>
        <v>0.15284031037455695</v>
      </c>
      <c r="E113" s="163">
        <f t="shared" si="31"/>
        <v>0.12857909806728704</v>
      </c>
      <c r="F113" s="163">
        <f t="shared" si="31"/>
        <v>0.29391500215310212</v>
      </c>
      <c r="G113" s="163">
        <f t="shared" si="31"/>
        <v>0.59748031496062992</v>
      </c>
      <c r="H113" s="163">
        <f t="shared" si="31"/>
        <v>2.2065578724690238</v>
      </c>
    </row>
    <row r="114" spans="1:8" x14ac:dyDescent="0.25">
      <c r="A114" t="s">
        <v>403</v>
      </c>
      <c r="B114" s="163">
        <f t="shared" ref="B114:H114" si="32">IFERROR(B110/B111,"")</f>
        <v>0.66889465161863715</v>
      </c>
      <c r="C114" s="163">
        <f t="shared" si="32"/>
        <v>0.66366765871655264</v>
      </c>
      <c r="D114" s="163">
        <f t="shared" si="32"/>
        <v>0.68667177571287163</v>
      </c>
      <c r="E114" s="163">
        <f t="shared" si="32"/>
        <v>0.81513958482462423</v>
      </c>
      <c r="F114" s="163">
        <f t="shared" si="32"/>
        <v>1.0118917486501706</v>
      </c>
      <c r="G114" s="163">
        <f t="shared" si="32"/>
        <v>1.2809448818897637</v>
      </c>
      <c r="H114" s="163">
        <f t="shared" si="32"/>
        <v>3.9587488667271078</v>
      </c>
    </row>
    <row r="115" spans="1:8" x14ac:dyDescent="0.25">
      <c r="A115" t="s">
        <v>404</v>
      </c>
      <c r="B115" s="113">
        <f>IFERROR(B108/'TSLA - Balance Sheet FY'!B25,"")</f>
        <v>6.0781098065396284E-2</v>
      </c>
      <c r="C115" s="113">
        <f>IFERROR(C108/'TSLA - Balance Sheet FY'!C25,"")</f>
        <v>0.11159990169574834</v>
      </c>
      <c r="D115" s="113">
        <f>IFERROR(D108/'TSLA - Balance Sheet FY'!D25,"")</f>
        <v>8.9787840702320432E-2</v>
      </c>
      <c r="E115" s="113">
        <f>IFERROR(E108/'TSLA - Balance Sheet FY'!E25,"")</f>
        <v>6.9809808350943678E-2</v>
      </c>
      <c r="F115" s="113">
        <f>IFERROR(F108/'TSLA - Balance Sheet FY'!F25,"")</f>
        <v>0.14281115707134925</v>
      </c>
      <c r="G115" s="113">
        <f>IFERROR(G108/'TSLA - Balance Sheet FY'!G25,"")</f>
        <v>0.2546406381836312</v>
      </c>
      <c r="H115" s="113">
        <f>IFERROR(H108/'TSLA - Balance Sheet FY'!H25,"")</f>
        <v>0.42563175843073248</v>
      </c>
    </row>
    <row r="116" spans="1:8" x14ac:dyDescent="0.25">
      <c r="A116" t="s">
        <v>405</v>
      </c>
      <c r="B116" s="113">
        <f>IFERROR(B111/'TSLA - Balance Sheet FY'!B25,"")</f>
        <v>0.59603355441707906</v>
      </c>
      <c r="C116" s="113">
        <f>IFERROR(C111/'TSLA - Balance Sheet FY'!C25,"")</f>
        <v>0.59730482510035221</v>
      </c>
      <c r="D116" s="113">
        <f>IFERROR(D111/'TSLA - Balance Sheet FY'!D25,"")</f>
        <v>0.58746177943686806</v>
      </c>
      <c r="E116" s="113">
        <f>IFERROR(E111/'TSLA - Balance Sheet FY'!E25,"")</f>
        <v>0.5429327892346183</v>
      </c>
      <c r="F116" s="113">
        <f>IFERROR(F111/'TSLA - Balance Sheet FY'!F25,"")</f>
        <v>0.48589271056316491</v>
      </c>
      <c r="G116" s="113">
        <f>IFERROR(G111/'TSLA - Balance Sheet FY'!G25,"")</f>
        <v>0.42619084145125413</v>
      </c>
      <c r="H116" s="113">
        <f>IFERROR(H111/'TSLA - Balance Sheet FY'!H25,"")</f>
        <v>0.19289399282986971</v>
      </c>
    </row>
    <row r="118" spans="1:8" x14ac:dyDescent="0.25">
      <c r="A118" t="s">
        <v>406</v>
      </c>
      <c r="B118" s="162">
        <f>'TSLA - Income Statement FY'!B21</f>
        <v>11764</v>
      </c>
      <c r="C118" s="162">
        <f>'TSLA - Income Statement FY'!C21</f>
        <v>14708</v>
      </c>
      <c r="D118" s="162">
        <f>'TSLA - Income Statement FY'!D21</f>
        <v>14796</v>
      </c>
      <c r="E118" s="162">
        <f>'TSLA - Income Statement FY'!E21</f>
        <v>17657</v>
      </c>
      <c r="F118" s="162">
        <f>'TSLA - Income Statement FY'!F21</f>
        <v>9625</v>
      </c>
      <c r="G118" s="162">
        <f>'TSLA - Income Statement FY'!G21</f>
        <v>4224</v>
      </c>
      <c r="H118" s="162">
        <f>'TSLA - Income Statement FY'!H21</f>
        <v>2172</v>
      </c>
    </row>
    <row r="119" spans="1:8" x14ac:dyDescent="0.25">
      <c r="A119" t="s">
        <v>407</v>
      </c>
      <c r="B119" s="163">
        <f t="shared" ref="B119:H119" si="33">IFERROR(B108/B118,"")</f>
        <v>0.71200272016320976</v>
      </c>
      <c r="C119" s="163">
        <f t="shared" si="33"/>
        <v>0.9262306227903182</v>
      </c>
      <c r="D119" s="163">
        <f t="shared" si="33"/>
        <v>0.64699918896999187</v>
      </c>
      <c r="E119" s="163">
        <f t="shared" si="33"/>
        <v>0.32553661437390269</v>
      </c>
      <c r="F119" s="163">
        <f t="shared" si="33"/>
        <v>0.92187012987012984</v>
      </c>
      <c r="G119" s="163">
        <f t="shared" si="33"/>
        <v>3.1437026515151514</v>
      </c>
      <c r="H119" s="163">
        <f t="shared" si="33"/>
        <v>6.7232965009208101</v>
      </c>
    </row>
    <row r="120" spans="1:8" x14ac:dyDescent="0.25">
      <c r="A120" t="s">
        <v>408</v>
      </c>
      <c r="B120" s="163">
        <f t="shared" ref="B120:H120" si="34">IFERROR(B109/B118,"")</f>
        <v>-0.69168650119007136</v>
      </c>
      <c r="C120" s="163">
        <f t="shared" si="34"/>
        <v>-0.17106336687516999</v>
      </c>
      <c r="D120" s="163">
        <f t="shared" si="34"/>
        <v>-0.46127331711273317</v>
      </c>
      <c r="E120" s="163">
        <f t="shared" si="34"/>
        <v>-0.59494817919238829</v>
      </c>
      <c r="F120" s="163">
        <f t="shared" si="34"/>
        <v>-0.90420779220779224</v>
      </c>
      <c r="G120" s="163">
        <f t="shared" si="34"/>
        <v>-1.4453125</v>
      </c>
      <c r="H120" s="163">
        <f t="shared" si="34"/>
        <v>3.8374769797421733</v>
      </c>
    </row>
    <row r="121" spans="1:8" x14ac:dyDescent="0.25">
      <c r="A121" t="s">
        <v>409</v>
      </c>
      <c r="B121" s="161">
        <f>IF('TSLA - Income Statement FY'!B23=0,"",B118/'TSLA - Income Statement FY'!B23)</f>
        <v>34.80473372781065</v>
      </c>
      <c r="C121" s="161">
        <f>IF('TSLA - Income Statement FY'!C23=0,"",C118/'TSLA - Income Statement FY'!C23)</f>
        <v>42.022857142857141</v>
      </c>
      <c r="D121" s="161">
        <f>IF('TSLA - Income Statement FY'!D23=0,"",D118/'TSLA - Income Statement FY'!D23)</f>
        <v>94.84615384615384</v>
      </c>
      <c r="E121" s="161">
        <f>IF('TSLA - Income Statement FY'!E23=0,"",E118/'TSLA - Income Statement FY'!E23)</f>
        <v>92.445026178010465</v>
      </c>
      <c r="F121" s="161">
        <f>IF('TSLA - Income Statement FY'!F23=0,"",F118/'TSLA - Income Statement FY'!F23)</f>
        <v>25.943396226415093</v>
      </c>
      <c r="G121" s="161">
        <f>IF('TSLA - Income Statement FY'!G23=0,"",G118/'TSLA - Income Statement FY'!G23)</f>
        <v>5.6470588235294121</v>
      </c>
      <c r="H121" s="161">
        <f>IF('TSLA - Income Statement FY'!H23=0,"",H118/'TSLA - Income Statement FY'!H23)</f>
        <v>3.1708029197080294</v>
      </c>
    </row>
    <row r="122" spans="1:8" x14ac:dyDescent="0.25">
      <c r="A122" t="s">
        <v>410</v>
      </c>
      <c r="B122" s="161">
        <f>IFERROR('TSLA - Balance Sheet FY'!B13/'TSLA - Balance Sheet FY'!B32,"")</f>
        <v>2.1644068865485275</v>
      </c>
      <c r="C122" s="161">
        <f>IFERROR('TSLA - Balance Sheet FY'!C13/'TSLA - Balance Sheet FY'!C32,"")</f>
        <v>2.0249123902709831</v>
      </c>
      <c r="D122" s="161">
        <f>IFERROR('TSLA - Balance Sheet FY'!D13/'TSLA - Balance Sheet FY'!D32,"")</f>
        <v>1.7258939752330598</v>
      </c>
      <c r="E122" s="161">
        <f>IFERROR('TSLA - Balance Sheet FY'!E13/'TSLA - Balance Sheet FY'!E32,"")</f>
        <v>1.53195552061103</v>
      </c>
      <c r="F122" s="161">
        <f>IFERROR('TSLA - Balance Sheet FY'!F13/'TSLA - Balance Sheet FY'!F32,"")</f>
        <v>1.3752854605430094</v>
      </c>
      <c r="G122" s="161">
        <f>IFERROR('TSLA - Balance Sheet FY'!G13/'TSLA - Balance Sheet FY'!G32,"")</f>
        <v>1.8751403705783267</v>
      </c>
      <c r="H122" s="161">
        <f>IFERROR('TSLA - Balance Sheet FY'!H13/'TSLA - Balance Sheet FY'!H32,"")</f>
        <v>1.1346207931002157</v>
      </c>
    </row>
    <row r="125" spans="1:8" x14ac:dyDescent="0.25">
      <c r="A125" s="9" t="s">
        <v>913</v>
      </c>
    </row>
    <row r="126" spans="1:8" x14ac:dyDescent="0.25">
      <c r="A126" t="s">
        <v>914</v>
      </c>
      <c r="B126" t="s">
        <v>293</v>
      </c>
    </row>
    <row r="127" spans="1:8" x14ac:dyDescent="0.25">
      <c r="A127" t="s">
        <v>915</v>
      </c>
      <c r="B127" s="80">
        <f>SUMIFS(mag7_leases_fy2019_fy2026!$D:$D,mag7_leases_fy2019_fy2026!$A:$A,$B$126,mag7_leases_fy2019_fy2026!$B:$B,YEAR(B$5))+SUMIFS(mag7_leases_fy2019_fy2026!$F:$F,mag7_leases_fy2019_fy2026!$A:$A,$B$126,mag7_leases_fy2019_fy2026!$B:$B,YEAR(B$5))</f>
        <v>1025</v>
      </c>
      <c r="C127" s="80">
        <f>SUMIFS(mag7_leases_fy2019_fy2026!$D:$D,mag7_leases_fy2019_fy2026!$A:$A,$B$126,mag7_leases_fy2019_fy2026!$B:$B,YEAR(C$5))+SUMIFS(mag7_leases_fy2019_fy2026!$F:$F,mag7_leases_fy2019_fy2026!$A:$A,$B$126,mag7_leases_fy2019_fy2026!$B:$B,YEAR(C$5))</f>
        <v>920</v>
      </c>
      <c r="D127" s="80">
        <f>SUMIFS(mag7_leases_fy2019_fy2026!$D:$D,mag7_leases_fy2019_fy2026!$A:$A,$B$126,mag7_leases_fy2019_fy2026!$B:$B,YEAR(D$5))+SUMIFS(mag7_leases_fy2019_fy2026!$F:$F,mag7_leases_fy2019_fy2026!$A:$A,$B$126,mag7_leases_fy2019_fy2026!$B:$B,YEAR(D$5))</f>
        <v>1070</v>
      </c>
      <c r="E127" s="80">
        <f>SUMIFS(mag7_leases_fy2019_fy2026!$D:$D,mag7_leases_fy2019_fy2026!$A:$A,$B$126,mag7_leases_fy2019_fy2026!$B:$B,YEAR(E$5))+SUMIFS(mag7_leases_fy2019_fy2026!$F:$F,mag7_leases_fy2019_fy2026!$A:$A,$B$126,mag7_leases_fy2019_fy2026!$B:$B,YEAR(E$5))</f>
        <v>971</v>
      </c>
      <c r="F127" s="80">
        <f>SUMIFS(mag7_leases_fy2019_fy2026!$D:$D,mag7_leases_fy2019_fy2026!$A:$A,$B$126,mag7_leases_fy2019_fy2026!$B:$B,YEAR(F$5))+SUMIFS(mag7_leases_fy2019_fy2026!$F:$F,mag7_leases_fy2019_fy2026!$A:$A,$B$126,mag7_leases_fy2019_fy2026!$B:$B,YEAR(F$5))</f>
        <v>869</v>
      </c>
      <c r="G127" s="80">
        <f>SUMIFS(mag7_leases_fy2019_fy2026!$D:$D,mag7_leases_fy2019_fy2026!$A:$A,$B$126,mag7_leases_fy2019_fy2026!$B:$B,YEAR(G$5))+SUMIFS(mag7_leases_fy2019_fy2026!$F:$F,mag7_leases_fy2019_fy2026!$A:$A,$B$126,mag7_leases_fy2019_fy2026!$B:$B,YEAR(G$5))</f>
        <v>660</v>
      </c>
      <c r="H127" s="80">
        <f>SUMIFS(mag7_leases_fy2019_fy2026!$D:$D,mag7_leases_fy2019_fy2026!$A:$A,$B$126,mag7_leases_fy2019_fy2026!$B:$B,YEAR(H$5))+SUMIFS(mag7_leases_fy2019_fy2026!$F:$F,mag7_leases_fy2019_fy2026!$A:$A,$B$126,mag7_leases_fy2019_fy2026!$B:$B,YEAR(H$5))</f>
        <v>614</v>
      </c>
    </row>
    <row r="128" spans="1:8" x14ac:dyDescent="0.25">
      <c r="A128" t="s">
        <v>916</v>
      </c>
      <c r="B128" s="80">
        <f>SUMIFS(mag7_leases_fy2019_fy2026!$E:$E,mag7_leases_fy2019_fy2026!$A:$A,$B$126,mag7_leases_fy2019_fy2026!$B:$B,YEAR(B$5))+SUMIFS(mag7_leases_fy2019_fy2026!$G:$G,mag7_leases_fy2019_fy2026!$A:$A,$B$126,mag7_leases_fy2019_fy2026!$B:$B,YEAR(B$5))</f>
        <v>5541</v>
      </c>
      <c r="C128" s="80">
        <f>SUMIFS(mag7_leases_fy2019_fy2026!$E:$E,mag7_leases_fy2019_fy2026!$A:$A,$B$126,mag7_leases_fy2019_fy2026!$B:$B,YEAR(C$5))+SUMIFS(mag7_leases_fy2019_fy2026!$G:$G,mag7_leases_fy2019_fy2026!$A:$A,$B$126,mag7_leases_fy2019_fy2026!$B:$B,YEAR(C$5))</f>
        <v>4825</v>
      </c>
      <c r="D128" s="80">
        <f>SUMIFS(mag7_leases_fy2019_fy2026!$E:$E,mag7_leases_fy2019_fy2026!$A:$A,$B$126,mag7_leases_fy2019_fy2026!$B:$B,YEAR(D$5))+SUMIFS(mag7_leases_fy2019_fy2026!$G:$G,mag7_leases_fy2019_fy2026!$A:$A,$B$126,mag7_leases_fy2019_fy2026!$B:$B,YEAR(D$5))</f>
        <v>3846</v>
      </c>
      <c r="E128" s="80">
        <f>SUMIFS(mag7_leases_fy2019_fy2026!$E:$E,mag7_leases_fy2019_fy2026!$A:$A,$B$126,mag7_leases_fy2019_fy2026!$B:$B,YEAR(E$5))+SUMIFS(mag7_leases_fy2019_fy2026!$G:$G,mag7_leases_fy2019_fy2026!$A:$A,$B$126,mag7_leases_fy2019_fy2026!$B:$B,YEAR(E$5))</f>
        <v>2732</v>
      </c>
      <c r="F128" s="80">
        <f>SUMIFS(mag7_leases_fy2019_fy2026!$E:$E,mag7_leases_fy2019_fy2026!$A:$A,$B$126,mag7_leases_fy2019_fy2026!$B:$B,YEAR(F$5))+SUMIFS(mag7_leases_fy2019_fy2026!$G:$G,mag7_leases_fy2019_fy2026!$A:$A,$B$126,mag7_leases_fy2019_fy2026!$B:$B,YEAR(F$5))</f>
        <v>2662</v>
      </c>
      <c r="G128" s="80">
        <f>SUMIFS(mag7_leases_fy2019_fy2026!$E:$E,mag7_leases_fy2019_fy2026!$A:$A,$B$126,mag7_leases_fy2019_fy2026!$B:$B,YEAR(G$5))+SUMIFS(mag7_leases_fy2019_fy2026!$G:$G,mag7_leases_fy2019_fy2026!$A:$A,$B$126,mag7_leases_fy2019_fy2026!$B:$B,YEAR(G$5))</f>
        <v>2348</v>
      </c>
      <c r="H128" s="80">
        <f>SUMIFS(mag7_leases_fy2019_fy2026!$E:$E,mag7_leases_fy2019_fy2026!$A:$A,$B$126,mag7_leases_fy2019_fy2026!$B:$B,YEAR(H$5))+SUMIFS(mag7_leases_fy2019_fy2026!$G:$G,mag7_leases_fy2019_fy2026!$A:$A,$B$126,mag7_leases_fy2019_fy2026!$B:$B,YEAR(H$5))</f>
        <v>2188</v>
      </c>
    </row>
    <row r="129" spans="1:8" x14ac:dyDescent="0.25">
      <c r="A129" t="s">
        <v>917</v>
      </c>
      <c r="B129" s="135">
        <f t="shared" ref="B129:H129" si="35">B127+B128</f>
        <v>6566</v>
      </c>
      <c r="C129" s="135">
        <f t="shared" si="35"/>
        <v>5745</v>
      </c>
      <c r="D129" s="135">
        <f t="shared" si="35"/>
        <v>4916</v>
      </c>
      <c r="E129" s="135">
        <f t="shared" si="35"/>
        <v>3703</v>
      </c>
      <c r="F129" s="135">
        <f t="shared" si="35"/>
        <v>3531</v>
      </c>
      <c r="G129" s="135">
        <f t="shared" si="35"/>
        <v>3008</v>
      </c>
      <c r="H129" s="135">
        <f t="shared" si="35"/>
        <v>2802</v>
      </c>
    </row>
    <row r="130" spans="1:8" x14ac:dyDescent="0.25">
      <c r="A130" t="s">
        <v>918</v>
      </c>
      <c r="B130" s="80">
        <f>SUMIFS(mag7_leases_fy2019_fy2026!$H:$H,mag7_leases_fy2019_fy2026!$A:$A,$B$126,mag7_leases_fy2019_fy2026!$B:$B,YEAR(B$5))</f>
        <v>6027</v>
      </c>
      <c r="C130" s="80">
        <f>SUMIFS(mag7_leases_fy2019_fy2026!$H:$H,mag7_leases_fy2019_fy2026!$A:$A,$B$126,mag7_leases_fy2019_fy2026!$B:$B,YEAR(C$5))</f>
        <v>5160</v>
      </c>
      <c r="D130" s="80">
        <f>SUMIFS(mag7_leases_fy2019_fy2026!$H:$H,mag7_leases_fy2019_fy2026!$A:$A,$B$126,mag7_leases_fy2019_fy2026!$B:$B,YEAR(D$5))</f>
        <v>4180</v>
      </c>
      <c r="E130" s="80">
        <f>SUMIFS(mag7_leases_fy2019_fy2026!$H:$H,mag7_leases_fy2019_fy2026!$A:$A,$B$126,mag7_leases_fy2019_fy2026!$B:$B,YEAR(E$5))</f>
        <v>2563</v>
      </c>
      <c r="F130" s="80">
        <f>SUMIFS(mag7_leases_fy2019_fy2026!$H:$H,mag7_leases_fy2019_fy2026!$A:$A,$B$126,mag7_leases_fy2019_fy2026!$B:$B,YEAR(F$5))</f>
        <v>2016</v>
      </c>
      <c r="G130" s="80">
        <f>SUMIFS(mag7_leases_fy2019_fy2026!$H:$H,mag7_leases_fy2019_fy2026!$A:$A,$B$126,mag7_leases_fy2019_fy2026!$B:$B,YEAR(G$5))</f>
        <v>1558</v>
      </c>
      <c r="H130" s="80">
        <f>SUMIFS(mag7_leases_fy2019_fy2026!$H:$H,mag7_leases_fy2019_fy2026!$A:$A,$B$126,mag7_leases_fy2019_fy2026!$B:$B,YEAR(H$5))</f>
        <v>1218</v>
      </c>
    </row>
    <row r="135" spans="1:8" x14ac:dyDescent="0.25">
      <c r="A135" s="67" t="s">
        <v>1358</v>
      </c>
    </row>
    <row r="136" spans="1:8" x14ac:dyDescent="0.25">
      <c r="A136" t="s">
        <v>1359</v>
      </c>
      <c r="B136" s="190">
        <v>5</v>
      </c>
    </row>
    <row r="137" spans="1:8" x14ac:dyDescent="0.25">
      <c r="A137" t="s">
        <v>1360</v>
      </c>
      <c r="B137" s="35">
        <f>'TSLA - Income Statement FY'!B13</f>
        <v>6411</v>
      </c>
      <c r="C137" s="35">
        <f>'TSLA - Income Statement FY'!C13</f>
        <v>4540</v>
      </c>
      <c r="D137" s="35">
        <f>'TSLA - Income Statement FY'!D13</f>
        <v>3969</v>
      </c>
      <c r="E137" s="35">
        <f>'TSLA - Income Statement FY'!E13</f>
        <v>3075</v>
      </c>
      <c r="F137" s="35">
        <f>'TSLA - Income Statement FY'!F13</f>
        <v>2593</v>
      </c>
      <c r="G137" s="35">
        <f>'TSLA - Income Statement FY'!G13</f>
        <v>1491</v>
      </c>
      <c r="H137" s="35">
        <f>'TSLA - Income Statement FY'!H13</f>
        <v>1343</v>
      </c>
    </row>
    <row r="138" spans="1:8" x14ac:dyDescent="0.25">
      <c r="A138" t="s">
        <v>1361</v>
      </c>
      <c r="B138" s="35">
        <f>B137*MAX(0,($B$136-0)/$B$136)+C137*MAX(0,($B$136-1)/$B$136)+D137*MAX(0,($B$136-2)/$B$136)+E137*MAX(0,($B$136-3)/$B$136)+F137*MAX(0,($B$136-4)/$B$136)</f>
        <v>14173</v>
      </c>
      <c r="C138" s="35">
        <f>C137*MAX(0,($B$136-0)/$B$136)+D137*MAX(0,($B$136-1)/$B$136)+E137*MAX(0,($B$136-2)/$B$136)+F137*MAX(0,($B$136-3)/$B$136)+G137*MAX(0,($B$136-4)/$B$136)</f>
        <v>10895.600000000002</v>
      </c>
      <c r="D138" s="35">
        <f>D137*MAX(0,($B$136-0)/$B$136)+E137*MAX(0,($B$136-1)/$B$136)+F137*MAX(0,($B$136-2)/$B$136)+G137*MAX(0,($B$136-3)/$B$136)+H137*MAX(0,($B$136-4)/$B$136)</f>
        <v>8849.8000000000011</v>
      </c>
      <c r="E138" s="35" t="str">
        <f>""</f>
        <v/>
      </c>
      <c r="F138" s="35" t="str">
        <f>""</f>
        <v/>
      </c>
      <c r="G138" s="35" t="str">
        <f>""</f>
        <v/>
      </c>
      <c r="H138" s="35" t="str">
        <f>""</f>
        <v/>
      </c>
    </row>
    <row r="139" spans="1:8" x14ac:dyDescent="0.25">
      <c r="A139" t="s">
        <v>1362</v>
      </c>
      <c r="B139" s="35">
        <f>(C137*IF($B$136&gt;=1,1,0)+D137*IF($B$136&gt;=2,1,0)+E137*IF($B$136&gt;=3,1,0)+F137*IF($B$136&gt;=4,1,0)+G137*IF($B$136&gt;=5,1,0))/$B$136</f>
        <v>3133.6</v>
      </c>
      <c r="C139" s="35">
        <f>(D137*IF($B$136&gt;=1,1,0)+E137*IF($B$136&gt;=2,1,0)+F137*IF($B$136&gt;=3,1,0)+G137*IF($B$136&gt;=4,1,0)+H137*IF($B$136&gt;=5,1,0))/$B$136</f>
        <v>2494.1999999999998</v>
      </c>
      <c r="D139" s="35" t="str">
        <f>""</f>
        <v/>
      </c>
      <c r="E139" s="35" t="str">
        <f>""</f>
        <v/>
      </c>
      <c r="F139" s="35" t="str">
        <f>""</f>
        <v/>
      </c>
      <c r="G139" s="35" t="str">
        <f>""</f>
        <v/>
      </c>
      <c r="H139" s="35" t="str">
        <f>""</f>
        <v/>
      </c>
    </row>
    <row r="140" spans="1:8" x14ac:dyDescent="0.25">
      <c r="A140" t="s">
        <v>1363</v>
      </c>
      <c r="B140" s="35">
        <f t="shared" ref="B140:H140" si="36">B54</f>
        <v>4355</v>
      </c>
      <c r="C140" s="35">
        <f t="shared" si="36"/>
        <v>7076</v>
      </c>
      <c r="D140" s="35">
        <f t="shared" si="36"/>
        <v>8891</v>
      </c>
      <c r="E140" s="35">
        <f t="shared" si="36"/>
        <v>13656</v>
      </c>
      <c r="F140" s="35">
        <f t="shared" si="36"/>
        <v>6523</v>
      </c>
      <c r="G140" s="35">
        <f t="shared" si="36"/>
        <v>1994</v>
      </c>
      <c r="H140" s="35">
        <f t="shared" si="36"/>
        <v>-69</v>
      </c>
    </row>
    <row r="141" spans="1:8" x14ac:dyDescent="0.25">
      <c r="A141" t="s">
        <v>1364</v>
      </c>
      <c r="B141" s="35">
        <f>B140+B137-B139</f>
        <v>7632.4</v>
      </c>
      <c r="C141" s="35">
        <f>C140+C137-C139</f>
        <v>9121.7999999999993</v>
      </c>
      <c r="D141" s="35" t="str">
        <f>""</f>
        <v/>
      </c>
      <c r="E141" s="35" t="str">
        <f>""</f>
        <v/>
      </c>
      <c r="F141" s="35" t="str">
        <f>""</f>
        <v/>
      </c>
      <c r="G141" s="35" t="str">
        <f>""</f>
        <v/>
      </c>
      <c r="H141" s="35" t="str">
        <f>""</f>
        <v/>
      </c>
    </row>
    <row r="142" spans="1:8" x14ac:dyDescent="0.25">
      <c r="A142" t="s">
        <v>1365</v>
      </c>
      <c r="B142" s="35">
        <f>B141*(1-$B$9)</f>
        <v>6029.5959999999995</v>
      </c>
      <c r="C142" s="35">
        <f>C141*(1-$B$9)</f>
        <v>7206.2219999999998</v>
      </c>
      <c r="D142" s="35" t="str">
        <f>""</f>
        <v/>
      </c>
      <c r="E142" s="35" t="str">
        <f>""</f>
        <v/>
      </c>
      <c r="F142" s="35" t="str">
        <f>""</f>
        <v/>
      </c>
      <c r="G142" s="35" t="str">
        <f>""</f>
        <v/>
      </c>
      <c r="H142" s="35" t="str">
        <f>""</f>
        <v/>
      </c>
    </row>
    <row r="143" spans="1:8" x14ac:dyDescent="0.25">
      <c r="A143" t="s">
        <v>1366</v>
      </c>
      <c r="B143" s="35">
        <f t="shared" ref="B143:H143" si="37">B32</f>
        <v>48719.54</v>
      </c>
      <c r="C143" s="35">
        <f t="shared" si="37"/>
        <v>51920.800000000003</v>
      </c>
      <c r="D143" s="35">
        <f t="shared" si="37"/>
        <v>44207.46</v>
      </c>
      <c r="E143" s="35">
        <f t="shared" si="37"/>
        <v>33808.239999999998</v>
      </c>
      <c r="F143" s="35">
        <f t="shared" si="37"/>
        <v>26830.46</v>
      </c>
      <c r="G143" s="35">
        <f t="shared" si="37"/>
        <v>20602.72</v>
      </c>
      <c r="H143" s="35">
        <f t="shared" si="37"/>
        <v>19734.559999999998</v>
      </c>
    </row>
    <row r="144" spans="1:8" x14ac:dyDescent="0.25">
      <c r="A144" t="s">
        <v>1367</v>
      </c>
      <c r="B144" s="35">
        <f>B32+B138</f>
        <v>62892.54</v>
      </c>
      <c r="C144" s="35">
        <f>C32+C138</f>
        <v>62816.400000000009</v>
      </c>
      <c r="D144" s="35">
        <f>D32+D138</f>
        <v>53057.26</v>
      </c>
      <c r="E144" s="35" t="str">
        <f>""</f>
        <v/>
      </c>
      <c r="F144" s="35" t="str">
        <f>""</f>
        <v/>
      </c>
      <c r="G144" s="35" t="str">
        <f>""</f>
        <v/>
      </c>
      <c r="H144" s="35" t="str">
        <f>""</f>
        <v/>
      </c>
    </row>
    <row r="145" spans="1:8" x14ac:dyDescent="0.25">
      <c r="A145" t="s">
        <v>1368</v>
      </c>
      <c r="B145" s="28">
        <f t="shared" ref="B145:H145" si="38">IFERROR(B56/B32,"")</f>
        <v>7.06174565687607E-2</v>
      </c>
      <c r="C145" s="28">
        <f t="shared" si="38"/>
        <v>0.10766475092833699</v>
      </c>
      <c r="D145" s="28">
        <f t="shared" si="38"/>
        <v>0.15888472217132585</v>
      </c>
      <c r="E145" s="28">
        <f t="shared" si="38"/>
        <v>0.31910090557804843</v>
      </c>
      <c r="F145" s="28">
        <f t="shared" si="38"/>
        <v>0.19206416885882688</v>
      </c>
      <c r="G145" s="28">
        <f t="shared" si="38"/>
        <v>7.6458836503141323E-2</v>
      </c>
      <c r="H145" s="28">
        <f t="shared" si="38"/>
        <v>-2.7621593792818287E-3</v>
      </c>
    </row>
    <row r="146" spans="1:8" x14ac:dyDescent="0.25">
      <c r="A146" t="s">
        <v>1369</v>
      </c>
      <c r="B146" s="28">
        <f>IFERROR(B142/B144,"")</f>
        <v>9.5871402236258854E-2</v>
      </c>
      <c r="C146" s="28">
        <f>IFERROR(C142/C144,"")</f>
        <v>0.1147187995491623</v>
      </c>
      <c r="D146" s="28" t="str">
        <f>""</f>
        <v/>
      </c>
      <c r="E146" s="28" t="str">
        <f>""</f>
        <v/>
      </c>
      <c r="F146" s="28" t="str">
        <f>""</f>
        <v/>
      </c>
      <c r="G146" s="28" t="str">
        <f>""</f>
        <v/>
      </c>
      <c r="H146" s="28" t="str">
        <f>""</f>
        <v/>
      </c>
    </row>
    <row r="148" spans="1:8" x14ac:dyDescent="0.25">
      <c r="A148" s="67" t="s">
        <v>1497</v>
      </c>
    </row>
    <row r="149" spans="1:8" x14ac:dyDescent="0.25">
      <c r="A149" t="s">
        <v>1498</v>
      </c>
      <c r="B149" s="3">
        <f>IF(COUNTIFS(mag7_leases_fy2019_fy2026!$A:$A,$B$126,mag7_leases_fy2019_fy2026!$B:$B,YEAR(B$5),mag7_leases_fy2019_fy2026!$L:$L,"&gt;0")=0,"",SUMIFS(mag7_leases_fy2019_fy2026!$L:$L,mag7_leases_fy2019_fy2026!$A:$A,$B$126,mag7_leases_fy2019_fy2026!$B:$B,YEAR(B$5))/100)</f>
        <v>0.05</v>
      </c>
      <c r="C149" s="3">
        <f>IF(COUNTIFS(mag7_leases_fy2019_fy2026!$A:$A,$B$126,mag7_leases_fy2019_fy2026!$B:$B,YEAR(C$5),mag7_leases_fy2019_fy2026!$L:$L,"&gt;0")=0,"",SUMIFS(mag7_leases_fy2019_fy2026!$L:$L,mag7_leases_fy2019_fy2026!$A:$A,$B$126,mag7_leases_fy2019_fy2026!$B:$B,YEAR(C$5))/100)</f>
        <v>5.2999999999999999E-2</v>
      </c>
      <c r="D149" s="3">
        <f>IF(COUNTIFS(mag7_leases_fy2019_fy2026!$A:$A,$B$126,mag7_leases_fy2019_fy2026!$B:$B,YEAR(D$5),mag7_leases_fy2019_fy2026!$L:$L,"&gt;0")=0,"",SUMIFS(mag7_leases_fy2019_fy2026!$L:$L,mag7_leases_fy2019_fy2026!$A:$A,$B$126,mag7_leases_fy2019_fy2026!$B:$B,YEAR(D$5))/100)</f>
        <v>5.5999999999999994E-2</v>
      </c>
      <c r="E149" s="3">
        <f>IF(COUNTIFS(mag7_leases_fy2019_fy2026!$A:$A,$B$126,mag7_leases_fy2019_fy2026!$B:$B,YEAR(E$5),mag7_leases_fy2019_fy2026!$L:$L,"&gt;0")=0,"",SUMIFS(mag7_leases_fy2019_fy2026!$L:$L,mag7_leases_fy2019_fy2026!$A:$A,$B$126,mag7_leases_fy2019_fy2026!$B:$B,YEAR(E$5))/100)</f>
        <v>5.2999999999999999E-2</v>
      </c>
      <c r="F149" s="3">
        <f>IF(COUNTIFS(mag7_leases_fy2019_fy2026!$A:$A,$B$126,mag7_leases_fy2019_fy2026!$B:$B,YEAR(F$5),mag7_leases_fy2019_fy2026!$L:$L,"&gt;0")=0,"",SUMIFS(mag7_leases_fy2019_fy2026!$L:$L,mag7_leases_fy2019_fy2026!$A:$A,$B$126,mag7_leases_fy2019_fy2026!$B:$B,YEAR(F$5))/100)</f>
        <v>0.05</v>
      </c>
      <c r="G149" s="3">
        <f>IF(COUNTIFS(mag7_leases_fy2019_fy2026!$A:$A,$B$126,mag7_leases_fy2019_fy2026!$B:$B,YEAR(G$5),mag7_leases_fy2019_fy2026!$L:$L,"&gt;0")=0,"",SUMIFS(mag7_leases_fy2019_fy2026!$L:$L,mag7_leases_fy2019_fy2026!$A:$A,$B$126,mag7_leases_fy2019_fy2026!$B:$B,YEAR(G$5))/100)</f>
        <v>5.7999999999999996E-2</v>
      </c>
      <c r="H149" s="3">
        <f>IF(COUNTIFS(mag7_leases_fy2019_fy2026!$A:$A,$B$126,mag7_leases_fy2019_fy2026!$B:$B,YEAR(H$5),mag7_leases_fy2019_fy2026!$L:$L,"&gt;0")=0,"",SUMIFS(mag7_leases_fy2019_fy2026!$L:$L,mag7_leases_fy2019_fy2026!$A:$A,$B$126,mag7_leases_fy2019_fy2026!$B:$B,YEAR(H$5))/100)</f>
        <v>6.5000000000000002E-2</v>
      </c>
    </row>
    <row r="150" spans="1:8" x14ac:dyDescent="0.25">
      <c r="A150" t="s">
        <v>917</v>
      </c>
      <c r="B150" s="35">
        <f t="shared" ref="B150:H150" si="39">B129</f>
        <v>6566</v>
      </c>
      <c r="C150" s="35">
        <f t="shared" si="39"/>
        <v>5745</v>
      </c>
      <c r="D150" s="35">
        <f t="shared" si="39"/>
        <v>4916</v>
      </c>
      <c r="E150" s="35">
        <f t="shared" si="39"/>
        <v>3703</v>
      </c>
      <c r="F150" s="35">
        <f t="shared" si="39"/>
        <v>3531</v>
      </c>
      <c r="G150" s="35">
        <f t="shared" si="39"/>
        <v>3008</v>
      </c>
      <c r="H150" s="35">
        <f t="shared" si="39"/>
        <v>2802</v>
      </c>
    </row>
    <row r="151" spans="1:8" x14ac:dyDescent="0.25">
      <c r="A151" t="s">
        <v>1499</v>
      </c>
      <c r="B151" s="35">
        <f t="shared" ref="B151:H151" si="40">IF(B149="","",B149*B150)</f>
        <v>328.3</v>
      </c>
      <c r="C151" s="35">
        <f t="shared" si="40"/>
        <v>304.48500000000001</v>
      </c>
      <c r="D151" s="35">
        <f t="shared" si="40"/>
        <v>275.29599999999999</v>
      </c>
      <c r="E151" s="35">
        <f t="shared" si="40"/>
        <v>196.25899999999999</v>
      </c>
      <c r="F151" s="35">
        <f t="shared" si="40"/>
        <v>176.55</v>
      </c>
      <c r="G151" s="35">
        <f t="shared" si="40"/>
        <v>174.464</v>
      </c>
      <c r="H151" s="35">
        <f t="shared" si="40"/>
        <v>182.13</v>
      </c>
    </row>
    <row r="152" spans="1:8" x14ac:dyDescent="0.25">
      <c r="A152" t="s">
        <v>1500</v>
      </c>
      <c r="B152" s="3">
        <f>IF(B151="","",B151/'TSLA - Income Statement FY'!B7)</f>
        <v>3.462094129309163E-3</v>
      </c>
      <c r="C152" s="3">
        <f>IF(C151="","",C151/'TSLA - Income Statement FY'!C7)</f>
        <v>3.1168492169106358E-3</v>
      </c>
      <c r="D152" s="3">
        <f>IF(D151="","",D151/'TSLA - Income Statement FY'!D7)</f>
        <v>2.8447604187118308E-3</v>
      </c>
      <c r="E152" s="3">
        <f>IF(E151="","",E151/'TSLA - Income Statement FY'!E7)</f>
        <v>2.4092092018364389E-3</v>
      </c>
      <c r="F152" s="3">
        <f>IF(F151="","",F151/'TSLA - Income Statement FY'!F7)</f>
        <v>3.2801961986511346E-3</v>
      </c>
      <c r="G152" s="3">
        <f>IF(G151="","",G151/'TSLA - Income Statement FY'!G7)</f>
        <v>5.5322171486555044E-3</v>
      </c>
      <c r="H152" s="3">
        <f>IF(H151="","",H151/'TSLA - Income Statement FY'!H7)</f>
        <v>7.4102856212873297E-3</v>
      </c>
    </row>
    <row r="153" spans="1:8" x14ac:dyDescent="0.25">
      <c r="A153" t="s">
        <v>1363</v>
      </c>
      <c r="B153" s="35">
        <f t="shared" ref="B153:H153" si="41">B54</f>
        <v>4355</v>
      </c>
      <c r="C153" s="35">
        <f t="shared" si="41"/>
        <v>7076</v>
      </c>
      <c r="D153" s="35">
        <f t="shared" si="41"/>
        <v>8891</v>
      </c>
      <c r="E153" s="35">
        <f t="shared" si="41"/>
        <v>13656</v>
      </c>
      <c r="F153" s="35">
        <f t="shared" si="41"/>
        <v>6523</v>
      </c>
      <c r="G153" s="35">
        <f t="shared" si="41"/>
        <v>1994</v>
      </c>
      <c r="H153" s="35">
        <f t="shared" si="41"/>
        <v>-69</v>
      </c>
    </row>
    <row r="154" spans="1:8" x14ac:dyDescent="0.25">
      <c r="A154" t="s">
        <v>1501</v>
      </c>
      <c r="B154" s="35">
        <f t="shared" ref="B154:H154" si="42">IF(B151="",B153,B153+B151)</f>
        <v>4683.3</v>
      </c>
      <c r="C154" s="35">
        <f t="shared" si="42"/>
        <v>7380.4849999999997</v>
      </c>
      <c r="D154" s="35">
        <f t="shared" si="42"/>
        <v>9166.2960000000003</v>
      </c>
      <c r="E154" s="35">
        <f t="shared" si="42"/>
        <v>13852.259</v>
      </c>
      <c r="F154" s="35">
        <f t="shared" si="42"/>
        <v>6699.55</v>
      </c>
      <c r="G154" s="35">
        <f t="shared" si="42"/>
        <v>2168.4639999999999</v>
      </c>
      <c r="H154" s="35">
        <f t="shared" si="42"/>
        <v>113.13</v>
      </c>
    </row>
    <row r="155" spans="1:8" x14ac:dyDescent="0.25">
      <c r="A155" t="s">
        <v>1365</v>
      </c>
      <c r="B155" s="35">
        <f t="shared" ref="B155:H155" si="43">B154*(1-$B$9)</f>
        <v>3699.8070000000002</v>
      </c>
      <c r="C155" s="35">
        <f t="shared" si="43"/>
        <v>5830.5831500000004</v>
      </c>
      <c r="D155" s="35">
        <f t="shared" si="43"/>
        <v>7241.3738400000002</v>
      </c>
      <c r="E155" s="35">
        <f t="shared" si="43"/>
        <v>10943.284610000001</v>
      </c>
      <c r="F155" s="35">
        <f t="shared" si="43"/>
        <v>5292.6445000000003</v>
      </c>
      <c r="G155" s="35">
        <f t="shared" si="43"/>
        <v>1713.08656</v>
      </c>
      <c r="H155" s="35">
        <f t="shared" si="43"/>
        <v>89.372699999999995</v>
      </c>
    </row>
    <row r="156" spans="1:8" x14ac:dyDescent="0.25">
      <c r="A156" t="s">
        <v>1502</v>
      </c>
      <c r="B156" s="62" t="str">
        <f t="shared" ref="B156:H156" si="44">IF(B149="","MISSING - add-back omitted","ok")</f>
        <v>ok</v>
      </c>
      <c r="C156" s="62" t="str">
        <f t="shared" si="44"/>
        <v>ok</v>
      </c>
      <c r="D156" s="62" t="str">
        <f t="shared" si="44"/>
        <v>ok</v>
      </c>
      <c r="E156" s="62" t="str">
        <f t="shared" si="44"/>
        <v>ok</v>
      </c>
      <c r="F156" s="62" t="str">
        <f t="shared" si="44"/>
        <v>ok</v>
      </c>
      <c r="G156" s="62" t="str">
        <f t="shared" si="44"/>
        <v>ok</v>
      </c>
      <c r="H156" s="62" t="str">
        <f t="shared" si="44"/>
        <v>ok</v>
      </c>
    </row>
  </sheetData>
  <conditionalFormatting sqref="B51:H51">
    <cfRule type="cellIs" dxfId="1" priority="1" operator="notBetween">
      <formula>0.5</formula>
      <formula>-0.5</formula>
    </cfRule>
  </conditionalFormatting>
  <conditionalFormatting sqref="B156:H156">
    <cfRule type="containsText" dxfId="0" priority="2" operator="containsText" text="MISSING">
      <formula>NOT(ISERROR(SEARCH("MISSING",B156)))</formula>
    </cfRule>
  </conditionalFormatting>
  <pageMargins left="0.7" right="0.7" top="0.75" bottom="0.75" header="0.3" footer="0.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D39CDC-ECC3-47E6-98B5-CD7ADC68109B}">
  <sheetPr>
    <tabColor rgb="FF833C00"/>
  </sheetPr>
  <dimension ref="A1:A3"/>
  <sheetViews>
    <sheetView workbookViewId="0"/>
  </sheetViews>
  <sheetFormatPr defaultRowHeight="15" x14ac:dyDescent="0.25"/>
  <cols>
    <col min="1" max="1" width="133.28515625" customWidth="1"/>
  </cols>
  <sheetData>
    <row r="1" spans="1:1" ht="26.25" x14ac:dyDescent="0.4">
      <c r="A1" s="108" t="s">
        <v>571</v>
      </c>
    </row>
    <row r="3" spans="1:1" x14ac:dyDescent="0.25">
      <c r="A3" s="33" t="s">
        <v>1230</v>
      </c>
    </row>
  </sheetData>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25289E-F58F-4303-B9FF-B813B5497DF0}">
  <sheetPr>
    <tabColor rgb="FFF8CBAD"/>
  </sheetPr>
  <dimension ref="A1:AN145"/>
  <sheetViews>
    <sheetView topLeftCell="A3" workbookViewId="0">
      <selection activeCell="C20" sqref="C20"/>
    </sheetView>
  </sheetViews>
  <sheetFormatPr defaultRowHeight="15" x14ac:dyDescent="0.25"/>
  <cols>
    <col min="1" max="1" width="10.5703125" customWidth="1"/>
  </cols>
  <sheetData>
    <row r="1" spans="1:40" ht="15.75" x14ac:dyDescent="0.25">
      <c r="A1" s="15" t="s">
        <v>718</v>
      </c>
    </row>
    <row r="2" spans="1:40" x14ac:dyDescent="0.25">
      <c r="A2" s="33" t="s">
        <v>719</v>
      </c>
    </row>
    <row r="4" spans="1:40" x14ac:dyDescent="0.25">
      <c r="A4" t="s">
        <v>337</v>
      </c>
      <c r="B4" s="31">
        <v>0.21</v>
      </c>
    </row>
    <row r="6" spans="1:40" x14ac:dyDescent="0.25">
      <c r="A6" s="24" t="s">
        <v>289</v>
      </c>
      <c r="B6" s="24" t="s">
        <v>296</v>
      </c>
      <c r="C6" s="24" t="s">
        <v>650</v>
      </c>
      <c r="D6" s="24" t="s">
        <v>663</v>
      </c>
      <c r="E6" s="24" t="s">
        <v>291</v>
      </c>
      <c r="F6" s="24" t="s">
        <v>669</v>
      </c>
      <c r="G6" s="24" t="s">
        <v>664</v>
      </c>
      <c r="H6" s="24" t="s">
        <v>659</v>
      </c>
      <c r="I6" s="24" t="s">
        <v>658</v>
      </c>
      <c r="J6" s="24" t="s">
        <v>649</v>
      </c>
      <c r="K6" s="24" t="s">
        <v>645</v>
      </c>
      <c r="L6" s="24" t="s">
        <v>662</v>
      </c>
      <c r="M6" s="24" t="s">
        <v>672</v>
      </c>
      <c r="N6" s="24" t="s">
        <v>671</v>
      </c>
      <c r="O6" s="24" t="s">
        <v>308</v>
      </c>
      <c r="P6" s="24" t="s">
        <v>646</v>
      </c>
      <c r="Q6" s="24" t="s">
        <v>653</v>
      </c>
      <c r="R6" s="24" t="s">
        <v>668</v>
      </c>
      <c r="S6" s="24" t="s">
        <v>674</v>
      </c>
      <c r="T6" s="24" t="s">
        <v>292</v>
      </c>
      <c r="U6" s="24" t="s">
        <v>295</v>
      </c>
      <c r="V6" s="24" t="s">
        <v>667</v>
      </c>
      <c r="W6" s="24" t="s">
        <v>651</v>
      </c>
      <c r="X6" s="24" t="s">
        <v>294</v>
      </c>
      <c r="Y6" s="24" t="s">
        <v>648</v>
      </c>
      <c r="Z6" s="24" t="s">
        <v>655</v>
      </c>
      <c r="AA6" s="24" t="s">
        <v>666</v>
      </c>
      <c r="AB6" s="24" t="s">
        <v>670</v>
      </c>
      <c r="AC6" s="24" t="s">
        <v>673</v>
      </c>
      <c r="AD6" s="24" t="s">
        <v>652</v>
      </c>
      <c r="AE6" s="24" t="s">
        <v>660</v>
      </c>
      <c r="AF6" s="24" t="s">
        <v>656</v>
      </c>
      <c r="AG6" s="24" t="s">
        <v>647</v>
      </c>
      <c r="AH6" s="24" t="s">
        <v>675</v>
      </c>
      <c r="AI6" s="24" t="s">
        <v>661</v>
      </c>
      <c r="AJ6" s="24" t="s">
        <v>293</v>
      </c>
      <c r="AK6" s="24" t="s">
        <v>665</v>
      </c>
      <c r="AL6" s="24" t="s">
        <v>654</v>
      </c>
      <c r="AM6" s="24" t="s">
        <v>657</v>
      </c>
      <c r="AN6" s="24" t="s">
        <v>290</v>
      </c>
    </row>
    <row r="7" spans="1:40" x14ac:dyDescent="0.25">
      <c r="A7" t="s">
        <v>720</v>
      </c>
      <c r="B7" s="115">
        <f t="shared" ref="B7:AN7" si="0">IFERROR(SLOPE(B$20:B$79,$AN$20:$AN$79),"")</f>
        <v>1.0887905474826183</v>
      </c>
      <c r="C7" s="115">
        <f t="shared" si="0"/>
        <v>1.4042218563528164</v>
      </c>
      <c r="D7" s="115">
        <f t="shared" si="0"/>
        <v>2.4813871149764597</v>
      </c>
      <c r="E7" s="115">
        <f t="shared" si="0"/>
        <v>1.4542221536411706</v>
      </c>
      <c r="F7" s="115">
        <f t="shared" si="0"/>
        <v>3.9080014351267192</v>
      </c>
      <c r="G7" s="115">
        <f t="shared" si="0"/>
        <v>1.4522779409474647</v>
      </c>
      <c r="H7" s="115">
        <f t="shared" si="0"/>
        <v>0.49767765089840366</v>
      </c>
      <c r="I7" s="115">
        <f t="shared" si="0"/>
        <v>0.87484864904946702</v>
      </c>
      <c r="J7" s="115">
        <f t="shared" si="0"/>
        <v>1.1649502575314443</v>
      </c>
      <c r="K7" s="115">
        <f t="shared" si="0"/>
        <v>1.3288227017335106</v>
      </c>
      <c r="L7" s="115">
        <f t="shared" si="0"/>
        <v>1.3767346687888578</v>
      </c>
      <c r="M7" s="115">
        <f t="shared" si="0"/>
        <v>1.8301557329820388</v>
      </c>
      <c r="N7" s="115">
        <f t="shared" si="0"/>
        <v>1.3027810864443026</v>
      </c>
      <c r="O7" s="115">
        <f t="shared" si="0"/>
        <v>1.2405248990979161</v>
      </c>
      <c r="P7" s="115">
        <f t="shared" si="0"/>
        <v>1.1768683614636246</v>
      </c>
      <c r="Q7" s="115">
        <f t="shared" si="0"/>
        <v>0.70431898051420683</v>
      </c>
      <c r="R7" s="115">
        <f t="shared" si="0"/>
        <v>2.2297970604687269</v>
      </c>
      <c r="S7" s="115">
        <f t="shared" si="0"/>
        <v>0.83258218057891631</v>
      </c>
      <c r="T7" s="115">
        <f t="shared" si="0"/>
        <v>1.2473930187579434</v>
      </c>
      <c r="U7" s="115">
        <f t="shared" si="0"/>
        <v>1.1067291711686729</v>
      </c>
      <c r="V7" s="115">
        <f t="shared" si="0"/>
        <v>2.1892043430091301</v>
      </c>
      <c r="W7" s="115">
        <f t="shared" si="0"/>
        <v>0.94160132676548147</v>
      </c>
      <c r="X7" s="115">
        <f t="shared" si="0"/>
        <v>2.223121848771628</v>
      </c>
      <c r="Y7" s="115">
        <f t="shared" si="0"/>
        <v>1.7217009047283893</v>
      </c>
      <c r="Z7" s="115">
        <f t="shared" si="0"/>
        <v>0.89772568623285853</v>
      </c>
      <c r="AA7" s="115">
        <f t="shared" si="0"/>
        <v>1.6536983185050449</v>
      </c>
      <c r="AB7" s="115">
        <f t="shared" si="0"/>
        <v>2.0343067679677169</v>
      </c>
      <c r="AC7" s="115">
        <f t="shared" si="0"/>
        <v>1.6114288164824455</v>
      </c>
      <c r="AD7" s="115">
        <f t="shared" si="0"/>
        <v>1.1267347451796701</v>
      </c>
      <c r="AE7" s="115">
        <f t="shared" si="0"/>
        <v>2.5820601013941342</v>
      </c>
      <c r="AF7" s="115">
        <f t="shared" si="0"/>
        <v>1.0293315906585256</v>
      </c>
      <c r="AG7" s="115">
        <f t="shared" si="0"/>
        <v>0.91588903777442066</v>
      </c>
      <c r="AH7" s="115">
        <f t="shared" si="0"/>
        <v>1.3704411976399886</v>
      </c>
      <c r="AI7" s="115">
        <f t="shared" si="0"/>
        <v>0.9772744297890299</v>
      </c>
      <c r="AJ7" s="115">
        <f t="shared" si="0"/>
        <v>1.8296260360233942</v>
      </c>
      <c r="AK7" s="115">
        <f t="shared" si="0"/>
        <v>1.3832058963579428</v>
      </c>
      <c r="AL7" s="115">
        <f t="shared" si="0"/>
        <v>1.0322804933913492</v>
      </c>
      <c r="AM7" s="115">
        <f t="shared" si="0"/>
        <v>0.60783614611922931</v>
      </c>
      <c r="AN7" s="115">
        <f t="shared" si="0"/>
        <v>1</v>
      </c>
    </row>
    <row r="8" spans="1:40" x14ac:dyDescent="0.25">
      <c r="A8" t="s">
        <v>721</v>
      </c>
      <c r="B8" s="80">
        <f>IFERROR(INDEX(peer_capital_structure!$D$2:$D$39,MATCH(B$6,peer_capital_structure!$A$2:$A$39,0)),"")</f>
        <v>4519525613568</v>
      </c>
      <c r="C8" s="80">
        <f>IFERROR(INDEX(peer_capital_structure!$D$2:$D$39,MATCH(C$6,peer_capital_structure!$A$2:$A$39,0)),"")</f>
        <v>102368174080</v>
      </c>
      <c r="D8" s="80">
        <f>IFERROR(INDEX(peer_capital_structure!$D$2:$D$39,MATCH(D$6,peer_capital_structure!$A$2:$A$39,0)),"")</f>
        <v>794396000256</v>
      </c>
      <c r="E8" s="80">
        <f>IFERROR(INDEX(peer_capital_structure!$D$2:$D$39,MATCH(E$6,peer_capital_structure!$A$2:$A$39,0)),"")</f>
        <v>2931396182016</v>
      </c>
      <c r="F8" s="80">
        <f>IFERROR(INDEX(peer_capital_structure!$D$2:$D$39,MATCH(F$6,peer_capital_structure!$A$2:$A$39,0)),"")</f>
        <v>296198733824</v>
      </c>
      <c r="G8" s="80">
        <f>IFERROR(INDEX(peer_capital_structure!$D$2:$D$39,MATCH(G$6,peer_capital_structure!$A$2:$A$39,0)),"")</f>
        <v>1999278047232</v>
      </c>
      <c r="H8" s="80">
        <f>IFERROR(INDEX(peer_capital_structure!$D$2:$D$39,MATCH(H$6,peer_capital_structure!$A$2:$A$39,0)),"")</f>
        <v>307878232064</v>
      </c>
      <c r="I8" s="80">
        <f>IFERROR(INDEX(peer_capital_structure!$D$2:$D$39,MATCH(I$6,peer_capital_structure!$A$2:$A$39,0)),"")</f>
        <v>417592967168</v>
      </c>
      <c r="J8" s="80">
        <f>IFERROR(INDEX(peer_capital_structure!$D$2:$D$39,MATCH(J$6,peer_capital_structure!$A$2:$A$39,0)),"")</f>
        <v>157465034752</v>
      </c>
      <c r="K8" s="80">
        <f>IFERROR(INDEX(peer_capital_structure!$D$2:$D$39,MATCH(K$6,peer_capital_structure!$A$2:$A$39,0)),"")</f>
        <v>308384366592</v>
      </c>
      <c r="L8" s="80">
        <f>IFERROR(INDEX(peer_capital_structure!$D$2:$D$39,MATCH(L$6,peer_capital_structure!$A$2:$A$39,0)),"")</f>
        <v>47308201984</v>
      </c>
      <c r="M8" s="80">
        <f>IFERROR(INDEX(peer_capital_structure!$D$2:$D$39,MATCH(M$6,peer_capital_structure!$A$2:$A$39,0)),"")</f>
        <v>56743886848</v>
      </c>
      <c r="N8" s="80">
        <f>IFERROR(INDEX(peer_capital_structure!$D$2:$D$39,MATCH(N$6,peer_capital_structure!$A$2:$A$39,0)),"")</f>
        <v>80626966528</v>
      </c>
      <c r="O8" s="80">
        <f>IFERROR(INDEX(peer_capital_structure!$D$2:$D$39,MATCH(O$6,peer_capital_structure!$A$2:$A$39,0)),"")</f>
        <v>4436653506560</v>
      </c>
      <c r="P8" s="80">
        <f>IFERROR(INDEX(peer_capital_structure!$D$2:$D$39,MATCH(P$6,peer_capital_structure!$A$2:$A$39,0)),"")</f>
        <v>26397698048</v>
      </c>
      <c r="Q8" s="80">
        <f>IFERROR(INDEX(peer_capital_structure!$D$2:$D$39,MATCH(Q$6,peer_capital_structure!$A$2:$A$39,0)),"")</f>
        <v>224491782144</v>
      </c>
      <c r="R8" s="80">
        <f>IFERROR(INDEX(peer_capital_structure!$D$2:$D$39,MATCH(R$6,peer_capital_structure!$A$2:$A$39,0)),"")</f>
        <v>513756626944</v>
      </c>
      <c r="S8" s="80">
        <f>IFERROR(INDEX(peer_capital_structure!$D$2:$D$39,MATCH(S$6,peer_capital_structure!$A$2:$A$39,0)),"")</f>
        <v>2583500032</v>
      </c>
      <c r="T8" s="80">
        <f>IFERROR(INDEX(peer_capital_structure!$D$2:$D$39,MATCH(T$6,peer_capital_structure!$A$2:$A$39,0)),"")</f>
        <v>1487590785024</v>
      </c>
      <c r="U8" s="80">
        <f>IFERROR(INDEX(peer_capital_structure!$D$2:$D$39,MATCH(U$6,peer_capital_structure!$A$2:$A$39,0)),"")</f>
        <v>3623814692864</v>
      </c>
      <c r="V8" s="80">
        <f>IFERROR(INDEX(peer_capital_structure!$D$2:$D$39,MATCH(V$6,peer_capital_structure!$A$2:$A$39,0)),"")</f>
        <v>1040317939712</v>
      </c>
      <c r="W8" s="80">
        <f>IFERROR(INDEX(peer_capital_structure!$D$2:$D$39,MATCH(W$6,peer_capital_structure!$A$2:$A$39,0)),"")</f>
        <v>120806776832</v>
      </c>
      <c r="X8" s="80">
        <f>IFERROR(INDEX(peer_capital_structure!$D$2:$D$39,MATCH(X$6,peer_capital_structure!$A$2:$A$39,0)),"")</f>
        <v>5361320853504</v>
      </c>
      <c r="Y8" s="80">
        <f>IFERROR(INDEX(peer_capital_structure!$D$2:$D$39,MATCH(Y$6,peer_capital_structure!$A$2:$A$39,0)),"")</f>
        <v>415796002816</v>
      </c>
      <c r="Z8" s="80">
        <f>IFERROR(INDEX(peer_capital_structure!$D$2:$D$39,MATCH(Z$6,peer_capital_structure!$A$2:$A$39,0)),"")</f>
        <v>13110481920</v>
      </c>
      <c r="AA8" s="80">
        <f>IFERROR(INDEX(peer_capital_structure!$D$2:$D$39,MATCH(AA$6,peer_capital_structure!$A$2:$A$39,0)),"")</f>
        <v>165878988800</v>
      </c>
      <c r="AB8" s="80">
        <f>IFERROR(INDEX(peer_capital_structure!$D$2:$D$39,MATCH(AB$6,peer_capital_structure!$A$2:$A$39,0)),"")</f>
        <v>29864749056</v>
      </c>
      <c r="AC8" s="80">
        <f>IFERROR(INDEX(peer_capital_structure!$D$2:$D$39,MATCH(AC$6,peer_capital_structure!$A$2:$A$39,0)),"")</f>
        <v>22449078272</v>
      </c>
      <c r="AD8" s="80">
        <f>IFERROR(INDEX(peer_capital_structure!$D$2:$D$39,MATCH(AD$6,peer_capital_structure!$A$2:$A$39,0)),"")</f>
        <v>226252881920</v>
      </c>
      <c r="AE8" s="80">
        <f>IFERROR(INDEX(peer_capital_structure!$D$2:$D$39,MATCH(AE$6,peer_capital_structure!$A$2:$A$39,0)),"")</f>
        <v>189600317440</v>
      </c>
      <c r="AF8" s="80">
        <f>IFERROR(INDEX(peer_capital_structure!$D$2:$D$39,MATCH(AF$6,peer_capital_structure!$A$2:$A$39,0)),"")</f>
        <v>8914809856</v>
      </c>
      <c r="AG8" s="80">
        <f>IFERROR(INDEX(peer_capital_structure!$D$2:$D$39,MATCH(AG$6,peer_capital_structure!$A$2:$A$39,0)),"")</f>
        <v>132189118464</v>
      </c>
      <c r="AH8" s="80">
        <f>IFERROR(INDEX(peer_capital_structure!$D$2:$D$39,MATCH(AH$6,peer_capital_structure!$A$2:$A$39,0)),"")</f>
        <v>21322678272</v>
      </c>
      <c r="AI8" s="80">
        <f>IFERROR(INDEX(peer_capital_structure!$D$2:$D$39,MATCH(AI$6,peer_capital_structure!$A$2:$A$39,0)),"")</f>
        <v>67034062848</v>
      </c>
      <c r="AJ8" s="80">
        <f>IFERROR(INDEX(peer_capital_structure!$D$2:$D$39,MATCH(AJ$6,peer_capital_structure!$A$2:$A$39,0)),"")</f>
        <v>1276967780352</v>
      </c>
      <c r="AK8" s="80">
        <f>IFERROR(INDEX(peer_capital_structure!$D$2:$D$39,MATCH(AK$6,peer_capital_structure!$A$2:$A$39,0)),"")</f>
        <v>2154367811584</v>
      </c>
      <c r="AL8" s="80">
        <f>IFERROR(INDEX(peer_capital_structure!$D$2:$D$39,MATCH(AL$6,peer_capital_structure!$A$2:$A$39,0)),"")</f>
        <v>8866243584</v>
      </c>
      <c r="AM8" s="80">
        <f>IFERROR(INDEX(peer_capital_structure!$D$2:$D$39,MATCH(AM$6,peer_capital_structure!$A$2:$A$39,0)),"")</f>
        <v>891185463296</v>
      </c>
      <c r="AN8" s="35"/>
    </row>
    <row r="9" spans="1:40" ht="16.5" customHeight="1" x14ac:dyDescent="0.25">
      <c r="A9" t="s">
        <v>255</v>
      </c>
      <c r="B9" s="80">
        <f>IFERROR(INDEX(peer_capital_structure!$E$2:$E$39,MATCH(B$6,peer_capital_structure!$A$2:$A$39,0)),"")</f>
        <v>84343996416</v>
      </c>
      <c r="C9" s="80">
        <f>IFERROR(INDEX(peer_capital_structure!$E$2:$E$39,MATCH(C$6,peer_capital_structure!$A$2:$A$39,0)),"")</f>
        <v>7077000192</v>
      </c>
      <c r="D9" s="80">
        <f>IFERROR(INDEX(peer_capital_structure!$E$2:$E$39,MATCH(D$6,peer_capital_structure!$A$2:$A$39,0)),"")</f>
        <v>3871000064</v>
      </c>
      <c r="E9" s="80">
        <f>IFERROR(INDEX(peer_capital_structure!$E$2:$E$39,MATCH(E$6,peer_capital_structure!$A$2:$A$39,0)),"")</f>
        <v>251635007488</v>
      </c>
      <c r="F9" s="80">
        <f>IFERROR(INDEX(peer_capital_structure!$E$2:$E$39,MATCH(F$6,peer_capital_structure!$A$2:$A$39,0)),"")</f>
        <v>485000000</v>
      </c>
      <c r="G9" s="80">
        <f>IFERROR(INDEX(peer_capital_structure!$E$2:$E$39,MATCH(G$6,peer_capital_structure!$A$2:$A$39,0)),"")</f>
        <v>64907001856</v>
      </c>
      <c r="H9" s="80">
        <f>IFERROR(INDEX(peer_capital_structure!$E$2:$E$39,MATCH(H$6,peer_capital_structure!$A$2:$A$39,0)),"")</f>
        <v>281721995264</v>
      </c>
      <c r="I9" s="80">
        <f>IFERROR(INDEX(peer_capital_structure!$E$2:$E$39,MATCH(I$6,peer_capital_structure!$A$2:$A$39,0)),"")</f>
        <v>10227999744</v>
      </c>
      <c r="J9" s="80">
        <f>IFERROR(INDEX(peer_capital_structure!$E$2:$E$39,MATCH(J$6,peer_capital_structure!$A$2:$A$39,0)),"")</f>
        <v>42547998720</v>
      </c>
      <c r="K9" s="80">
        <f>IFERROR(INDEX(peer_capital_structure!$E$2:$E$39,MATCH(K$6,peer_capital_structure!$A$2:$A$39,0)),"")</f>
        <v>31924000768</v>
      </c>
      <c r="L9" s="80">
        <f>IFERROR(INDEX(peer_capital_structure!$E$2:$E$39,MATCH(L$6,peer_capital_structure!$A$2:$A$39,0)),"")</f>
        <v>7206000128</v>
      </c>
      <c r="M9" s="80">
        <f>IFERROR(INDEX(peer_capital_structure!$E$2:$E$39,MATCH(M$6,peer_capital_structure!$A$2:$A$39,0)),"")</f>
        <v>163296002048</v>
      </c>
      <c r="N9" s="80">
        <f>IFERROR(INDEX(peer_capital_structure!$E$2:$E$39,MATCH(N$6,peer_capital_structure!$A$2:$A$39,0)),"")</f>
        <v>128771997696</v>
      </c>
      <c r="O9" s="80">
        <f>IFERROR(INDEX(peer_capital_structure!$E$2:$E$39,MATCH(O$6,peer_capital_structure!$A$2:$A$39,0)),"")</f>
        <v>120790999040</v>
      </c>
      <c r="P9" s="80">
        <f>IFERROR(INDEX(peer_capital_structure!$E$2:$E$39,MATCH(P$6,peer_capital_structure!$A$2:$A$39,0)),"")</f>
        <v>10864000000</v>
      </c>
      <c r="Q9" s="80">
        <f>IFERROR(INDEX(peer_capital_structure!$E$2:$E$39,MATCH(Q$6,peer_capital_structure!$A$2:$A$39,0)),"")</f>
        <v>65272000512</v>
      </c>
      <c r="R9" s="80">
        <f>IFERROR(INDEX(peer_capital_structure!$E$2:$E$39,MATCH(R$6,peer_capital_structure!$A$2:$A$39,0)),"")</f>
        <v>50537000960</v>
      </c>
      <c r="S9" s="80">
        <f>IFERROR(INDEX(peer_capital_structure!$E$2:$E$39,MATCH(S$6,peer_capital_structure!$A$2:$A$39,0)),"")</f>
        <v>3168143104</v>
      </c>
      <c r="T9" s="80">
        <f>IFERROR(INDEX(peer_capital_structure!$E$2:$E$39,MATCH(T$6,peer_capital_structure!$A$2:$A$39,0)),"")</f>
        <v>112317997056</v>
      </c>
      <c r="U9" s="80">
        <f>IFERROR(INDEX(peer_capital_structure!$E$2:$E$39,MATCH(U$6,peer_capital_structure!$A$2:$A$39,0)),"")</f>
        <v>128812998656</v>
      </c>
      <c r="V9" s="80">
        <f>IFERROR(INDEX(peer_capital_structure!$E$2:$E$39,MATCH(V$6,peer_capital_structure!$A$2:$A$39,0)),"")</f>
        <v>6376000000</v>
      </c>
      <c r="W9" s="80">
        <f>IFERROR(INDEX(peer_capital_structure!$E$2:$E$39,MATCH(W$6,peer_capital_structure!$A$2:$A$39,0)),"")</f>
        <v>8453000192</v>
      </c>
      <c r="X9" s="80">
        <f>IFERROR(INDEX(peer_capital_structure!$E$2:$E$39,MATCH(X$6,peer_capital_structure!$A$2:$A$39,0)),"")</f>
        <v>12814000128</v>
      </c>
      <c r="Y9" s="80">
        <f>IFERROR(INDEX(peer_capital_structure!$E$2:$E$39,MATCH(Y$6,peer_capital_structure!$A$2:$A$39,0)),"")</f>
        <v>167431995392</v>
      </c>
      <c r="Z9" s="80">
        <f>IFERROR(INDEX(peer_capital_structure!$E$2:$E$39,MATCH(Z$6,peer_capital_structure!$A$2:$A$39,0)),"")</f>
        <v>1205030016</v>
      </c>
      <c r="AA9" s="80">
        <f>IFERROR(INDEX(peer_capital_structure!$E$2:$E$39,MATCH(AA$6,peer_capital_structure!$A$2:$A$39,0)),"")</f>
        <v>15269999616</v>
      </c>
      <c r="AB9" s="80">
        <f>IFERROR(INDEX(peer_capital_structure!$E$2:$E$39,MATCH(AB$6,peer_capital_structure!$A$2:$A$39,0)),"")</f>
        <v>20867000</v>
      </c>
      <c r="AC9" s="80">
        <f>IFERROR(INDEX(peer_capital_structure!$E$2:$E$39,MATCH(AC$6,peer_capital_structure!$A$2:$A$39,0)),"")</f>
        <v>5352999936</v>
      </c>
      <c r="AD9" s="80">
        <f>IFERROR(INDEX(peer_capital_structure!$E$2:$E$39,MATCH(AD$6,peer_capital_structure!$A$2:$A$39,0)),"")</f>
        <v>9939000320</v>
      </c>
      <c r="AE9" s="80">
        <f>IFERROR(INDEX(peer_capital_structure!$E$2:$E$39,MATCH(AE$6,peer_capital_structure!$A$2:$A$39,0)),"")</f>
        <v>179000000</v>
      </c>
      <c r="AF9" s="80">
        <f>IFERROR(INDEX(peer_capital_structure!$E$2:$E$39,MATCH(AF$6,peer_capital_structure!$A$2:$A$39,0)),"")</f>
        <v>4225746944</v>
      </c>
      <c r="AG9" s="80">
        <f>IFERROR(INDEX(peer_capital_structure!$E$2:$E$39,MATCH(AG$6,peer_capital_structure!$A$2:$A$39,0)),"")</f>
        <v>1870597980160</v>
      </c>
      <c r="AH9" s="80">
        <f>IFERROR(INDEX(peer_capital_structure!$E$2:$E$39,MATCH(AH$6,peer_capital_structure!$A$2:$A$39,0)),"")</f>
        <v>52097998848</v>
      </c>
      <c r="AI9" s="80">
        <f>IFERROR(INDEX(peer_capital_structure!$E$2:$E$39,MATCH(AI$6,peer_capital_structure!$A$2:$A$39,0)),"")</f>
        <v>19271999488</v>
      </c>
      <c r="AJ9" s="80">
        <f>IFERROR(INDEX(peer_capital_structure!$E$2:$E$39,MATCH(AJ$6,peer_capital_structure!$A$2:$A$39,0)),"")</f>
        <v>16080000000</v>
      </c>
      <c r="AK9" s="80">
        <f>IFERROR(INDEX(peer_capital_structure!$E$2:$E$39,MATCH(AK$6,peer_capital_structure!$A$2:$A$39,0)),"")</f>
        <v>982447030272</v>
      </c>
      <c r="AL9" s="80">
        <f>IFERROR(INDEX(peer_capital_structure!$E$2:$E$39,MATCH(AL$6,peer_capital_structure!$A$2:$A$39,0)),"")</f>
        <v>423575008</v>
      </c>
      <c r="AM9" s="80">
        <f>IFERROR(INDEX(peer_capital_structure!$E$2:$E$39,MATCH(AM$6,peer_capital_structure!$A$2:$A$39,0)),"")</f>
        <v>75545001984</v>
      </c>
      <c r="AN9" s="35"/>
    </row>
    <row r="10" spans="1:40" x14ac:dyDescent="0.25">
      <c r="A10" t="s">
        <v>722</v>
      </c>
      <c r="B10" s="115">
        <f t="shared" ref="B10:AM10" si="1">IFERROR(IF(B12&lt;&gt;"",B12,B9)/B8,"")</f>
        <v>1.8662134840610738E-2</v>
      </c>
      <c r="C10" s="115">
        <f t="shared" si="1"/>
        <v>6.9132816479361786E-2</v>
      </c>
      <c r="D10" s="115">
        <f t="shared" si="1"/>
        <v>4.8728846353110304E-3</v>
      </c>
      <c r="E10" s="115">
        <f t="shared" si="1"/>
        <v>8.5841350627312282E-2</v>
      </c>
      <c r="F10" s="115">
        <f t="shared" si="1"/>
        <v>1.6374141568349339E-3</v>
      </c>
      <c r="G10" s="115">
        <f t="shared" si="1"/>
        <v>3.2465220105759543E-2</v>
      </c>
      <c r="H10" s="115">
        <f t="shared" si="1"/>
        <v>0.91504356568293277</v>
      </c>
      <c r="I10" s="115">
        <f t="shared" si="1"/>
        <v>2.4492749035893647E-2</v>
      </c>
      <c r="J10" s="115">
        <f t="shared" si="1"/>
        <v>0.27020600977868575</v>
      </c>
      <c r="K10" s="115">
        <f t="shared" si="1"/>
        <v>0.10352016582681128</v>
      </c>
      <c r="L10" s="115">
        <f t="shared" si="1"/>
        <v>0.1523203128801455</v>
      </c>
      <c r="M10" s="115">
        <f t="shared" si="1"/>
        <v>2.8777725869470561</v>
      </c>
      <c r="N10" s="115">
        <f t="shared" si="1"/>
        <v>0.20150826329746349</v>
      </c>
      <c r="O10" s="115">
        <f t="shared" si="1"/>
        <v>2.7225700375609545E-2</v>
      </c>
      <c r="P10" s="115">
        <f t="shared" si="1"/>
        <v>0.41155103677015892</v>
      </c>
      <c r="Q10" s="115">
        <f t="shared" si="1"/>
        <v>0.29075452067163576</v>
      </c>
      <c r="R10" s="115">
        <f t="shared" si="1"/>
        <v>9.8367589456921173E-2</v>
      </c>
      <c r="S10" s="115">
        <f t="shared" si="1"/>
        <v>1.2262988444971694</v>
      </c>
      <c r="T10" s="115">
        <f t="shared" si="1"/>
        <v>7.5503289067623477E-2</v>
      </c>
      <c r="U10" s="115">
        <f t="shared" si="1"/>
        <v>3.5546243274982577E-2</v>
      </c>
      <c r="V10" s="115">
        <f t="shared" si="1"/>
        <v>6.1288955583762425E-3</v>
      </c>
      <c r="W10" s="115">
        <f t="shared" si="1"/>
        <v>6.9971241793456415E-2</v>
      </c>
      <c r="X10" s="115">
        <f t="shared" si="1"/>
        <v>2.3900826826331704E-3</v>
      </c>
      <c r="Y10" s="115">
        <f t="shared" si="1"/>
        <v>0.40267822263335418</v>
      </c>
      <c r="Z10" s="115">
        <f t="shared" si="1"/>
        <v>9.1913479866955194E-2</v>
      </c>
      <c r="AA10" s="115">
        <f t="shared" si="1"/>
        <v>9.2055056077120237E-2</v>
      </c>
      <c r="AB10" s="115">
        <f t="shared" si="1"/>
        <v>6.9871673660715727E-4</v>
      </c>
      <c r="AC10" s="115">
        <f t="shared" si="1"/>
        <v>0.23845076716029903</v>
      </c>
      <c r="AD10" s="115">
        <f t="shared" si="1"/>
        <v>4.3928723628432267E-2</v>
      </c>
      <c r="AE10" s="115">
        <f t="shared" si="1"/>
        <v>9.4409124634849551E-4</v>
      </c>
      <c r="AF10" s="115">
        <f t="shared" si="1"/>
        <v>0.47401425406240322</v>
      </c>
      <c r="AG10" s="115">
        <f t="shared" si="1"/>
        <v>14.150922571356984</v>
      </c>
      <c r="AH10" s="115">
        <f t="shared" si="1"/>
        <v>2.4433140238490956</v>
      </c>
      <c r="AI10" s="115">
        <f t="shared" si="1"/>
        <v>0.28749562042359472</v>
      </c>
      <c r="AJ10" s="115">
        <f t="shared" si="1"/>
        <v>1.2592330243107229E-2</v>
      </c>
      <c r="AK10" s="115">
        <f t="shared" si="1"/>
        <v>0.45602567258450422</v>
      </c>
      <c r="AL10" s="115">
        <f t="shared" si="1"/>
        <v>4.7773897027189996E-2</v>
      </c>
      <c r="AM10" s="115">
        <f t="shared" si="1"/>
        <v>8.4769113832491166E-2</v>
      </c>
      <c r="AN10" s="27"/>
    </row>
    <row r="11" spans="1:40" x14ac:dyDescent="0.25">
      <c r="A11" t="s">
        <v>723</v>
      </c>
      <c r="B11" s="115">
        <f t="shared" ref="B11:AM11" si="2">IFERROR(B7/(1+(1-$B$4)*B10),"")</f>
        <v>1.0729716338469268</v>
      </c>
      <c r="C11" s="115">
        <f t="shared" si="2"/>
        <v>1.331501975783173</v>
      </c>
      <c r="D11" s="115">
        <f t="shared" si="2"/>
        <v>2.471871450889791</v>
      </c>
      <c r="E11" s="115">
        <f t="shared" si="2"/>
        <v>1.3618675586586548</v>
      </c>
      <c r="F11" s="115">
        <f t="shared" si="2"/>
        <v>3.9029527425681492</v>
      </c>
      <c r="G11" s="115">
        <f t="shared" si="2"/>
        <v>1.4159620211907744</v>
      </c>
      <c r="H11" s="115">
        <f t="shared" si="2"/>
        <v>0.28886305199562218</v>
      </c>
      <c r="I11" s="115">
        <f t="shared" si="2"/>
        <v>0.85824228584333662</v>
      </c>
      <c r="J11" s="115">
        <f t="shared" si="2"/>
        <v>0.96002144253322796</v>
      </c>
      <c r="K11" s="115">
        <f t="shared" si="2"/>
        <v>1.2283658027704716</v>
      </c>
      <c r="L11" s="115">
        <f t="shared" si="2"/>
        <v>1.2288619640918437</v>
      </c>
      <c r="M11" s="115">
        <f t="shared" si="2"/>
        <v>0.55909243512286178</v>
      </c>
      <c r="N11" s="115">
        <f t="shared" si="2"/>
        <v>1.1238704346696082</v>
      </c>
      <c r="O11" s="115">
        <f t="shared" si="2"/>
        <v>1.21440510575817</v>
      </c>
      <c r="P11" s="115">
        <f t="shared" si="2"/>
        <v>0.88811853833472554</v>
      </c>
      <c r="Q11" s="115">
        <f t="shared" si="2"/>
        <v>0.57275858395814727</v>
      </c>
      <c r="R11" s="115">
        <f t="shared" si="2"/>
        <v>2.069013224170011</v>
      </c>
      <c r="S11" s="115">
        <f t="shared" si="2"/>
        <v>0.42289328177639207</v>
      </c>
      <c r="T11" s="115">
        <f t="shared" si="2"/>
        <v>1.1771772244701777</v>
      </c>
      <c r="U11" s="115">
        <f t="shared" si="2"/>
        <v>1.07649941810949</v>
      </c>
      <c r="V11" s="115">
        <f t="shared" si="2"/>
        <v>2.1786556681016371</v>
      </c>
      <c r="W11" s="115">
        <f t="shared" si="2"/>
        <v>0.89227859227499462</v>
      </c>
      <c r="X11" s="115">
        <f t="shared" si="2"/>
        <v>2.2189321380627018</v>
      </c>
      <c r="Y11" s="115">
        <f t="shared" si="2"/>
        <v>1.306183349072523</v>
      </c>
      <c r="Z11" s="115">
        <f t="shared" si="2"/>
        <v>0.83695313862234222</v>
      </c>
      <c r="AA11" s="115">
        <f t="shared" si="2"/>
        <v>1.5415886081461569</v>
      </c>
      <c r="AB11" s="115">
        <f t="shared" si="2"/>
        <v>2.0331844781491575</v>
      </c>
      <c r="AC11" s="115">
        <f t="shared" si="2"/>
        <v>1.3559922723704168</v>
      </c>
      <c r="AD11" s="115">
        <f t="shared" si="2"/>
        <v>1.0889443560068739</v>
      </c>
      <c r="AE11" s="115">
        <f t="shared" si="2"/>
        <v>2.5801357533666107</v>
      </c>
      <c r="AF11" s="115">
        <f t="shared" si="2"/>
        <v>0.74889277068429716</v>
      </c>
      <c r="AG11" s="115">
        <f t="shared" si="2"/>
        <v>7.5200905611956026E-2</v>
      </c>
      <c r="AH11" s="115">
        <f t="shared" si="2"/>
        <v>0.4676925610199445</v>
      </c>
      <c r="AI11" s="115">
        <f t="shared" si="2"/>
        <v>0.79639579114698233</v>
      </c>
      <c r="AJ11" s="115">
        <f t="shared" si="2"/>
        <v>1.8116043034924594</v>
      </c>
      <c r="AK11" s="115">
        <f t="shared" si="2"/>
        <v>1.0168685473882624</v>
      </c>
      <c r="AL11" s="115">
        <f t="shared" si="2"/>
        <v>0.99473772042584707</v>
      </c>
      <c r="AM11" s="115">
        <f t="shared" si="2"/>
        <v>0.5696856644573236</v>
      </c>
      <c r="AN11" s="27"/>
    </row>
    <row r="12" spans="1:40" x14ac:dyDescent="0.25">
      <c r="A12" s="33" t="s">
        <v>794</v>
      </c>
      <c r="B12" s="60"/>
      <c r="C12" s="60"/>
      <c r="D12" s="60"/>
      <c r="E12" s="60"/>
      <c r="F12" s="60"/>
      <c r="G12" s="60"/>
      <c r="H12" s="60"/>
      <c r="I12" s="60"/>
      <c r="J12" s="60"/>
      <c r="K12" s="60"/>
      <c r="L12" s="60"/>
      <c r="M12" s="60"/>
      <c r="N12" s="124">
        <v>16247000000</v>
      </c>
      <c r="O12" s="60"/>
      <c r="P12" s="60"/>
      <c r="Q12" s="60"/>
      <c r="R12" s="60"/>
      <c r="S12" s="60"/>
      <c r="T12" s="60"/>
      <c r="U12" s="60"/>
      <c r="V12" s="60"/>
      <c r="W12" s="60"/>
      <c r="X12" s="60"/>
      <c r="Y12" s="60"/>
      <c r="Z12" s="60"/>
      <c r="AA12" s="60"/>
      <c r="AB12" s="60"/>
      <c r="AC12" s="60"/>
      <c r="AD12" s="60"/>
      <c r="AE12" s="60"/>
      <c r="AF12" s="60"/>
      <c r="AG12" s="60"/>
      <c r="AH12" s="60"/>
      <c r="AI12" s="60"/>
      <c r="AJ12" s="60"/>
      <c r="AK12" s="60"/>
      <c r="AL12" s="60"/>
      <c r="AM12" s="60"/>
      <c r="AN12" s="60"/>
    </row>
    <row r="13" spans="1:40" x14ac:dyDescent="0.25">
      <c r="A13" s="24" t="s">
        <v>724</v>
      </c>
      <c r="B13" s="24"/>
      <c r="C13" s="24"/>
      <c r="D13" s="24"/>
      <c r="E13" s="24"/>
      <c r="F13" s="24"/>
      <c r="G13" s="24"/>
      <c r="H13" s="24"/>
    </row>
    <row r="14" spans="1:40" x14ac:dyDescent="0.25">
      <c r="A14" s="9" t="s">
        <v>725</v>
      </c>
      <c r="B14" s="9" t="s">
        <v>296</v>
      </c>
      <c r="C14" s="9" t="s">
        <v>295</v>
      </c>
      <c r="D14" s="9" t="s">
        <v>308</v>
      </c>
      <c r="E14" s="9" t="s">
        <v>291</v>
      </c>
      <c r="F14" s="9" t="s">
        <v>294</v>
      </c>
      <c r="G14" s="9" t="s">
        <v>292</v>
      </c>
      <c r="H14" s="9" t="s">
        <v>293</v>
      </c>
    </row>
    <row r="15" spans="1:40" x14ac:dyDescent="0.25">
      <c r="A15" t="s">
        <v>726</v>
      </c>
      <c r="B15" s="68">
        <v>3</v>
      </c>
      <c r="C15" s="68">
        <v>6</v>
      </c>
      <c r="D15" s="68">
        <v>5</v>
      </c>
      <c r="E15" s="68">
        <v>7</v>
      </c>
      <c r="F15" s="68">
        <v>8</v>
      </c>
      <c r="G15" s="68">
        <v>6</v>
      </c>
      <c r="H15" s="68">
        <v>6</v>
      </c>
    </row>
    <row r="16" spans="1:40" x14ac:dyDescent="0.25">
      <c r="A16" t="s">
        <v>727</v>
      </c>
      <c r="B16" s="115">
        <f>MEDIAN($B$11,$K$11,$P$11)</f>
        <v>1.0729716338469268</v>
      </c>
      <c r="C16" s="115">
        <f>MEDIAN($U$11,$Y$11,$C$11,$J$11,$W$11,$AD$11)</f>
        <v>1.0827218870581818</v>
      </c>
      <c r="D16" s="115">
        <f>MEDIAN($O$11,$T$11,$Z$11,$AF$11,$AL$11)</f>
        <v>0.99473772042584707</v>
      </c>
      <c r="E16" s="115">
        <f>MEDIAN($E$11,$AM$11,$I$11,$H$11,$AE$11,$AI$11,$L$11)</f>
        <v>0.85824228584333662</v>
      </c>
      <c r="F16" s="115">
        <f>MEDIAN($X$11,$D$11,$G$11,$AK$11,$AA$11,$V$11,$R$11,$F$11)</f>
        <v>2.1238344461358238</v>
      </c>
      <c r="G16" s="115">
        <f>MEDIAN($T$11,$O$11,$Z$11,$AF$11,$AB$11,$AL$11)</f>
        <v>1.0859574724480123</v>
      </c>
      <c r="H16" s="115">
        <f>MEDIAN($AJ$11,$N$11,$M$11,$AC$11,$S$11,$AH$11)</f>
        <v>0.84148143489623495</v>
      </c>
    </row>
    <row r="17" spans="1:40" x14ac:dyDescent="0.25">
      <c r="A17" t="s">
        <v>728</v>
      </c>
      <c r="B17" s="125">
        <f ca="1">(WACC!C35+WACC!C36)/WACC!C34</f>
        <v>2.8242490360616664E-2</v>
      </c>
      <c r="C17" s="125">
        <f ca="1">(WACC!D35+WACC!D36)/WACC!D34</f>
        <v>3.0496260199415766E-2</v>
      </c>
      <c r="D17" s="125">
        <f ca="1">(WACC!E35+WACC!E36)/WACC!E34</f>
        <v>1.5365133486370064E-2</v>
      </c>
      <c r="E17" s="125">
        <f ca="1">(WACC!F35+WACC!F36)/WACC!F34</f>
        <v>8.9842151395734163E-2</v>
      </c>
      <c r="F17" s="125">
        <f ca="1">(WACC!G35+WACC!G36)/WACC!G34</f>
        <v>2.094378432820591E-3</v>
      </c>
      <c r="G17" s="125">
        <f ca="1">(WACC!H35+WACC!H36)/WACC!H34</f>
        <v>5.6620771993761886E-2</v>
      </c>
      <c r="H17" s="125">
        <f ca="1">(WACC!I35+WACC!I36)/WACC!I34</f>
        <v>1.1053316630303654E-2</v>
      </c>
    </row>
    <row r="18" spans="1:40" x14ac:dyDescent="0.25">
      <c r="A18" s="9" t="s">
        <v>729</v>
      </c>
      <c r="B18" s="116">
        <f t="shared" ref="B18:H18" ca="1" si="3">B16*(1+(1-$B$4)*B17)</f>
        <v>1.0969113127575751</v>
      </c>
      <c r="C18" s="116">
        <f t="shared" ca="1" si="3"/>
        <v>1.1088068720873314</v>
      </c>
      <c r="D18" s="116">
        <f t="shared" ca="1" si="3"/>
        <v>1.0068122999338809</v>
      </c>
      <c r="E18" s="116">
        <f t="shared" ca="1" si="3"/>
        <v>0.91915628921271353</v>
      </c>
      <c r="F18" s="116">
        <f t="shared" ca="1" si="3"/>
        <v>2.1273484554523301</v>
      </c>
      <c r="G18" s="116">
        <f t="shared" ca="1" si="3"/>
        <v>1.1345327952975088</v>
      </c>
      <c r="H18" s="116">
        <f t="shared" ca="1" si="3"/>
        <v>0.84882935187959485</v>
      </c>
    </row>
    <row r="19" spans="1:40" x14ac:dyDescent="0.25">
      <c r="A19" s="57" t="s">
        <v>731</v>
      </c>
      <c r="B19" s="24" t="s">
        <v>732</v>
      </c>
      <c r="C19" s="24" t="s">
        <v>733</v>
      </c>
      <c r="D19" s="24" t="s">
        <v>734</v>
      </c>
      <c r="E19" s="24" t="s">
        <v>735</v>
      </c>
      <c r="F19" s="24" t="s">
        <v>736</v>
      </c>
      <c r="G19" s="24" t="s">
        <v>734</v>
      </c>
      <c r="H19" s="24" t="s">
        <v>737</v>
      </c>
      <c r="I19" s="24" t="s">
        <v>658</v>
      </c>
      <c r="J19" s="24" t="s">
        <v>649</v>
      </c>
      <c r="K19" s="24" t="s">
        <v>645</v>
      </c>
      <c r="L19" s="24" t="s">
        <v>662</v>
      </c>
      <c r="M19" s="24" t="s">
        <v>672</v>
      </c>
      <c r="N19" s="24" t="s">
        <v>671</v>
      </c>
      <c r="O19" s="24" t="s">
        <v>308</v>
      </c>
      <c r="P19" s="24" t="s">
        <v>646</v>
      </c>
      <c r="Q19" s="24" t="s">
        <v>653</v>
      </c>
      <c r="R19" s="24" t="s">
        <v>668</v>
      </c>
      <c r="S19" s="24" t="s">
        <v>674</v>
      </c>
      <c r="T19" s="24" t="s">
        <v>292</v>
      </c>
      <c r="U19" s="24" t="s">
        <v>295</v>
      </c>
      <c r="V19" s="24" t="s">
        <v>667</v>
      </c>
      <c r="W19" s="24" t="s">
        <v>651</v>
      </c>
      <c r="X19" s="24" t="s">
        <v>294</v>
      </c>
      <c r="Y19" s="24" t="s">
        <v>648</v>
      </c>
      <c r="Z19" s="24" t="s">
        <v>655</v>
      </c>
      <c r="AA19" s="24" t="s">
        <v>666</v>
      </c>
      <c r="AB19" s="24" t="s">
        <v>670</v>
      </c>
      <c r="AC19" s="24" t="s">
        <v>673</v>
      </c>
      <c r="AD19" s="24" t="s">
        <v>652</v>
      </c>
      <c r="AE19" s="24" t="s">
        <v>660</v>
      </c>
      <c r="AF19" s="24" t="s">
        <v>656</v>
      </c>
      <c r="AG19" s="24" t="s">
        <v>647</v>
      </c>
      <c r="AH19" s="24" t="s">
        <v>675</v>
      </c>
      <c r="AI19" s="24" t="s">
        <v>661</v>
      </c>
      <c r="AJ19" s="24" t="s">
        <v>293</v>
      </c>
      <c r="AK19" s="24" t="s">
        <v>665</v>
      </c>
      <c r="AL19" s="24" t="s">
        <v>654</v>
      </c>
      <c r="AM19" s="24" t="s">
        <v>657</v>
      </c>
      <c r="AN19" s="24" t="s">
        <v>290</v>
      </c>
    </row>
    <row r="20" spans="1:40" x14ac:dyDescent="0.25">
      <c r="A20" s="126">
        <f>peer_prices_monthly!A3</f>
        <v>44439</v>
      </c>
      <c r="B20" s="113">
        <f>IFERROR(peer_prices_monthly!B3/peer_prices_monthly!B2-1,"")</f>
        <v>4.2489188627923058E-2</v>
      </c>
      <c r="C20" s="113">
        <f>IFERROR(peer_prices_monthly!C3/peer_prices_monthly!C2-1,"")</f>
        <v>6.7676925170543578E-2</v>
      </c>
      <c r="D20" s="113">
        <f>IFERROR(peer_prices_monthly!D3/peer_prices_monthly!D2-1,"")</f>
        <v>4.2659371646558197E-2</v>
      </c>
      <c r="E20" s="113">
        <f>IFERROR(peer_prices_monthly!E3/peer_prices_monthly!E2-1,"")</f>
        <v>4.3034169499993835E-2</v>
      </c>
      <c r="F20" s="113" t="str">
        <f>IFERROR(peer_prices_monthly!F3/peer_prices_monthly!F2-1,"")</f>
        <v/>
      </c>
      <c r="G20" s="113">
        <f>IFERROR(peer_prices_monthly!G3/peer_prices_monthly!G2-1,"")</f>
        <v>2.433051335632519E-2</v>
      </c>
      <c r="H20" s="113">
        <f>IFERROR(peer_prices_monthly!H3/peer_prices_monthly!H2-1,"")</f>
        <v>-0.14447466285072408</v>
      </c>
      <c r="I20" s="113">
        <f>IFERROR(peer_prices_monthly!I3/peer_prices_monthly!I2-1,"")</f>
        <v>5.9969395034861428E-2</v>
      </c>
      <c r="J20" s="113">
        <f>IFERROR(peer_prices_monthly!J3/peer_prices_monthly!J2-1,"")</f>
        <v>9.6474303305376319E-2</v>
      </c>
      <c r="K20" s="113">
        <f>IFERROR(peer_prices_monthly!K3/peer_prices_monthly!K2-1,"")</f>
        <v>8.6936590303419159E-3</v>
      </c>
      <c r="L20" s="113">
        <f>IFERROR(peer_prices_monthly!L3/peer_prices_monthly!L2-1,"")</f>
        <v>0.12767201403573769</v>
      </c>
      <c r="M20" s="113">
        <f>IFERROR(peer_prices_monthly!M3/peer_prices_monthly!M2-1,"")</f>
        <v>-6.5949869710310027E-2</v>
      </c>
      <c r="N20" s="113">
        <f>IFERROR(peer_prices_monthly!N3/peer_prices_monthly!N2-1,"")</f>
        <v>-0.13775538082773064</v>
      </c>
      <c r="O20" s="113">
        <f>IFERROR(peer_prices_monthly!O3/peer_prices_monthly!O2-1,"")</f>
        <v>7.4009313022612044E-2</v>
      </c>
      <c r="P20" s="113">
        <f>IFERROR(peer_prices_monthly!P3/peer_prices_monthly!P2-1,"")</f>
        <v>3.0135174100290651E-2</v>
      </c>
      <c r="Q20" s="113">
        <f>IFERROR(peer_prices_monthly!Q3/peer_prices_monthly!Q2-1,"")</f>
        <v>7.0638538571301535E-3</v>
      </c>
      <c r="R20" s="113">
        <f>IFERROR(peer_prices_monthly!R3/peer_prices_monthly!R2-1,"")</f>
        <v>1.286856368122069E-2</v>
      </c>
      <c r="S20" s="113">
        <f>IFERROR(peer_prices_monthly!S3/peer_prices_monthly!S2-1,"")</f>
        <v>-0.15851598367824182</v>
      </c>
      <c r="T20" s="113">
        <f>IFERROR(peer_prices_monthly!T3/peer_prices_monthly!T2-1,"")</f>
        <v>6.4776797270755138E-2</v>
      </c>
      <c r="U20" s="113">
        <f>IFERROR(peer_prices_monthly!U3/peer_prices_monthly!U2-1,"")</f>
        <v>6.1591162702343105E-2</v>
      </c>
      <c r="V20" s="113">
        <f>IFERROR(peer_prices_monthly!V3/peer_prices_monthly!V2-1,"")</f>
        <v>-5.001297935626825E-2</v>
      </c>
      <c r="W20" s="113">
        <f>IFERROR(peer_prices_monthly!W3/peer_prices_monthly!W2-1,"")</f>
        <v>9.4830611327461956E-2</v>
      </c>
      <c r="X20" s="113">
        <f>IFERROR(peer_prices_monthly!X3/peer_prices_monthly!X2-1,"")</f>
        <v>0.14820981926124976</v>
      </c>
      <c r="Y20" s="113">
        <f>IFERROR(peer_prices_monthly!Y3/peer_prices_monthly!Y2-1,"")</f>
        <v>2.2836846340088979E-2</v>
      </c>
      <c r="Z20" s="113">
        <f>IFERROR(peer_prices_monthly!Z3/peer_prices_monthly!Z2-1,"")</f>
        <v>-5.6536532169554898E-2</v>
      </c>
      <c r="AA20" s="113">
        <f>IFERROR(peer_prices_monthly!AA3/peer_prices_monthly!AA2-1,"")</f>
        <v>-2.0760884057518747E-2</v>
      </c>
      <c r="AB20" s="113" t="str">
        <f>IFERROR(peer_prices_monthly!AB3/peer_prices_monthly!AB2-1,"")</f>
        <v/>
      </c>
      <c r="AC20" s="113" t="str">
        <f>IFERROR(peer_prices_monthly!AC3/peer_prices_monthly!AC2-1,"")</f>
        <v/>
      </c>
      <c r="AD20" s="113">
        <f>IFERROR(peer_prices_monthly!AD3/peer_prices_monthly!AD2-1,"")</f>
        <v>4.4669962121745899E-2</v>
      </c>
      <c r="AE20" s="113">
        <f>IFERROR(peer_prices_monthly!AE3/peer_prices_monthly!AE2-1,"")</f>
        <v>1.6567444301039069E-2</v>
      </c>
      <c r="AF20" s="113">
        <f>IFERROR(peer_prices_monthly!AF3/peer_prices_monthly!AF2-1,"")</f>
        <v>2.2708982571723269E-2</v>
      </c>
      <c r="AG20" s="113">
        <f>IFERROR(peer_prices_monthly!AG3/peer_prices_monthly!AG2-1,"")</f>
        <v>-8.0537911739552159E-3</v>
      </c>
      <c r="AH20" s="113">
        <f>IFERROR(peer_prices_monthly!AH3/peer_prices_monthly!AH2-1,"")</f>
        <v>4.4340237299083762E-2</v>
      </c>
      <c r="AI20" s="113">
        <f>IFERROR(peer_prices_monthly!AI3/peer_prices_monthly!AI2-1,"")</f>
        <v>-5.0650896911083598E-2</v>
      </c>
      <c r="AJ20" s="113">
        <f>IFERROR(peer_prices_monthly!AJ3/peer_prices_monthly!AJ2-1,"")</f>
        <v>7.0605383799069443E-2</v>
      </c>
      <c r="AK20" s="113">
        <f>IFERROR(peer_prices_monthly!AK3/peer_prices_monthly!AK2-1,"")</f>
        <v>2.0318765328428912E-2</v>
      </c>
      <c r="AL20" s="113">
        <f>IFERROR(peer_prices_monthly!AL3/peer_prices_monthly!AL2-1,"")</f>
        <v>-2.2707856515601366E-2</v>
      </c>
      <c r="AM20" s="113">
        <f>IFERROR(peer_prices_monthly!AM3/peer_prices_monthly!AM2-1,"")</f>
        <v>4.2756835122391257E-2</v>
      </c>
      <c r="AN20" s="113">
        <f>IFERROR(peer_prices_monthly!AN3/peer_prices_monthly!AN2-1,"")</f>
        <v>2.8990416255438634E-2</v>
      </c>
    </row>
    <row r="21" spans="1:40" x14ac:dyDescent="0.25">
      <c r="A21" s="126">
        <f>peer_prices_monthly!A4</f>
        <v>44469</v>
      </c>
      <c r="B21" s="113">
        <f>IFERROR(peer_prices_monthly!B4/peer_prices_monthly!B3-1,"")</f>
        <v>-6.8036918814557423E-2</v>
      </c>
      <c r="C21" s="113">
        <f>IFERROR(peer_prices_monthly!C4/peer_prices_monthly!C3-1,"")</f>
        <v>-0.13255995161329337</v>
      </c>
      <c r="D21" s="113">
        <f>IFERROR(peer_prices_monthly!D4/peer_prices_monthly!D3-1,"")</f>
        <v>-7.0628609181788815E-2</v>
      </c>
      <c r="E21" s="113">
        <f>IFERROR(peer_prices_monthly!E4/peer_prices_monthly!E3-1,"")</f>
        <v>-5.3518108762925842E-2</v>
      </c>
      <c r="F21" s="113" t="str">
        <f>IFERROR(peer_prices_monthly!F4/peer_prices_monthly!F3-1,"")</f>
        <v/>
      </c>
      <c r="G21" s="113">
        <f>IFERROR(peer_prices_monthly!G4/peer_prices_monthly!G3-1,"")</f>
        <v>-1.7550081177415966E-2</v>
      </c>
      <c r="H21" s="113">
        <f>IFERROR(peer_prices_monthly!H4/peer_prices_monthly!H3-1,"")</f>
        <v>-0.11341995814440653</v>
      </c>
      <c r="I21" s="113">
        <f>IFERROR(peer_prices_monthly!I4/peer_prices_monthly!I3-1,"")</f>
        <v>-1.3480235336936208E-2</v>
      </c>
      <c r="J21" s="113">
        <f>IFERROR(peer_prices_monthly!J4/peer_prices_monthly!J3-1,"")</f>
        <v>2.2429637255029222E-2</v>
      </c>
      <c r="K21" s="113">
        <f>IFERROR(peer_prices_monthly!K4/peer_prices_monthly!K3-1,"")</f>
        <v>6.7514850038268071E-2</v>
      </c>
      <c r="L21" s="113">
        <f>IFERROR(peer_prices_monthly!L4/peer_prices_monthly!L3-1,"")</f>
        <v>-9.2128947993864729E-2</v>
      </c>
      <c r="M21" s="113">
        <f>IFERROR(peer_prices_monthly!M4/peer_prices_monthly!M3-1,"")</f>
        <v>8.6722891425893733E-2</v>
      </c>
      <c r="N21" s="113">
        <f>IFERROR(peer_prices_monthly!N4/peer_prices_monthly!N3-1,"")</f>
        <v>7.5495029546219339E-2</v>
      </c>
      <c r="O21" s="113">
        <f>IFERROR(peer_prices_monthly!O4/peer_prices_monthly!O3-1,"")</f>
        <v>-7.6169300906809512E-2</v>
      </c>
      <c r="P21" s="113">
        <f>IFERROR(peer_prices_monthly!P4/peer_prices_monthly!P3-1,"")</f>
        <v>-7.401080320986908E-2</v>
      </c>
      <c r="Q21" s="113">
        <f>IFERROR(peer_prices_monthly!Q4/peer_prices_monthly!Q3-1,"")</f>
        <v>-1.004698148585037E-2</v>
      </c>
      <c r="R21" s="113">
        <f>IFERROR(peer_prices_monthly!R4/peer_prices_monthly!R3-1,"")</f>
        <v>-1.4428526304233191E-2</v>
      </c>
      <c r="S21" s="113">
        <f>IFERROR(peer_prices_monthly!S4/peer_prices_monthly!S3-1,"")</f>
        <v>0.27154306257953342</v>
      </c>
      <c r="T21" s="113">
        <f>IFERROR(peer_prices_monthly!T4/peer_prices_monthly!T3-1,"")</f>
        <v>-0.10540865457764781</v>
      </c>
      <c r="U21" s="113">
        <f>IFERROR(peer_prices_monthly!U4/peer_prices_monthly!U3-1,"")</f>
        <v>-6.6118712320603956E-2</v>
      </c>
      <c r="V21" s="113">
        <f>IFERROR(peer_prices_monthly!V4/peer_prices_monthly!V3-1,"")</f>
        <v>-3.5559877407554064E-2</v>
      </c>
      <c r="W21" s="113">
        <f>IFERROR(peer_prices_monthly!W4/peer_prices_monthly!W3-1,"")</f>
        <v>-3.3201747492211608E-2</v>
      </c>
      <c r="X21" s="113">
        <f>IFERROR(peer_prices_monthly!X4/peer_prices_monthly!X3-1,"")</f>
        <v>-7.4558929658019246E-2</v>
      </c>
      <c r="Y21" s="113">
        <f>IFERROR(peer_prices_monthly!Y4/peer_prices_monthly!Y3-1,"")</f>
        <v>-2.2439229947029404E-2</v>
      </c>
      <c r="Z21" s="113">
        <f>IFERROR(peer_prices_monthly!Z4/peer_prices_monthly!Z3-1,"")</f>
        <v>-8.3138365255651991E-2</v>
      </c>
      <c r="AA21" s="113">
        <f>IFERROR(peer_prices_monthly!AA4/peer_prices_monthly!AA3-1,"")</f>
        <v>-0.11663582784055371</v>
      </c>
      <c r="AB21" s="113" t="str">
        <f>IFERROR(peer_prices_monthly!AB4/peer_prices_monthly!AB3-1,"")</f>
        <v/>
      </c>
      <c r="AC21" s="113" t="str">
        <f>IFERROR(peer_prices_monthly!AC4/peer_prices_monthly!AC3-1,"")</f>
        <v/>
      </c>
      <c r="AD21" s="113">
        <f>IFERROR(peer_prices_monthly!AD4/peer_prices_monthly!AD3-1,"")</f>
        <v>-0.10057268841297329</v>
      </c>
      <c r="AE21" s="113">
        <f>IFERROR(peer_prices_monthly!AE4/peer_prices_monthly!AE3-1,"")</f>
        <v>-0.11083562381627243</v>
      </c>
      <c r="AF21" s="113">
        <f>IFERROR(peer_prices_monthly!AF4/peer_prices_monthly!AF3-1,"")</f>
        <v>-2.9431058281516709E-2</v>
      </c>
      <c r="AG21" s="113">
        <f>IFERROR(peer_prices_monthly!AG4/peer_prices_monthly!AG3-1,"")</f>
        <v>7.1269577194400524E-2</v>
      </c>
      <c r="AH21" s="113">
        <f>IFERROR(peer_prices_monthly!AH4/peer_prices_monthly!AH3-1,"")</f>
        <v>-4.5954105357864816E-2</v>
      </c>
      <c r="AI21" s="113">
        <f>IFERROR(peer_prices_monthly!AI4/peer_prices_monthly!AI3-1,"")</f>
        <v>-7.3730549735397277E-2</v>
      </c>
      <c r="AJ21" s="113">
        <f>IFERROR(peer_prices_monthly!AJ4/peer_prices_monthly!AJ3-1,"")</f>
        <v>5.404233150359361E-2</v>
      </c>
      <c r="AK21" s="113">
        <f>IFERROR(peer_prices_monthly!AK4/peer_prices_monthly!AK3-1,"")</f>
        <v>-5.7990060944988486E-2</v>
      </c>
      <c r="AL21" s="113">
        <f>IFERROR(peer_prices_monthly!AL4/peer_prices_monthly!AL3-1,"")</f>
        <v>-0.12179887105932974</v>
      </c>
      <c r="AM21" s="113">
        <f>IFERROR(peer_prices_monthly!AM4/peer_prices_monthly!AM3-1,"")</f>
        <v>-5.8879115316843644E-2</v>
      </c>
      <c r="AN21" s="113">
        <f>IFERROR(peer_prices_monthly!AN4/peer_prices_monthly!AN3-1,"")</f>
        <v>-4.7569168801901096E-2</v>
      </c>
    </row>
    <row r="22" spans="1:40" x14ac:dyDescent="0.25">
      <c r="A22" s="126">
        <f>peer_prices_monthly!A5</f>
        <v>44500</v>
      </c>
      <c r="B22" s="113">
        <f>IFERROR(peer_prices_monthly!B5/peer_prices_monthly!B4-1,"")</f>
        <v>5.8657411580478547E-2</v>
      </c>
      <c r="C22" s="113">
        <f>IFERROR(peer_prices_monthly!C5/peer_prices_monthly!C4-1,"")</f>
        <v>0.12964638790848237</v>
      </c>
      <c r="D22" s="113">
        <f>IFERROR(peer_prices_monthly!D5/peer_prices_monthly!D4-1,"")</f>
        <v>0.16841595310080026</v>
      </c>
      <c r="E22" s="113">
        <f>IFERROR(peer_prices_monthly!E5/peer_prices_monthly!E4-1,"")</f>
        <v>2.6602457596643259E-2</v>
      </c>
      <c r="F22" s="113" t="str">
        <f>IFERROR(peer_prices_monthly!F5/peer_prices_monthly!F4-1,"")</f>
        <v/>
      </c>
      <c r="G22" s="113">
        <f>IFERROR(peer_prices_monthly!G5/peer_prices_monthly!G4-1,"")</f>
        <v>9.6385095699542456E-2</v>
      </c>
      <c r="H22" s="113">
        <f>IFERROR(peer_prices_monthly!H5/peer_prices_monthly!H4-1,"")</f>
        <v>0.1140831002359084</v>
      </c>
      <c r="I22" s="113">
        <f>IFERROR(peer_prices_monthly!I5/peer_prices_monthly!I4-1,"")</f>
        <v>9.5661222396885792E-2</v>
      </c>
      <c r="J22" s="113">
        <f>IFERROR(peer_prices_monthly!J5/peer_prices_monthly!J4-1,"")</f>
        <v>0.10497042533625045</v>
      </c>
      <c r="K22" s="113">
        <f>IFERROR(peer_prices_monthly!K5/peer_prices_monthly!K4-1,"")</f>
        <v>5.7189511904842449E-2</v>
      </c>
      <c r="L22" s="113">
        <f>IFERROR(peer_prices_monthly!L5/peer_prices_monthly!L4-1,"")</f>
        <v>0.10119130853678726</v>
      </c>
      <c r="M22" s="113">
        <f>IFERROR(peer_prices_monthly!M5/peer_prices_monthly!M4-1,"")</f>
        <v>0.20621478063529364</v>
      </c>
      <c r="N22" s="113">
        <f>IFERROR(peer_prices_monthly!N5/peer_prices_monthly!N4-1,"")</f>
        <v>3.2631338303514612E-2</v>
      </c>
      <c r="O22" s="113">
        <f>IFERROR(peer_prices_monthly!O5/peer_prices_monthly!O4-1,"")</f>
        <v>0.10749895981973356</v>
      </c>
      <c r="P22" s="113">
        <f>IFERROR(peer_prices_monthly!P5/peer_prices_monthly!P4-1,"")</f>
        <v>0.10855242865264914</v>
      </c>
      <c r="Q22" s="113">
        <f>IFERROR(peer_prices_monthly!Q5/peer_prices_monthly!Q4-1,"")</f>
        <v>-9.9546479513819564E-2</v>
      </c>
      <c r="R22" s="113">
        <f>IFERROR(peer_prices_monthly!R5/peer_prices_monthly!R4-1,"")</f>
        <v>-8.0330351222629104E-2</v>
      </c>
      <c r="S22" s="113">
        <f>IFERROR(peer_prices_monthly!S5/peer_prices_monthly!S4-1,"")</f>
        <v>0.45744676693739095</v>
      </c>
      <c r="T22" s="113">
        <f>IFERROR(peer_prices_monthly!T5/peer_prices_monthly!T4-1,"")</f>
        <v>-4.6613025272665309E-2</v>
      </c>
      <c r="U22" s="113">
        <f>IFERROR(peer_prices_monthly!U5/peer_prices_monthly!U4-1,"")</f>
        <v>0.17629075238021263</v>
      </c>
      <c r="V22" s="113">
        <f>IFERROR(peer_prices_monthly!V5/peer_prices_monthly!V4-1,"")</f>
        <v>-2.6486588348837881E-2</v>
      </c>
      <c r="W22" s="113">
        <f>IFERROR(peer_prices_monthly!W5/peer_prices_monthly!W4-1,"")</f>
        <v>0.12131389335804244</v>
      </c>
      <c r="X22" s="113">
        <f>IFERROR(peer_prices_monthly!X5/peer_prices_monthly!X4-1,"")</f>
        <v>0.23416702546062251</v>
      </c>
      <c r="Y22" s="113">
        <f>IFERROR(peer_prices_monthly!Y5/peer_prices_monthly!Y4-1,"")</f>
        <v>0.10494342165839798</v>
      </c>
      <c r="Z22" s="113">
        <f>IFERROR(peer_prices_monthly!Z5/peer_prices_monthly!Z4-1,"")</f>
        <v>-0.12384693383323464</v>
      </c>
      <c r="AA22" s="113">
        <f>IFERROR(peer_prices_monthly!AA5/peer_prices_monthly!AA4-1,"")</f>
        <v>3.1477705396314004E-2</v>
      </c>
      <c r="AB22" s="113" t="str">
        <f>IFERROR(peer_prices_monthly!AB5/peer_prices_monthly!AB4-1,"")</f>
        <v/>
      </c>
      <c r="AC22" s="113" t="str">
        <f>IFERROR(peer_prices_monthly!AC5/peer_prices_monthly!AC4-1,"")</f>
        <v/>
      </c>
      <c r="AD22" s="113">
        <f>IFERROR(peer_prices_monthly!AD5/peer_prices_monthly!AD4-1,"")</f>
        <v>7.2126817581975367E-2</v>
      </c>
      <c r="AE22" s="113">
        <f>IFERROR(peer_prices_monthly!AE5/peer_prices_monthly!AE4-1,"")</f>
        <v>8.1834818192868086E-2</v>
      </c>
      <c r="AF22" s="113">
        <f>IFERROR(peer_prices_monthly!AF5/peer_prices_monthly!AF4-1,"")</f>
        <v>-0.28820901751641581</v>
      </c>
      <c r="AG22" s="113">
        <f>IFERROR(peer_prices_monthly!AG5/peer_prices_monthly!AG4-1,"")</f>
        <v>4.7115454248994659E-2</v>
      </c>
      <c r="AH22" s="113">
        <f>IFERROR(peer_prices_monthly!AH5/peer_prices_monthly!AH4-1,"")</f>
        <v>4.3979146927083601E-2</v>
      </c>
      <c r="AI22" s="113">
        <f>IFERROR(peer_prices_monthly!AI5/peer_prices_monthly!AI4-1,"")</f>
        <v>0.13485136254066088</v>
      </c>
      <c r="AJ22" s="113">
        <f>IFERROR(peer_prices_monthly!AJ5/peer_prices_monthly!AJ4-1,"")</f>
        <v>0.43652959572908201</v>
      </c>
      <c r="AK22" s="113">
        <f>IFERROR(peer_prices_monthly!AK5/peer_prices_monthly!AK4-1,"")</f>
        <v>1.8360758562890878E-2</v>
      </c>
      <c r="AL22" s="113">
        <f>IFERROR(peer_prices_monthly!AL5/peer_prices_monthly!AL4-1,"")</f>
        <v>6.5576108253615484E-2</v>
      </c>
      <c r="AM22" s="113">
        <f>IFERROR(peer_prices_monthly!AM5/peer_prices_monthly!AM4-1,"")</f>
        <v>7.2033454558264598E-2</v>
      </c>
      <c r="AN22" s="113">
        <f>IFERROR(peer_prices_monthly!AN5/peer_prices_monthly!AN4-1,"")</f>
        <v>6.9143836400606506E-2</v>
      </c>
    </row>
    <row r="23" spans="1:40" x14ac:dyDescent="0.25">
      <c r="A23" s="126">
        <f>peer_prices_monthly!A6</f>
        <v>44530</v>
      </c>
      <c r="B23" s="113">
        <f>IFERROR(peer_prices_monthly!B6/peer_prices_monthly!B5-1,"")</f>
        <v>0.10508168868533163</v>
      </c>
      <c r="C23" s="113">
        <f>IFERROR(peer_prices_monthly!C6/peer_prices_monthly!C5-1,"")</f>
        <v>2.996800337253136E-2</v>
      </c>
      <c r="D23" s="113">
        <f>IFERROR(peer_prices_monthly!D6/peer_prices_monthly!D5-1,"")</f>
        <v>0.31722524074981151</v>
      </c>
      <c r="E23" s="113">
        <f>IFERROR(peer_prices_monthly!E6/peer_prices_monthly!E5-1,"")</f>
        <v>3.9923701306487036E-2</v>
      </c>
      <c r="F23" s="113" t="str">
        <f>IFERROR(peer_prices_monthly!F6/peer_prices_monthly!F5-1,"")</f>
        <v/>
      </c>
      <c r="G23" s="113">
        <f>IFERROR(peer_prices_monthly!G6/peer_prices_monthly!G5-1,"")</f>
        <v>4.1397759613837959E-2</v>
      </c>
      <c r="H23" s="113">
        <f>IFERROR(peer_prices_monthly!H6/peer_prices_monthly!H5-1,"")</f>
        <v>-0.22680984877187238</v>
      </c>
      <c r="I23" s="113">
        <f>IFERROR(peer_prices_monthly!I6/peer_prices_monthly!I5-1,"")</f>
        <v>9.7326684219552595E-2</v>
      </c>
      <c r="J23" s="113">
        <f>IFERROR(peer_prices_monthly!J6/peer_prices_monthly!J5-1,"")</f>
        <v>-4.9150771824080564E-2</v>
      </c>
      <c r="K23" s="113">
        <f>IFERROR(peer_prices_monthly!K6/peer_prices_monthly!K5-1,"")</f>
        <v>1.2958676291464855E-2</v>
      </c>
      <c r="L23" s="113">
        <f>IFERROR(peer_prices_monthly!L6/peer_prices_monthly!L5-1,"")</f>
        <v>-0.11844943425880428</v>
      </c>
      <c r="M23" s="113">
        <f>IFERROR(peer_prices_monthly!M6/peer_prices_monthly!M5-1,"")</f>
        <v>0.12919368869553161</v>
      </c>
      <c r="N23" s="113">
        <f>IFERROR(peer_prices_monthly!N6/peer_prices_monthly!N5-1,"")</f>
        <v>6.320043711259915E-2</v>
      </c>
      <c r="O23" s="113">
        <f>IFERROR(peer_prices_monthly!O6/peer_prices_monthly!O5-1,"")</f>
        <v>-4.1531161056571508E-2</v>
      </c>
      <c r="P23" s="113">
        <f>IFERROR(peer_prices_monthly!P6/peer_prices_monthly!P5-1,"")</f>
        <v>0.16320472322814084</v>
      </c>
      <c r="Q23" s="113">
        <f>IFERROR(peer_prices_monthly!Q6/peer_prices_monthly!Q5-1,"")</f>
        <v>-7.8252446141480192E-3</v>
      </c>
      <c r="R23" s="113">
        <f>IFERROR(peer_prices_monthly!R6/peer_prices_monthly!R5-1,"")</f>
        <v>1.1064331315118192E-2</v>
      </c>
      <c r="S23" s="113">
        <f>IFERROR(peer_prices_monthly!S6/peer_prices_monthly!S5-1,"")</f>
        <v>0.43227898495513895</v>
      </c>
      <c r="T23" s="113">
        <f>IFERROR(peer_prices_monthly!T6/peer_prices_monthly!T5-1,"")</f>
        <v>2.7502165702784076E-3</v>
      </c>
      <c r="U23" s="113">
        <f>IFERROR(peer_prices_monthly!U6/peer_prices_monthly!U5-1,"")</f>
        <v>-1.2819982749729952E-3</v>
      </c>
      <c r="V23" s="113">
        <f>IFERROR(peer_prices_monthly!V6/peer_prices_monthly!V5-1,"")</f>
        <v>0.21562961635460831</v>
      </c>
      <c r="W23" s="113">
        <f>IFERROR(peer_prices_monthly!W6/peer_prices_monthly!W5-1,"")</f>
        <v>-7.1743927187480905E-2</v>
      </c>
      <c r="X23" s="113">
        <f>IFERROR(peer_prices_monthly!X6/peer_prices_monthly!X5-1,"")</f>
        <v>0.27805352175969045</v>
      </c>
      <c r="Y23" s="113">
        <f>IFERROR(peer_prices_monthly!Y6/peer_prices_monthly!Y5-1,"")</f>
        <v>-5.4200348567780443E-2</v>
      </c>
      <c r="Z23" s="113">
        <f>IFERROR(peer_prices_monthly!Z6/peer_prices_monthly!Z5-1,"")</f>
        <v>-0.10259852327461005</v>
      </c>
      <c r="AA23" s="113">
        <f>IFERROR(peer_prices_monthly!AA6/peer_prices_monthly!AA5-1,"")</f>
        <v>0.35718591014394008</v>
      </c>
      <c r="AB23" s="113" t="str">
        <f>IFERROR(peer_prices_monthly!AB6/peer_prices_monthly!AB5-1,"")</f>
        <v/>
      </c>
      <c r="AC23" s="113" t="str">
        <f>IFERROR(peer_prices_monthly!AC6/peer_prices_monthly!AC5-1,"")</f>
        <v/>
      </c>
      <c r="AD23" s="113">
        <f>IFERROR(peer_prices_monthly!AD6/peer_prices_monthly!AD5-1,"")</f>
        <v>-0.11286086485584212</v>
      </c>
      <c r="AE23" s="113">
        <f>IFERROR(peer_prices_monthly!AE6/peer_prices_monthly!AE5-1,"")</f>
        <v>3.7539264542887585E-2</v>
      </c>
      <c r="AF23" s="113">
        <f>IFERROR(peer_prices_monthly!AF6/peer_prices_monthly!AF5-1,"")</f>
        <v>-9.452265210397448E-2</v>
      </c>
      <c r="AG23" s="113">
        <f>IFERROR(peer_prices_monthly!AG6/peer_prices_monthly!AG5-1,"")</f>
        <v>5.2335828219308489E-2</v>
      </c>
      <c r="AH23" s="113">
        <f>IFERROR(peer_prices_monthly!AH6/peer_prices_monthly!AH5-1,"")</f>
        <v>-0.14092289661288349</v>
      </c>
      <c r="AI23" s="113">
        <f>IFERROR(peer_prices_monthly!AI6/peer_prices_monthly!AI5-1,"")</f>
        <v>-5.7572001721641342E-2</v>
      </c>
      <c r="AJ23" s="113">
        <f>IFERROR(peer_prices_monthly!AJ6/peer_prices_monthly!AJ5-1,"")</f>
        <v>2.7612188873779031E-2</v>
      </c>
      <c r="AK23" s="113">
        <f>IFERROR(peer_prices_monthly!AK6/peer_prices_monthly!AK5-1,"")</f>
        <v>3.0343212778525475E-2</v>
      </c>
      <c r="AL23" s="113">
        <f>IFERROR(peer_prices_monthly!AL6/peer_prices_monthly!AL5-1,"")</f>
        <v>0.38058994944698865</v>
      </c>
      <c r="AM23" s="113">
        <f>IFERROR(peer_prices_monthly!AM6/peer_prices_monthly!AM5-1,"")</f>
        <v>-5.8827467149838775E-2</v>
      </c>
      <c r="AN23" s="113">
        <f>IFERROR(peer_prices_monthly!AN6/peer_prices_monthly!AN5-1,"")</f>
        <v>-8.3337061847461591E-3</v>
      </c>
    </row>
    <row r="24" spans="1:40" x14ac:dyDescent="0.25">
      <c r="A24" s="126">
        <f>peer_prices_monthly!A7</f>
        <v>44561</v>
      </c>
      <c r="B24" s="113">
        <f>IFERROR(peer_prices_monthly!B7/peer_prices_monthly!B6-1,"")</f>
        <v>7.4228666070994764E-2</v>
      </c>
      <c r="C24" s="113">
        <f>IFERROR(peer_prices_monthly!C7/peer_prices_monthly!C6-1,"")</f>
        <v>-0.15345223822308918</v>
      </c>
      <c r="D24" s="113">
        <f>IFERROR(peer_prices_monthly!D7/peer_prices_monthly!D6-1,"")</f>
        <v>-9.136832523102556E-2</v>
      </c>
      <c r="E24" s="113">
        <f>IFERROR(peer_prices_monthly!E7/peer_prices_monthly!E6-1,"")</f>
        <v>-4.9251968788284861E-2</v>
      </c>
      <c r="F24" s="113" t="str">
        <f>IFERROR(peer_prices_monthly!F7/peer_prices_monthly!F6-1,"")</f>
        <v/>
      </c>
      <c r="G24" s="113">
        <f>IFERROR(peer_prices_monthly!G7/peer_prices_monthly!G6-1,"")</f>
        <v>0.20948307830637014</v>
      </c>
      <c r="H24" s="113">
        <f>IFERROR(peer_prices_monthly!H7/peer_prices_monthly!H6-1,"")</f>
        <v>-6.8532852527732224E-2</v>
      </c>
      <c r="I24" s="113">
        <f>IFERROR(peer_prices_monthly!I7/peer_prices_monthly!I6-1,"")</f>
        <v>5.2504528914238513E-2</v>
      </c>
      <c r="J24" s="113">
        <f>IFERROR(peer_prices_monthly!J7/peer_prices_monthly!J6-1,"")</f>
        <v>-0.10819061634824356</v>
      </c>
      <c r="K24" s="113">
        <f>IFERROR(peer_prices_monthly!K7/peer_prices_monthly!K6-1,"")</f>
        <v>-5.3127497218433684E-3</v>
      </c>
      <c r="L24" s="113">
        <f>IFERROR(peer_prices_monthly!L7/peer_prices_monthly!L6-1,"")</f>
        <v>-1.423078321130089E-2</v>
      </c>
      <c r="M24" s="113">
        <f>IFERROR(peer_prices_monthly!M7/peer_prices_monthly!M6-1,"")</f>
        <v>8.2334655194806095E-2</v>
      </c>
      <c r="N24" s="113">
        <f>IFERROR(peer_prices_monthly!N7/peer_prices_monthly!N6-1,"")</f>
        <v>1.3132809086128017E-2</v>
      </c>
      <c r="O24" s="113">
        <f>IFERROR(peer_prices_monthly!O7/peer_prices_monthly!O6-1,"")</f>
        <v>2.0821336434626581E-2</v>
      </c>
      <c r="P24" s="113">
        <f>IFERROR(peer_prices_monthly!P7/peer_prices_monthly!P6-1,"")</f>
        <v>7.5021350626748307E-2</v>
      </c>
      <c r="Q24" s="113">
        <f>IFERROR(peer_prices_monthly!Q7/peer_prices_monthly!Q6-1,"")</f>
        <v>0.14141759243556584</v>
      </c>
      <c r="R24" s="113">
        <f>IFERROR(peer_prices_monthly!R7/peer_prices_monthly!R6-1,"")</f>
        <v>4.6747847179865909E-2</v>
      </c>
      <c r="S24" s="113">
        <f>IFERROR(peer_prices_monthly!S7/peer_prices_monthly!S6-1,"")</f>
        <v>-0.28180443796331511</v>
      </c>
      <c r="T24" s="113">
        <f>IFERROR(peer_prices_monthly!T7/peer_prices_monthly!T6-1,"")</f>
        <v>3.6645804850792052E-2</v>
      </c>
      <c r="U24" s="113">
        <f>IFERROR(peer_prices_monthly!U7/peer_prices_monthly!U6-1,"")</f>
        <v>1.7332594675086632E-2</v>
      </c>
      <c r="V24" s="113">
        <f>IFERROR(peer_prices_monthly!V7/peer_prices_monthly!V6-1,"")</f>
        <v>0.11011100596634038</v>
      </c>
      <c r="W24" s="113">
        <f>IFERROR(peer_prices_monthly!W7/peer_prices_monthly!W6-1,"")</f>
        <v>2.1770337661684014E-3</v>
      </c>
      <c r="X24" s="113">
        <f>IFERROR(peer_prices_monthly!X7/peer_prices_monthly!X6-1,"")</f>
        <v>-9.9810021205709476E-2</v>
      </c>
      <c r="Y24" s="113">
        <f>IFERROR(peer_prices_monthly!Y7/peer_prices_monthly!Y6-1,"")</f>
        <v>-3.8902441527487563E-2</v>
      </c>
      <c r="Z24" s="113">
        <f>IFERROR(peer_prices_monthly!Z7/peer_prices_monthly!Z6-1,"")</f>
        <v>-9.2611152570840183E-2</v>
      </c>
      <c r="AA24" s="113">
        <f>IFERROR(peer_prices_monthly!AA7/peer_prices_monthly!AA6-1,"")</f>
        <v>1.6622021245204843E-2</v>
      </c>
      <c r="AB24" s="113" t="str">
        <f>IFERROR(peer_prices_monthly!AB7/peer_prices_monthly!AB6-1,"")</f>
        <v/>
      </c>
      <c r="AC24" s="113">
        <f>IFERROR(peer_prices_monthly!AC7/peer_prices_monthly!AC6-1,"")</f>
        <v>-0.13418503179838059</v>
      </c>
      <c r="AD24" s="113">
        <f>IFERROR(peer_prices_monthly!AD7/peer_prices_monthly!AD6-1,"")</f>
        <v>9.0859455278381906E-2</v>
      </c>
      <c r="AE24" s="113">
        <f>IFERROR(peer_prices_monthly!AE7/peer_prices_monthly!AE6-1,"")</f>
        <v>-9.4888272102753746E-2</v>
      </c>
      <c r="AF24" s="113">
        <f>IFERROR(peer_prices_monthly!AF7/peer_prices_monthly!AF6-1,"")</f>
        <v>-1.2182352943061692E-2</v>
      </c>
      <c r="AG24" s="113">
        <f>IFERROR(peer_prices_monthly!AG7/peer_prices_monthly!AG6-1,"")</f>
        <v>3.7341143203781346E-2</v>
      </c>
      <c r="AH24" s="113">
        <f>IFERROR(peer_prices_monthly!AH7/peer_prices_monthly!AH6-1,"")</f>
        <v>9.5154806993496877E-2</v>
      </c>
      <c r="AI24" s="113">
        <f>IFERROR(peer_prices_monthly!AI7/peer_prices_monthly!AI6-1,"")</f>
        <v>-5.0852925789229508E-2</v>
      </c>
      <c r="AJ24" s="113">
        <f>IFERROR(peer_prices_monthly!AJ7/peer_prices_monthly!AJ6-1,"")</f>
        <v>-7.6854519478508632E-2</v>
      </c>
      <c r="AK24" s="113">
        <f>IFERROR(peer_prices_monthly!AK7/peer_prices_monthly!AK6-1,"")</f>
        <v>3.1222077724427866E-2</v>
      </c>
      <c r="AL24" s="113">
        <f>IFERROR(peer_prices_monthly!AL7/peer_prices_monthly!AL6-1,"")</f>
        <v>-0.11390445743436628</v>
      </c>
      <c r="AM24" s="113">
        <f>IFERROR(peer_prices_monthly!AM7/peer_prices_monthly!AM6-1,"")</f>
        <v>3.3012518726668549E-2</v>
      </c>
      <c r="AN24" s="113">
        <f>IFERROR(peer_prices_monthly!AN7/peer_prices_monthly!AN6-1,"")</f>
        <v>4.3612913462064862E-2</v>
      </c>
    </row>
    <row r="25" spans="1:40" x14ac:dyDescent="0.25">
      <c r="A25" s="126">
        <f>peer_prices_monthly!A8</f>
        <v>44592</v>
      </c>
      <c r="B25" s="113">
        <f>IFERROR(peer_prices_monthly!B8/peer_prices_monthly!B7-1,"")</f>
        <v>-1.5712159240783063E-2</v>
      </c>
      <c r="C25" s="113">
        <f>IFERROR(peer_prices_monthly!C8/peer_prices_monthly!C7-1,"")</f>
        <v>-5.7771681844371203E-2</v>
      </c>
      <c r="D25" s="113">
        <f>IFERROR(peer_prices_monthly!D8/peer_prices_monthly!D7-1,"")</f>
        <v>-0.20604583150860545</v>
      </c>
      <c r="E25" s="113">
        <f>IFERROR(peer_prices_monthly!E8/peer_prices_monthly!E7-1,"")</f>
        <v>-0.10282991021845667</v>
      </c>
      <c r="F25" s="113" t="str">
        <f>IFERROR(peer_prices_monthly!F8/peer_prices_monthly!F7-1,"")</f>
        <v/>
      </c>
      <c r="G25" s="113">
        <f>IFERROR(peer_prices_monthly!G8/peer_prices_monthly!G7-1,"")</f>
        <v>-0.119520200561408</v>
      </c>
      <c r="H25" s="113">
        <f>IFERROR(peer_prices_monthly!H8/peer_prices_monthly!H7-1,"")</f>
        <v>5.892763324835415E-2</v>
      </c>
      <c r="I25" s="113">
        <f>IFERROR(peer_prices_monthly!I8/peer_prices_monthly!I7-1,"")</f>
        <v>-0.110216634315915</v>
      </c>
      <c r="J25" s="113">
        <f>IFERROR(peer_prices_monthly!J8/peer_prices_monthly!J7-1,"")</f>
        <v>-8.4602383542549453E-2</v>
      </c>
      <c r="K25" s="113">
        <f>IFERROR(peer_prices_monthly!K8/peer_prices_monthly!K7-1,"")</f>
        <v>1.139412257114758E-2</v>
      </c>
      <c r="L25" s="113">
        <f>IFERROR(peer_prices_monthly!L8/peer_prices_monthly!L7-1,"")</f>
        <v>-9.6691692906264448E-2</v>
      </c>
      <c r="M25" s="113">
        <f>IFERROR(peer_prices_monthly!M8/peer_prices_monthly!M7-1,"")</f>
        <v>-1.7603984732456501E-2</v>
      </c>
      <c r="N25" s="113">
        <f>IFERROR(peer_prices_monthly!N8/peer_prices_monthly!N7-1,"")</f>
        <v>-0.10063101376781947</v>
      </c>
      <c r="O25" s="113">
        <f>IFERROR(peer_prices_monthly!O8/peer_prices_monthly!O7-1,"")</f>
        <v>-6.5918960923245895E-2</v>
      </c>
      <c r="P25" s="113">
        <f>IFERROR(peer_prices_monthly!P8/peer_prices_monthly!P7-1,"")</f>
        <v>-2.4953520657936434E-2</v>
      </c>
      <c r="Q25" s="113">
        <f>IFERROR(peer_prices_monthly!Q8/peer_prices_monthly!Q7-1,"")</f>
        <v>-6.7333851706252723E-4</v>
      </c>
      <c r="R25" s="113">
        <f>IFERROR(peer_prices_monthly!R8/peer_prices_monthly!R7-1,"")</f>
        <v>-5.2038781325819072E-2</v>
      </c>
      <c r="S25" s="113">
        <f>IFERROR(peer_prices_monthly!S8/peer_prices_monthly!S7-1,"")</f>
        <v>-0.22759528542316854</v>
      </c>
      <c r="T25" s="113">
        <f>IFERROR(peer_prices_monthly!T8/peer_prices_monthly!T7-1,"")</f>
        <v>-6.8648750170929196E-2</v>
      </c>
      <c r="U25" s="113">
        <f>IFERROR(peer_prices_monthly!U8/peer_prices_monthly!U7-1,"")</f>
        <v>-7.5344915530842327E-2</v>
      </c>
      <c r="V25" s="113">
        <f>IFERROR(peer_prices_monthly!V8/peer_prices_monthly!V7-1,"")</f>
        <v>-0.11680085850603328</v>
      </c>
      <c r="W25" s="113">
        <f>IFERROR(peer_prices_monthly!W8/peer_prices_monthly!W7-1,"")</f>
        <v>-9.7564414261140819E-2</v>
      </c>
      <c r="X25" s="113">
        <f>IFERROR(peer_prices_monthly!X8/peer_prices_monthly!X7-1,"")</f>
        <v>-0.16745442391733933</v>
      </c>
      <c r="Y25" s="113">
        <f>IFERROR(peer_prices_monthly!Y8/peer_prices_monthly!Y7-1,"")</f>
        <v>-6.5915512607715998E-2</v>
      </c>
      <c r="Z25" s="113">
        <f>IFERROR(peer_prices_monthly!Z8/peer_prices_monthly!Z7-1,"")</f>
        <v>-0.18679502869890796</v>
      </c>
      <c r="AA25" s="113">
        <f>IFERROR(peer_prices_monthly!AA8/peer_prices_monthly!AA7-1,"")</f>
        <v>-3.8879996829275343E-2</v>
      </c>
      <c r="AB25" s="113" t="str">
        <f>IFERROR(peer_prices_monthly!AB8/peer_prices_monthly!AB7-1,"")</f>
        <v/>
      </c>
      <c r="AC25" s="113">
        <f>IFERROR(peer_prices_monthly!AC8/peer_prices_monthly!AC7-1,"")</f>
        <v>-0.36599482769885872</v>
      </c>
      <c r="AD25" s="113">
        <f>IFERROR(peer_prices_monthly!AD8/peer_prices_monthly!AD7-1,"")</f>
        <v>-0.10634500685261827</v>
      </c>
      <c r="AE25" s="113">
        <f>IFERROR(peer_prices_monthly!AE8/peer_prices_monthly!AE7-1,"")</f>
        <v>-0.29995132306760386</v>
      </c>
      <c r="AF25" s="113">
        <f>IFERROR(peer_prices_monthly!AF8/peer_prices_monthly!AF7-1,"")</f>
        <v>-0.30810117456665098</v>
      </c>
      <c r="AG25" s="113">
        <f>IFERROR(peer_prices_monthly!AG8/peer_prices_monthly!AG7-1,"")</f>
        <v>-0.1166137807033113</v>
      </c>
      <c r="AH25" s="113">
        <f>IFERROR(peer_prices_monthly!AH8/peer_prices_monthly!AH7-1,"")</f>
        <v>2.8251609952039347E-2</v>
      </c>
      <c r="AI25" s="113">
        <f>IFERROR(peer_prices_monthly!AI8/peer_prices_monthly!AI7-1,"")</f>
        <v>-4.7572020662616343E-2</v>
      </c>
      <c r="AJ25" s="113">
        <f>IFERROR(peer_prices_monthly!AJ8/peer_prices_monthly!AJ7-1,"")</f>
        <v>-0.11360931817914044</v>
      </c>
      <c r="AK25" s="113">
        <f>IFERROR(peer_prices_monthly!AK8/peer_prices_monthly!AK7-1,"")</f>
        <v>1.9283667612001398E-2</v>
      </c>
      <c r="AL25" s="113">
        <f>IFERROR(peer_prices_monthly!AL8/peer_prices_monthly!AL7-1,"")</f>
        <v>-0.24116104999251542</v>
      </c>
      <c r="AM25" s="113">
        <f>IFERROR(peer_prices_monthly!AM8/peer_prices_monthly!AM7-1,"")</f>
        <v>-3.3727193591931104E-2</v>
      </c>
      <c r="AN25" s="113">
        <f>IFERROR(peer_prices_monthly!AN8/peer_prices_monthly!AN7-1,"")</f>
        <v>-5.2585165027393854E-2</v>
      </c>
    </row>
    <row r="26" spans="1:40" x14ac:dyDescent="0.25">
      <c r="A26" s="126">
        <f>peer_prices_monthly!A9</f>
        <v>44620</v>
      </c>
      <c r="B26" s="113">
        <f>IFERROR(peer_prices_monthly!B9/peer_prices_monthly!B8-1,"")</f>
        <v>-5.4065696822747311E-2</v>
      </c>
      <c r="C26" s="113">
        <f>IFERROR(peer_prices_monthly!C9/peer_prices_monthly!C8-1,"")</f>
        <v>-0.12468649941837828</v>
      </c>
      <c r="D26" s="113">
        <f>IFERROR(peer_prices_monthly!D9/peer_prices_monthly!D8-1,"")</f>
        <v>7.9562331185038193E-2</v>
      </c>
      <c r="E26" s="113">
        <f>IFERROR(peer_prices_monthly!E9/peer_prices_monthly!E8-1,"")</f>
        <v>2.6672518265588474E-2</v>
      </c>
      <c r="F26" s="113" t="str">
        <f>IFERROR(peer_prices_monthly!F9/peer_prices_monthly!F8-1,"")</f>
        <v/>
      </c>
      <c r="G26" s="113">
        <f>IFERROR(peer_prices_monthly!G9/peer_prices_monthly!G8-1,"")</f>
        <v>2.6624945316213733E-3</v>
      </c>
      <c r="H26" s="113">
        <f>IFERROR(peer_prices_monthly!H9/peer_prices_monthly!H8-1,"")</f>
        <v>-0.16376500445002395</v>
      </c>
      <c r="I26" s="113">
        <f>IFERROR(peer_prices_monthly!I9/peer_prices_monthly!I8-1,"")</f>
        <v>2.9511153339611518E-2</v>
      </c>
      <c r="J26" s="113">
        <f>IFERROR(peer_prices_monthly!J9/peer_prices_monthly!J8-1,"")</f>
        <v>-9.5000603214868362E-2</v>
      </c>
      <c r="K26" s="113">
        <f>IFERROR(peer_prices_monthly!K9/peer_prices_monthly!K8-1,"")</f>
        <v>-0.10297472130351892</v>
      </c>
      <c r="L26" s="113">
        <f>IFERROR(peer_prices_monthly!L9/peer_prices_monthly!L8-1,"")</f>
        <v>-9.122683431308809E-2</v>
      </c>
      <c r="M26" s="113">
        <f>IFERROR(peer_prices_monthly!M9/peer_prices_monthly!M8-1,"")</f>
        <v>-0.13497521345338681</v>
      </c>
      <c r="N26" s="113">
        <f>IFERROR(peer_prices_monthly!N9/peer_prices_monthly!N8-1,"")</f>
        <v>-0.1139769376585561</v>
      </c>
      <c r="O26" s="113">
        <f>IFERROR(peer_prices_monthly!O9/peer_prices_monthly!O8-1,"")</f>
        <v>-1.8218714225023414E-3</v>
      </c>
      <c r="P26" s="113">
        <f>IFERROR(peer_prices_monthly!P9/peer_prices_monthly!P8-1,"")</f>
        <v>-6.452476186546463E-2</v>
      </c>
      <c r="Q26" s="113">
        <f>IFERROR(peer_prices_monthly!Q9/peer_prices_monthly!Q8-1,"")</f>
        <v>-7.1754905797506541E-2</v>
      </c>
      <c r="R26" s="113">
        <f>IFERROR(peer_prices_monthly!R9/peer_prices_monthly!R8-1,"")</f>
        <v>-1.5498508205082695E-2</v>
      </c>
      <c r="S26" s="113">
        <f>IFERROR(peer_prices_monthly!S9/peer_prices_monthly!S8-1,"")</f>
        <v>-1.3950344296229211E-2</v>
      </c>
      <c r="T26" s="113">
        <f>IFERROR(peer_prices_monthly!T9/peer_prices_monthly!T8-1,"")</f>
        <v>-0.32634235781132948</v>
      </c>
      <c r="U26" s="113">
        <f>IFERROR(peer_prices_monthly!U9/peer_prices_monthly!U8-1,"")</f>
        <v>-3.7212069954563609E-2</v>
      </c>
      <c r="V26" s="113">
        <f>IFERROR(peer_prices_monthly!V9/peer_prices_monthly!V8-1,"")</f>
        <v>8.0102334515624429E-2</v>
      </c>
      <c r="W26" s="113">
        <f>IFERROR(peer_prices_monthly!W9/peer_prices_monthly!W8-1,"")</f>
        <v>-1.0003730820609236E-2</v>
      </c>
      <c r="X26" s="113">
        <f>IFERROR(peer_prices_monthly!X9/peer_prices_monthly!X8-1,"")</f>
        <v>-4.1247023685566653E-3</v>
      </c>
      <c r="Y26" s="113">
        <f>IFERROR(peer_prices_monthly!Y9/peer_prices_monthly!Y8-1,"")</f>
        <v>-6.3947810289740281E-2</v>
      </c>
      <c r="Z26" s="113">
        <f>IFERROR(peer_prices_monthly!Z9/peer_prices_monthly!Z8-1,"")</f>
        <v>-9.5060876749335832E-2</v>
      </c>
      <c r="AA26" s="113">
        <f>IFERROR(peer_prices_monthly!AA9/peer_prices_monthly!AA8-1,"")</f>
        <v>-2.1449664136034996E-2</v>
      </c>
      <c r="AB26" s="113" t="str">
        <f>IFERROR(peer_prices_monthly!AB9/peer_prices_monthly!AB8-1,"")</f>
        <v/>
      </c>
      <c r="AC26" s="113">
        <f>IFERROR(peer_prices_monthly!AC9/peer_prices_monthly!AC8-1,"")</f>
        <v>2.7684815241334926E-2</v>
      </c>
      <c r="AD26" s="113">
        <f>IFERROR(peer_prices_monthly!AD9/peer_prices_monthly!AD8-1,"")</f>
        <v>-0.1008704852014467</v>
      </c>
      <c r="AE26" s="113">
        <f>IFERROR(peer_prices_monthly!AE9/peer_prices_monthly!AE8-1,"")</f>
        <v>-0.27999253391644108</v>
      </c>
      <c r="AF26" s="113">
        <f>IFERROR(peer_prices_monthly!AF9/peer_prices_monthly!AF8-1,"")</f>
        <v>0.22741233875167266</v>
      </c>
      <c r="AG26" s="113">
        <f>IFERROR(peer_prices_monthly!AG9/peer_prices_monthly!AG8-1,"")</f>
        <v>-8.1766147600134453E-2</v>
      </c>
      <c r="AH26" s="113">
        <f>IFERROR(peer_prices_monthly!AH9/peer_prices_monthly!AH8-1,"")</f>
        <v>-5.2358736676214268E-2</v>
      </c>
      <c r="AI26" s="113">
        <f>IFERROR(peer_prices_monthly!AI9/peer_prices_monthly!AI8-1,"")</f>
        <v>-8.9798182232878054E-2</v>
      </c>
      <c r="AJ26" s="113">
        <f>IFERROR(peer_prices_monthly!AJ9/peer_prices_monthly!AJ8-1,"")</f>
        <v>-7.0768158663262803E-2</v>
      </c>
      <c r="AK26" s="113">
        <f>IFERROR(peer_prices_monthly!AK9/peer_prices_monthly!AK8-1,"")</f>
        <v>-0.12737513898362718</v>
      </c>
      <c r="AL26" s="113">
        <f>IFERROR(peer_prices_monthly!AL9/peer_prices_monthly!AL8-1,"")</f>
        <v>0.22691973787094688</v>
      </c>
      <c r="AM26" s="113">
        <f>IFERROR(peer_prices_monthly!AM9/peer_prices_monthly!AM8-1,"")</f>
        <v>-3.3259560765484641E-2</v>
      </c>
      <c r="AN26" s="113">
        <f>IFERROR(peer_prices_monthly!AN9/peer_prices_monthly!AN8-1,"")</f>
        <v>-3.1360491945908286E-2</v>
      </c>
    </row>
    <row r="27" spans="1:40" x14ac:dyDescent="0.25">
      <c r="A27" s="126">
        <f>peer_prices_monthly!A10</f>
        <v>44651</v>
      </c>
      <c r="B27" s="113">
        <f>IFERROR(peer_prices_monthly!B10/peer_prices_monthly!B9-1,"")</f>
        <v>5.7473160040586002E-2</v>
      </c>
      <c r="C27" s="113">
        <f>IFERROR(peer_prices_monthly!C10/peer_prices_monthly!C9-1,"")</f>
        <v>-2.5786857995771295E-2</v>
      </c>
      <c r="D27" s="113">
        <f>IFERROR(peer_prices_monthly!D10/peer_prices_monthly!D9-1,"")</f>
        <v>-0.11350738134973604</v>
      </c>
      <c r="E27" s="113">
        <f>IFERROR(peer_prices_monthly!E10/peer_prices_monthly!E9-1,"")</f>
        <v>6.1437285030015776E-2</v>
      </c>
      <c r="F27" s="113" t="str">
        <f>IFERROR(peer_prices_monthly!F10/peer_prices_monthly!F9-1,"")</f>
        <v/>
      </c>
      <c r="G27" s="113">
        <f>IFERROR(peer_prices_monthly!G10/peer_prices_monthly!G9-1,"")</f>
        <v>7.9153883537191438E-2</v>
      </c>
      <c r="H27" s="113">
        <f>IFERROR(peer_prices_monthly!H10/peer_prices_monthly!H9-1,"")</f>
        <v>3.4318795301049532E-2</v>
      </c>
      <c r="I27" s="113">
        <f>IFERROR(peer_prices_monthly!I10/peer_prices_monthly!I9-1,"")</f>
        <v>0.1090032227495652</v>
      </c>
      <c r="J27" s="113">
        <f>IFERROR(peer_prices_monthly!J10/peer_prices_monthly!J9-1,"")</f>
        <v>8.5024656678551747E-3</v>
      </c>
      <c r="K27" s="113">
        <f>IFERROR(peer_prices_monthly!K10/peer_prices_monthly!K9-1,"")</f>
        <v>-1.5109999793166073E-2</v>
      </c>
      <c r="L27" s="113">
        <f>IFERROR(peer_prices_monthly!L10/peer_prices_monthly!L9-1,"")</f>
        <v>5.3256507643214324E-2</v>
      </c>
      <c r="M27" s="113">
        <f>IFERROR(peer_prices_monthly!M10/peer_prices_monthly!M9-1,"")</f>
        <v>-3.7016171412417087E-2</v>
      </c>
      <c r="N27" s="113">
        <f>IFERROR(peer_prices_monthly!N10/peer_prices_monthly!N9-1,"")</f>
        <v>-6.3784127502286792E-2</v>
      </c>
      <c r="O27" s="113">
        <f>IFERROR(peer_prices_monthly!O10/peer_prices_monthly!O9-1,"")</f>
        <v>2.9694980258855752E-2</v>
      </c>
      <c r="P27" s="113">
        <f>IFERROR(peer_prices_monthly!P10/peer_prices_monthly!P9-1,"")</f>
        <v>6.391948917312118E-2</v>
      </c>
      <c r="Q27" s="113">
        <f>IFERROR(peer_prices_monthly!Q10/peer_prices_monthly!Q9-1,"")</f>
        <v>6.1300984442583362E-2</v>
      </c>
      <c r="R27" s="113">
        <f>IFERROR(peer_prices_monthly!R10/peer_prices_monthly!R9-1,"")</f>
        <v>3.8993694222640762E-2</v>
      </c>
      <c r="S27" s="113">
        <f>IFERROR(peer_prices_monthly!S10/peer_prices_monthly!S9-1,"")</f>
        <v>-0.12353343444080489</v>
      </c>
      <c r="T27" s="113">
        <f>IFERROR(peer_prices_monthly!T10/peer_prices_monthly!T9-1,"")</f>
        <v>5.3689184349440922E-2</v>
      </c>
      <c r="U27" s="113">
        <f>IFERROR(peer_prices_monthly!U10/peer_prices_monthly!U9-1,"")</f>
        <v>3.1861637200577553E-2</v>
      </c>
      <c r="V27" s="113">
        <f>IFERROR(peer_prices_monthly!V10/peer_prices_monthly!V9-1,"")</f>
        <v>-0.12345298627620926</v>
      </c>
      <c r="W27" s="113">
        <f>IFERROR(peer_prices_monthly!W10/peer_prices_monthly!W9-1,"")</f>
        <v>-3.971239793043857E-2</v>
      </c>
      <c r="X27" s="113">
        <f>IFERROR(peer_prices_monthly!X10/peer_prices_monthly!X9-1,"")</f>
        <v>0.11915710790425549</v>
      </c>
      <c r="Y27" s="113">
        <f>IFERROR(peer_prices_monthly!Y10/peer_prices_monthly!Y9-1,"")</f>
        <v>8.8982342189827923E-2</v>
      </c>
      <c r="Z27" s="113">
        <f>IFERROR(peer_prices_monthly!Z10/peer_prices_monthly!Z9-1,"")</f>
        <v>-7.9999977183119131E-2</v>
      </c>
      <c r="AA27" s="113">
        <f>IFERROR(peer_prices_monthly!AA10/peer_prices_monthly!AA9-1,"")</f>
        <v>-0.10775339822894892</v>
      </c>
      <c r="AB27" s="113" t="str">
        <f>IFERROR(peer_prices_monthly!AB10/peer_prices_monthly!AB9-1,"")</f>
        <v/>
      </c>
      <c r="AC27" s="113">
        <f>IFERROR(peer_prices_monthly!AC10/peer_prices_monthly!AC9-1,"")</f>
        <v>-0.25636466113110179</v>
      </c>
      <c r="AD27" s="113">
        <f>IFERROR(peer_prices_monthly!AD10/peer_prices_monthly!AD9-1,"")</f>
        <v>-1.4389884000892583E-2</v>
      </c>
      <c r="AE27" s="113">
        <f>IFERROR(peer_prices_monthly!AE10/peer_prices_monthly!AE9-1,"")</f>
        <v>-2.6359026374740968E-2</v>
      </c>
      <c r="AF27" s="113">
        <f>IFERROR(peer_prices_monthly!AF10/peer_prices_monthly!AF9-1,"")</f>
        <v>-9.8898274513227302E-2</v>
      </c>
      <c r="AG27" s="113">
        <f>IFERROR(peer_prices_monthly!AG10/peer_prices_monthly!AG9-1,"")</f>
        <v>4.30860781641762E-3</v>
      </c>
      <c r="AH27" s="113">
        <f>IFERROR(peer_prices_monthly!AH10/peer_prices_monthly!AH9-1,"")</f>
        <v>-0.10995620726820232</v>
      </c>
      <c r="AI27" s="113">
        <f>IFERROR(peer_prices_monthly!AI10/peer_prices_monthly!AI9-1,"")</f>
        <v>6.2321476881580296E-2</v>
      </c>
      <c r="AJ27" s="113">
        <f>IFERROR(peer_prices_monthly!AJ10/peer_prices_monthly!AJ9-1,"")</f>
        <v>0.2380088093327557</v>
      </c>
      <c r="AK27" s="113">
        <f>IFERROR(peer_prices_monthly!AK10/peer_prices_monthly!AK9-1,"")</f>
        <v>-2.0999653497394188E-2</v>
      </c>
      <c r="AL27" s="113">
        <f>IFERROR(peer_prices_monthly!AL10/peer_prices_monthly!AL9-1,"")</f>
        <v>-0.18834973924406939</v>
      </c>
      <c r="AM27" s="113">
        <f>IFERROR(peer_prices_monthly!AM10/peer_prices_monthly!AM9-1,"")</f>
        <v>0.10606678430599525</v>
      </c>
      <c r="AN27" s="113">
        <f>IFERROR(peer_prices_monthly!AN10/peer_prices_monthly!AN9-1,"")</f>
        <v>3.5773288371546252E-2</v>
      </c>
    </row>
    <row r="28" spans="1:40" x14ac:dyDescent="0.25">
      <c r="A28" s="126">
        <f>peer_prices_monthly!A11</f>
        <v>44681</v>
      </c>
      <c r="B28" s="113">
        <f>IFERROR(peer_prices_monthly!B11/peer_prices_monthly!B10-1,"")</f>
        <v>-9.7130594596891551E-2</v>
      </c>
      <c r="C28" s="113">
        <f>IFERROR(peer_prices_monthly!C11/peer_prices_monthly!C10-1,"")</f>
        <v>-0.13096436405256728</v>
      </c>
      <c r="D28" s="113">
        <f>IFERROR(peer_prices_monthly!D11/peer_prices_monthly!D10-1,"")</f>
        <v>-0.21785257447068018</v>
      </c>
      <c r="E28" s="113">
        <f>IFERROR(peer_prices_monthly!E11/peer_prices_monthly!E10-1,"")</f>
        <v>-0.23752509313621051</v>
      </c>
      <c r="F28" s="113" t="str">
        <f>IFERROR(peer_prices_monthly!F11/peer_prices_monthly!F10-1,"")</f>
        <v/>
      </c>
      <c r="G28" s="113">
        <f>IFERROR(peer_prices_monthly!G11/peer_prices_monthly!G10-1,"")</f>
        <v>-0.11956875308274517</v>
      </c>
      <c r="H28" s="113">
        <f>IFERROR(peer_prices_monthly!H11/peer_prices_monthly!H10-1,"")</f>
        <v>-0.10762873096013981</v>
      </c>
      <c r="I28" s="113">
        <f>IFERROR(peer_prices_monthly!I11/peer_prices_monthly!I10-1,"")</f>
        <v>-7.513194236012033E-2</v>
      </c>
      <c r="J28" s="113">
        <f>IFERROR(peer_prices_monthly!J11/peer_prices_monthly!J10-1,"")</f>
        <v>-0.17134523617174191</v>
      </c>
      <c r="K28" s="113">
        <f>IFERROR(peer_prices_monthly!K11/peer_prices_monthly!K10-1,"")</f>
        <v>-5.6798223155735905E-2</v>
      </c>
      <c r="L28" s="113">
        <f>IFERROR(peer_prices_monthly!L11/peer_prices_monthly!L10-1,"")</f>
        <v>-9.3258888994387612E-2</v>
      </c>
      <c r="M28" s="113">
        <f>IFERROR(peer_prices_monthly!M11/peer_prices_monthly!M10-1,"")</f>
        <v>-0.15705430903361139</v>
      </c>
      <c r="N28" s="113">
        <f>IFERROR(peer_prices_monthly!N11/peer_prices_monthly!N10-1,"")</f>
        <v>-0.1332876658096136</v>
      </c>
      <c r="O28" s="113">
        <f>IFERROR(peer_prices_monthly!O11/peer_prices_monthly!O10-1,"")</f>
        <v>-0.17946696769828596</v>
      </c>
      <c r="P28" s="113">
        <f>IFERROR(peer_prices_monthly!P11/peer_prices_monthly!P10-1,"")</f>
        <v>9.0908105016287433E-3</v>
      </c>
      <c r="Q28" s="113">
        <f>IFERROR(peer_prices_monthly!Q11/peer_prices_monthly!Q10-1,"")</f>
        <v>1.6843978156227957E-2</v>
      </c>
      <c r="R28" s="113">
        <f>IFERROR(peer_prices_monthly!R11/peer_prices_monthly!R10-1,"")</f>
        <v>-0.12046009244974532</v>
      </c>
      <c r="S28" s="113">
        <f>IFERROR(peer_prices_monthly!S11/peer_prices_monthly!S10-1,"")</f>
        <v>-0.28818896436315822</v>
      </c>
      <c r="T28" s="113">
        <f>IFERROR(peer_prices_monthly!T11/peer_prices_monthly!T10-1,"")</f>
        <v>-9.8444170115032592E-2</v>
      </c>
      <c r="U28" s="113">
        <f>IFERROR(peer_prices_monthly!U11/peer_prices_monthly!U10-1,"")</f>
        <v>-9.9866755318712586E-2</v>
      </c>
      <c r="V28" s="113">
        <f>IFERROR(peer_prices_monthly!V11/peer_prices_monthly!V10-1,"")</f>
        <v>-0.12333796129665275</v>
      </c>
      <c r="W28" s="113">
        <f>IFERROR(peer_prices_monthly!W11/peer_prices_monthly!W10-1,"")</f>
        <v>-0.1414821224893974</v>
      </c>
      <c r="X28" s="113">
        <f>IFERROR(peer_prices_monthly!X11/peer_prices_monthly!X10-1,"")</f>
        <v>-0.32027406384306356</v>
      </c>
      <c r="Y28" s="113">
        <f>IFERROR(peer_prices_monthly!Y11/peer_prices_monthly!Y10-1,"")</f>
        <v>-0.10930556322790164</v>
      </c>
      <c r="Z28" s="113">
        <f>IFERROR(peer_prices_monthly!Z11/peer_prices_monthly!Z10-1,"")</f>
        <v>-0.16619260671076685</v>
      </c>
      <c r="AA28" s="113">
        <f>IFERROR(peer_prices_monthly!AA11/peer_prices_monthly!AA10-1,"")</f>
        <v>-8.5918051729516276E-2</v>
      </c>
      <c r="AB28" s="113" t="str">
        <f>IFERROR(peer_prices_monthly!AB11/peer_prices_monthly!AB10-1,"")</f>
        <v/>
      </c>
      <c r="AC28" s="113">
        <f>IFERROR(peer_prices_monthly!AC11/peer_prices_monthly!AC10-1,"")</f>
        <v>-0.39808919663951303</v>
      </c>
      <c r="AD28" s="113">
        <f>IFERROR(peer_prices_monthly!AD11/peer_prices_monthly!AD10-1,"")</f>
        <v>-9.1564356115735102E-2</v>
      </c>
      <c r="AE28" s="113">
        <f>IFERROR(peer_prices_monthly!AE11/peer_prices_monthly!AE10-1,"")</f>
        <v>-0.36857212286805907</v>
      </c>
      <c r="AF28" s="113">
        <f>IFERROR(peer_prices_monthly!AF11/peer_prices_monthly!AF10-1,"")</f>
        <v>-0.20922484698019395</v>
      </c>
      <c r="AG28" s="113">
        <f>IFERROR(peer_prices_monthly!AG11/peer_prices_monthly!AG10-1,"")</f>
        <v>-0.16220426898059892</v>
      </c>
      <c r="AH28" s="113">
        <f>IFERROR(peer_prices_monthly!AH11/peer_prices_monthly!AH10-1,"")</f>
        <v>-0.11228052421191115</v>
      </c>
      <c r="AI28" s="113">
        <f>IFERROR(peer_prices_monthly!AI11/peer_prices_monthly!AI10-1,"")</f>
        <v>7.7419864074040667E-2</v>
      </c>
      <c r="AJ28" s="113">
        <f>IFERROR(peer_prices_monthly!AJ11/peer_prices_monthly!AJ10-1,"")</f>
        <v>-0.19194510982164714</v>
      </c>
      <c r="AK28" s="113">
        <f>IFERROR(peer_prices_monthly!AK11/peer_prices_monthly!AK10-1,"")</f>
        <v>-0.10867061905971576</v>
      </c>
      <c r="AL28" s="113">
        <f>IFERROR(peer_prices_monthly!AL11/peer_prices_monthly!AL10-1,"")</f>
        <v>-0.14916970153147568</v>
      </c>
      <c r="AM28" s="113">
        <f>IFERROR(peer_prices_monthly!AM11/peer_prices_monthly!AM10-1,"")</f>
        <v>2.7330178482996459E-2</v>
      </c>
      <c r="AN28" s="113">
        <f>IFERROR(peer_prices_monthly!AN11/peer_prices_monthly!AN10-1,"")</f>
        <v>-8.7956711804343057E-2</v>
      </c>
    </row>
    <row r="29" spans="1:40" x14ac:dyDescent="0.25">
      <c r="A29" s="126">
        <f>peer_prices_monthly!A12</f>
        <v>44712</v>
      </c>
      <c r="B29" s="113">
        <f>IFERROR(peer_prices_monthly!B12/peer_prices_monthly!B11-1,"")</f>
        <v>-5.4496176029596666E-2</v>
      </c>
      <c r="C29" s="113">
        <f>IFERROR(peer_prices_monthly!C12/peer_prices_monthly!C11-1,"")</f>
        <v>5.1849976376720841E-2</v>
      </c>
      <c r="D29" s="113">
        <f>IFERROR(peer_prices_monthly!D12/peer_prices_monthly!D11-1,"")</f>
        <v>0.19106647110246278</v>
      </c>
      <c r="E29" s="113">
        <f>IFERROR(peer_prices_monthly!E12/peer_prices_monthly!E11-1,"")</f>
        <v>-3.2764317603166448E-2</v>
      </c>
      <c r="F29" s="113" t="str">
        <f>IFERROR(peer_prices_monthly!F12/peer_prices_monthly!F11-1,"")</f>
        <v/>
      </c>
      <c r="G29" s="113">
        <f>IFERROR(peer_prices_monthly!G12/peer_prices_monthly!G11-1,"")</f>
        <v>4.6429547629568635E-2</v>
      </c>
      <c r="H29" s="113">
        <f>IFERROR(peer_prices_monthly!H12/peer_prices_monthly!H11-1,"")</f>
        <v>-1.0711673861558468E-2</v>
      </c>
      <c r="I29" s="113">
        <f>IFERROR(peer_prices_monthly!I12/peer_prices_monthly!I11-1,"")</f>
        <v>-0.12318532954793338</v>
      </c>
      <c r="J29" s="113">
        <f>IFERROR(peer_prices_monthly!J12/peer_prices_monthly!J11-1,"")</f>
        <v>-8.9235035377082772E-2</v>
      </c>
      <c r="K29" s="113">
        <f>IFERROR(peer_prices_monthly!K12/peer_prices_monthly!K11-1,"")</f>
        <v>6.2327260630925307E-2</v>
      </c>
      <c r="L29" s="113">
        <f>IFERROR(peer_prices_monthly!L12/peer_prices_monthly!L11-1,"")</f>
        <v>-5.8352791175831031E-2</v>
      </c>
      <c r="M29" s="113">
        <f>IFERROR(peer_prices_monthly!M12/peer_prices_monthly!M11-1,"")</f>
        <v>-3.38981597108029E-2</v>
      </c>
      <c r="N29" s="113">
        <f>IFERROR(peer_prices_monthly!N12/peer_prices_monthly!N11-1,"")</f>
        <v>2.0311378344615383E-2</v>
      </c>
      <c r="O29" s="113">
        <f>IFERROR(peer_prices_monthly!O12/peer_prices_monthly!O11-1,"")</f>
        <v>-3.045240430723517E-3</v>
      </c>
      <c r="P29" s="113">
        <f>IFERROR(peer_prices_monthly!P12/peer_prices_monthly!P11-1,"")</f>
        <v>6.0333046518267652E-2</v>
      </c>
      <c r="Q29" s="113">
        <f>IFERROR(peer_prices_monthly!Q12/peer_prices_monthly!Q11-1,"")</f>
        <v>6.2886040019022538E-2</v>
      </c>
      <c r="R29" s="113">
        <f>IFERROR(peer_prices_monthly!R12/peer_prices_monthly!R11-1,"")</f>
        <v>2.7096224775973399E-2</v>
      </c>
      <c r="S29" s="113">
        <f>IFERROR(peer_prices_monthly!S12/peer_prices_monthly!S11-1,"")</f>
        <v>0.11615044051735057</v>
      </c>
      <c r="T29" s="113">
        <f>IFERROR(peer_prices_monthly!T12/peer_prices_monthly!T11-1,"")</f>
        <v>-3.4069909678812405E-2</v>
      </c>
      <c r="U29" s="113">
        <f>IFERROR(peer_prices_monthly!U12/peer_prices_monthly!U11-1,"")</f>
        <v>-1.807740526549928E-2</v>
      </c>
      <c r="V29" s="113">
        <f>IFERROR(peer_prices_monthly!V12/peer_prices_monthly!V11-1,"")</f>
        <v>8.285634603229397E-2</v>
      </c>
      <c r="W29" s="113">
        <f>IFERROR(peer_prices_monthly!W12/peer_prices_monthly!W11-1,"")</f>
        <v>-2.223383590897865E-2</v>
      </c>
      <c r="X29" s="113">
        <f>IFERROR(peer_prices_monthly!X12/peer_prices_monthly!X11-1,"")</f>
        <v>6.7396603135285726E-3</v>
      </c>
      <c r="Y29" s="113">
        <f>IFERROR(peer_prices_monthly!Y12/peer_prices_monthly!Y11-1,"")</f>
        <v>-2.0163216033012299E-2</v>
      </c>
      <c r="Z29" s="113">
        <f>IFERROR(peer_prices_monthly!Z12/peer_prices_monthly!Z11-1,"")</f>
        <v>-4.2397700771212077E-2</v>
      </c>
      <c r="AA29" s="113">
        <f>IFERROR(peer_prices_monthly!AA12/peer_prices_monthly!AA11-1,"")</f>
        <v>2.527007141743054E-2</v>
      </c>
      <c r="AB29" s="113" t="str">
        <f>IFERROR(peer_prices_monthly!AB12/peer_prices_monthly!AB11-1,"")</f>
        <v/>
      </c>
      <c r="AC29" s="113">
        <f>IFERROR(peer_prices_monthly!AC12/peer_prices_monthly!AC11-1,"")</f>
        <v>3.8359783604231756E-2</v>
      </c>
      <c r="AD29" s="113">
        <f>IFERROR(peer_prices_monthly!AD12/peer_prices_monthly!AD11-1,"")</f>
        <v>1.9562604062645095E-2</v>
      </c>
      <c r="AE29" s="113">
        <f>IFERROR(peer_prices_monthly!AE12/peer_prices_monthly!AE11-1,"")</f>
        <v>-0.12112830385303919</v>
      </c>
      <c r="AF29" s="113">
        <f>IFERROR(peer_prices_monthly!AF12/peer_prices_monthly!AF11-1,"")</f>
        <v>-0.50421644024663914</v>
      </c>
      <c r="AG29" s="113">
        <f>IFERROR(peer_prices_monthly!AG12/peer_prices_monthly!AG11-1,"")</f>
        <v>9.3201643924148092E-2</v>
      </c>
      <c r="AH29" s="113">
        <f>IFERROR(peer_prices_monthly!AH12/peer_prices_monthly!AH11-1,"")</f>
        <v>0.12939430294081466</v>
      </c>
      <c r="AI29" s="113">
        <f>IFERROR(peer_prices_monthly!AI12/peer_prices_monthly!AI11-1,"")</f>
        <v>-0.28910012875741153</v>
      </c>
      <c r="AJ29" s="113">
        <f>IFERROR(peer_prices_monthly!AJ12/peer_prices_monthly!AJ11-1,"")</f>
        <v>-0.12919748573786138</v>
      </c>
      <c r="AK29" s="113">
        <f>IFERROR(peer_prices_monthly!AK12/peer_prices_monthly!AK11-1,"")</f>
        <v>2.5503046192788759E-2</v>
      </c>
      <c r="AL29" s="113">
        <f>IFERROR(peer_prices_monthly!AL12/peer_prices_monthly!AL11-1,"")</f>
        <v>-0.11659876349938014</v>
      </c>
      <c r="AM29" s="113">
        <f>IFERROR(peer_prices_monthly!AM12/peer_prices_monthly!AM11-1,"")</f>
        <v>-0.15616994653210603</v>
      </c>
      <c r="AN29" s="113">
        <f>IFERROR(peer_prices_monthly!AN12/peer_prices_monthly!AN11-1,"")</f>
        <v>5.3177704644635782E-5</v>
      </c>
    </row>
    <row r="30" spans="1:40" x14ac:dyDescent="0.25">
      <c r="A30" s="126">
        <f>peer_prices_monthly!A13</f>
        <v>44742</v>
      </c>
      <c r="B30" s="113">
        <f>IFERROR(peer_prices_monthly!B13/peer_prices_monthly!B12-1,"")</f>
        <v>-8.1429692334190285E-2</v>
      </c>
      <c r="C30" s="113">
        <f>IFERROR(peer_prices_monthly!C13/peer_prices_monthly!C12-1,"")</f>
        <v>-0.12106226492917938</v>
      </c>
      <c r="D30" s="113">
        <f>IFERROR(peer_prices_monthly!D13/peer_prices_monthly!D12-1,"")</f>
        <v>-0.24926368778234786</v>
      </c>
      <c r="E30" s="113">
        <f>IFERROR(peer_prices_monthly!E13/peer_prices_monthly!E12-1,"")</f>
        <v>-0.11645921262241288</v>
      </c>
      <c r="F30" s="113" t="str">
        <f>IFERROR(peer_prices_monthly!F13/peer_prices_monthly!F12-1,"")</f>
        <v/>
      </c>
      <c r="G30" s="113">
        <f>IFERROR(peer_prices_monthly!G13/peer_prices_monthly!G12-1,"")</f>
        <v>-0.15564161855847025</v>
      </c>
      <c r="H30" s="113">
        <f>IFERROR(peer_prices_monthly!H13/peer_prices_monthly!H12-1,"")</f>
        <v>0.18355029189235372</v>
      </c>
      <c r="I30" s="113">
        <f>IFERROR(peer_prices_monthly!I13/peer_prices_monthly!I12-1,"")</f>
        <v>2.8012649454715266E-2</v>
      </c>
      <c r="J30" s="113">
        <f>IFERROR(peer_prices_monthly!J13/peer_prices_monthly!J12-1,"")</f>
        <v>2.9954963223986386E-2</v>
      </c>
      <c r="K30" s="113">
        <f>IFERROR(peer_prices_monthly!K13/peer_prices_monthly!K12-1,"")</f>
        <v>-7.4689530875232224E-2</v>
      </c>
      <c r="L30" s="113">
        <f>IFERROR(peer_prices_monthly!L13/peer_prices_monthly!L12-1,"")</f>
        <v>-0.14382590026500675</v>
      </c>
      <c r="M30" s="113">
        <f>IFERROR(peer_prices_monthly!M13/peer_prices_monthly!M12-1,"")</f>
        <v>-0.18640354831899031</v>
      </c>
      <c r="N30" s="113">
        <f>IFERROR(peer_prices_monthly!N13/peer_prices_monthly!N12-1,"")</f>
        <v>-0.178903876067534</v>
      </c>
      <c r="O30" s="113">
        <f>IFERROR(peer_prices_monthly!O13/peer_prices_monthly!O12-1,"")</f>
        <v>-4.2184564013587056E-2</v>
      </c>
      <c r="P30" s="113">
        <f>IFERROR(peer_prices_monthly!P13/peer_prices_monthly!P12-1,"")</f>
        <v>-0.15065169067744089</v>
      </c>
      <c r="Q30" s="113">
        <f>IFERROR(peer_prices_monthly!Q13/peer_prices_monthly!Q12-1,"")</f>
        <v>1.6926147465762265E-2</v>
      </c>
      <c r="R30" s="113">
        <f>IFERROR(peer_prices_monthly!R13/peer_prices_monthly!R12-1,"")</f>
        <v>-0.15781167787233374</v>
      </c>
      <c r="S30" s="113">
        <f>IFERROR(peer_prices_monthly!S13/peer_prices_monthly!S12-1,"")</f>
        <v>-0.14965310451703251</v>
      </c>
      <c r="T30" s="113">
        <f>IFERROR(peer_prices_monthly!T13/peer_prices_monthly!T12-1,"")</f>
        <v>-0.16726912152614015</v>
      </c>
      <c r="U30" s="113">
        <f>IFERROR(peer_prices_monthly!U13/peer_prices_monthly!U12-1,"")</f>
        <v>-5.5320439937814658E-2</v>
      </c>
      <c r="V30" s="113">
        <f>IFERROR(peer_prices_monthly!V13/peer_prices_monthly!V12-1,"")</f>
        <v>-0.25135405921159781</v>
      </c>
      <c r="W30" s="113">
        <f>IFERROR(peer_prices_monthly!W13/peer_prices_monthly!W12-1,"")</f>
        <v>1.722028070465198E-2</v>
      </c>
      <c r="X30" s="113">
        <f>IFERROR(peer_prices_monthly!X13/peer_prices_monthly!X12-1,"")</f>
        <v>-0.18797106453258805</v>
      </c>
      <c r="Y30" s="113">
        <f>IFERROR(peer_prices_monthly!Y13/peer_prices_monthly!Y12-1,"")</f>
        <v>-2.8504201122364292E-2</v>
      </c>
      <c r="Z30" s="113">
        <f>IFERROR(peer_prices_monthly!Z13/peer_prices_monthly!Z12-1,"")</f>
        <v>-7.5826961834292828E-2</v>
      </c>
      <c r="AA30" s="113">
        <f>IFERROR(peer_prices_monthly!AA13/peer_prices_monthly!AA12-1,"")</f>
        <v>-0.10339013006605324</v>
      </c>
      <c r="AB30" s="113" t="str">
        <f>IFERROR(peer_prices_monthly!AB13/peer_prices_monthly!AB12-1,"")</f>
        <v/>
      </c>
      <c r="AC30" s="113">
        <f>IFERROR(peer_prices_monthly!AC13/peer_prices_monthly!AC12-1,"")</f>
        <v>-0.18025477440044102</v>
      </c>
      <c r="AD30" s="113">
        <f>IFERROR(peer_prices_monthly!AD13/peer_prices_monthly!AD12-1,"")</f>
        <v>-9.1346049411577535E-2</v>
      </c>
      <c r="AE30" s="113">
        <f>IFERROR(peer_prices_monthly!AE13/peer_prices_monthly!AE12-1,"")</f>
        <v>-0.16719985852509356</v>
      </c>
      <c r="AF30" s="113">
        <f>IFERROR(peer_prices_monthly!AF13/peer_prices_monthly!AF12-1,"")</f>
        <v>-6.9454256986644536E-2</v>
      </c>
      <c r="AG30" s="113">
        <f>IFERROR(peer_prices_monthly!AG13/peer_prices_monthly!AG12-1,"")</f>
        <v>-0.13075373439666127</v>
      </c>
      <c r="AH30" s="113">
        <f>IFERROR(peer_prices_monthly!AH13/peer_prices_monthly!AH12-1,"")</f>
        <v>-0.18145709815820532</v>
      </c>
      <c r="AI30" s="113">
        <f>IFERROR(peer_prices_monthly!AI13/peer_prices_monthly!AI12-1,"")</f>
        <v>-0.12756379885873592</v>
      </c>
      <c r="AJ30" s="113">
        <f>IFERROR(peer_prices_monthly!AJ13/peer_prices_monthly!AJ12-1,"")</f>
        <v>-0.11188774122303669</v>
      </c>
      <c r="AK30" s="113">
        <f>IFERROR(peer_prices_monthly!AK13/peer_prices_monthly!AK12-1,"")</f>
        <v>-0.13766426387385045</v>
      </c>
      <c r="AL30" s="113">
        <f>IFERROR(peer_prices_monthly!AL13/peer_prices_monthly!AL12-1,"")</f>
        <v>-0.19519692596225835</v>
      </c>
      <c r="AM30" s="113">
        <f>IFERROR(peer_prices_monthly!AM13/peer_prices_monthly!AM12-1,"")</f>
        <v>-5.4808199742392039E-2</v>
      </c>
      <c r="AN30" s="113">
        <f>IFERROR(peer_prices_monthly!AN13/peer_prices_monthly!AN12-1,"")</f>
        <v>-8.3919999933826817E-2</v>
      </c>
    </row>
    <row r="31" spans="1:40" x14ac:dyDescent="0.25">
      <c r="A31" s="126">
        <f>peer_prices_monthly!A14</f>
        <v>44773</v>
      </c>
      <c r="B31" s="113">
        <f>IFERROR(peer_prices_monthly!B14/peer_prices_monthly!B13-1,"")</f>
        <v>0.18863376897081374</v>
      </c>
      <c r="C31" s="113">
        <f>IFERROR(peer_prices_monthly!C14/peer_prices_monthly!C13-1,"")</f>
        <v>0.12036277619092006</v>
      </c>
      <c r="D31" s="113">
        <f>IFERROR(peer_prices_monthly!D14/peer_prices_monthly!D13-1,"")</f>
        <v>0.23538642229191908</v>
      </c>
      <c r="E31" s="113">
        <f>IFERROR(peer_prices_monthly!E14/peer_prices_monthly!E13-1,"")</f>
        <v>0.27059597129750057</v>
      </c>
      <c r="F31" s="113" t="str">
        <f>IFERROR(peer_prices_monthly!F14/peer_prices_monthly!F13-1,"")</f>
        <v/>
      </c>
      <c r="G31" s="113">
        <f>IFERROR(peer_prices_monthly!G14/peer_prices_monthly!G13-1,"")</f>
        <v>0.10224139513384456</v>
      </c>
      <c r="H31" s="113">
        <f>IFERROR(peer_prices_monthly!H14/peer_prices_monthly!H13-1,"")</f>
        <v>-0.21384586759127544</v>
      </c>
      <c r="I31" s="113">
        <f>IFERROR(peer_prices_monthly!I14/peer_prices_monthly!I13-1,"")</f>
        <v>0.13135167457235775</v>
      </c>
      <c r="J31" s="113">
        <f>IFERROR(peer_prices_monthly!J14/peer_prices_monthly!J13-1,"")</f>
        <v>0.11500266315679886</v>
      </c>
      <c r="K31" s="113">
        <f>IFERROR(peer_prices_monthly!K14/peer_prices_monthly!K13-1,"")</f>
        <v>-1.7327322598417072E-2</v>
      </c>
      <c r="L31" s="113">
        <f>IFERROR(peer_prices_monthly!L14/peer_prices_monthly!L13-1,"")</f>
        <v>0.16702680452521168</v>
      </c>
      <c r="M31" s="113">
        <f>IFERROR(peer_prices_monthly!M14/peer_prices_monthly!M13-1,"")</f>
        <v>0.31985603359458614</v>
      </c>
      <c r="N31" s="113">
        <f>IFERROR(peer_prices_monthly!N14/peer_prices_monthly!N13-1,"")</f>
        <v>0.14168769751395183</v>
      </c>
      <c r="O31" s="113">
        <f>IFERROR(peer_prices_monthly!O14/peer_prices_monthly!O13-1,"")</f>
        <v>6.7518314947158542E-2</v>
      </c>
      <c r="P31" s="113">
        <f>IFERROR(peer_prices_monthly!P14/peer_prices_monthly!P13-1,"")</f>
        <v>1.860873119441897E-2</v>
      </c>
      <c r="Q31" s="113">
        <f>IFERROR(peer_prices_monthly!Q14/peer_prices_monthly!Q13-1,"")</f>
        <v>-7.3659787510672481E-2</v>
      </c>
      <c r="R31" s="113">
        <f>IFERROR(peer_prices_monthly!R14/peer_prices_monthly!R13-1,"")</f>
        <v>-2.940388417937656E-2</v>
      </c>
      <c r="S31" s="113">
        <f>IFERROR(peer_prices_monthly!S14/peer_prices_monthly!S13-1,"")</f>
        <v>6.3519775692251867E-2</v>
      </c>
      <c r="T31" s="113">
        <f>IFERROR(peer_prices_monthly!T14/peer_prices_monthly!T13-1,"")</f>
        <v>-1.3333063502183662E-2</v>
      </c>
      <c r="U31" s="113">
        <f>IFERROR(peer_prices_monthly!U14/peer_prices_monthly!U13-1,"")</f>
        <v>9.3096639869643116E-2</v>
      </c>
      <c r="V31" s="113">
        <f>IFERROR(peer_prices_monthly!V14/peer_prices_monthly!V13-1,"")</f>
        <v>0.12122141171535872</v>
      </c>
      <c r="W31" s="113">
        <f>IFERROR(peer_prices_monthly!W14/peer_prices_monthly!W13-1,"")</f>
        <v>-6.0691409093166282E-2</v>
      </c>
      <c r="X31" s="113">
        <f>IFERROR(peer_prices_monthly!X14/peer_prices_monthly!X13-1,"")</f>
        <v>0.19816581003127998</v>
      </c>
      <c r="Y31" s="113">
        <f>IFERROR(peer_prices_monthly!Y14/peer_prices_monthly!Y13-1,"")</f>
        <v>0.11905160174620422</v>
      </c>
      <c r="Z31" s="113">
        <f>IFERROR(peer_prices_monthly!Z14/peer_prices_monthly!Z13-1,"")</f>
        <v>7.2687208475517906E-2</v>
      </c>
      <c r="AA31" s="113">
        <f>IFERROR(peer_prices_monthly!AA14/peer_prices_monthly!AA13-1,"")</f>
        <v>0.13558784216690922</v>
      </c>
      <c r="AB31" s="113" t="str">
        <f>IFERROR(peer_prices_monthly!AB14/peer_prices_monthly!AB13-1,"")</f>
        <v/>
      </c>
      <c r="AC31" s="113">
        <f>IFERROR(peer_prices_monthly!AC14/peer_prices_monthly!AC13-1,"")</f>
        <v>0.3325563147652868</v>
      </c>
      <c r="AD31" s="113">
        <f>IFERROR(peer_prices_monthly!AD14/peer_prices_monthly!AD13-1,"")</f>
        <v>2.7446982620871641E-2</v>
      </c>
      <c r="AE31" s="113">
        <f>IFERROR(peer_prices_monthly!AE14/peer_prices_monthly!AE13-1,"")</f>
        <v>0.11491684014849235</v>
      </c>
      <c r="AF31" s="113">
        <f>IFERROR(peer_prices_monthly!AF14/peer_prices_monthly!AF13-1,"")</f>
        <v>-0.24752475031782484</v>
      </c>
      <c r="AG31" s="113">
        <f>IFERROR(peer_prices_monthly!AG14/peer_prices_monthly!AG13-1,"")</f>
        <v>4.4270374441804483E-2</v>
      </c>
      <c r="AH31" s="113">
        <f>IFERROR(peer_prices_monthly!AH14/peer_prices_monthly!AH13-1,"")</f>
        <v>0.1634305404348424</v>
      </c>
      <c r="AI31" s="113">
        <f>IFERROR(peer_prices_monthly!AI14/peer_prices_monthly!AI13-1,"")</f>
        <v>0.15683662975398627</v>
      </c>
      <c r="AJ31" s="113">
        <f>IFERROR(peer_prices_monthly!AJ14/peer_prices_monthly!AJ13-1,"")</f>
        <v>0.32376526434081954</v>
      </c>
      <c r="AK31" s="113">
        <f>IFERROR(peer_prices_monthly!AK14/peer_prices_monthly!AK13-1,"")</f>
        <v>8.2324365425565871E-2</v>
      </c>
      <c r="AL31" s="113">
        <f>IFERROR(peer_prices_monthly!AL14/peer_prices_monthly!AL13-1,"")</f>
        <v>7.4242078196832928E-2</v>
      </c>
      <c r="AM31" s="113">
        <f>IFERROR(peer_prices_monthly!AM14/peer_prices_monthly!AM13-1,"")</f>
        <v>8.6115949725492635E-2</v>
      </c>
      <c r="AN31" s="113">
        <f>IFERROR(peer_prices_monthly!AN14/peer_prices_monthly!AN13-1,"")</f>
        <v>9.1116391730210022E-2</v>
      </c>
    </row>
    <row r="32" spans="1:40" x14ac:dyDescent="0.25">
      <c r="A32" s="126">
        <f>peer_prices_monthly!A15</f>
        <v>44804</v>
      </c>
      <c r="B32" s="113">
        <f>IFERROR(peer_prices_monthly!B15/peer_prices_monthly!B14-1,"")</f>
        <v>-3.1208249203187988E-2</v>
      </c>
      <c r="C32" s="113">
        <f>IFERROR(peer_prices_monthly!C15/peer_prices_monthly!C14-1,"")</f>
        <v>-8.9437221087697361E-2</v>
      </c>
      <c r="D32" s="113">
        <f>IFERROR(peer_prices_monthly!D15/peer_prices_monthly!D14-1,"")</f>
        <v>-0.10161954430055886</v>
      </c>
      <c r="E32" s="113">
        <f>IFERROR(peer_prices_monthly!E15/peer_prices_monthly!E14-1,"")</f>
        <v>-6.0615046240520387E-2</v>
      </c>
      <c r="F32" s="113" t="str">
        <f>IFERROR(peer_prices_monthly!F15/peer_prices_monthly!F14-1,"")</f>
        <v/>
      </c>
      <c r="G32" s="113">
        <f>IFERROR(peer_prices_monthly!G15/peer_prices_monthly!G14-1,"")</f>
        <v>-6.7920452867399339E-2</v>
      </c>
      <c r="H32" s="113">
        <f>IFERROR(peer_prices_monthly!H15/peer_prices_monthly!H14-1,"")</f>
        <v>6.7584236041895895E-2</v>
      </c>
      <c r="I32" s="113">
        <f>IFERROR(peer_prices_monthly!I15/peer_prices_monthly!I14-1,"")</f>
        <v>-3.5470177970035821E-2</v>
      </c>
      <c r="J32" s="113">
        <f>IFERROR(peer_prices_monthly!J15/peer_prices_monthly!J14-1,"")</f>
        <v>-0.15161409587863728</v>
      </c>
      <c r="K32" s="113">
        <f>IFERROR(peer_prices_monthly!K15/peer_prices_monthly!K14-1,"")</f>
        <v>-0.15024424029660011</v>
      </c>
      <c r="L32" s="113">
        <f>IFERROR(peer_prices_monthly!L15/peer_prices_monthly!L14-1,"")</f>
        <v>-8.8021709773890566E-2</v>
      </c>
      <c r="M32" s="113">
        <f>IFERROR(peer_prices_monthly!M15/peer_prices_monthly!M14-1,"")</f>
        <v>4.7787483800648678E-2</v>
      </c>
      <c r="N32" s="113">
        <f>IFERROR(peer_prices_monthly!N15/peer_prices_monthly!N14-1,"")</f>
        <v>5.6184139401430855E-2</v>
      </c>
      <c r="O32" s="113">
        <f>IFERROR(peer_prices_monthly!O15/peer_prices_monthly!O14-1,"")</f>
        <v>-6.9635503974877166E-2</v>
      </c>
      <c r="P32" s="113">
        <f>IFERROR(peer_prices_monthly!P15/peer_prices_monthly!P14-1,"")</f>
        <v>-0.14016160940219324</v>
      </c>
      <c r="Q32" s="113">
        <f>IFERROR(peer_prices_monthly!Q15/peer_prices_monthly!Q14-1,"")</f>
        <v>-5.5173646694081091E-3</v>
      </c>
      <c r="R32" s="113">
        <f>IFERROR(peer_prices_monthly!R15/peer_prices_monthly!R14-1,"")</f>
        <v>-0.11202852456694223</v>
      </c>
      <c r="S32" s="113">
        <f>IFERROR(peer_prices_monthly!S15/peer_prices_monthly!S14-1,"")</f>
        <v>-0.15945208823844181</v>
      </c>
      <c r="T32" s="113">
        <f>IFERROR(peer_prices_monthly!T15/peer_prices_monthly!T14-1,"")</f>
        <v>2.4072626062619396E-2</v>
      </c>
      <c r="U32" s="113">
        <f>IFERROR(peer_prices_monthly!U15/peer_prices_monthly!U14-1,"")</f>
        <v>-6.6663243682994144E-2</v>
      </c>
      <c r="V32" s="113">
        <f>IFERROR(peer_prices_monthly!V15/peer_prices_monthly!V14-1,"")</f>
        <v>-8.6162346937505241E-2</v>
      </c>
      <c r="W32" s="113">
        <f>IFERROR(peer_prices_monthly!W15/peer_prices_monthly!W14-1,"")</f>
        <v>-2.6955593870111372E-2</v>
      </c>
      <c r="X32" s="113">
        <f>IFERROR(peer_prices_monthly!X15/peer_prices_monthly!X14-1,"")</f>
        <v>-0.16896969201719791</v>
      </c>
      <c r="Y32" s="113">
        <f>IFERROR(peer_prices_monthly!Y15/peer_prices_monthly!Y14-1,"")</f>
        <v>-4.7404893476957199E-2</v>
      </c>
      <c r="Z32" s="113">
        <f>IFERROR(peer_prices_monthly!Z15/peer_prices_monthly!Z14-1,"")</f>
        <v>0.18275161483306301</v>
      </c>
      <c r="AA32" s="113">
        <f>IFERROR(peer_prices_monthly!AA15/peer_prices_monthly!AA14-1,"")</f>
        <v>-8.3053648882085218E-2</v>
      </c>
      <c r="AB32" s="113" t="str">
        <f>IFERROR(peer_prices_monthly!AB15/peer_prices_monthly!AB14-1,"")</f>
        <v/>
      </c>
      <c r="AC32" s="113">
        <f>IFERROR(peer_prices_monthly!AC15/peer_prices_monthly!AC14-1,"")</f>
        <v>-4.635569061091771E-2</v>
      </c>
      <c r="AD32" s="113">
        <f>IFERROR(peer_prices_monthly!AD15/peer_prices_monthly!AD14-1,"")</f>
        <v>-8.5720320683223772E-2</v>
      </c>
      <c r="AE32" s="113">
        <f>IFERROR(peer_prices_monthly!AE15/peer_prices_monthly!AE14-1,"")</f>
        <v>-9.1300661652251258E-2</v>
      </c>
      <c r="AF32" s="113">
        <f>IFERROR(peer_prices_monthly!AF15/peer_prices_monthly!AF14-1,"")</f>
        <v>0.10121457372640807</v>
      </c>
      <c r="AG32" s="113">
        <f>IFERROR(peer_prices_monthly!AG15/peer_prices_monthly!AG14-1,"")</f>
        <v>-7.0734095594323532E-2</v>
      </c>
      <c r="AH32" s="113">
        <f>IFERROR(peer_prices_monthly!AH15/peer_prices_monthly!AH14-1,"")</f>
        <v>-6.8150288180995666E-2</v>
      </c>
      <c r="AI32" s="113">
        <f>IFERROR(peer_prices_monthly!AI15/peer_prices_monthly!AI14-1,"")</f>
        <v>-1.2455750069435223E-2</v>
      </c>
      <c r="AJ32" s="113">
        <f>IFERROR(peer_prices_monthly!AJ15/peer_prices_monthly!AJ14-1,"")</f>
        <v>-7.2488672345137561E-2</v>
      </c>
      <c r="AK32" s="113">
        <f>IFERROR(peer_prices_monthly!AK15/peer_prices_monthly!AK14-1,"")</f>
        <v>-5.7979558918050733E-2</v>
      </c>
      <c r="AL32" s="113">
        <f>IFERROR(peer_prices_monthly!AL15/peer_prices_monthly!AL14-1,"")</f>
        <v>0.39333335028754335</v>
      </c>
      <c r="AM32" s="113">
        <f>IFERROR(peer_prices_monthly!AM15/peer_prices_monthly!AM14-1,"")</f>
        <v>8.1583354146110842E-3</v>
      </c>
      <c r="AN32" s="113">
        <f>IFERROR(peer_prices_monthly!AN15/peer_prices_monthly!AN14-1,"")</f>
        <v>-4.2440128272998368E-2</v>
      </c>
    </row>
    <row r="33" spans="1:40" x14ac:dyDescent="0.25">
      <c r="A33" s="126">
        <f>peer_prices_monthly!A16</f>
        <v>44834</v>
      </c>
      <c r="B33" s="113">
        <f>IFERROR(peer_prices_monthly!B16/peer_prices_monthly!B15-1,"")</f>
        <v>-0.12097667643383969</v>
      </c>
      <c r="C33" s="113">
        <f>IFERROR(peer_prices_monthly!C16/peer_prices_monthly!C15-1,"")</f>
        <v>-0.26306766707401441</v>
      </c>
      <c r="D33" s="113">
        <f>IFERROR(peer_prices_monthly!D16/peer_prices_monthly!D15-1,"")</f>
        <v>-0.25344646447648123</v>
      </c>
      <c r="E33" s="113">
        <f>IFERROR(peer_prices_monthly!E16/peer_prices_monthly!E15-1,"")</f>
        <v>-0.10862189009783763</v>
      </c>
      <c r="F33" s="113" t="str">
        <f>IFERROR(peer_prices_monthly!F16/peer_prices_monthly!F15-1,"")</f>
        <v/>
      </c>
      <c r="G33" s="113">
        <f>IFERROR(peer_prices_monthly!G16/peer_prices_monthly!G15-1,"")</f>
        <v>-0.10293689229105241</v>
      </c>
      <c r="H33" s="113">
        <f>IFERROR(peer_prices_monthly!H16/peer_prices_monthly!H15-1,"")</f>
        <v>-0.16161830568912172</v>
      </c>
      <c r="I33" s="113">
        <f>IFERROR(peer_prices_monthly!I16/peer_prices_monthly!I15-1,"")</f>
        <v>-9.5441240589973275E-2</v>
      </c>
      <c r="J33" s="113">
        <f>IFERROR(peer_prices_monthly!J16/peer_prices_monthly!J15-1,"")</f>
        <v>-7.8657277966249994E-2</v>
      </c>
      <c r="K33" s="113">
        <f>IFERROR(peer_prices_monthly!K16/peer_prices_monthly!K15-1,"")</f>
        <v>-0.10759999891929573</v>
      </c>
      <c r="L33" s="113">
        <f>IFERROR(peer_prices_monthly!L16/peer_prices_monthly!L15-1,"")</f>
        <v>-0.16587359707422733</v>
      </c>
      <c r="M33" s="113">
        <f>IFERROR(peer_prices_monthly!M16/peer_prices_monthly!M15-1,"")</f>
        <v>-0.26509197742252799</v>
      </c>
      <c r="N33" s="113">
        <f>IFERROR(peer_prices_monthly!N16/peer_prices_monthly!N15-1,"")</f>
        <v>-0.16016743091864549</v>
      </c>
      <c r="O33" s="113">
        <f>IFERROR(peer_prices_monthly!O16/peer_prices_monthly!O15-1,"")</f>
        <v>-0.11615221090219519</v>
      </c>
      <c r="P33" s="113">
        <f>IFERROR(peer_prices_monthly!P16/peer_prices_monthly!P15-1,"")</f>
        <v>-0.12433108532117088</v>
      </c>
      <c r="Q33" s="113">
        <f>IFERROR(peer_prices_monthly!Q16/peer_prices_monthly!Q15-1,"")</f>
        <v>-7.5048719634088989E-2</v>
      </c>
      <c r="R33" s="113">
        <f>IFERROR(peer_prices_monthly!R16/peer_prices_monthly!R15-1,"")</f>
        <v>-0.19266909649253317</v>
      </c>
      <c r="S33" s="113">
        <f>IFERROR(peer_prices_monthly!S16/peer_prices_monthly!S15-1,"")</f>
        <v>-8.930897974798524E-2</v>
      </c>
      <c r="T33" s="113">
        <f>IFERROR(peer_prices_monthly!T16/peer_prices_monthly!T15-1,"")</f>
        <v>-0.16724965514322432</v>
      </c>
      <c r="U33" s="113">
        <f>IFERROR(peer_prices_monthly!U16/peer_prices_monthly!U15-1,"")</f>
        <v>-0.10926672326767162</v>
      </c>
      <c r="V33" s="113">
        <f>IFERROR(peer_prices_monthly!V16/peer_prices_monthly!V15-1,"")</f>
        <v>-0.11374509482169348</v>
      </c>
      <c r="W33" s="113">
        <f>IFERROR(peer_prices_monthly!W16/peer_prices_monthly!W15-1,"")</f>
        <v>-0.1311720578308152</v>
      </c>
      <c r="X33" s="113">
        <f>IFERROR(peer_prices_monthly!X16/peer_prices_monthly!X15-1,"")</f>
        <v>-0.19553425411578296</v>
      </c>
      <c r="Y33" s="113">
        <f>IFERROR(peer_prices_monthly!Y16/peer_prices_monthly!Y15-1,"")</f>
        <v>-0.17639925681456503</v>
      </c>
      <c r="Z33" s="113">
        <f>IFERROR(peer_prices_monthly!Z16/peer_prices_monthly!Z15-1,"")</f>
        <v>1.1284648923689078E-2</v>
      </c>
      <c r="AA33" s="113">
        <f>IFERROR(peer_prices_monthly!AA16/peer_prices_monthly!AA15-1,"")</f>
        <v>-0.14583828932745313</v>
      </c>
      <c r="AB33" s="113" t="str">
        <f>IFERROR(peer_prices_monthly!AB16/peer_prices_monthly!AB15-1,"")</f>
        <v/>
      </c>
      <c r="AC33" s="113">
        <f>IFERROR(peer_prices_monthly!AC16/peer_prices_monthly!AC15-1,"")</f>
        <v>6.1143616183834126E-3</v>
      </c>
      <c r="AD33" s="113">
        <f>IFERROR(peer_prices_monthly!AD16/peer_prices_monthly!AD15-1,"")</f>
        <v>-4.6585378729294802E-2</v>
      </c>
      <c r="AE33" s="113">
        <f>IFERROR(peer_prices_monthly!AE16/peer_prices_monthly!AE15-1,"")</f>
        <v>-0.14881513874379548</v>
      </c>
      <c r="AF33" s="113">
        <f>IFERROR(peer_prices_monthly!AF16/peer_prices_monthly!AF15-1,"")</f>
        <v>-9.7426508131169154E-2</v>
      </c>
      <c r="AG33" s="113">
        <f>IFERROR(peer_prices_monthly!AG16/peer_prices_monthly!AG15-1,"")</f>
        <v>-0.18969596312613468</v>
      </c>
      <c r="AH33" s="113">
        <f>IFERROR(peer_prices_monthly!AH16/peer_prices_monthly!AH15-1,"")</f>
        <v>-0.11641784442727254</v>
      </c>
      <c r="AI33" s="113">
        <f>IFERROR(peer_prices_monthly!AI16/peer_prices_monthly!AI15-1,"")</f>
        <v>-7.4529379340182778E-2</v>
      </c>
      <c r="AJ33" s="113">
        <f>IFERROR(peer_prices_monthly!AJ16/peer_prices_monthly!AJ15-1,"")</f>
        <v>-3.7589296114752591E-2</v>
      </c>
      <c r="AK33" s="113">
        <f>IFERROR(peer_prices_monthly!AK16/peer_prices_monthly!AK15-1,"")</f>
        <v>-0.17279218019466636</v>
      </c>
      <c r="AL33" s="113">
        <f>IFERROR(peer_prices_monthly!AL16/peer_prices_monthly!AL15-1,"")</f>
        <v>-4.704945338187505E-2</v>
      </c>
      <c r="AM33" s="113">
        <f>IFERROR(peer_prices_monthly!AM16/peer_prices_monthly!AM15-1,"")</f>
        <v>-2.1501533503144987E-2</v>
      </c>
      <c r="AN33" s="113">
        <f>IFERROR(peer_prices_monthly!AN16/peer_prices_monthly!AN15-1,"")</f>
        <v>-9.3395672013274367E-2</v>
      </c>
    </row>
    <row r="34" spans="1:40" x14ac:dyDescent="0.25">
      <c r="A34" s="126">
        <f>peer_prices_monthly!A17</f>
        <v>44865</v>
      </c>
      <c r="B34" s="113">
        <f>IFERROR(peer_prices_monthly!B17/peer_prices_monthly!B16-1,"")</f>
        <v>0.10955121229758724</v>
      </c>
      <c r="C34" s="113">
        <f>IFERROR(peer_prices_monthly!C17/peer_prices_monthly!C16-1,"")</f>
        <v>0.15734006494300012</v>
      </c>
      <c r="D34" s="113">
        <f>IFERROR(peer_prices_monthly!D17/peer_prices_monthly!D16-1,"")</f>
        <v>-5.208332079026845E-2</v>
      </c>
      <c r="E34" s="113">
        <f>IFERROR(peer_prices_monthly!E17/peer_prices_monthly!E16-1,"")</f>
        <v>-9.345130582826322E-2</v>
      </c>
      <c r="F34" s="113" t="str">
        <f>IFERROR(peer_prices_monthly!F17/peer_prices_monthly!F16-1,"")</f>
        <v/>
      </c>
      <c r="G34" s="113">
        <f>IFERROR(peer_prices_monthly!G17/peer_prices_monthly!G16-1,"")</f>
        <v>5.8804902383485569E-2</v>
      </c>
      <c r="H34" s="113">
        <f>IFERROR(peer_prices_monthly!H17/peer_prices_monthly!H16-1,"")</f>
        <v>-0.20515066411646699</v>
      </c>
      <c r="I34" s="113">
        <f>IFERROR(peer_prices_monthly!I17/peer_prices_monthly!I16-1,"")</f>
        <v>6.3809301859233614E-2</v>
      </c>
      <c r="J34" s="113">
        <f>IFERROR(peer_prices_monthly!J17/peer_prices_monthly!J16-1,"")</f>
        <v>0.13035319271180801</v>
      </c>
      <c r="K34" s="113">
        <f>IFERROR(peer_prices_monthly!K17/peer_prices_monthly!K16-1,"")</f>
        <v>0.13465570655221182</v>
      </c>
      <c r="L34" s="113">
        <f>IFERROR(peer_prices_monthly!L17/peer_prices_monthly!L16-1,"")</f>
        <v>8.2314739690968031E-2</v>
      </c>
      <c r="M34" s="113">
        <f>IFERROR(peer_prices_monthly!M17/peer_prices_monthly!M16-1,"")</f>
        <v>0.19375014539383395</v>
      </c>
      <c r="N34" s="113">
        <f>IFERROR(peer_prices_monthly!N17/peer_prices_monthly!N16-1,"")</f>
        <v>0.22312239658019495</v>
      </c>
      <c r="O34" s="113">
        <f>IFERROR(peer_prices_monthly!O17/peer_prices_monthly!O16-1,"")</f>
        <v>-1.1918551175414849E-2</v>
      </c>
      <c r="P34" s="113">
        <f>IFERROR(peer_prices_monthly!P17/peer_prices_monthly!P16-1,"")</f>
        <v>0.10834673908394921</v>
      </c>
      <c r="Q34" s="113">
        <f>IFERROR(peer_prices_monthly!Q17/peer_prices_monthly!Q16-1,"")</f>
        <v>0.16395929679507182</v>
      </c>
      <c r="R34" s="113">
        <f>IFERROR(peer_prices_monthly!R17/peer_prices_monthly!R16-1,"")</f>
        <v>0.1032207182958258</v>
      </c>
      <c r="S34" s="113">
        <f>IFERROR(peer_prices_monthly!S17/peer_prices_monthly!S16-1,"")</f>
        <v>2.2906206285943975E-2</v>
      </c>
      <c r="T34" s="113">
        <f>IFERROR(peer_prices_monthly!T17/peer_prices_monthly!T16-1,"")</f>
        <v>-0.31338450647340976</v>
      </c>
      <c r="U34" s="113">
        <f>IFERROR(peer_prices_monthly!U17/peer_prices_monthly!U16-1,"")</f>
        <v>-3.306275659871627E-3</v>
      </c>
      <c r="V34" s="113">
        <f>IFERROR(peer_prices_monthly!V17/peer_prices_monthly!V16-1,"")</f>
        <v>8.2118860320917975E-2</v>
      </c>
      <c r="W34" s="113">
        <f>IFERROR(peer_prices_monthly!W17/peer_prices_monthly!W16-1,"")</f>
        <v>0.11421836138044728</v>
      </c>
      <c r="X34" s="113">
        <f>IFERROR(peer_prices_monthly!X17/peer_prices_monthly!X16-1,"")</f>
        <v>0.11187085021534293</v>
      </c>
      <c r="Y34" s="113">
        <f>IFERROR(peer_prices_monthly!Y17/peer_prices_monthly!Y16-1,"")</f>
        <v>0.28494051362752404</v>
      </c>
      <c r="Z34" s="113">
        <f>IFERROR(peer_prices_monthly!Z17/peer_prices_monthly!Z16-1,"")</f>
        <v>5.579404235951313E-2</v>
      </c>
      <c r="AA34" s="113">
        <f>IFERROR(peer_prices_monthly!AA17/peer_prices_monthly!AA16-1,"")</f>
        <v>4.142343773227819E-2</v>
      </c>
      <c r="AB34" s="113" t="str">
        <f>IFERROR(peer_prices_monthly!AB17/peer_prices_monthly!AB16-1,"")</f>
        <v/>
      </c>
      <c r="AC34" s="113">
        <f>IFERROR(peer_prices_monthly!AC17/peer_prices_monthly!AC16-1,"")</f>
        <v>6.2594997959351417E-2</v>
      </c>
      <c r="AD34" s="113">
        <f>IFERROR(peer_prices_monthly!AD17/peer_prices_monthly!AD16-1,"")</f>
        <v>0.18227695138605871</v>
      </c>
      <c r="AE34" s="113">
        <f>IFERROR(peer_prices_monthly!AE17/peer_prices_monthly!AE16-1,"")</f>
        <v>0.27060129412256972</v>
      </c>
      <c r="AF34" s="113">
        <f>IFERROR(peer_prices_monthly!AF17/peer_prices_monthly!AF16-1,"")</f>
        <v>9.1649852734034809E-3</v>
      </c>
      <c r="AG34" s="113">
        <f>IFERROR(peer_prices_monthly!AG17/peer_prices_monthly!AG16-1,"")</f>
        <v>5.3395908608382614E-2</v>
      </c>
      <c r="AH34" s="113">
        <f>IFERROR(peer_prices_monthly!AH17/peer_prices_monthly!AH16-1,"")</f>
        <v>0.14189184011808864</v>
      </c>
      <c r="AI34" s="113">
        <f>IFERROR(peer_prices_monthly!AI17/peer_prices_monthly!AI16-1,"")</f>
        <v>0.10688079636630476</v>
      </c>
      <c r="AJ34" s="113">
        <f>IFERROR(peer_prices_monthly!AJ17/peer_prices_monthly!AJ16-1,"")</f>
        <v>-0.14216779156971604</v>
      </c>
      <c r="AK34" s="113">
        <f>IFERROR(peer_prices_monthly!AK17/peer_prices_monthly!AK16-1,"")</f>
        <v>-0.10224635469031218</v>
      </c>
      <c r="AL34" s="113">
        <f>IFERROR(peer_prices_monthly!AL17/peer_prices_monthly!AL16-1,"")</f>
        <v>-0.10895394680390302</v>
      </c>
      <c r="AM34" s="113">
        <f>IFERROR(peer_prices_monthly!AM17/peer_prices_monthly!AM16-1,"")</f>
        <v>9.7378739348165766E-2</v>
      </c>
      <c r="AN34" s="113">
        <f>IFERROR(peer_prices_monthly!AN17/peer_prices_monthly!AN16-1,"")</f>
        <v>7.9863413837008901E-2</v>
      </c>
    </row>
    <row r="35" spans="1:40" x14ac:dyDescent="0.25">
      <c r="A35" s="126">
        <f>peer_prices_monthly!A18</f>
        <v>44895</v>
      </c>
      <c r="B35" s="113">
        <f>IFERROR(peer_prices_monthly!B18/peer_prices_monthly!B17-1,"")</f>
        <v>-3.3027565342221621E-2</v>
      </c>
      <c r="C35" s="113">
        <f>IFERROR(peer_prices_monthly!C18/peer_prices_monthly!C17-1,"")</f>
        <v>8.2982708558182905E-2</v>
      </c>
      <c r="D35" s="113">
        <f>IFERROR(peer_prices_monthly!D18/peer_prices_monthly!D17-1,"")</f>
        <v>0.292540717255801</v>
      </c>
      <c r="E35" s="113">
        <f>IFERROR(peer_prices_monthly!E18/peer_prices_monthly!E17-1,"")</f>
        <v>-5.7594703097099131E-2</v>
      </c>
      <c r="F35" s="113" t="str">
        <f>IFERROR(peer_prices_monthly!F18/peer_prices_monthly!F17-1,"")</f>
        <v/>
      </c>
      <c r="G35" s="113">
        <f>IFERROR(peer_prices_monthly!G18/peer_prices_monthly!G17-1,"")</f>
        <v>0.17210500006012364</v>
      </c>
      <c r="H35" s="113">
        <f>IFERROR(peer_prices_monthly!H18/peer_prices_monthly!H17-1,"")</f>
        <v>0.37716273829857627</v>
      </c>
      <c r="I35" s="113">
        <f>IFERROR(peer_prices_monthly!I18/peer_prices_monthly!I17-1,"")</f>
        <v>7.5274199435973355E-2</v>
      </c>
      <c r="J35" s="113">
        <f>IFERROR(peer_prices_monthly!J18/peer_prices_monthly!J17-1,"")</f>
        <v>-1.4392289538698089E-2</v>
      </c>
      <c r="K35" s="113">
        <f>IFERROR(peer_prices_monthly!K18/peer_prices_monthly!K17-1,"")</f>
        <v>0.1664061762901532</v>
      </c>
      <c r="L35" s="113">
        <f>IFERROR(peer_prices_monthly!L18/peer_prices_monthly!L17-1,"")</f>
        <v>0.14632394267967985</v>
      </c>
      <c r="M35" s="113">
        <f>IFERROR(peer_prices_monthly!M18/peer_prices_monthly!M17-1,"")</f>
        <v>5.0508183885900948E-2</v>
      </c>
      <c r="N35" s="113">
        <f>IFERROR(peer_prices_monthly!N18/peer_prices_monthly!N17-1,"")</f>
        <v>3.3375786661174578E-2</v>
      </c>
      <c r="O35" s="113">
        <f>IFERROR(peer_prices_monthly!O18/peer_prices_monthly!O17-1,"")</f>
        <v>6.8564223548743142E-2</v>
      </c>
      <c r="P35" s="113">
        <f>IFERROR(peer_prices_monthly!P18/peer_prices_monthly!P17-1,"")</f>
        <v>8.7617550319803561E-2</v>
      </c>
      <c r="Q35" s="113">
        <f>IFERROR(peer_prices_monthly!Q18/peer_prices_monthly!Q17-1,"")</f>
        <v>8.9560709726045573E-2</v>
      </c>
      <c r="R35" s="113">
        <f>IFERROR(peer_prices_monthly!R18/peer_prices_monthly!R17-1,"")</f>
        <v>7.197066547337605E-2</v>
      </c>
      <c r="S35" s="113">
        <f>IFERROR(peer_prices_monthly!S18/peer_prices_monthly!S17-1,"")</f>
        <v>-0.29041283515146776</v>
      </c>
      <c r="T35" s="113">
        <f>IFERROR(peer_prices_monthly!T18/peer_prices_monthly!T17-1,"")</f>
        <v>0.26771136908217952</v>
      </c>
      <c r="U35" s="113">
        <f>IFERROR(peer_prices_monthly!U18/peer_prices_monthly!U17-1,"")</f>
        <v>0.10222295983938934</v>
      </c>
      <c r="V35" s="113">
        <f>IFERROR(peer_prices_monthly!V18/peer_prices_monthly!V17-1,"")</f>
        <v>6.5619185137022695E-2</v>
      </c>
      <c r="W35" s="113">
        <f>IFERROR(peer_prices_monthly!W18/peer_prices_monthly!W17-1,"")</f>
        <v>-1.0552840953857445E-2</v>
      </c>
      <c r="X35" s="113">
        <f>IFERROR(peer_prices_monthly!X18/peer_prices_monthly!X17-1,"")</f>
        <v>0.25415513824158009</v>
      </c>
      <c r="Y35" s="113">
        <f>IFERROR(peer_prices_monthly!Y18/peer_prices_monthly!Y17-1,"")</f>
        <v>6.3532748799999927E-2</v>
      </c>
      <c r="Z35" s="113">
        <f>IFERROR(peer_prices_monthly!Z18/peer_prices_monthly!Z17-1,"")</f>
        <v>3.3333320410917411E-2</v>
      </c>
      <c r="AA35" s="113">
        <f>IFERROR(peer_prices_monthly!AA18/peer_prices_monthly!AA17-1,"")</f>
        <v>8.190104877790283E-2</v>
      </c>
      <c r="AB35" s="113" t="str">
        <f>IFERROR(peer_prices_monthly!AB18/peer_prices_monthly!AB17-1,"")</f>
        <v/>
      </c>
      <c r="AC35" s="113">
        <f>IFERROR(peer_prices_monthly!AC18/peer_prices_monthly!AC17-1,"")</f>
        <v>-8.3786108175516683E-2</v>
      </c>
      <c r="AD35" s="113">
        <f>IFERROR(peer_prices_monthly!AD18/peer_prices_monthly!AD17-1,"")</f>
        <v>0.15417457846986848</v>
      </c>
      <c r="AE35" s="113">
        <f>IFERROR(peer_prices_monthly!AE18/peer_prices_monthly!AE17-1,"")</f>
        <v>0.19427407580515688</v>
      </c>
      <c r="AF35" s="113">
        <f>IFERROR(peer_prices_monthly!AF18/peer_prices_monthly!AF17-1,"")</f>
        <v>4.0363327786432368E-2</v>
      </c>
      <c r="AG35" s="113">
        <f>IFERROR(peer_prices_monthly!AG18/peer_prices_monthly!AG17-1,"")</f>
        <v>0.2312137931212801</v>
      </c>
      <c r="AH35" s="113">
        <f>IFERROR(peer_prices_monthly!AH18/peer_prices_monthly!AH17-1,"")</f>
        <v>0.1553254165219462</v>
      </c>
      <c r="AI35" s="113">
        <f>IFERROR(peer_prices_monthly!AI18/peer_prices_monthly!AI17-1,"")</f>
        <v>2.354880165927109E-2</v>
      </c>
      <c r="AJ35" s="113">
        <f>IFERROR(peer_prices_monthly!AJ18/peer_prices_monthly!AJ17-1,"")</f>
        <v>-0.14432626046795272</v>
      </c>
      <c r="AK35" s="113">
        <f>IFERROR(peer_prices_monthly!AK18/peer_prices_monthly!AK17-1,"")</f>
        <v>0.34817219371218222</v>
      </c>
      <c r="AL35" s="113">
        <f>IFERROR(peer_prices_monthly!AL18/peer_prices_monthly!AL17-1,"")</f>
        <v>-2.0661199363997462E-2</v>
      </c>
      <c r="AM35" s="113">
        <f>IFERROR(peer_prices_monthly!AM18/peer_prices_monthly!AM17-1,"")</f>
        <v>7.0891749670324744E-2</v>
      </c>
      <c r="AN35" s="113">
        <f>IFERROR(peer_prices_monthly!AN18/peer_prices_monthly!AN17-1,"")</f>
        <v>5.3752893352493114E-2</v>
      </c>
    </row>
    <row r="36" spans="1:40" x14ac:dyDescent="0.25">
      <c r="A36" s="126">
        <f>peer_prices_monthly!A19</f>
        <v>44926</v>
      </c>
      <c r="B36" s="113">
        <f>IFERROR(peer_prices_monthly!B19/peer_prices_monthly!B18-1,"")</f>
        <v>-0.12227254572881496</v>
      </c>
      <c r="C36" s="113">
        <f>IFERROR(peer_prices_monthly!C19/peer_prices_monthly!C18-1,"")</f>
        <v>-2.4352750050297911E-2</v>
      </c>
      <c r="D36" s="113">
        <f>IFERROR(peer_prices_monthly!D19/peer_prices_monthly!D18-1,"")</f>
        <v>-0.16565762031874021</v>
      </c>
      <c r="E36" s="113">
        <f>IFERROR(peer_prices_monthly!E19/peer_prices_monthly!E18-1,"")</f>
        <v>-0.12989435256479709</v>
      </c>
      <c r="F36" s="113" t="str">
        <f>IFERROR(peer_prices_monthly!F19/peer_prices_monthly!F18-1,"")</f>
        <v/>
      </c>
      <c r="G36" s="113">
        <f>IFERROR(peer_prices_monthly!G19/peer_prices_monthly!G18-1,"")</f>
        <v>2.3166222349890964E-2</v>
      </c>
      <c r="H36" s="113">
        <f>IFERROR(peer_prices_monthly!H19/peer_prices_monthly!H18-1,"")</f>
        <v>6.0528822578662655E-3</v>
      </c>
      <c r="I36" s="113">
        <f>IFERROR(peer_prices_monthly!I19/peer_prices_monthly!I18-1,"")</f>
        <v>-0.15345375313447229</v>
      </c>
      <c r="J36" s="113">
        <f>IFERROR(peer_prices_monthly!J19/peer_prices_monthly!J18-1,"")</f>
        <v>-0.17260542410839697</v>
      </c>
      <c r="K36" s="113">
        <f>IFERROR(peer_prices_monthly!K19/peer_prices_monthly!K18-1,"")</f>
        <v>-0.1020316137799977</v>
      </c>
      <c r="L36" s="113">
        <f>IFERROR(peer_prices_monthly!L19/peer_prices_monthly!L18-1,"")</f>
        <v>-8.7367882530914986E-2</v>
      </c>
      <c r="M36" s="113">
        <f>IFERROR(peer_prices_monthly!M19/peer_prices_monthly!M18-1,"")</f>
        <v>-0.16330944702797301</v>
      </c>
      <c r="N36" s="113">
        <f>IFERROR(peer_prices_monthly!N19/peer_prices_monthly!N18-1,"")</f>
        <v>-0.16876685663795177</v>
      </c>
      <c r="O36" s="113">
        <f>IFERROR(peer_prices_monthly!O19/peer_prices_monthly!O18-1,"")</f>
        <v>-0.12634900276800987</v>
      </c>
      <c r="P36" s="113">
        <f>IFERROR(peer_prices_monthly!P19/peer_prices_monthly!P18-1,"")</f>
        <v>-9.7345474119523323E-2</v>
      </c>
      <c r="Q36" s="113">
        <f>IFERROR(peer_prices_monthly!Q19/peer_prices_monthly!Q18-1,"")</f>
        <v>-5.3794660878430989E-2</v>
      </c>
      <c r="R36" s="113">
        <f>IFERROR(peer_prices_monthly!R19/peer_prices_monthly!R18-1,"")</f>
        <v>-0.12105076861739517</v>
      </c>
      <c r="S36" s="113">
        <f>IFERROR(peer_prices_monthly!S19/peer_prices_monthly!S18-1,"")</f>
        <v>-0.32642996031586291</v>
      </c>
      <c r="T36" s="113">
        <f>IFERROR(peer_prices_monthly!T19/peer_prices_monthly!T18-1,"")</f>
        <v>1.8967014992000486E-2</v>
      </c>
      <c r="U36" s="113">
        <f>IFERROR(peer_prices_monthly!U19/peer_prices_monthly!U18-1,"")</f>
        <v>-6.0045178966574464E-2</v>
      </c>
      <c r="V36" s="113">
        <f>IFERROR(peer_prices_monthly!V19/peer_prices_monthly!V18-1,"")</f>
        <v>-0.13107134826392486</v>
      </c>
      <c r="W36" s="113">
        <f>IFERROR(peer_prices_monthly!W19/peer_prices_monthly!W18-1,"")</f>
        <v>-6.7331283494860061E-2</v>
      </c>
      <c r="X36" s="113">
        <f>IFERROR(peer_prices_monthly!X19/peer_prices_monthly!X18-1,"")</f>
        <v>-0.1364413924726664</v>
      </c>
      <c r="Y36" s="113">
        <f>IFERROR(peer_prices_monthly!Y19/peer_prices_monthly!Y18-1,"")</f>
        <v>-1.5536494967967607E-2</v>
      </c>
      <c r="Z36" s="113">
        <f>IFERROR(peer_prices_monthly!Z19/peer_prices_monthly!Z18-1,"")</f>
        <v>-4.4846553352750451E-2</v>
      </c>
      <c r="AA36" s="113">
        <f>IFERROR(peer_prices_monthly!AA19/peer_prices_monthly!AA18-1,"")</f>
        <v>-0.13084040286118181</v>
      </c>
      <c r="AB36" s="113" t="str">
        <f>IFERROR(peer_prices_monthly!AB19/peer_prices_monthly!AB18-1,"")</f>
        <v/>
      </c>
      <c r="AC36" s="113">
        <f>IFERROR(peer_prices_monthly!AC19/peer_prices_monthly!AC18-1,"")</f>
        <v>-0.42478153000787944</v>
      </c>
      <c r="AD36" s="113">
        <f>IFERROR(peer_prices_monthly!AD19/peer_prices_monthly!AD18-1,"")</f>
        <v>-6.9270406489994274E-2</v>
      </c>
      <c r="AE36" s="113">
        <f>IFERROR(peer_prices_monthly!AE19/peer_prices_monthly!AE18-1,"")</f>
        <v>-0.150929594482201</v>
      </c>
      <c r="AF36" s="113">
        <f>IFERROR(peer_prices_monthly!AF19/peer_prices_monthly!AF18-1,"")</f>
        <v>-0.13191082007755384</v>
      </c>
      <c r="AG36" s="113">
        <f>IFERROR(peer_prices_monthly!AG19/peer_prices_monthly!AG18-1,"")</f>
        <v>-8.1738305119549048E-2</v>
      </c>
      <c r="AH36" s="113">
        <f>IFERROR(peer_prices_monthly!AH19/peer_prices_monthly!AH18-1,"")</f>
        <v>-9.0909055707803832E-2</v>
      </c>
      <c r="AI36" s="113">
        <f>IFERROR(peer_prices_monthly!AI19/peer_prices_monthly!AI18-1,"")</f>
        <v>-0.10791858671731003</v>
      </c>
      <c r="AJ36" s="113">
        <f>IFERROR(peer_prices_monthly!AJ19/peer_prices_monthly!AJ18-1,"")</f>
        <v>-0.36733434907078522</v>
      </c>
      <c r="AK36" s="113">
        <f>IFERROR(peer_prices_monthly!AK19/peer_prices_monthly!AK18-1,"")</f>
        <v>-9.7225533274123976E-2</v>
      </c>
      <c r="AL36" s="113">
        <f>IFERROR(peer_prices_monthly!AL19/peer_prices_monthly!AL18-1,"")</f>
        <v>-0.140199417801394</v>
      </c>
      <c r="AM36" s="113">
        <f>IFERROR(peer_prices_monthly!AM19/peer_prices_monthly!AM18-1,"")</f>
        <v>-6.6234824740641685E-2</v>
      </c>
      <c r="AN36" s="113">
        <f>IFERROR(peer_prices_monthly!AN19/peer_prices_monthly!AN18-1,"")</f>
        <v>-5.8971474074730468E-2</v>
      </c>
    </row>
    <row r="37" spans="1:40" x14ac:dyDescent="0.25">
      <c r="A37" s="126">
        <f>peer_prices_monthly!A20</f>
        <v>44957</v>
      </c>
      <c r="B37" s="113">
        <f>IFERROR(peer_prices_monthly!B20/peer_prices_monthly!B19-1,"")</f>
        <v>0.1105209856772098</v>
      </c>
      <c r="C37" s="113">
        <f>IFERROR(peer_prices_monthly!C20/peer_prices_monthly!C19-1,"")</f>
        <v>0.10046651912528914</v>
      </c>
      <c r="D37" s="113">
        <f>IFERROR(peer_prices_monthly!D20/peer_prices_monthly!D19-1,"")</f>
        <v>0.16025946303524585</v>
      </c>
      <c r="E37" s="113">
        <f>IFERROR(peer_prices_monthly!E20/peer_prices_monthly!E19-1,"")</f>
        <v>0.22773806254069018</v>
      </c>
      <c r="F37" s="113" t="str">
        <f>IFERROR(peer_prices_monthly!F20/peer_prices_monthly!F19-1,"")</f>
        <v/>
      </c>
      <c r="G37" s="113">
        <f>IFERROR(peer_prices_monthly!G20/peer_prices_monthly!G19-1,"")</f>
        <v>4.6286081144455204E-2</v>
      </c>
      <c r="H37" s="113">
        <f>IFERROR(peer_prices_monthly!H20/peer_prices_monthly!H19-1,"")</f>
        <v>0.250993141973193</v>
      </c>
      <c r="I37" s="113">
        <f>IFERROR(peer_prices_monthly!I20/peer_prices_monthly!I19-1,"")</f>
        <v>0.11969331277707407</v>
      </c>
      <c r="J37" s="113">
        <f>IFERROR(peer_prices_monthly!J20/peer_prices_monthly!J19-1,"")</f>
        <v>0.26683807010854244</v>
      </c>
      <c r="K37" s="113">
        <f>IFERROR(peer_prices_monthly!K20/peer_prices_monthly!K19-1,"")</f>
        <v>1.8131907771921085E-2</v>
      </c>
      <c r="L37" s="113">
        <f>IFERROR(peer_prices_monthly!L20/peer_prices_monthly!L19-1,"")</f>
        <v>0.19363385577859793</v>
      </c>
      <c r="M37" s="113">
        <f>IFERROR(peer_prices_monthly!M20/peer_prices_monthly!M19-1,"")</f>
        <v>0.1616510301430647</v>
      </c>
      <c r="N37" s="113">
        <f>IFERROR(peer_prices_monthly!N20/peer_prices_monthly!N19-1,"")</f>
        <v>0.16884635975719764</v>
      </c>
      <c r="O37" s="113">
        <f>IFERROR(peer_prices_monthly!O20/peer_prices_monthly!O19-1,"")</f>
        <v>0.12025360903112947</v>
      </c>
      <c r="P37" s="113">
        <f>IFERROR(peer_prices_monthly!P20/peer_prices_monthly!P19-1,"")</f>
        <v>8.448089656238067E-2</v>
      </c>
      <c r="Q37" s="113">
        <f>IFERROR(peer_prices_monthly!Q20/peer_prices_monthly!Q19-1,"")</f>
        <v>-4.3722240163276416E-2</v>
      </c>
      <c r="R37" s="113">
        <f>IFERROR(peer_prices_monthly!R20/peer_prices_monthly!R19-1,"")</f>
        <v>6.923930841443382E-2</v>
      </c>
      <c r="S37" s="113">
        <f>IFERROR(peer_prices_monthly!S20/peer_prices_monthly!S19-1,"")</f>
        <v>0.711566563727559</v>
      </c>
      <c r="T37" s="113">
        <f>IFERROR(peer_prices_monthly!T20/peer_prices_monthly!T19-1,"")</f>
        <v>0.23790923142492115</v>
      </c>
      <c r="U37" s="113">
        <f>IFERROR(peer_prices_monthly!U20/peer_prices_monthly!U19-1,"")</f>
        <v>3.3316443953926189E-2</v>
      </c>
      <c r="V37" s="113">
        <f>IFERROR(peer_prices_monthly!V20/peer_prices_monthly!V19-1,"")</f>
        <v>0.20648241352422492</v>
      </c>
      <c r="W37" s="113">
        <f>IFERROR(peer_prices_monthly!W20/peer_prices_monthly!W19-1,"")</f>
        <v>0.17219978061093899</v>
      </c>
      <c r="X37" s="113">
        <f>IFERROR(peer_prices_monthly!X20/peer_prices_monthly!X19-1,"")</f>
        <v>0.33686821121366228</v>
      </c>
      <c r="Y37" s="113">
        <f>IFERROR(peer_prices_monthly!Y20/peer_prices_monthly!Y19-1,"")</f>
        <v>8.6269727842354982E-2</v>
      </c>
      <c r="Z37" s="113">
        <f>IFERROR(peer_prices_monthly!Z20/peer_prices_monthly!Z19-1,"")</f>
        <v>8.2784191599606372E-2</v>
      </c>
      <c r="AA37" s="113">
        <f>IFERROR(peer_prices_monthly!AA20/peer_prices_monthly!AA19-1,"")</f>
        <v>0.21166102084601457</v>
      </c>
      <c r="AB37" s="113" t="str">
        <f>IFERROR(peer_prices_monthly!AB20/peer_prices_monthly!AB19-1,"")</f>
        <v/>
      </c>
      <c r="AC37" s="113">
        <f>IFERROR(peer_prices_monthly!AC20/peer_prices_monthly!AC19-1,"")</f>
        <v>5.2631540818915967E-2</v>
      </c>
      <c r="AD37" s="113">
        <f>IFERROR(peer_prices_monthly!AD20/peer_prices_monthly!AD19-1,"")</f>
        <v>0.14865776355727678</v>
      </c>
      <c r="AE37" s="113">
        <f>IFERROR(peer_prices_monthly!AE20/peer_prices_monthly!AE19-1,"")</f>
        <v>0.41947570605970896</v>
      </c>
      <c r="AF37" s="113">
        <f>IFERROR(peer_prices_monthly!AF20/peer_prices_monthly!AF19-1,"")</f>
        <v>0.29162018614231267</v>
      </c>
      <c r="AG37" s="113">
        <f>IFERROR(peer_prices_monthly!AG20/peer_prices_monthly!AG19-1,"")</f>
        <v>0.17278431778628556</v>
      </c>
      <c r="AH37" s="113">
        <f>IFERROR(peer_prices_monthly!AH20/peer_prices_monthly!AH19-1,"")</f>
        <v>0.10704229071549931</v>
      </c>
      <c r="AI37" s="113">
        <f>IFERROR(peer_prices_monthly!AI20/peer_prices_monthly!AI19-1,"")</f>
        <v>0.15499162320493309</v>
      </c>
      <c r="AJ37" s="113">
        <f>IFERROR(peer_prices_monthly!AJ20/peer_prices_monthly!AJ19-1,"")</f>
        <v>0.40623478479910968</v>
      </c>
      <c r="AK37" s="113">
        <f>IFERROR(peer_prices_monthly!AK20/peer_prices_monthly!AK19-1,"")</f>
        <v>0.24486514194954068</v>
      </c>
      <c r="AL37" s="113">
        <f>IFERROR(peer_prices_monthly!AL20/peer_prices_monthly!AL19-1,"")</f>
        <v>0.13093907410502248</v>
      </c>
      <c r="AM37" s="113">
        <f>IFERROR(peer_prices_monthly!AM20/peer_prices_monthly!AM19-1,"")</f>
        <v>1.4669835818299948E-2</v>
      </c>
      <c r="AN37" s="113">
        <f>IFERROR(peer_prices_monthly!AN20/peer_prices_monthly!AN19-1,"")</f>
        <v>6.1752857834679098E-2</v>
      </c>
    </row>
    <row r="38" spans="1:40" x14ac:dyDescent="0.25">
      <c r="A38" s="126">
        <f>peer_prices_monthly!A21</f>
        <v>44985</v>
      </c>
      <c r="B38" s="113">
        <f>IFERROR(peer_prices_monthly!B21/peer_prices_monthly!B20-1,"")</f>
        <v>2.3183190611262727E-2</v>
      </c>
      <c r="C38" s="113">
        <f>IFERROR(peer_prices_monthly!C21/peer_prices_monthly!C20-1,"")</f>
        <v>-0.12526322997674311</v>
      </c>
      <c r="D38" s="113">
        <f>IFERROR(peer_prices_monthly!D21/peer_prices_monthly!D20-1,"")</f>
        <v>4.5642052369015751E-2</v>
      </c>
      <c r="E38" s="113">
        <f>IFERROR(peer_prices_monthly!E21/peer_prices_monthly!E20-1,"")</f>
        <v>-8.6298789232144624E-2</v>
      </c>
      <c r="F38" s="113" t="str">
        <f>IFERROR(peer_prices_monthly!F21/peer_prices_monthly!F20-1,"")</f>
        <v/>
      </c>
      <c r="G38" s="113">
        <f>IFERROR(peer_prices_monthly!G21/peer_prices_monthly!G20-1,"")</f>
        <v>1.5863011050578413E-2</v>
      </c>
      <c r="H38" s="113">
        <f>IFERROR(peer_prices_monthly!H21/peer_prices_monthly!H20-1,"")</f>
        <v>-0.20335737910814689</v>
      </c>
      <c r="I38" s="113">
        <f>IFERROR(peer_prices_monthly!I21/peer_prices_monthly!I20-1,"")</f>
        <v>-5.1095772097748293E-2</v>
      </c>
      <c r="J38" s="113">
        <f>IFERROR(peer_prices_monthly!J21/peer_prices_monthly!J20-1,"")</f>
        <v>-2.5957140623365405E-2</v>
      </c>
      <c r="K38" s="113">
        <f>IFERROR(peer_prices_monthly!K21/peer_prices_monthly!K20-1,"")</f>
        <v>4.9251750709067288E-4</v>
      </c>
      <c r="L38" s="113">
        <f>IFERROR(peer_prices_monthly!L21/peer_prices_monthly!L20-1,"")</f>
        <v>-7.2727469845616066E-2</v>
      </c>
      <c r="M38" s="113">
        <f>IFERROR(peer_prices_monthly!M21/peer_prices_monthly!M20-1,"")</f>
        <v>-5.0265459116726752E-2</v>
      </c>
      <c r="N38" s="113">
        <f>IFERROR(peer_prices_monthly!N21/peer_prices_monthly!N20-1,"")</f>
        <v>-1.4750532091080237E-2</v>
      </c>
      <c r="O38" s="113">
        <f>IFERROR(peer_prices_monthly!O21/peer_prices_monthly!O20-1,"")</f>
        <v>-8.8830412585527818E-2</v>
      </c>
      <c r="P38" s="113">
        <f>IFERROR(peer_prices_monthly!P21/peer_prices_monthly!P20-1,"")</f>
        <v>1.3040471256856589E-2</v>
      </c>
      <c r="Q38" s="113">
        <f>IFERROR(peer_prices_monthly!Q21/peer_prices_monthly!Q20-1,"")</f>
        <v>-2.851449471559564E-2</v>
      </c>
      <c r="R38" s="113">
        <f>IFERROR(peer_prices_monthly!R21/peer_prices_monthly!R20-1,"")</f>
        <v>-0.10708531274077659</v>
      </c>
      <c r="S38" s="113">
        <f>IFERROR(peer_prices_monthly!S21/peer_prices_monthly!S20-1,"")</f>
        <v>-0.21899057433676639</v>
      </c>
      <c r="T38" s="113">
        <f>IFERROR(peer_prices_monthly!T21/peer_prices_monthly!T20-1,"")</f>
        <v>0.17433071809925904</v>
      </c>
      <c r="U38" s="113">
        <f>IFERROR(peer_prices_monthly!U21/peer_prices_monthly!U20-1,"")</f>
        <v>9.0178360638462074E-3</v>
      </c>
      <c r="V38" s="113">
        <f>IFERROR(peer_prices_monthly!V21/peer_prices_monthly!V20-1,"")</f>
        <v>-4.1127554706439584E-2</v>
      </c>
      <c r="W38" s="113">
        <f>IFERROR(peer_prices_monthly!W21/peer_prices_monthly!W20-1,"")</f>
        <v>-5.0447155970684721E-2</v>
      </c>
      <c r="X38" s="113">
        <f>IFERROR(peer_prices_monthly!X21/peer_prices_monthly!X20-1,"")</f>
        <v>0.18830956496010298</v>
      </c>
      <c r="Y38" s="113">
        <f>IFERROR(peer_prices_monthly!Y21/peer_prices_monthly!Y20-1,"")</f>
        <v>-1.1982679770133231E-2</v>
      </c>
      <c r="Z38" s="113">
        <f>IFERROR(peer_prices_monthly!Z21/peer_prices_monthly!Z20-1,"")</f>
        <v>-4.488399635158824E-2</v>
      </c>
      <c r="AA38" s="113">
        <f>IFERROR(peer_prices_monthly!AA21/peer_prices_monthly!AA20-1,"")</f>
        <v>-7.2667200044291946E-2</v>
      </c>
      <c r="AB38" s="113" t="str">
        <f>IFERROR(peer_prices_monthly!AB21/peer_prices_monthly!AB20-1,"")</f>
        <v/>
      </c>
      <c r="AC38" s="113">
        <f>IFERROR(peer_prices_monthly!AC21/peer_prices_monthly!AC20-1,"")</f>
        <v>-5.1546589400037757E-3</v>
      </c>
      <c r="AD38" s="113">
        <f>IFERROR(peer_prices_monthly!AD21/peer_prices_monthly!AD20-1,"")</f>
        <v>-3.973669215868314E-2</v>
      </c>
      <c r="AE38" s="113">
        <f>IFERROR(peer_prices_monthly!AE21/peer_prices_monthly!AE20-1,"")</f>
        <v>-0.1650091534925926</v>
      </c>
      <c r="AF38" s="113">
        <f>IFERROR(peer_prices_monthly!AF21/peer_prices_monthly!AF20-1,"")</f>
        <v>-0.12197238320975579</v>
      </c>
      <c r="AG38" s="113">
        <f>IFERROR(peer_prices_monthly!AG21/peer_prices_monthly!AG20-1,"")</f>
        <v>-6.5727647650979049E-2</v>
      </c>
      <c r="AH38" s="113">
        <f>IFERROR(peer_prices_monthly!AH21/peer_prices_monthly!AH20-1,"")</f>
        <v>0.11450387905892989</v>
      </c>
      <c r="AI38" s="113">
        <f>IFERROR(peer_prices_monthly!AI21/peer_prices_monthly!AI20-1,"")</f>
        <v>-1.5007784389027057E-2</v>
      </c>
      <c r="AJ38" s="113">
        <f>IFERROR(peer_prices_monthly!AJ21/peer_prices_monthly!AJ20-1,"")</f>
        <v>0.18756497670132144</v>
      </c>
      <c r="AK38" s="113">
        <f>IFERROR(peer_prices_monthly!AK21/peer_prices_monthly!AK20-1,"")</f>
        <v>-6.1037599680630272E-2</v>
      </c>
      <c r="AL38" s="113">
        <f>IFERROR(peer_prices_monthly!AL21/peer_prices_monthly!AL20-1,"")</f>
        <v>0.10374749984970699</v>
      </c>
      <c r="AM38" s="113">
        <f>IFERROR(peer_prices_monthly!AM21/peer_prices_monthly!AM20-1,"")</f>
        <v>-1.2094451798839057E-2</v>
      </c>
      <c r="AN38" s="113">
        <f>IFERROR(peer_prices_monthly!AN21/peer_prices_monthly!AN20-1,"")</f>
        <v>-2.6112493931818581E-2</v>
      </c>
    </row>
    <row r="39" spans="1:40" x14ac:dyDescent="0.25">
      <c r="A39" s="126">
        <f>peer_prices_monthly!A22</f>
        <v>45016</v>
      </c>
      <c r="B39" s="113">
        <f>IFERROR(peer_prices_monthly!B22/peer_prices_monthly!B21-1,"")</f>
        <v>0.11864851800111009</v>
      </c>
      <c r="C39" s="113">
        <f>IFERROR(peer_prices_monthly!C22/peer_prices_monthly!C21-1,"")</f>
        <v>0.18959710015662457</v>
      </c>
      <c r="D39" s="113">
        <f>IFERROR(peer_prices_monthly!D22/peer_prices_monthly!D21-1,"")</f>
        <v>0.24726393296541094</v>
      </c>
      <c r="E39" s="113">
        <f>IFERROR(peer_prices_monthly!E22/peer_prices_monthly!E21-1,"")</f>
        <v>9.61476943206232E-2</v>
      </c>
      <c r="F39" s="113" t="str">
        <f>IFERROR(peer_prices_monthly!F22/peer_prices_monthly!F21-1,"")</f>
        <v/>
      </c>
      <c r="G39" s="113">
        <f>IFERROR(peer_prices_monthly!G22/peer_prices_monthly!G21-1,"")</f>
        <v>8.7276309100837723E-2</v>
      </c>
      <c r="H39" s="113">
        <f>IFERROR(peer_prices_monthly!H22/peer_prices_monthly!H21-1,"")</f>
        <v>0.1639138263951847</v>
      </c>
      <c r="I39" s="113">
        <f>IFERROR(peer_prices_monthly!I22/peer_prices_monthly!I21-1,"")</f>
        <v>2.6209002361972766E-2</v>
      </c>
      <c r="J39" s="113">
        <f>IFERROR(peer_prices_monthly!J22/peer_prices_monthly!J21-1,"")</f>
        <v>0.22107463597949795</v>
      </c>
      <c r="K39" s="113">
        <f>IFERROR(peer_prices_monthly!K22/peer_prices_monthly!K21-1,"")</f>
        <v>-1.0580962590297061E-2</v>
      </c>
      <c r="L39" s="113">
        <f>IFERROR(peer_prices_monthly!L22/peer_prices_monthly!L21-1,"")</f>
        <v>-2.784213448806061E-2</v>
      </c>
      <c r="M39" s="113">
        <f>IFERROR(peer_prices_monthly!M22/peer_prices_monthly!M21-1,"")</f>
        <v>4.3910409570657949E-2</v>
      </c>
      <c r="N39" s="113">
        <f>IFERROR(peer_prices_monthly!N22/peer_prices_monthly!N21-1,"")</f>
        <v>-5.0969296295706568E-2</v>
      </c>
      <c r="O39" s="113">
        <f>IFERROR(peer_prices_monthly!O22/peer_prices_monthly!O21-1,"")</f>
        <v>0.15178778988276842</v>
      </c>
      <c r="P39" s="113">
        <f>IFERROR(peer_prices_monthly!P22/peer_prices_monthly!P21-1,"")</f>
        <v>3.4786948442113719E-3</v>
      </c>
      <c r="Q39" s="113">
        <f>IFERROR(peer_prices_monthly!Q22/peer_prices_monthly!Q21-1,"")</f>
        <v>1.3843639623931425E-2</v>
      </c>
      <c r="R39" s="113">
        <f>IFERROR(peer_prices_monthly!R22/peer_prices_monthly!R21-1,"")</f>
        <v>0.31046929313840499</v>
      </c>
      <c r="S39" s="113">
        <f>IFERROR(peer_prices_monthly!S22/peer_prices_monthly!S21-1,"")</f>
        <v>-0.11938665018115846</v>
      </c>
      <c r="T39" s="113">
        <f>IFERROR(peer_prices_monthly!T22/peer_prices_monthly!T21-1,"")</f>
        <v>0.2115006449148078</v>
      </c>
      <c r="U39" s="113">
        <f>IFERROR(peer_prices_monthly!U22/peer_prices_monthly!U21-1,"")</f>
        <v>0.15588155845407825</v>
      </c>
      <c r="V39" s="113">
        <f>IFERROR(peer_prices_monthly!V22/peer_prices_monthly!V21-1,"")</f>
        <v>4.3583615703954415E-2</v>
      </c>
      <c r="W39" s="113">
        <f>IFERROR(peer_prices_monthly!W22/peer_prices_monthly!W21-1,"")</f>
        <v>7.5317609722310053E-2</v>
      </c>
      <c r="X39" s="113">
        <f>IFERROR(peer_prices_monthly!X22/peer_prices_monthly!X21-1,"")</f>
        <v>0.19666254559018048</v>
      </c>
      <c r="Y39" s="113">
        <f>IFERROR(peer_prices_monthly!Y22/peer_prices_monthly!Y21-1,"")</f>
        <v>6.3157959964613486E-2</v>
      </c>
      <c r="Z39" s="113">
        <f>IFERROR(peer_prices_monthly!Z22/peer_prices_monthly!Z21-1,"")</f>
        <v>8.6021497208632169E-2</v>
      </c>
      <c r="AA39" s="113">
        <f>IFERROR(peer_prices_monthly!AA22/peer_prices_monthly!AA21-1,"")</f>
        <v>3.909430612563547E-2</v>
      </c>
      <c r="AB39" s="113" t="str">
        <f>IFERROR(peer_prices_monthly!AB22/peer_prices_monthly!AB21-1,"")</f>
        <v/>
      </c>
      <c r="AC39" s="113">
        <f>IFERROR(peer_prices_monthly!AC22/peer_prices_monthly!AC21-1,"")</f>
        <v>-0.19792745315185911</v>
      </c>
      <c r="AD39" s="113">
        <f>IFERROR(peer_prices_monthly!AD22/peer_prices_monthly!AD21-1,"")</f>
        <v>0.11184322695565219</v>
      </c>
      <c r="AE39" s="113">
        <f>IFERROR(peer_prices_monthly!AE22/peer_prices_monthly!AE21-1,"")</f>
        <v>0.16528924010561719</v>
      </c>
      <c r="AF39" s="113">
        <f>IFERROR(peer_prices_monthly!AF22/peer_prices_monthly!AF21-1,"")</f>
        <v>0.10443354280344175</v>
      </c>
      <c r="AG39" s="113">
        <f>IFERROR(peer_prices_monthly!AG22/peer_prices_monthly!AG21-1,"")</f>
        <v>8.8131245371812383E-2</v>
      </c>
      <c r="AH39" s="113">
        <f>IFERROR(peer_prices_monthly!AH22/peer_prices_monthly!AH21-1,"")</f>
        <v>3.8241934964924784E-2</v>
      </c>
      <c r="AI39" s="113">
        <f>IFERROR(peer_prices_monthly!AI22/peer_prices_monthly!AI21-1,"")</f>
        <v>-1.7032460080935508E-2</v>
      </c>
      <c r="AJ39" s="113">
        <f>IFERROR(peer_prices_monthly!AJ22/peer_prices_monthly!AJ21-1,"")</f>
        <v>8.5071213984946326E-3</v>
      </c>
      <c r="AK39" s="113">
        <f>IFERROR(peer_prices_monthly!AK22/peer_prices_monthly!AK21-1,"")</f>
        <v>7.3897250080127597E-2</v>
      </c>
      <c r="AL39" s="113">
        <f>IFERROR(peer_prices_monthly!AL22/peer_prices_monthly!AL21-1,"")</f>
        <v>8.8456055109424447E-2</v>
      </c>
      <c r="AM39" s="113">
        <f>IFERROR(peer_prices_monthly!AM22/peer_prices_monthly!AM21-1,"")</f>
        <v>4.1682552637940518E-2</v>
      </c>
      <c r="AN39" s="113">
        <f>IFERROR(peer_prices_monthly!AN22/peer_prices_monthly!AN21-1,"")</f>
        <v>3.5051612577108981E-2</v>
      </c>
    </row>
    <row r="40" spans="1:40" x14ac:dyDescent="0.25">
      <c r="A40" s="126">
        <f>peer_prices_monthly!A23</f>
        <v>45046</v>
      </c>
      <c r="B40" s="113">
        <f>IFERROR(peer_prices_monthly!B23/peer_prices_monthly!B22-1,"")</f>
        <v>2.8987134535453096E-2</v>
      </c>
      <c r="C40" s="113">
        <f>IFERROR(peer_prices_monthly!C23/peer_prices_monthly!C22-1,"")</f>
        <v>-2.026623156330265E-2</v>
      </c>
      <c r="D40" s="113">
        <f>IFERROR(peer_prices_monthly!D23/peer_prices_monthly!D22-1,"")</f>
        <v>-8.8154261823595759E-2</v>
      </c>
      <c r="E40" s="113">
        <f>IFERROR(peer_prices_monthly!E23/peer_prices_monthly!E22-1,"")</f>
        <v>2.091195675834423E-2</v>
      </c>
      <c r="F40" s="113" t="str">
        <f>IFERROR(peer_prices_monthly!F23/peer_prices_monthly!F22-1,"")</f>
        <v/>
      </c>
      <c r="G40" s="113">
        <f>IFERROR(peer_prices_monthly!G23/peer_prices_monthly!G22-1,"")</f>
        <v>-2.3443464029482719E-2</v>
      </c>
      <c r="H40" s="113">
        <f>IFERROR(peer_prices_monthly!H23/peer_prices_monthly!H22-1,"")</f>
        <v>-0.17116844776543827</v>
      </c>
      <c r="I40" s="113">
        <f>IFERROR(peer_prices_monthly!I23/peer_prices_monthly!I22-1,"")</f>
        <v>1.2780051272660131E-2</v>
      </c>
      <c r="J40" s="113">
        <f>IFERROR(peer_prices_monthly!J23/peer_prices_monthly!J22-1,"")</f>
        <v>-7.057741406200968E-3</v>
      </c>
      <c r="K40" s="113">
        <f>IFERROR(peer_prices_monthly!K23/peer_prices_monthly!K22-1,"")</f>
        <v>9.0935176093191572E-2</v>
      </c>
      <c r="L40" s="113">
        <f>IFERROR(peer_prices_monthly!L23/peer_prices_monthly!L22-1,"")</f>
        <v>4.6427881912273872E-2</v>
      </c>
      <c r="M40" s="113">
        <f>IFERROR(peer_prices_monthly!M23/peer_prices_monthly!M22-1,"")</f>
        <v>-4.5366831815672803E-2</v>
      </c>
      <c r="N40" s="113">
        <f>IFERROR(peer_prices_monthly!N23/peer_prices_monthly!N22-1,"")</f>
        <v>-9.9236533268262872E-2</v>
      </c>
      <c r="O40" s="113">
        <f>IFERROR(peer_prices_monthly!O23/peer_prices_monthly!O22-1,"")</f>
        <v>3.4801881394556533E-2</v>
      </c>
      <c r="P40" s="113">
        <f>IFERROR(peer_prices_monthly!P23/peer_prices_monthly!P22-1,"")</f>
        <v>1.2265712483979119E-2</v>
      </c>
      <c r="Q40" s="113">
        <f>IFERROR(peer_prices_monthly!Q23/peer_prices_monthly!Q22-1,"")</f>
        <v>-3.5700429626905006E-2</v>
      </c>
      <c r="R40" s="113">
        <f>IFERROR(peer_prices_monthly!R23/peer_prices_monthly!R22-1,"")</f>
        <v>-4.9280671051873615E-2</v>
      </c>
      <c r="S40" s="113">
        <f>IFERROR(peer_prices_monthly!S23/peer_prices_monthly!S22-1,"")</f>
        <v>-1.2437810709221453E-2</v>
      </c>
      <c r="T40" s="113">
        <f>IFERROR(peer_prices_monthly!T23/peer_prices_monthly!T22-1,"")</f>
        <v>0.13390614103523735</v>
      </c>
      <c r="U40" s="113">
        <f>IFERROR(peer_prices_monthly!U23/peer_prices_monthly!U22-1,"")</f>
        <v>6.576496548848243E-2</v>
      </c>
      <c r="V40" s="113">
        <f>IFERROR(peer_prices_monthly!V23/peer_prices_monthly!V22-1,"")</f>
        <v>6.8777903442049482E-2</v>
      </c>
      <c r="W40" s="113">
        <f>IFERROR(peer_prices_monthly!W23/peer_prices_monthly!W22-1,"")</f>
        <v>-1.140469052127524E-2</v>
      </c>
      <c r="X40" s="113">
        <f>IFERROR(peer_prices_monthly!X23/peer_prices_monthly!X22-1,"")</f>
        <v>-1.0079590161345964E-3</v>
      </c>
      <c r="Y40" s="113">
        <f>IFERROR(peer_prices_monthly!Y23/peer_prices_monthly!Y22-1,"")</f>
        <v>2.3640137525662741E-2</v>
      </c>
      <c r="Z40" s="113">
        <f>IFERROR(peer_prices_monthly!Z23/peer_prices_monthly!Z22-1,"")</f>
        <v>-0.15658233905705776</v>
      </c>
      <c r="AA40" s="113">
        <f>IFERROR(peer_prices_monthly!AA23/peer_prices_monthly!AA22-1,"")</f>
        <v>-8.4495946218050122E-2</v>
      </c>
      <c r="AB40" s="113" t="str">
        <f>IFERROR(peer_prices_monthly!AB23/peer_prices_monthly!AB22-1,"")</f>
        <v/>
      </c>
      <c r="AC40" s="113">
        <f>IFERROR(peer_prices_monthly!AC23/peer_prices_monthly!AC22-1,"")</f>
        <v>-0.17183462054727106</v>
      </c>
      <c r="AD40" s="113">
        <f>IFERROR(peer_prices_monthly!AD23/peer_prices_monthly!AD22-1,"")</f>
        <v>6.890570808905605E-2</v>
      </c>
      <c r="AE40" s="113">
        <f>IFERROR(peer_prices_monthly!AE23/peer_prices_monthly!AE22-1,"")</f>
        <v>1.0638342737588902E-2</v>
      </c>
      <c r="AF40" s="113">
        <f>IFERROR(peer_prices_monthly!AF23/peer_prices_monthly!AF22-1,"")</f>
        <v>-0.2230151642723146</v>
      </c>
      <c r="AG40" s="113">
        <f>IFERROR(peer_prices_monthly!AG23/peer_prices_monthly!AG22-1,"")</f>
        <v>-1.0810746294868889E-2</v>
      </c>
      <c r="AH40" s="113">
        <f>IFERROR(peer_prices_monthly!AH23/peer_prices_monthly!AH22-1,"")</f>
        <v>-2.6693584581988228E-3</v>
      </c>
      <c r="AI40" s="113">
        <f>IFERROR(peer_prices_monthly!AI23/peer_prices_monthly!AI22-1,"")</f>
        <v>-4.7576067507481223E-2</v>
      </c>
      <c r="AJ40" s="113">
        <f>IFERROR(peer_prices_monthly!AJ23/peer_prices_monthly!AJ22-1,"")</f>
        <v>-0.20799193945263272</v>
      </c>
      <c r="AK40" s="113">
        <f>IFERROR(peer_prices_monthly!AK23/peer_prices_monthly!AK22-1,"")</f>
        <v>-9.3743162725961948E-2</v>
      </c>
      <c r="AL40" s="113">
        <f>IFERROR(peer_prices_monthly!AL23/peer_prices_monthly!AL22-1,"")</f>
        <v>5.6312534872289044E-2</v>
      </c>
      <c r="AM40" s="113">
        <f>IFERROR(peer_prices_monthly!AM23/peer_prices_monthly!AM22-1,"")</f>
        <v>2.387257186181424E-2</v>
      </c>
      <c r="AN40" s="113">
        <f>IFERROR(peer_prices_monthly!AN23/peer_prices_monthly!AN22-1,"")</f>
        <v>1.4642341662481018E-2</v>
      </c>
    </row>
    <row r="41" spans="1:40" x14ac:dyDescent="0.25">
      <c r="A41" s="126">
        <f>peer_prices_monthly!A24</f>
        <v>45077</v>
      </c>
      <c r="B41" s="113">
        <f>IFERROR(peer_prices_monthly!B24/peer_prices_monthly!B23-1,"")</f>
        <v>4.6058631249612514E-2</v>
      </c>
      <c r="C41" s="113">
        <f>IFERROR(peer_prices_monthly!C24/peer_prices_monthly!C23-1,"")</f>
        <v>0.10655263069834309</v>
      </c>
      <c r="D41" s="113">
        <f>IFERROR(peer_prices_monthly!D24/peer_prices_monthly!D23-1,"")</f>
        <v>0.32270331712609934</v>
      </c>
      <c r="E41" s="113">
        <f>IFERROR(peer_prices_monthly!E24/peer_prices_monthly!E23-1,"")</f>
        <v>0.14348037288458837</v>
      </c>
      <c r="F41" s="113" t="str">
        <f>IFERROR(peer_prices_monthly!F24/peer_prices_monthly!F23-1,"")</f>
        <v/>
      </c>
      <c r="G41" s="113">
        <f>IFERROR(peer_prices_monthly!G24/peer_prices_monthly!G23-1,"")</f>
        <v>0.28964071057125174</v>
      </c>
      <c r="H41" s="113">
        <f>IFERROR(peer_prices_monthly!H24/peer_prices_monthly!H23-1,"")</f>
        <v>-6.0691976042447027E-2</v>
      </c>
      <c r="I41" s="113">
        <f>IFERROR(peer_prices_monthly!I24/peer_prices_monthly!I23-1,"")</f>
        <v>1.8693633906040841E-2</v>
      </c>
      <c r="J41" s="113">
        <f>IFERROR(peer_prices_monthly!J24/peer_prices_monthly!J23-1,"")</f>
        <v>0.12607759320569389</v>
      </c>
      <c r="K41" s="113">
        <f>IFERROR(peer_prices_monthly!K24/peer_prices_monthly!K23-1,"")</f>
        <v>3.035166924588717E-2</v>
      </c>
      <c r="L41" s="113">
        <f>IFERROR(peer_prices_monthly!L24/peer_prices_monthly!L23-1,"")</f>
        <v>-7.8500575132625316E-2</v>
      </c>
      <c r="M41" s="113">
        <f>IFERROR(peer_prices_monthly!M24/peer_prices_monthly!M23-1,"")</f>
        <v>1.0101303888494506E-2</v>
      </c>
      <c r="N41" s="113">
        <f>IFERROR(peer_prices_monthly!N24/peer_prices_monthly!N23-1,"")</f>
        <v>-1.9067625492150242E-2</v>
      </c>
      <c r="O41" s="113">
        <f>IFERROR(peer_prices_monthly!O24/peer_prices_monthly!O23-1,"")</f>
        <v>0.14468051236195478</v>
      </c>
      <c r="P41" s="113">
        <f>IFERROR(peer_prices_monthly!P24/peer_prices_monthly!P23-1,"")</f>
        <v>-2.1878209377852453E-2</v>
      </c>
      <c r="Q41" s="113">
        <f>IFERROR(peer_prices_monthly!Q24/peer_prices_monthly!Q23-1,"")</f>
        <v>3.1116116136354233E-2</v>
      </c>
      <c r="R41" s="113">
        <f>IFERROR(peer_prices_monthly!R24/peer_prices_monthly!R23-1,"")</f>
        <v>1.6379634962993883E-2</v>
      </c>
      <c r="S41" s="113">
        <f>IFERROR(peer_prices_monthly!S24/peer_prices_monthly!S23-1,"")</f>
        <v>-2.2670063188489187E-2</v>
      </c>
      <c r="T41" s="113">
        <f>IFERROR(peer_prices_monthly!T24/peer_prices_monthly!T23-1,"")</f>
        <v>0.10153107338082901</v>
      </c>
      <c r="U41" s="113">
        <f>IFERROR(peer_prices_monthly!U24/peer_prices_monthly!U23-1,"")</f>
        <v>7.1105625589584331E-2</v>
      </c>
      <c r="V41" s="113">
        <f>IFERROR(peer_prices_monthly!V24/peer_prices_monthly!V23-1,"")</f>
        <v>5.9664150842337005E-2</v>
      </c>
      <c r="W41" s="113">
        <f>IFERROR(peer_prices_monthly!W24/peer_prices_monthly!W23-1,"")</f>
        <v>0.1857994656003028</v>
      </c>
      <c r="X41" s="113">
        <f>IFERROR(peer_prices_monthly!X24/peer_prices_monthly!X23-1,"")</f>
        <v>0.36343662096003215</v>
      </c>
      <c r="Y41" s="113">
        <f>IFERROR(peer_prices_monthly!Y24/peer_prices_monthly!Y23-1,"")</f>
        <v>0.11845438319316814</v>
      </c>
      <c r="Z41" s="113">
        <f>IFERROR(peer_prices_monthly!Z24/peer_prices_monthly!Z23-1,"")</f>
        <v>4.0869588437287607E-2</v>
      </c>
      <c r="AA41" s="113">
        <f>IFERROR(peer_prices_monthly!AA24/peer_prices_monthly!AA23-1,"")</f>
        <v>-2.2281108787519988E-2</v>
      </c>
      <c r="AB41" s="113" t="str">
        <f>IFERROR(peer_prices_monthly!AB24/peer_prices_monthly!AB23-1,"")</f>
        <v/>
      </c>
      <c r="AC41" s="113">
        <f>IFERROR(peer_prices_monthly!AC24/peer_prices_monthly!AC23-1,"")</f>
        <v>0.14898595108260637</v>
      </c>
      <c r="AD41" s="113">
        <f>IFERROR(peer_prices_monthly!AD24/peer_prices_monthly!AD23-1,"")</f>
        <v>-1.9676951847103163E-2</v>
      </c>
      <c r="AE41" s="113">
        <f>IFERROR(peer_prices_monthly!AE24/peer_prices_monthly!AE23-1,"")</f>
        <v>0.18039210993067645</v>
      </c>
      <c r="AF41" s="113">
        <f>IFERROR(peer_prices_monthly!AF24/peer_prices_monthly!AF23-1,"")</f>
        <v>0.17106771120464392</v>
      </c>
      <c r="AG41" s="113">
        <f>IFERROR(peer_prices_monthly!AG24/peer_prices_monthly!AG23-1,"")</f>
        <v>4.4942533503045778E-2</v>
      </c>
      <c r="AH41" s="113">
        <f>IFERROR(peer_prices_monthly!AH24/peer_prices_monthly!AH23-1,"")</f>
        <v>-7.9975896803539226E-2</v>
      </c>
      <c r="AI41" s="113">
        <f>IFERROR(peer_prices_monthly!AI24/peer_prices_monthly!AI23-1,"")</f>
        <v>-0.16439549649038387</v>
      </c>
      <c r="AJ41" s="113">
        <f>IFERROR(peer_prices_monthly!AJ24/peer_prices_monthly!AJ23-1,"")</f>
        <v>0.2411295460159617</v>
      </c>
      <c r="AK41" s="113">
        <f>IFERROR(peer_prices_monthly!AK24/peer_prices_monthly!AK23-1,"")</f>
        <v>0.16951341073336579</v>
      </c>
      <c r="AL41" s="113">
        <f>IFERROR(peer_prices_monthly!AL24/peer_prices_monthly!AL23-1,"")</f>
        <v>8.921364345468108E-2</v>
      </c>
      <c r="AM41" s="113">
        <f>IFERROR(peer_prices_monthly!AM24/peer_prices_monthly!AM23-1,"")</f>
        <v>-2.3462188325188094E-2</v>
      </c>
      <c r="AN41" s="113">
        <f>IFERROR(peer_prices_monthly!AN24/peer_prices_monthly!AN23-1,"")</f>
        <v>2.482347368192972E-3</v>
      </c>
    </row>
    <row r="42" spans="1:40" x14ac:dyDescent="0.25">
      <c r="A42" s="126">
        <f>peer_prices_monthly!A25</f>
        <v>45107</v>
      </c>
      <c r="B42" s="113">
        <f>IFERROR(peer_prices_monthly!B25/peer_prices_monthly!B24-1,"")</f>
        <v>9.4329798050029279E-2</v>
      </c>
      <c r="C42" s="113">
        <f>IFERROR(peer_prices_monthly!C25/peer_prices_monthly!C24-1,"")</f>
        <v>0.17042049889471578</v>
      </c>
      <c r="D42" s="113">
        <f>IFERROR(peer_prices_monthly!D25/peer_prices_monthly!D24-1,"")</f>
        <v>-3.6375902678846272E-2</v>
      </c>
      <c r="E42" s="113">
        <f>IFERROR(peer_prices_monthly!E25/peer_prices_monthly!E24-1,"")</f>
        <v>8.1107966750570082E-2</v>
      </c>
      <c r="F42" s="113" t="str">
        <f>IFERROR(peer_prices_monthly!F25/peer_prices_monthly!F24-1,"")</f>
        <v/>
      </c>
      <c r="G42" s="113">
        <f>IFERROR(peer_prices_monthly!G25/peer_prices_monthly!G24-1,"")</f>
        <v>7.932480307346812E-2</v>
      </c>
      <c r="H42" s="113">
        <f>IFERROR(peer_prices_monthly!H25/peer_prices_monthly!H24-1,"")</f>
        <v>4.7768556212734348E-2</v>
      </c>
      <c r="I42" s="113">
        <f>IFERROR(peer_prices_monthly!I25/peer_prices_monthly!I24-1,"")</f>
        <v>5.2427764847300384E-2</v>
      </c>
      <c r="J42" s="113">
        <f>IFERROR(peer_prices_monthly!J25/peer_prices_monthly!J24-1,"")</f>
        <v>-5.4257570860606341E-2</v>
      </c>
      <c r="K42" s="113">
        <f>IFERROR(peer_prices_monthly!K25/peer_prices_monthly!K24-1,"")</f>
        <v>0.20754293718083772</v>
      </c>
      <c r="L42" s="113">
        <f>IFERROR(peer_prices_monthly!L25/peer_prices_monthly!L24-1,"")</f>
        <v>5.0540724200800025E-2</v>
      </c>
      <c r="M42" s="113">
        <f>IFERROR(peer_prices_monthly!M25/peer_prices_monthly!M24-1,"")</f>
        <v>0.26083310937919912</v>
      </c>
      <c r="N42" s="113">
        <f>IFERROR(peer_prices_monthly!N25/peer_prices_monthly!N24-1,"")</f>
        <v>0.1930689800575438</v>
      </c>
      <c r="O42" s="113">
        <f>IFERROR(peer_prices_monthly!O25/peer_prices_monthly!O24-1,"")</f>
        <v>-2.5799604441897439E-2</v>
      </c>
      <c r="P42" s="113">
        <f>IFERROR(peer_prices_monthly!P25/peer_prices_monthly!P24-1,"")</f>
        <v>6.5989112805486583E-2</v>
      </c>
      <c r="Q42" s="113">
        <f>IFERROR(peer_prices_monthly!Q25/peer_prices_monthly!Q24-1,"")</f>
        <v>4.0594023555610592E-2</v>
      </c>
      <c r="R42" s="113">
        <f>IFERROR(peer_prices_monthly!R25/peer_prices_monthly!R24-1,"")</f>
        <v>6.3613172012009445E-2</v>
      </c>
      <c r="S42" s="113">
        <f>IFERROR(peer_prices_monthly!S25/peer_prices_monthly!S24-1,"")</f>
        <v>-0.11211336493960833</v>
      </c>
      <c r="T42" s="113">
        <f>IFERROR(peer_prices_monthly!T25/peer_prices_monthly!T24-1,"")</f>
        <v>8.4089085111898276E-2</v>
      </c>
      <c r="U42" s="113">
        <f>IFERROR(peer_prices_monthly!U25/peer_prices_monthly!U24-1,"")</f>
        <v>3.6998724404979866E-2</v>
      </c>
      <c r="V42" s="113">
        <f>IFERROR(peer_prices_monthly!V25/peer_prices_monthly!V24-1,"")</f>
        <v>-7.46331191754942E-2</v>
      </c>
      <c r="W42" s="113">
        <f>IFERROR(peer_prices_monthly!W25/peer_prices_monthly!W24-1,"")</f>
        <v>3.1553983903599425E-2</v>
      </c>
      <c r="X42" s="113">
        <f>IFERROR(peer_prices_monthly!X25/peer_prices_monthly!X24-1,"")</f>
        <v>0.11821038327279698</v>
      </c>
      <c r="Y42" s="113">
        <f>IFERROR(peer_prices_monthly!Y25/peer_prices_monthly!Y24-1,"")</f>
        <v>0.12412685811465884</v>
      </c>
      <c r="Z42" s="113">
        <f>IFERROR(peer_prices_monthly!Z25/peer_prices_monthly!Z24-1,"")</f>
        <v>0.14202170186643692</v>
      </c>
      <c r="AA42" s="113">
        <f>IFERROR(peer_prices_monthly!AA25/peer_prices_monthly!AA24-1,"")</f>
        <v>4.9642914199244936E-2</v>
      </c>
      <c r="AB42" s="113" t="str">
        <f>IFERROR(peer_prices_monthly!AB25/peer_prices_monthly!AB24-1,"")</f>
        <v/>
      </c>
      <c r="AC42" s="113">
        <f>IFERROR(peer_prices_monthly!AC25/peer_prices_monthly!AC24-1,"")</f>
        <v>0.13102514359499873</v>
      </c>
      <c r="AD42" s="113">
        <f>IFERROR(peer_prices_monthly!AD25/peer_prices_monthly!AD24-1,"")</f>
        <v>4.8834700325238733E-2</v>
      </c>
      <c r="AE42" s="113">
        <f>IFERROR(peer_prices_monthly!AE25/peer_prices_monthly!AE24-1,"")</f>
        <v>0.12956810675549613</v>
      </c>
      <c r="AF42" s="113">
        <f>IFERROR(peer_prices_monthly!AF25/peer_prices_monthly!AF24-1,"")</f>
        <v>0.16078435039117012</v>
      </c>
      <c r="AG42" s="113">
        <f>IFERROR(peer_prices_monthly!AG25/peer_prices_monthly!AG24-1,"")</f>
        <v>-3.9060726397484036E-2</v>
      </c>
      <c r="AH42" s="113">
        <f>IFERROR(peer_prices_monthly!AH25/peer_prices_monthly!AH24-1,"")</f>
        <v>0.14640520118906197</v>
      </c>
      <c r="AI42" s="113">
        <f>IFERROR(peer_prices_monthly!AI25/peer_prices_monthly!AI24-1,"")</f>
        <v>7.4084393077507027E-3</v>
      </c>
      <c r="AJ42" s="113">
        <f>IFERROR(peer_prices_monthly!AJ25/peer_prices_monthly!AJ24-1,"")</f>
        <v>0.28362672689273194</v>
      </c>
      <c r="AK42" s="113">
        <f>IFERROR(peer_prices_monthly!AK25/peer_prices_monthly!AK24-1,"")</f>
        <v>2.7920581349387241E-2</v>
      </c>
      <c r="AL42" s="113">
        <f>IFERROR(peer_prices_monthly!AL25/peer_prices_monthly!AL24-1,"")</f>
        <v>0.10188355027246132</v>
      </c>
      <c r="AM42" s="113">
        <f>IFERROR(peer_prices_monthly!AM25/peer_prices_monthly!AM24-1,"")</f>
        <v>7.0198084868581256E-2</v>
      </c>
      <c r="AN42" s="113">
        <f>IFERROR(peer_prices_monthly!AN25/peer_prices_monthly!AN24-1,"")</f>
        <v>6.4727464904234644E-2</v>
      </c>
    </row>
    <row r="43" spans="1:40" x14ac:dyDescent="0.25">
      <c r="A43" s="126">
        <f>peer_prices_monthly!A26</f>
        <v>45138</v>
      </c>
      <c r="B43" s="113">
        <f>IFERROR(peer_prices_monthly!B26/peer_prices_monthly!B25-1,"")</f>
        <v>1.2785542492746549E-2</v>
      </c>
      <c r="C43" s="113">
        <f>IFERROR(peer_prices_monthly!C26/peer_prices_monthly!C25-1,"")</f>
        <v>0.11693489400135704</v>
      </c>
      <c r="D43" s="113">
        <f>IFERROR(peer_prices_monthly!D26/peer_prices_monthly!D25-1,"")</f>
        <v>4.3016227549514952E-3</v>
      </c>
      <c r="E43" s="113">
        <f>IFERROR(peer_prices_monthly!E26/peer_prices_monthly!E25-1,"")</f>
        <v>2.5467873963526566E-2</v>
      </c>
      <c r="F43" s="113" t="str">
        <f>IFERROR(peer_prices_monthly!F26/peer_prices_monthly!F25-1,"")</f>
        <v/>
      </c>
      <c r="G43" s="113">
        <f>IFERROR(peer_prices_monthly!G26/peer_prices_monthly!G25-1,"")</f>
        <v>3.59914541838664E-2</v>
      </c>
      <c r="H43" s="113">
        <f>IFERROR(peer_prices_monthly!H26/peer_prices_monthly!H25-1,"")</f>
        <v>0.22567496075473081</v>
      </c>
      <c r="I43" s="113">
        <f>IFERROR(peer_prices_monthly!I26/peer_prices_monthly!I25-1,"")</f>
        <v>4.1402077490644507E-2</v>
      </c>
      <c r="J43" s="113">
        <f>IFERROR(peer_prices_monthly!J26/peer_prices_monthly!J25-1,"")</f>
        <v>6.5085737878167516E-2</v>
      </c>
      <c r="K43" s="113">
        <f>IFERROR(peer_prices_monthly!K26/peer_prices_monthly!K25-1,"")</f>
        <v>-1.5189102323926007E-2</v>
      </c>
      <c r="L43" s="113">
        <f>IFERROR(peer_prices_monthly!L26/peer_prices_monthly!L25-1,"")</f>
        <v>-4.0277965902911772E-3</v>
      </c>
      <c r="M43" s="113">
        <f>IFERROR(peer_prices_monthly!M26/peer_prices_monthly!M25-1,"")</f>
        <v>-0.11739637622819332</v>
      </c>
      <c r="N43" s="113">
        <f>IFERROR(peer_prices_monthly!N26/peer_prices_monthly!N25-1,"")</f>
        <v>-4.9274411063110479E-3</v>
      </c>
      <c r="O43" s="113">
        <f>IFERROR(peer_prices_monthly!O26/peer_prices_monthly!O25-1,"")</f>
        <v>0.1087719180921205</v>
      </c>
      <c r="P43" s="113">
        <f>IFERROR(peer_prices_monthly!P26/peer_prices_monthly!P25-1,"")</f>
        <v>6.903292832745711E-2</v>
      </c>
      <c r="Q43" s="113">
        <f>IFERROR(peer_prices_monthly!Q26/peer_prices_monthly!Q25-1,"")</f>
        <v>7.7497790999538463E-2</v>
      </c>
      <c r="R43" s="113">
        <f>IFERROR(peer_prices_monthly!R26/peer_prices_monthly!R25-1,"")</f>
        <v>6.9676984690697941E-2</v>
      </c>
      <c r="S43" s="113">
        <f>IFERROR(peer_prices_monthly!S26/peer_prices_monthly!S25-1,"")</f>
        <v>0.1044992277037593</v>
      </c>
      <c r="T43" s="113">
        <f>IFERROR(peer_prices_monthly!T26/peer_prices_monthly!T25-1,"")</f>
        <v>0.11018171079053518</v>
      </c>
      <c r="U43" s="113">
        <f>IFERROR(peer_prices_monthly!U26/peer_prices_monthly!U25-1,"")</f>
        <v>-1.3566695404391926E-2</v>
      </c>
      <c r="V43" s="113">
        <f>IFERROR(peer_prices_monthly!V26/peer_prices_monthly!V25-1,"")</f>
        <v>0.13332804256715325</v>
      </c>
      <c r="W43" s="113">
        <f>IFERROR(peer_prices_monthly!W26/peer_prices_monthly!W25-1,"")</f>
        <v>3.7421938776133645E-2</v>
      </c>
      <c r="X43" s="113">
        <f>IFERROR(peer_prices_monthly!X26/peer_prices_monthly!X25-1,"")</f>
        <v>0.10465215982970189</v>
      </c>
      <c r="Y43" s="113">
        <f>IFERROR(peer_prices_monthly!Y26/peer_prices_monthly!Y25-1,"")</f>
        <v>-1.2163797620706296E-2</v>
      </c>
      <c r="Z43" s="113">
        <f>IFERROR(peer_prices_monthly!Z26/peer_prices_monthly!Z25-1,"")</f>
        <v>6.0351119580154489E-2</v>
      </c>
      <c r="AA43" s="113">
        <f>IFERROR(peer_prices_monthly!AA26/peer_prices_monthly!AA25-1,"")</f>
        <v>0.11029886478417605</v>
      </c>
      <c r="AB43" s="113" t="str">
        <f>IFERROR(peer_prices_monthly!AB26/peer_prices_monthly!AB25-1,"")</f>
        <v/>
      </c>
      <c r="AC43" s="113">
        <f>IFERROR(peer_prices_monthly!AC26/peer_prices_monthly!AC25-1,"")</f>
        <v>0.65906360400969111</v>
      </c>
      <c r="AD43" s="113">
        <f>IFERROR(peer_prices_monthly!AD26/peer_prices_monthly!AD25-1,"")</f>
        <v>-3.3622118046200411E-3</v>
      </c>
      <c r="AE43" s="113">
        <f>IFERROR(peer_prices_monthly!AE26/peer_prices_monthly!AE25-1,"")</f>
        <v>4.6130084014280426E-2</v>
      </c>
      <c r="AF43" s="113">
        <f>IFERROR(peer_prices_monthly!AF26/peer_prices_monthly!AF25-1,"")</f>
        <v>-4.0540581902419159E-2</v>
      </c>
      <c r="AG43" s="113">
        <f>IFERROR(peer_prices_monthly!AG26/peer_prices_monthly!AG25-1,"")</f>
        <v>3.9537835650603093E-2</v>
      </c>
      <c r="AH43" s="113">
        <f>IFERROR(peer_prices_monthly!AH26/peer_prices_monthly!AH25-1,"")</f>
        <v>0.17160776700575853</v>
      </c>
      <c r="AI43" s="113">
        <f>IFERROR(peer_prices_monthly!AI26/peer_prices_monthly!AI25-1,"")</f>
        <v>3.4647611997509431E-2</v>
      </c>
      <c r="AJ43" s="113">
        <f>IFERROR(peer_prices_monthly!AJ26/peer_prices_monthly!AJ25-1,"")</f>
        <v>2.1622049507798113E-2</v>
      </c>
      <c r="AK43" s="113">
        <f>IFERROR(peer_prices_monthly!AK26/peer_prices_monthly!AK25-1,"")</f>
        <v>-1.7538471003878509E-2</v>
      </c>
      <c r="AL43" s="113">
        <f>IFERROR(peer_prices_monthly!AL26/peer_prices_monthly!AL25-1,"")</f>
        <v>0.18181819080006867</v>
      </c>
      <c r="AM43" s="113">
        <f>IFERROR(peer_prices_monthly!AM26/peer_prices_monthly!AM25-1,"")</f>
        <v>1.7050478844649497E-2</v>
      </c>
      <c r="AN43" s="113">
        <f>IFERROR(peer_prices_monthly!AN26/peer_prices_monthly!AN25-1,"")</f>
        <v>3.1138932355010862E-2</v>
      </c>
    </row>
    <row r="44" spans="1:40" x14ac:dyDescent="0.25">
      <c r="A44" s="126">
        <f>peer_prices_monthly!A27</f>
        <v>45169</v>
      </c>
      <c r="B44" s="113">
        <f>IFERROR(peer_prices_monthly!B27/peer_prices_monthly!B26-1,"")</f>
        <v>-4.2383948019903306E-2</v>
      </c>
      <c r="C44" s="113">
        <f>IFERROR(peer_prices_monthly!C27/peer_prices_monthly!C26-1,"")</f>
        <v>2.411345251003838E-2</v>
      </c>
      <c r="D44" s="113">
        <f>IFERROR(peer_prices_monthly!D27/peer_prices_monthly!D26-1,"")</f>
        <v>-7.587412752972944E-2</v>
      </c>
      <c r="E44" s="113">
        <f>IFERROR(peer_prices_monthly!E27/peer_prices_monthly!E26-1,"")</f>
        <v>3.2390799433662298E-2</v>
      </c>
      <c r="F44" s="113" t="str">
        <f>IFERROR(peer_prices_monthly!F27/peer_prices_monthly!F26-1,"")</f>
        <v/>
      </c>
      <c r="G44" s="113">
        <f>IFERROR(peer_prices_monthly!G27/peer_prices_monthly!G26-1,"")</f>
        <v>2.6973774543457285E-2</v>
      </c>
      <c r="H44" s="113">
        <f>IFERROR(peer_prices_monthly!H27/peer_prices_monthly!H26-1,"")</f>
        <v>-9.064209166439241E-2</v>
      </c>
      <c r="I44" s="113">
        <f>IFERROR(peer_prices_monthly!I27/peer_prices_monthly!I26-1,"")</f>
        <v>-1.8463852252865287E-2</v>
      </c>
      <c r="J44" s="113">
        <f>IFERROR(peer_prices_monthly!J27/peer_prices_monthly!J26-1,"")</f>
        <v>-1.5776992475238005E-2</v>
      </c>
      <c r="K44" s="113">
        <f>IFERROR(peer_prices_monthly!K27/peer_prices_monthly!K26-1,"")</f>
        <v>6.2736436563505027E-2</v>
      </c>
      <c r="L44" s="113">
        <f>IFERROR(peer_prices_monthly!L27/peer_prices_monthly!L26-1,"")</f>
        <v>1.1718031448016974E-2</v>
      </c>
      <c r="M44" s="113">
        <f>IFERROR(peer_prices_monthly!M27/peer_prices_monthly!M26-1,"")</f>
        <v>-8.175618063022172E-2</v>
      </c>
      <c r="N44" s="113">
        <f>IFERROR(peer_prices_monthly!N27/peer_prices_monthly!N26-1,"")</f>
        <v>-0.12430104109532869</v>
      </c>
      <c r="O44" s="113">
        <f>IFERROR(peer_prices_monthly!O27/peer_prices_monthly!O26-1,"")</f>
        <v>2.5994578663316892E-2</v>
      </c>
      <c r="P44" s="113">
        <f>IFERROR(peer_prices_monthly!P27/peer_prices_monthly!P26-1,"")</f>
        <v>-9.503498131509569E-2</v>
      </c>
      <c r="Q44" s="113">
        <f>IFERROR(peer_prices_monthly!Q27/peer_prices_monthly!Q26-1,"")</f>
        <v>3.009952499223556E-2</v>
      </c>
      <c r="R44" s="113">
        <f>IFERROR(peer_prices_monthly!R27/peer_prices_monthly!R26-1,"")</f>
        <v>-1.4078227731844084E-2</v>
      </c>
      <c r="S44" s="113">
        <f>IFERROR(peer_prices_monthly!S27/peer_prices_monthly!S26-1,"")</f>
        <v>-0.17477003290063675</v>
      </c>
      <c r="T44" s="113">
        <f>IFERROR(peer_prices_monthly!T27/peer_prices_monthly!T26-1,"")</f>
        <v>-7.1280579271203348E-2</v>
      </c>
      <c r="U44" s="113">
        <f>IFERROR(peer_prices_monthly!U27/peer_prices_monthly!U26-1,"")</f>
        <v>-2.2225710655364272E-2</v>
      </c>
      <c r="V44" s="113">
        <f>IFERROR(peer_prices_monthly!V27/peer_prices_monthly!V26-1,"")</f>
        <v>-2.0310974446755226E-2</v>
      </c>
      <c r="W44" s="113">
        <f>IFERROR(peer_prices_monthly!W27/peer_prices_monthly!W26-1,"")</f>
        <v>1.0000003271610103E-2</v>
      </c>
      <c r="X44" s="113">
        <f>IFERROR(peer_prices_monthly!X27/peer_prices_monthly!X26-1,"")</f>
        <v>5.619639406771304E-2</v>
      </c>
      <c r="Y44" s="113">
        <f>IFERROR(peer_prices_monthly!Y27/peer_prices_monthly!Y26-1,"")</f>
        <v>2.6955477034660946E-2</v>
      </c>
      <c r="Z44" s="113">
        <f>IFERROR(peer_prices_monthly!Z27/peer_prices_monthly!Z26-1,"")</f>
        <v>-5.1741980401614374E-2</v>
      </c>
      <c r="AA44" s="113">
        <f>IFERROR(peer_prices_monthly!AA27/peer_prices_monthly!AA26-1,"")</f>
        <v>-0.12732859404998265</v>
      </c>
      <c r="AB44" s="113" t="str">
        <f>IFERROR(peer_prices_monthly!AB27/peer_prices_monthly!AB26-1,"")</f>
        <v/>
      </c>
      <c r="AC44" s="113">
        <f>IFERROR(peer_prices_monthly!AC27/peer_prices_monthly!AC26-1,"")</f>
        <v>-0.17764109825743968</v>
      </c>
      <c r="AD44" s="113">
        <f>IFERROR(peer_prices_monthly!AD27/peer_prices_monthly!AD26-1,"")</f>
        <v>2.4495697179724329E-2</v>
      </c>
      <c r="AE44" s="113">
        <f>IFERROR(peer_prices_monthly!AE27/peer_prices_monthly!AE26-1,"")</f>
        <v>-1.6129090526071477E-2</v>
      </c>
      <c r="AF44" s="113">
        <f>IFERROR(peer_prices_monthly!AF27/peer_prices_monthly!AF26-1,"")</f>
        <v>-8.8908389589066217E-2</v>
      </c>
      <c r="AG44" s="113">
        <f>IFERROR(peer_prices_monthly!AG27/peer_prices_monthly!AG26-1,"")</f>
        <v>-0.11121780508703205</v>
      </c>
      <c r="AH44" s="113">
        <f>IFERROR(peer_prices_monthly!AH27/peer_prices_monthly!AH26-1,"")</f>
        <v>-9.7323612789262604E-2</v>
      </c>
      <c r="AI44" s="113">
        <f>IFERROR(peer_prices_monthly!AI27/peer_prices_monthly!AI26-1,"")</f>
        <v>-6.4740795931501838E-2</v>
      </c>
      <c r="AJ44" s="113">
        <f>IFERROR(peer_prices_monthly!AJ27/peer_prices_monthly!AJ26-1,"")</f>
        <v>-3.4962443852926794E-2</v>
      </c>
      <c r="AK44" s="113">
        <f>IFERROR(peer_prices_monthly!AK27/peer_prices_monthly!AK26-1,"")</f>
        <v>-5.6278482667171503E-2</v>
      </c>
      <c r="AL44" s="113">
        <f>IFERROR(peer_prices_monthly!AL27/peer_prices_monthly!AL26-1,"")</f>
        <v>-0.12305504157418001</v>
      </c>
      <c r="AM44" s="113">
        <f>IFERROR(peer_prices_monthly!AM27/peer_prices_monthly!AM26-1,"")</f>
        <v>2.0818847088045489E-2</v>
      </c>
      <c r="AN44" s="113">
        <f>IFERROR(peer_prices_monthly!AN27/peer_prices_monthly!AN26-1,"")</f>
        <v>-1.7716390070854016E-2</v>
      </c>
    </row>
    <row r="45" spans="1:40" x14ac:dyDescent="0.25">
      <c r="A45" s="126">
        <f>peer_prices_monthly!A28</f>
        <v>45199</v>
      </c>
      <c r="B45" s="113">
        <f>IFERROR(peer_prices_monthly!B28/peer_prices_monthly!B27-1,"")</f>
        <v>-8.8678201825861946E-2</v>
      </c>
      <c r="C45" s="113">
        <f>IFERROR(peer_prices_monthly!C28/peer_prices_monthly!C27-1,"")</f>
        <v>-8.8389942763312135E-2</v>
      </c>
      <c r="D45" s="113">
        <f>IFERROR(peer_prices_monthly!D28/peer_prices_monthly!D27-1,"")</f>
        <v>-2.7430963794871754E-2</v>
      </c>
      <c r="E45" s="113">
        <f>IFERROR(peer_prices_monthly!E28/peer_prices_monthly!E27-1,"")</f>
        <v>-7.8907268992859048E-2</v>
      </c>
      <c r="F45" s="113" t="str">
        <f>IFERROR(peer_prices_monthly!F28/peer_prices_monthly!F27-1,"")</f>
        <v/>
      </c>
      <c r="G45" s="113">
        <f>IFERROR(peer_prices_monthly!G28/peer_prices_monthly!G27-1,"")</f>
        <v>-9.5121144757147391E-2</v>
      </c>
      <c r="H45" s="113">
        <f>IFERROR(peer_prices_monthly!H28/peer_prices_monthly!H27-1,"")</f>
        <v>-6.6307938285732781E-2</v>
      </c>
      <c r="I45" s="113">
        <f>IFERROR(peer_prices_monthly!I28/peer_prices_monthly!I27-1,"")</f>
        <v>2.8546414039495316E-2</v>
      </c>
      <c r="J45" s="113">
        <f>IFERROR(peer_prices_monthly!J28/peer_prices_monthly!J27-1,"")</f>
        <v>-8.4349376663830244E-2</v>
      </c>
      <c r="K45" s="113">
        <f>IFERROR(peer_prices_monthly!K28/peer_prices_monthly!K27-1,"")</f>
        <v>0.22510658353215218</v>
      </c>
      <c r="L45" s="113">
        <f>IFERROR(peer_prices_monthly!L28/peer_prices_monthly!L27-1,"")</f>
        <v>-1.5408715071631884E-2</v>
      </c>
      <c r="M45" s="113">
        <f>IFERROR(peer_prices_monthly!M28/peer_prices_monthly!M27-1,"")</f>
        <v>2.390772463092361E-2</v>
      </c>
      <c r="N45" s="113">
        <f>IFERROR(peer_prices_monthly!N28/peer_prices_monthly!N27-1,"")</f>
        <v>-1.6114709731635313E-2</v>
      </c>
      <c r="O45" s="113">
        <f>IFERROR(peer_prices_monthly!O28/peer_prices_monthly!O27-1,"")</f>
        <v>-3.8995536991151103E-2</v>
      </c>
      <c r="P45" s="113">
        <f>IFERROR(peer_prices_monthly!P28/peer_prices_monthly!P27-1,"")</f>
        <v>-0.12720593124349788</v>
      </c>
      <c r="Q45" s="113">
        <f>IFERROR(peer_prices_monthly!Q28/peer_prices_monthly!Q27-1,"")</f>
        <v>-4.4473322163526174E-2</v>
      </c>
      <c r="R45" s="113">
        <f>IFERROR(peer_prices_monthly!R28/peer_prices_monthly!R27-1,"")</f>
        <v>1.1667614216761324E-2</v>
      </c>
      <c r="S45" s="113">
        <f>IFERROR(peer_prices_monthly!S28/peer_prices_monthly!S27-1,"")</f>
        <v>-0.10987257635362679</v>
      </c>
      <c r="T45" s="113">
        <f>IFERROR(peer_prices_monthly!T28/peer_prices_monthly!T27-1,"")</f>
        <v>1.4599970180998012E-2</v>
      </c>
      <c r="U45" s="113">
        <f>IFERROR(peer_prices_monthly!U28/peer_prices_monthly!U27-1,"")</f>
        <v>-3.6642843202266184E-2</v>
      </c>
      <c r="V45" s="113">
        <f>IFERROR(peer_prices_monthly!V28/peer_prices_monthly!V27-1,"")</f>
        <v>-2.7309154640689948E-2</v>
      </c>
      <c r="W45" s="113">
        <f>IFERROR(peer_prices_monthly!W28/peer_prices_monthly!W27-1,"")</f>
        <v>-5.0727706487991409E-2</v>
      </c>
      <c r="X45" s="113">
        <f>IFERROR(peer_prices_monthly!X28/peer_prices_monthly!X27-1,"")</f>
        <v>-0.11857799307223182</v>
      </c>
      <c r="Y45" s="113">
        <f>IFERROR(peer_prices_monthly!Y28/peer_prices_monthly!Y27-1,"")</f>
        <v>-0.12019270253668024</v>
      </c>
      <c r="Z45" s="113">
        <f>IFERROR(peer_prices_monthly!Z28/peer_prices_monthly!Z27-1,"")</f>
        <v>-1.6733324419883955E-2</v>
      </c>
      <c r="AA45" s="113">
        <f>IFERROR(peer_prices_monthly!AA28/peer_prices_monthly!AA27-1,"")</f>
        <v>-3.0297878697362002E-2</v>
      </c>
      <c r="AB45" s="113" t="str">
        <f>IFERROR(peer_prices_monthly!AB28/peer_prices_monthly!AB27-1,"")</f>
        <v/>
      </c>
      <c r="AC45" s="113">
        <f>IFERROR(peer_prices_monthly!AC28/peer_prices_monthly!AC27-1,"")</f>
        <v>6.8191868703253E-2</v>
      </c>
      <c r="AD45" s="113">
        <f>IFERROR(peer_prices_monthly!AD28/peer_prices_monthly!AD27-1,"")</f>
        <v>-7.423576298802681E-2</v>
      </c>
      <c r="AE45" s="113">
        <f>IFERROR(peer_prices_monthly!AE28/peer_prices_monthly!AE27-1,"")</f>
        <v>-0.17927505718030012</v>
      </c>
      <c r="AF45" s="113">
        <f>IFERROR(peer_prices_monthly!AF28/peer_prices_monthly!AF27-1,"")</f>
        <v>-0.13913048125444938</v>
      </c>
      <c r="AG45" s="113">
        <f>IFERROR(peer_prices_monthly!AG28/peer_prices_monthly!AG27-1,"")</f>
        <v>-6.1013222202300765E-3</v>
      </c>
      <c r="AH45" s="113">
        <f>IFERROR(peer_prices_monthly!AH28/peer_prices_monthly!AH27-1,"")</f>
        <v>3.1266808722225647E-2</v>
      </c>
      <c r="AI45" s="113">
        <f>IFERROR(peer_prices_monthly!AI28/peer_prices_monthly!AI27-1,"")</f>
        <v>-0.12627427448657069</v>
      </c>
      <c r="AJ45" s="113">
        <f>IFERROR(peer_prices_monthly!AJ28/peer_prices_monthly!AJ27-1,"")</f>
        <v>-3.0455617484936637E-2</v>
      </c>
      <c r="AK45" s="113">
        <f>IFERROR(peer_prices_monthly!AK28/peer_prices_monthly!AK27-1,"")</f>
        <v>-6.6463384131847714E-2</v>
      </c>
      <c r="AL45" s="113">
        <f>IFERROR(peer_prices_monthly!AL28/peer_prices_monthly!AL27-1,"")</f>
        <v>-2.3491156842355365E-2</v>
      </c>
      <c r="AM45" s="113">
        <f>IFERROR(peer_prices_monthly!AM28/peer_prices_monthly!AM27-1,"")</f>
        <v>-1.6481275921133132E-2</v>
      </c>
      <c r="AN45" s="113">
        <f>IFERROR(peer_prices_monthly!AN28/peer_prices_monthly!AN27-1,"")</f>
        <v>-4.8719367465624885E-2</v>
      </c>
    </row>
    <row r="46" spans="1:40" x14ac:dyDescent="0.25">
      <c r="A46" s="126">
        <f>peer_prices_monthly!A29</f>
        <v>45230</v>
      </c>
      <c r="B46" s="113">
        <f>IFERROR(peer_prices_monthly!B29/peer_prices_monthly!B28-1,"")</f>
        <v>-2.5699815933506454E-3</v>
      </c>
      <c r="C46" s="113">
        <f>IFERROR(peer_prices_monthly!C29/peer_prices_monthly!C28-1,"")</f>
        <v>4.3459509565336729E-2</v>
      </c>
      <c r="D46" s="113">
        <f>IFERROR(peer_prices_monthly!D29/peer_prices_monthly!D28-1,"")</f>
        <v>-4.2015169302141886E-2</v>
      </c>
      <c r="E46" s="113">
        <f>IFERROR(peer_prices_monthly!E29/peer_prices_monthly!E28-1,"")</f>
        <v>4.6963447626806376E-2</v>
      </c>
      <c r="F46" s="113">
        <f>IFERROR(peer_prices_monthly!F29/peer_prices_monthly!F28-1,"")</f>
        <v>-7.9035865210324796E-2</v>
      </c>
      <c r="G46" s="113">
        <f>IFERROR(peer_prices_monthly!G29/peer_prices_monthly!G28-1,"")</f>
        <v>1.299100574593437E-2</v>
      </c>
      <c r="H46" s="113">
        <f>IFERROR(peer_prices_monthly!H29/peer_prices_monthly!H28-1,"")</f>
        <v>-4.8420511115105258E-2</v>
      </c>
      <c r="I46" s="113">
        <f>IFERROR(peer_prices_monthly!I29/peer_prices_monthly!I28-1,"")</f>
        <v>-2.2160790936978092E-2</v>
      </c>
      <c r="J46" s="113">
        <f>IFERROR(peer_prices_monthly!J29/peer_prices_monthly!J28-1,"")</f>
        <v>-9.6162664105615692E-3</v>
      </c>
      <c r="K46" s="113">
        <f>IFERROR(peer_prices_monthly!K29/peer_prices_monthly!K28-1,"")</f>
        <v>-2.3399877467113028E-2</v>
      </c>
      <c r="L46" s="113">
        <f>IFERROR(peer_prices_monthly!L29/peer_prices_monthly!L28-1,"")</f>
        <v>-0.11022910869658631</v>
      </c>
      <c r="M46" s="113">
        <f>IFERROR(peer_prices_monthly!M29/peer_prices_monthly!M28-1,"")</f>
        <v>-0.20273534958829309</v>
      </c>
      <c r="N46" s="113">
        <f>IFERROR(peer_prices_monthly!N29/peer_prices_monthly!N28-1,"")</f>
        <v>-0.14467669881147804</v>
      </c>
      <c r="O46" s="113">
        <f>IFERROR(peer_prices_monthly!O29/peer_prices_monthly!O28-1,"")</f>
        <v>-5.1811017564159401E-2</v>
      </c>
      <c r="P46" s="113">
        <f>IFERROR(peer_prices_monthly!P29/peer_prices_monthly!P28-1,"")</f>
        <v>2.4513705890253812E-2</v>
      </c>
      <c r="Q46" s="113">
        <f>IFERROR(peer_prices_monthly!Q29/peer_prices_monthly!Q28-1,"")</f>
        <v>3.0933804900524331E-2</v>
      </c>
      <c r="R46" s="113">
        <f>IFERROR(peer_prices_monthly!R29/peer_prices_monthly!R28-1,"")</f>
        <v>2.6723018905471241E-2</v>
      </c>
      <c r="S46" s="113">
        <f>IFERROR(peer_prices_monthly!S29/peer_prices_monthly!S28-1,"")</f>
        <v>-0.26296959502110362</v>
      </c>
      <c r="T46" s="113">
        <f>IFERROR(peer_prices_monthly!T29/peer_prices_monthly!T28-1,"")</f>
        <v>3.5307885458515376E-3</v>
      </c>
      <c r="U46" s="113">
        <f>IFERROR(peer_prices_monthly!U29/peer_prices_monthly!U28-1,"")</f>
        <v>7.0815513991324242E-2</v>
      </c>
      <c r="V46" s="113">
        <f>IFERROR(peer_prices_monthly!V29/peer_prices_monthly!V28-1,"")</f>
        <v>-1.5411508820314168E-2</v>
      </c>
      <c r="W46" s="113">
        <f>IFERROR(peer_prices_monthly!W29/peer_prices_monthly!W28-1,"")</f>
        <v>4.0951078227295934E-2</v>
      </c>
      <c r="X46" s="113">
        <f>IFERROR(peer_prices_monthly!X29/peer_prices_monthly!X28-1,"")</f>
        <v>-6.2507336294326143E-2</v>
      </c>
      <c r="Y46" s="113">
        <f>IFERROR(peer_prices_monthly!Y29/peer_prices_monthly!Y28-1,"")</f>
        <v>-2.0219277342716668E-2</v>
      </c>
      <c r="Z46" s="113">
        <f>IFERROR(peer_prices_monthly!Z29/peer_prices_monthly!Z28-1,"")</f>
        <v>0.10543834264603502</v>
      </c>
      <c r="AA46" s="113">
        <f>IFERROR(peer_prices_monthly!AA29/peer_prices_monthly!AA28-1,"")</f>
        <v>-1.8638466247270502E-2</v>
      </c>
      <c r="AB46" s="113" t="str">
        <f>IFERROR(peer_prices_monthly!AB29/peer_prices_monthly!AB28-1,"")</f>
        <v/>
      </c>
      <c r="AC46" s="113">
        <f>IFERROR(peer_prices_monthly!AC29/peer_prices_monthly!AC28-1,"")</f>
        <v>-0.33196050845765335</v>
      </c>
      <c r="AD46" s="113">
        <f>IFERROR(peer_prices_monthly!AD29/peer_prices_monthly!AD28-1,"")</f>
        <v>3.618925951184826E-2</v>
      </c>
      <c r="AE46" s="113">
        <f>IFERROR(peer_prices_monthly!AE29/peer_prices_monthly!AE28-1,"")</f>
        <v>-0.13523916271553882</v>
      </c>
      <c r="AF46" s="113">
        <f>IFERROR(peer_prices_monthly!AF29/peer_prices_monthly!AF28-1,"")</f>
        <v>0.12345683505137428</v>
      </c>
      <c r="AG46" s="113">
        <f>IFERROR(peer_prices_monthly!AG29/peer_prices_monthly!AG28-1,"")</f>
        <v>7.766063319762484E-3</v>
      </c>
      <c r="AH46" s="113">
        <f>IFERROR(peer_prices_monthly!AH29/peer_prices_monthly!AH28-1,"")</f>
        <v>-2.3523222440802738E-2</v>
      </c>
      <c r="AI46" s="113">
        <f>IFERROR(peer_prices_monthly!AI29/peer_prices_monthly!AI28-1,"")</f>
        <v>1.9898034324892233E-3</v>
      </c>
      <c r="AJ46" s="113">
        <f>IFERROR(peer_prices_monthly!AJ29/peer_prices_monthly!AJ28-1,"")</f>
        <v>-0.19734635377632159</v>
      </c>
      <c r="AK46" s="113">
        <f>IFERROR(peer_prices_monthly!AK29/peer_prices_monthly!AK28-1,"")</f>
        <v>-6.7894667486362303E-3</v>
      </c>
      <c r="AL46" s="113">
        <f>IFERROR(peer_prices_monthly!AL29/peer_prices_monthly!AL28-1,"")</f>
        <v>-9.2002588624714554E-2</v>
      </c>
      <c r="AM46" s="113">
        <f>IFERROR(peer_prices_monthly!AM29/peer_prices_monthly!AM28-1,"")</f>
        <v>2.1759738865747558E-2</v>
      </c>
      <c r="AN46" s="113">
        <f>IFERROR(peer_prices_monthly!AN29/peer_prices_monthly!AN28-1,"")</f>
        <v>-2.197968873798295E-2</v>
      </c>
    </row>
    <row r="47" spans="1:40" x14ac:dyDescent="0.25">
      <c r="A47" s="126">
        <f>peer_prices_monthly!A30</f>
        <v>45260</v>
      </c>
      <c r="B47" s="113">
        <f>IFERROR(peer_prices_monthly!B30/peer_prices_monthly!B29-1,"")</f>
        <v>0.11378016838767468</v>
      </c>
      <c r="C47" s="113">
        <f>IFERROR(peer_prices_monthly!C30/peer_prices_monthly!C29-1,"")</f>
        <v>0.14838554405386728</v>
      </c>
      <c r="D47" s="113">
        <f>IFERROR(peer_prices_monthly!D30/peer_prices_monthly!D29-1,"")</f>
        <v>0.23005079860009525</v>
      </c>
      <c r="E47" s="113">
        <f>IFERROR(peer_prices_monthly!E30/peer_prices_monthly!E29-1,"")</f>
        <v>9.7678265517382901E-2</v>
      </c>
      <c r="F47" s="113">
        <f>IFERROR(peer_prices_monthly!F30/peer_prices_monthly!F29-1,"")</f>
        <v>0.24771756659931943</v>
      </c>
      <c r="G47" s="113">
        <f>IFERROR(peer_prices_monthly!G30/peer_prices_monthly!G29-1,"")</f>
        <v>0.10026512743900695</v>
      </c>
      <c r="H47" s="113">
        <f>IFERROR(peer_prices_monthly!H30/peer_prices_monthly!H29-1,"")</f>
        <v>-9.2803636753669649E-2</v>
      </c>
      <c r="I47" s="113">
        <f>IFERROR(peer_prices_monthly!I30/peer_prices_monthly!I29-1,"")</f>
        <v>7.4918120403846933E-2</v>
      </c>
      <c r="J47" s="113">
        <f>IFERROR(peer_prices_monthly!J30/peer_prices_monthly!J29-1,"")</f>
        <v>0.25429461734696845</v>
      </c>
      <c r="K47" s="113">
        <f>IFERROR(peer_prices_monthly!K30/peer_prices_monthly!K29-1,"")</f>
        <v>0.13391104204336468</v>
      </c>
      <c r="L47" s="113">
        <f>IFERROR(peer_prices_monthly!L30/peer_prices_monthly!L29-1,"")</f>
        <v>5.1843953819263877E-2</v>
      </c>
      <c r="M47" s="113">
        <f>IFERROR(peer_prices_monthly!M30/peer_prices_monthly!M29-1,"")</f>
        <v>5.2307529802601671E-2</v>
      </c>
      <c r="N47" s="113">
        <f>IFERROR(peer_prices_monthly!N30/peer_prices_monthly!N29-1,"")</f>
        <v>0.1237678124849797</v>
      </c>
      <c r="O47" s="113">
        <f>IFERROR(peer_prices_monthly!O30/peer_prices_monthly!O29-1,"")</f>
        <v>6.8101240224385462E-2</v>
      </c>
      <c r="P47" s="113">
        <f>IFERROR(peer_prices_monthly!P30/peer_prices_monthly!P29-1,"")</f>
        <v>0.11431799765460249</v>
      </c>
      <c r="Q47" s="113">
        <f>IFERROR(peer_prices_monthly!Q30/peer_prices_monthly!Q29-1,"")</f>
        <v>0.10867139778240587</v>
      </c>
      <c r="R47" s="113">
        <f>IFERROR(peer_prices_monthly!R30/peer_prices_monthly!R29-1,"")</f>
        <v>0.22868443783930892</v>
      </c>
      <c r="S47" s="113">
        <f>IFERROR(peer_prices_monthly!S30/peer_prices_monthly!S29-1,"")</f>
        <v>2.4271844210729476E-2</v>
      </c>
      <c r="T47" s="113">
        <f>IFERROR(peer_prices_monthly!T30/peer_prices_monthly!T29-1,"")</f>
        <v>8.5903166304536427E-2</v>
      </c>
      <c r="U47" s="113">
        <f>IFERROR(peer_prices_monthly!U30/peer_prices_monthly!U29-1,"")</f>
        <v>0.12294554690281112</v>
      </c>
      <c r="V47" s="113">
        <f>IFERROR(peer_prices_monthly!V30/peer_prices_monthly!V29-1,"")</f>
        <v>0.13832836330419651</v>
      </c>
      <c r="W47" s="113">
        <f>IFERROR(peer_prices_monthly!W30/peer_prices_monthly!W29-1,"")</f>
        <v>0.17855110215802972</v>
      </c>
      <c r="X47" s="113">
        <f>IFERROR(peer_prices_monthly!X30/peer_prices_monthly!X29-1,"")</f>
        <v>0.14688607393739872</v>
      </c>
      <c r="Y47" s="113">
        <f>IFERROR(peer_prices_monthly!Y30/peer_prices_monthly!Y29-1,"")</f>
        <v>0.12388789329228511</v>
      </c>
      <c r="Z47" s="113">
        <f>IFERROR(peer_prices_monthly!Z30/peer_prices_monthly!Z29-1,"")</f>
        <v>0.14022759878652291</v>
      </c>
      <c r="AA47" s="113">
        <f>IFERROR(peer_prices_monthly!AA30/peer_prices_monthly!AA29-1,"")</f>
        <v>0.19158414692040004</v>
      </c>
      <c r="AB47" s="113" t="str">
        <f>IFERROR(peer_prices_monthly!AB30/peer_prices_monthly!AB29-1,"")</f>
        <v/>
      </c>
      <c r="AC47" s="113">
        <f>IFERROR(peer_prices_monthly!AC30/peer_prices_monthly!AC29-1,"")</f>
        <v>3.3292289666297492E-2</v>
      </c>
      <c r="AD47" s="113">
        <f>IFERROR(peer_prices_monthly!AD30/peer_prices_monthly!AD29-1,"")</f>
        <v>0.18746265568613629</v>
      </c>
      <c r="AE47" s="113">
        <f>IFERROR(peer_prices_monthly!AE30/peer_prices_monthly!AE29-1,"")</f>
        <v>0.54312358156350848</v>
      </c>
      <c r="AF47" s="113">
        <f>IFERROR(peer_prices_monthly!AF30/peer_prices_monthly!AF29-1,"")</f>
        <v>0.38161834240546577</v>
      </c>
      <c r="AG47" s="113">
        <f>IFERROR(peer_prices_monthly!AG30/peer_prices_monthly!AG29-1,"")</f>
        <v>3.4918655188149073E-2</v>
      </c>
      <c r="AH47" s="113">
        <f>IFERROR(peer_prices_monthly!AH30/peer_prices_monthly!AH29-1,"")</f>
        <v>0.15952888720354652</v>
      </c>
      <c r="AI47" s="113">
        <f>IFERROR(peer_prices_monthly!AI30/peer_prices_monthly!AI29-1,"")</f>
        <v>0.22029044162571521</v>
      </c>
      <c r="AJ47" s="113">
        <f>IFERROR(peer_prices_monthly!AJ30/peer_prices_monthly!AJ29-1,"")</f>
        <v>0.19537943740621855</v>
      </c>
      <c r="AK47" s="113">
        <f>IFERROR(peer_prices_monthly!AK30/peer_prices_monthly!AK29-1,"")</f>
        <v>0.12744763765713851</v>
      </c>
      <c r="AL47" s="113">
        <f>IFERROR(peer_prices_monthly!AL30/peer_prices_monthly!AL29-1,"")</f>
        <v>-7.0462233152622789E-3</v>
      </c>
      <c r="AM47" s="113">
        <f>IFERROR(peer_prices_monthly!AM30/peer_prices_monthly!AM29-1,"")</f>
        <v>-4.7243276394238531E-2</v>
      </c>
      <c r="AN47" s="113">
        <f>IFERROR(peer_prices_monthly!AN30/peer_prices_monthly!AN29-1,"")</f>
        <v>8.9179268781970134E-2</v>
      </c>
    </row>
    <row r="48" spans="1:40" x14ac:dyDescent="0.25">
      <c r="A48" s="126">
        <f>peer_prices_monthly!A31</f>
        <v>45291</v>
      </c>
      <c r="B48" s="113">
        <f>IFERROR(peer_prices_monthly!B31/peer_prices_monthly!B30-1,"")</f>
        <v>1.358257177743849E-2</v>
      </c>
      <c r="C48" s="113">
        <f>IFERROR(peer_prices_monthly!C31/peer_prices_monthly!C30-1,"")</f>
        <v>-2.3583957626512553E-2</v>
      </c>
      <c r="D48" s="113">
        <f>IFERROR(peer_prices_monthly!D31/peer_prices_monthly!D30-1,"")</f>
        <v>0.2166556553861283</v>
      </c>
      <c r="E48" s="113">
        <f>IFERROR(peer_prices_monthly!E31/peer_prices_monthly!E30-1,"")</f>
        <v>4.004385139407618E-2</v>
      </c>
      <c r="F48" s="113">
        <f>IFERROR(peer_prices_monthly!F31/peer_prices_monthly!F30-1,"")</f>
        <v>0.22186986411490084</v>
      </c>
      <c r="G48" s="113">
        <f>IFERROR(peer_prices_monthly!G31/peer_prices_monthly!G30-1,"")</f>
        <v>0.21134950877379932</v>
      </c>
      <c r="H48" s="113">
        <f>IFERROR(peer_prices_monthly!H31/peer_prices_monthly!H30-1,"")</f>
        <v>4.9037804731619339E-2</v>
      </c>
      <c r="I48" s="113">
        <f>IFERROR(peer_prices_monthly!I31/peer_prices_monthly!I30-1,"")</f>
        <v>0.13893188895878694</v>
      </c>
      <c r="J48" s="113">
        <f>IFERROR(peer_prices_monthly!J31/peer_prices_monthly!J30-1,"")</f>
        <v>4.4620982711794932E-2</v>
      </c>
      <c r="K48" s="113">
        <f>IFERROR(peer_prices_monthly!K31/peer_prices_monthly!K30-1,"")</f>
        <v>8.3035764030279235E-3</v>
      </c>
      <c r="L48" s="113">
        <f>IFERROR(peer_prices_monthly!L31/peer_prices_monthly!L30-1,"")</f>
        <v>6.364300057759964E-2</v>
      </c>
      <c r="M48" s="113">
        <f>IFERROR(peer_prices_monthly!M31/peer_prices_monthly!M30-1,"")</f>
        <v>0.1881092989529547</v>
      </c>
      <c r="N48" s="113">
        <f>IFERROR(peer_prices_monthly!N31/peer_prices_monthly!N30-1,"")</f>
        <v>0.13670882847867749</v>
      </c>
      <c r="O48" s="113">
        <f>IFERROR(peer_prices_monthly!O31/peer_prices_monthly!O30-1,"")</f>
        <v>5.4025445261882465E-2</v>
      </c>
      <c r="P48" s="113">
        <f>IFERROR(peer_prices_monthly!P31/peer_prices_monthly!P30-1,"")</f>
        <v>3.4968231196260913E-2</v>
      </c>
      <c r="Q48" s="113">
        <f>IFERROR(peer_prices_monthly!Q31/peer_prices_monthly!Q30-1,"")</f>
        <v>3.1470477230319371E-2</v>
      </c>
      <c r="R48" s="113">
        <f>IFERROR(peer_prices_monthly!R31/peer_prices_monthly!R30-1,"")</f>
        <v>0.12416102913298444</v>
      </c>
      <c r="S48" s="113">
        <f>IFERROR(peer_prices_monthly!S31/peer_prices_monthly!S30-1,"")</f>
        <v>-2.3697224410048623E-3</v>
      </c>
      <c r="T48" s="113">
        <f>IFERROR(peer_prices_monthly!T31/peer_prices_monthly!T30-1,"")</f>
        <v>8.1950217620995858E-2</v>
      </c>
      <c r="U48" s="113">
        <f>IFERROR(peer_prices_monthly!U31/peer_prices_monthly!U30-1,"")</f>
        <v>-7.5742958526479054E-3</v>
      </c>
      <c r="V48" s="113">
        <f>IFERROR(peer_prices_monthly!V31/peer_prices_monthly!V30-1,"")</f>
        <v>0.12262536075656594</v>
      </c>
      <c r="W48" s="113">
        <f>IFERROR(peer_prices_monthly!W31/peer_prices_monthly!W30-1,"")</f>
        <v>3.0259349802534086E-2</v>
      </c>
      <c r="X48" s="113">
        <f>IFERROR(peer_prices_monthly!X31/peer_prices_monthly!X30-1,"")</f>
        <v>5.8934046629556036E-2</v>
      </c>
      <c r="Y48" s="113">
        <f>IFERROR(peer_prices_monthly!Y31/peer_prices_monthly!Y30-1,"")</f>
        <v>-9.2763123166206496E-2</v>
      </c>
      <c r="Z48" s="113">
        <f>IFERROR(peer_prices_monthly!Z31/peer_prices_monthly!Z30-1,"")</f>
        <v>8.7173503002828445E-2</v>
      </c>
      <c r="AA48" s="113">
        <f>IFERROR(peer_prices_monthly!AA31/peer_prices_monthly!AA30-1,"")</f>
        <v>0.12072836039529777</v>
      </c>
      <c r="AB48" s="113" t="str">
        <f>IFERROR(peer_prices_monthly!AB31/peer_prices_monthly!AB30-1,"")</f>
        <v/>
      </c>
      <c r="AC48" s="113">
        <f>IFERROR(peer_prices_monthly!AC31/peer_prices_monthly!AC30-1,"")</f>
        <v>0.39976126277402924</v>
      </c>
      <c r="AD48" s="113">
        <f>IFERROR(peer_prices_monthly!AD31/peer_prices_monthly!AD30-1,"")</f>
        <v>-2.8469117695286039E-2</v>
      </c>
      <c r="AE48" s="113">
        <f>IFERROR(peer_prices_monthly!AE31/peer_prices_monthly!AE30-1,"")</f>
        <v>6.9761080092612948E-2</v>
      </c>
      <c r="AF48" s="113">
        <f>IFERROR(peer_prices_monthly!AF31/peer_prices_monthly!AF30-1,"")</f>
        <v>0.22415042650549877</v>
      </c>
      <c r="AG48" s="113">
        <f>IFERROR(peer_prices_monthly!AG31/peer_prices_monthly!AG30-1,"")</f>
        <v>0.10168701854381723</v>
      </c>
      <c r="AH48" s="113">
        <f>IFERROR(peer_prices_monthly!AH31/peer_prices_monthly!AH30-1,"")</f>
        <v>7.6639033527855727E-2</v>
      </c>
      <c r="AI48" s="113">
        <f>IFERROR(peer_prices_monthly!AI31/peer_prices_monthly!AI30-1,"")</f>
        <v>6.4344887079585966E-2</v>
      </c>
      <c r="AJ48" s="113">
        <f>IFERROR(peer_prices_monthly!AJ31/peer_prices_monthly!AJ30-1,"")</f>
        <v>3.4988311531234828E-2</v>
      </c>
      <c r="AK48" s="113">
        <f>IFERROR(peer_prices_monthly!AK31/peer_prices_monthly!AK30-1,"")</f>
        <v>7.3786170573099108E-2</v>
      </c>
      <c r="AL48" s="113">
        <f>IFERROR(peer_prices_monthly!AL31/peer_prices_monthly!AL30-1,"")</f>
        <v>2.1288674701821719E-2</v>
      </c>
      <c r="AM48" s="113">
        <f>IFERROR(peer_prices_monthly!AM31/peer_prices_monthly!AM30-1,"")</f>
        <v>1.6349826920332156E-2</v>
      </c>
      <c r="AN48" s="113">
        <f>IFERROR(peer_prices_monthly!AN31/peer_prices_monthly!AN30-1,"")</f>
        <v>4.4229231156360127E-2</v>
      </c>
    </row>
    <row r="49" spans="1:40" x14ac:dyDescent="0.25">
      <c r="A49" s="126">
        <f>peer_prices_monthly!A32</f>
        <v>45322</v>
      </c>
      <c r="B49" s="113">
        <f>IFERROR(peer_prices_monthly!B32/peer_prices_monthly!B31-1,"")</f>
        <v>-4.2227254113980317E-2</v>
      </c>
      <c r="C49" s="113">
        <f>IFERROR(peer_prices_monthly!C32/peer_prices_monthly!C31-1,"")</f>
        <v>3.5501264796626852E-2</v>
      </c>
      <c r="D49" s="113">
        <f>IFERROR(peer_prices_monthly!D32/peer_prices_monthly!D31-1,"")</f>
        <v>0.13757545807937377</v>
      </c>
      <c r="E49" s="113">
        <f>IFERROR(peer_prices_monthly!E32/peer_prices_monthly!E31-1,"")</f>
        <v>2.1455801332457725E-2</v>
      </c>
      <c r="F49" s="113">
        <f>IFERROR(peer_prices_monthly!F32/peer_prices_monthly!F31-1,"")</f>
        <v>-5.9551516056046028E-2</v>
      </c>
      <c r="G49" s="113">
        <f>IFERROR(peer_prices_monthly!G32/peer_prices_monthly!G31-1,"")</f>
        <v>5.7110835552255601E-2</v>
      </c>
      <c r="H49" s="113">
        <f>IFERROR(peer_prices_monthly!H32/peer_prices_monthly!H31-1,"")</f>
        <v>-6.88943525662713E-2</v>
      </c>
      <c r="I49" s="113">
        <f>IFERROR(peer_prices_monthly!I32/peer_prices_monthly!I31-1,"")</f>
        <v>5.2720862138859514E-2</v>
      </c>
      <c r="J49" s="113">
        <f>IFERROR(peer_prices_monthly!J32/peer_prices_monthly!J31-1,"")</f>
        <v>6.8214547210962317E-2</v>
      </c>
      <c r="K49" s="113">
        <f>IFERROR(peer_prices_monthly!K32/peer_prices_monthly!K31-1,"")</f>
        <v>8.8238853532679018E-2</v>
      </c>
      <c r="L49" s="113">
        <f>IFERROR(peer_prices_monthly!L32/peer_prices_monthly!L31-1,"")</f>
        <v>-5.8459433807792061E-2</v>
      </c>
      <c r="M49" s="113">
        <f>IFERROR(peer_prices_monthly!M32/peer_prices_monthly!M31-1,"")</f>
        <v>-3.8556136675896524E-2</v>
      </c>
      <c r="N49" s="113">
        <f>IFERROR(peer_prices_monthly!N32/peer_prices_monthly!N31-1,"")</f>
        <v>8.0178084459429977E-2</v>
      </c>
      <c r="O49" s="113">
        <f>IFERROR(peer_prices_monthly!O32/peer_prices_monthly!O31-1,"")</f>
        <v>2.9350051684655654E-3</v>
      </c>
      <c r="P49" s="113">
        <f>IFERROR(peer_prices_monthly!P32/peer_prices_monthly!P31-1,"")</f>
        <v>-4.586243493800235E-2</v>
      </c>
      <c r="Q49" s="113">
        <f>IFERROR(peer_prices_monthly!Q32/peer_prices_monthly!Q31-1,"")</f>
        <v>0.12295958502997451</v>
      </c>
      <c r="R49" s="113">
        <f>IFERROR(peer_prices_monthly!R32/peer_prices_monthly!R31-1,"")</f>
        <v>-0.14268646575293564</v>
      </c>
      <c r="S49" s="113">
        <f>IFERROR(peer_prices_monthly!S32/peer_prices_monthly!S31-1,"")</f>
        <v>-0.19714963272890762</v>
      </c>
      <c r="T49" s="113">
        <f>IFERROR(peer_prices_monthly!T32/peer_prices_monthly!T31-1,"")</f>
        <v>0.10221494147254284</v>
      </c>
      <c r="U49" s="113">
        <f>IFERROR(peer_prices_monthly!U32/peer_prices_monthly!U31-1,"")</f>
        <v>5.7280943832379805E-2</v>
      </c>
      <c r="V49" s="113">
        <f>IFERROR(peer_prices_monthly!V32/peer_prices_monthly!V31-1,"")</f>
        <v>4.8044446723676248E-3</v>
      </c>
      <c r="W49" s="113">
        <f>IFERROR(peer_prices_monthly!W32/peer_prices_monthly!W31-1,"")</f>
        <v>8.3384034696795117E-2</v>
      </c>
      <c r="X49" s="113">
        <f>IFERROR(peer_prices_monthly!X32/peer_prices_monthly!X31-1,"")</f>
        <v>0.24241762006843204</v>
      </c>
      <c r="Y49" s="113">
        <f>IFERROR(peer_prices_monthly!Y32/peer_prices_monthly!Y31-1,"")</f>
        <v>6.3575932689113213E-2</v>
      </c>
      <c r="Z49" s="113">
        <f>IFERROR(peer_prices_monthly!Z32/peer_prices_monthly!Z31-1,"")</f>
        <v>1.1609079226440278E-2</v>
      </c>
      <c r="AA49" s="113">
        <f>IFERROR(peer_prices_monthly!AA32/peer_prices_monthly!AA31-1,"")</f>
        <v>2.6826994142046034E-2</v>
      </c>
      <c r="AB49" s="113" t="str">
        <f>IFERROR(peer_prices_monthly!AB32/peer_prices_monthly!AB31-1,"")</f>
        <v/>
      </c>
      <c r="AC49" s="113">
        <f>IFERROR(peer_prices_monthly!AC32/peer_prices_monthly!AC31-1,"")</f>
        <v>-0.34739978614279454</v>
      </c>
      <c r="AD49" s="113">
        <f>IFERROR(peer_prices_monthly!AD32/peer_prices_monthly!AD31-1,"")</f>
        <v>0.11973616953342114</v>
      </c>
      <c r="AE49" s="113">
        <f>IFERROR(peer_prices_monthly!AE32/peer_prices_monthly!AE31-1,"")</f>
        <v>2.7856201879847609E-2</v>
      </c>
      <c r="AF49" s="113">
        <f>IFERROR(peer_prices_monthly!AF32/peer_prices_monthly!AF31-1,"")</f>
        <v>-6.1429411878692219E-2</v>
      </c>
      <c r="AG49" s="113">
        <f>IFERROR(peer_prices_monthly!AG32/peer_prices_monthly!AG31-1,"")</f>
        <v>3.2315974987452201E-2</v>
      </c>
      <c r="AH49" s="113">
        <f>IFERROR(peer_prices_monthly!AH32/peer_prices_monthly!AH31-1,"")</f>
        <v>-5.8319120523297685E-2</v>
      </c>
      <c r="AI49" s="113">
        <f>IFERROR(peer_prices_monthly!AI32/peer_prices_monthly!AI31-1,"")</f>
        <v>-2.3451594671086706E-2</v>
      </c>
      <c r="AJ49" s="113">
        <f>IFERROR(peer_prices_monthly!AJ32/peer_prices_monthly!AJ31-1,"")</f>
        <v>-0.24625725810339172</v>
      </c>
      <c r="AK49" s="113">
        <f>IFERROR(peer_prices_monthly!AK32/peer_prices_monthly!AK31-1,"")</f>
        <v>8.6153664490910886E-2</v>
      </c>
      <c r="AL49" s="113">
        <f>IFERROR(peer_prices_monthly!AL32/peer_prices_monthly!AL31-1,"")</f>
        <v>-4.90550142330195E-2</v>
      </c>
      <c r="AM49" s="113">
        <f>IFERROR(peer_prices_monthly!AM32/peer_prices_monthly!AM31-1,"")</f>
        <v>4.8207937412673374E-2</v>
      </c>
      <c r="AN49" s="113">
        <f>IFERROR(peer_prices_monthly!AN32/peer_prices_monthly!AN31-1,"")</f>
        <v>1.5895707598991615E-2</v>
      </c>
    </row>
    <row r="50" spans="1:40" x14ac:dyDescent="0.25">
      <c r="A50" s="126">
        <f>peer_prices_monthly!A33</f>
        <v>45351</v>
      </c>
      <c r="B50" s="113">
        <f>IFERROR(peer_prices_monthly!B33/peer_prices_monthly!B32-1,"")</f>
        <v>-1.8543168393589826E-2</v>
      </c>
      <c r="C50" s="113">
        <f>IFERROR(peer_prices_monthly!C33/peer_prices_monthly!C32-1,"")</f>
        <v>-9.3075200351561249E-2</v>
      </c>
      <c r="D50" s="113">
        <f>IFERROR(peer_prices_monthly!D33/peer_prices_monthly!D32-1,"")</f>
        <v>0.14813045486459542</v>
      </c>
      <c r="E50" s="113">
        <f>IFERROR(peer_prices_monthly!E33/peer_prices_monthly!E32-1,"")</f>
        <v>0.13891751277407449</v>
      </c>
      <c r="F50" s="113">
        <f>IFERROR(peer_prices_monthly!F33/peer_prices_monthly!F32-1,"")</f>
        <v>0.99575487392767981</v>
      </c>
      <c r="G50" s="113">
        <f>IFERROR(peer_prices_monthly!G33/peer_prices_monthly!G32-1,"")</f>
        <v>0.10211023279679732</v>
      </c>
      <c r="H50" s="113">
        <f>IFERROR(peer_prices_monthly!H33/peer_prices_monthly!H32-1,"")</f>
        <v>2.5772491946477238E-2</v>
      </c>
      <c r="I50" s="113">
        <f>IFERROR(peer_prices_monthly!I33/peer_prices_monthly!I32-1,"")</f>
        <v>7.2103884055902512E-2</v>
      </c>
      <c r="J50" s="113">
        <f>IFERROR(peer_prices_monthly!J33/peer_prices_monthly!J32-1,"")</f>
        <v>9.8651707135185784E-2</v>
      </c>
      <c r="K50" s="113">
        <f>IFERROR(peer_prices_monthly!K33/peer_prices_monthly!K32-1,"")</f>
        <v>0.14213307278503828</v>
      </c>
      <c r="L50" s="113">
        <f>IFERROR(peer_prices_monthly!L33/peer_prices_monthly!L32-1,"")</f>
        <v>0.15120540817689521</v>
      </c>
      <c r="M50" s="113">
        <f>IFERROR(peer_prices_monthly!M33/peer_prices_monthly!M32-1,"")</f>
        <v>9.0073850012204693E-2</v>
      </c>
      <c r="N50" s="113">
        <f>IFERROR(peer_prices_monthly!N33/peer_prices_monthly!N32-1,"")</f>
        <v>5.9314294448441496E-2</v>
      </c>
      <c r="O50" s="113">
        <f>IFERROR(peer_prices_monthly!O33/peer_prices_monthly!O32-1,"")</f>
        <v>-1.1705774367416488E-2</v>
      </c>
      <c r="P50" s="113">
        <f>IFERROR(peer_prices_monthly!P33/peer_prices_monthly!P32-1,"")</f>
        <v>-1.3235881473144695E-2</v>
      </c>
      <c r="Q50" s="113">
        <f>IFERROR(peer_prices_monthly!Q33/peer_prices_monthly!Q32-1,"")</f>
        <v>1.6644259779606374E-2</v>
      </c>
      <c r="R50" s="113">
        <f>IFERROR(peer_prices_monthly!R33/peer_prices_monthly!R32-1,"")</f>
        <v>2.2326083577801636E-3</v>
      </c>
      <c r="S50" s="113">
        <f>IFERROR(peer_prices_monthly!S33/peer_prices_monthly!S32-1,"")</f>
        <v>-2.3668617015333404E-2</v>
      </c>
      <c r="T50" s="113">
        <f>IFERROR(peer_prices_monthly!T33/peer_prices_monthly!T32-1,"")</f>
        <v>0.2576255910187637</v>
      </c>
      <c r="U50" s="113">
        <f>IFERROR(peer_prices_monthly!U33/peer_prices_monthly!U32-1,"")</f>
        <v>4.2318385733386421E-2</v>
      </c>
      <c r="V50" s="113">
        <f>IFERROR(peer_prices_monthly!V33/peer_prices_monthly!V32-1,"")</f>
        <v>5.66763282181586E-2</v>
      </c>
      <c r="W50" s="113">
        <f>IFERROR(peer_prices_monthly!W33/peer_prices_monthly!W32-1,"")</f>
        <v>7.7606710597650785E-3</v>
      </c>
      <c r="X50" s="113">
        <f>IFERROR(peer_prices_monthly!X33/peer_prices_monthly!X32-1,"")</f>
        <v>0.28580929715913661</v>
      </c>
      <c r="Y50" s="113">
        <f>IFERROR(peer_prices_monthly!Y33/peer_prices_monthly!Y32-1,"")</f>
        <v>-1.7907852930598711E-4</v>
      </c>
      <c r="Z50" s="113">
        <f>IFERROR(peer_prices_monthly!Z33/peer_prices_monthly!Z32-1,"")</f>
        <v>-2.0549784699185669E-2</v>
      </c>
      <c r="AA50" s="113">
        <f>IFERROR(peer_prices_monthly!AA33/peer_prices_monthly!AA32-1,"")</f>
        <v>6.7884018227487797E-2</v>
      </c>
      <c r="AB50" s="113" t="str">
        <f>IFERROR(peer_prices_monthly!AB33/peer_prices_monthly!AB32-1,"")</f>
        <v/>
      </c>
      <c r="AC50" s="113">
        <f>IFERROR(peer_prices_monthly!AC33/peer_prices_monthly!AC32-1,"")</f>
        <v>-0.26061401799049555</v>
      </c>
      <c r="AD50" s="113">
        <f>IFERROR(peer_prices_monthly!AD33/peer_prices_monthly!AD32-1,"")</f>
        <v>8.5326278879392259E-2</v>
      </c>
      <c r="AE50" s="113">
        <f>IFERROR(peer_prices_monthly!AE33/peer_prices_monthly!AE32-1,"")</f>
        <v>-4.6209528691697477E-2</v>
      </c>
      <c r="AF50" s="113">
        <f>IFERROR(peer_prices_monthly!AF33/peer_prices_monthly!AF32-1,"")</f>
        <v>-0.30648205036732667</v>
      </c>
      <c r="AG50" s="113">
        <f>IFERROR(peer_prices_monthly!AG33/peer_prices_monthly!AG32-1,"")</f>
        <v>-0.12214829978783981</v>
      </c>
      <c r="AH50" s="113">
        <f>IFERROR(peer_prices_monthly!AH33/peer_prices_monthly!AH32-1,"")</f>
        <v>0.19581057303290561</v>
      </c>
      <c r="AI50" s="113">
        <f>IFERROR(peer_prices_monthly!AI33/peer_prices_monthly!AI32-1,"")</f>
        <v>0.10765489252263527</v>
      </c>
      <c r="AJ50" s="113">
        <f>IFERROR(peer_prices_monthly!AJ33/peer_prices_monthly!AJ32-1,"")</f>
        <v>7.7900646696002385E-2</v>
      </c>
      <c r="AK50" s="113">
        <f>IFERROR(peer_prices_monthly!AK33/peer_prices_monthly!AK32-1,"")</f>
        <v>0.13907601127730462</v>
      </c>
      <c r="AL50" s="113">
        <f>IFERROR(peer_prices_monthly!AL33/peer_prices_monthly!AL32-1,"")</f>
        <v>0.24842905047764829</v>
      </c>
      <c r="AM50" s="113">
        <f>IFERROR(peer_prices_monthly!AM33/peer_prices_monthly!AM32-1,"")</f>
        <v>6.4024523433868996E-2</v>
      </c>
      <c r="AN50" s="113">
        <f>IFERROR(peer_prices_monthly!AN33/peer_prices_monthly!AN32-1,"")</f>
        <v>5.1720640623723169E-2</v>
      </c>
    </row>
    <row r="51" spans="1:40" x14ac:dyDescent="0.25">
      <c r="A51" s="126">
        <f>peer_prices_monthly!A34</f>
        <v>45382</v>
      </c>
      <c r="B51" s="113">
        <f>IFERROR(peer_prices_monthly!B34/peer_prices_monthly!B33-1,"")</f>
        <v>-5.1286353939672402E-2</v>
      </c>
      <c r="C51" s="113">
        <f>IFERROR(peer_prices_monthly!C34/peer_prices_monthly!C33-1,"")</f>
        <v>-9.9378918187098653E-2</v>
      </c>
      <c r="D51" s="113">
        <f>IFERROR(peer_prices_monthly!D34/peer_prices_monthly!D33-1,"")</f>
        <v>-6.2535674245417838E-2</v>
      </c>
      <c r="E51" s="113">
        <f>IFERROR(peer_prices_monthly!E34/peer_prices_monthly!E33-1,"")</f>
        <v>2.0479805886374214E-2</v>
      </c>
      <c r="F51" s="113">
        <f>IFERROR(peer_prices_monthly!F34/peer_prices_monthly!F33-1,"")</f>
        <v>-0.11379747721486411</v>
      </c>
      <c r="G51" s="113">
        <f>IFERROR(peer_prices_monthly!G34/peer_prices_monthly!G33-1,"")</f>
        <v>2.3502419608465885E-2</v>
      </c>
      <c r="H51" s="113">
        <f>IFERROR(peer_prices_monthly!H34/peer_prices_monthly!H33-1,"")</f>
        <v>-2.2558400263669065E-2</v>
      </c>
      <c r="I51" s="113">
        <f>IFERROR(peer_prices_monthly!I34/peer_prices_monthly!I33-1,"")</f>
        <v>-1.5136658501471945E-2</v>
      </c>
      <c r="J51" s="113">
        <f>IFERROR(peer_prices_monthly!J34/peer_prices_monthly!J33-1,"")</f>
        <v>-2.346551634007954E-2</v>
      </c>
      <c r="K51" s="113">
        <f>IFERROR(peer_prices_monthly!K34/peer_prices_monthly!K33-1,"")</f>
        <v>0.20547218663594191</v>
      </c>
      <c r="L51" s="113">
        <f>IFERROR(peer_prices_monthly!L34/peer_prices_monthly!L33-1,"")</f>
        <v>0.12229541625025053</v>
      </c>
      <c r="M51" s="113">
        <f>IFERROR(peer_prices_monthly!M34/peer_prices_monthly!M33-1,"")</f>
        <v>6.7524142861884684E-2</v>
      </c>
      <c r="N51" s="113">
        <f>IFERROR(peer_prices_monthly!N34/peer_prices_monthly!N33-1,"")</f>
        <v>0.106637317688413</v>
      </c>
      <c r="O51" s="113">
        <f>IFERROR(peer_prices_monthly!O34/peer_prices_monthly!O33-1,"")</f>
        <v>9.0062105586167229E-2</v>
      </c>
      <c r="P51" s="113">
        <f>IFERROR(peer_prices_monthly!P34/peer_prices_monthly!P33-1,"")</f>
        <v>7.6340149544051661E-2</v>
      </c>
      <c r="Q51" s="113">
        <f>IFERROR(peer_prices_monthly!Q34/peer_prices_monthly!Q33-1,"")</f>
        <v>3.2048929695902784E-2</v>
      </c>
      <c r="R51" s="113">
        <f>IFERROR(peer_prices_monthly!R34/peer_prices_monthly!R33-1,"")</f>
        <v>2.6016233083673512E-2</v>
      </c>
      <c r="S51" s="113">
        <f>IFERROR(peer_prices_monthly!S34/peer_prices_monthly!S33-1,"")</f>
        <v>-0.13636363636363635</v>
      </c>
      <c r="T51" s="113">
        <f>IFERROR(peer_prices_monthly!T34/peer_prices_monthly!T33-1,"")</f>
        <v>-9.2832927083918992E-3</v>
      </c>
      <c r="U51" s="113">
        <f>IFERROR(peer_prices_monthly!U34/peer_prices_monthly!U33-1,"")</f>
        <v>1.7116438824597902E-2</v>
      </c>
      <c r="V51" s="113">
        <f>IFERROR(peer_prices_monthly!V34/peer_prices_monthly!V33-1,"")</f>
        <v>0.30232639077229417</v>
      </c>
      <c r="W51" s="113">
        <f>IFERROR(peer_prices_monthly!W34/peer_prices_monthly!W33-1,"")</f>
        <v>-1.1590281725971652E-2</v>
      </c>
      <c r="X51" s="113">
        <f>IFERROR(peer_prices_monthly!X34/peer_prices_monthly!X33-1,"")</f>
        <v>0.14218138825277027</v>
      </c>
      <c r="Y51" s="113">
        <f>IFERROR(peer_prices_monthly!Y34/peer_prices_monthly!Y33-1,"")</f>
        <v>0.12473157115189815</v>
      </c>
      <c r="Z51" s="113">
        <f>IFERROR(peer_prices_monthly!Z34/peer_prices_monthly!Z33-1,"")</f>
        <v>-5.5313421029791532E-2</v>
      </c>
      <c r="AA51" s="113">
        <f>IFERROR(peer_prices_monthly!AA34/peer_prices_monthly!AA33-1,"")</f>
        <v>7.2945123135608858E-2</v>
      </c>
      <c r="AB51" s="113" t="str">
        <f>IFERROR(peer_prices_monthly!AB34/peer_prices_monthly!AB33-1,"")</f>
        <v/>
      </c>
      <c r="AC51" s="113">
        <f>IFERROR(peer_prices_monthly!AC34/peer_prices_monthly!AC33-1,"")</f>
        <v>-3.2685503139037619E-2</v>
      </c>
      <c r="AD51" s="113">
        <f>IFERROR(peer_prices_monthly!AD34/peer_prices_monthly!AD33-1,"")</f>
        <v>3.8111514485732245E-2</v>
      </c>
      <c r="AE51" s="113">
        <f>IFERROR(peer_prices_monthly!AE34/peer_prices_monthly!AE33-1,"")</f>
        <v>1.0475257216081335E-2</v>
      </c>
      <c r="AF51" s="113">
        <f>IFERROR(peer_prices_monthly!AF34/peer_prices_monthly!AF33-1,"")</f>
        <v>4.174220193871081E-2</v>
      </c>
      <c r="AG51" s="113">
        <f>IFERROR(peer_prices_monthly!AG34/peer_prices_monthly!AG33-1,"")</f>
        <v>2.502088439889194E-3</v>
      </c>
      <c r="AH51" s="113">
        <f>IFERROR(peer_prices_monthly!AH34/peer_prices_monthly!AH33-1,"")</f>
        <v>7.7684679003471757E-2</v>
      </c>
      <c r="AI51" s="113">
        <f>IFERROR(peer_prices_monthly!AI34/peer_prices_monthly!AI33-1,"")</f>
        <v>0.15884138740415077</v>
      </c>
      <c r="AJ51" s="113">
        <f>IFERROR(peer_prices_monthly!AJ34/peer_prices_monthly!AJ33-1,"")</f>
        <v>-0.12923524353897475</v>
      </c>
      <c r="AK51" s="113">
        <f>IFERROR(peer_prices_monthly!AK34/peer_prices_monthly!AK33-1,"")</f>
        <v>6.1649720653895734E-2</v>
      </c>
      <c r="AL51" s="113">
        <f>IFERROR(peer_prices_monthly!AL34/peer_prices_monthly!AL33-1,"")</f>
        <v>2.3293899761919645E-2</v>
      </c>
      <c r="AM51" s="113">
        <f>IFERROR(peer_prices_monthly!AM34/peer_prices_monthly!AM33-1,"")</f>
        <v>3.0112923127928015E-2</v>
      </c>
      <c r="AN51" s="113">
        <f>IFERROR(peer_prices_monthly!AN34/peer_prices_monthly!AN33-1,"")</f>
        <v>3.1018779915342964E-2</v>
      </c>
    </row>
    <row r="52" spans="1:40" x14ac:dyDescent="0.25">
      <c r="A52" s="126">
        <f>peer_prices_monthly!A35</f>
        <v>45412</v>
      </c>
      <c r="B52" s="113">
        <f>IFERROR(peer_prices_monthly!B35/peer_prices_monthly!B34-1,"")</f>
        <v>-6.7061477604786202E-3</v>
      </c>
      <c r="C52" s="113">
        <f>IFERROR(peer_prices_monthly!C35/peer_prices_monthly!C34-1,"")</f>
        <v>-8.2778476072156715E-2</v>
      </c>
      <c r="D52" s="113">
        <f>IFERROR(peer_prices_monthly!D35/peer_prices_monthly!D34-1,"")</f>
        <v>-0.12249986114155753</v>
      </c>
      <c r="E52" s="113">
        <f>IFERROR(peer_prices_monthly!E35/peer_prices_monthly!E34-1,"")</f>
        <v>-2.9825949313549094E-2</v>
      </c>
      <c r="F52" s="113">
        <f>IFERROR(peer_prices_monthly!F35/peer_prices_monthly!F34-1,"")</f>
        <v>-0.19025521390291911</v>
      </c>
      <c r="G52" s="113">
        <f>IFERROR(peer_prices_monthly!G35/peer_prices_monthly!G34-1,"")</f>
        <v>-1.8967858930068027E-2</v>
      </c>
      <c r="H52" s="113">
        <f>IFERROR(peer_prices_monthly!H35/peer_prices_monthly!H34-1,"")</f>
        <v>3.4411248576465825E-2</v>
      </c>
      <c r="I52" s="113">
        <f>IFERROR(peer_prices_monthly!I35/peer_prices_monthly!I34-1,"")</f>
        <v>-1.1697076322286781E-2</v>
      </c>
      <c r="J52" s="113">
        <f>IFERROR(peer_prices_monthly!J35/peer_prices_monthly!J34-1,"")</f>
        <v>-0.10704545990328707</v>
      </c>
      <c r="K52" s="113">
        <f>IFERROR(peer_prices_monthly!K35/peer_prices_monthly!K34-1,"")</f>
        <v>9.6527294561464583E-2</v>
      </c>
      <c r="L52" s="113">
        <f>IFERROR(peer_prices_monthly!L35/peer_prices_monthly!L34-1,"")</f>
        <v>-2.3493655435869565E-2</v>
      </c>
      <c r="M52" s="113">
        <f>IFERROR(peer_prices_monthly!M35/peer_prices_monthly!M34-1,"")</f>
        <v>-8.5090375816251562E-2</v>
      </c>
      <c r="N52" s="113">
        <f>IFERROR(peer_prices_monthly!N35/peer_prices_monthly!N34-1,"")</f>
        <v>-1.8081594403130952E-2</v>
      </c>
      <c r="O52" s="113">
        <f>IFERROR(peer_prices_monthly!O35/peer_prices_monthly!O34-1,"")</f>
        <v>7.8513232462408933E-2</v>
      </c>
      <c r="P52" s="113">
        <f>IFERROR(peer_prices_monthly!P35/peer_prices_monthly!P34-1,"")</f>
        <v>-7.0483010560622672E-2</v>
      </c>
      <c r="Q52" s="113">
        <f>IFERROR(peer_prices_monthly!Q35/peer_prices_monthly!Q34-1,"")</f>
        <v>-0.12966064386113052</v>
      </c>
      <c r="R52" s="113">
        <f>IFERROR(peer_prices_monthly!R35/peer_prices_monthly!R34-1,"")</f>
        <v>-0.31016523950801467</v>
      </c>
      <c r="S52" s="113">
        <f>IFERROR(peer_prices_monthly!S35/peer_prices_monthly!S34-1,"")</f>
        <v>-0.10526315789473684</v>
      </c>
      <c r="T52" s="113">
        <f>IFERROR(peer_prices_monthly!T35/peer_prices_monthly!T34-1,"")</f>
        <v>-0.11411089880688119</v>
      </c>
      <c r="U52" s="113">
        <f>IFERROR(peer_prices_monthly!U35/peer_prices_monthly!U34-1,"")</f>
        <v>-7.4610457951188258E-2</v>
      </c>
      <c r="V52" s="113">
        <f>IFERROR(peer_prices_monthly!V35/peer_prices_monthly!V34-1,"")</f>
        <v>-4.1818498475370336E-2</v>
      </c>
      <c r="W52" s="113">
        <f>IFERROR(peer_prices_monthly!W35/peer_prices_monthly!W34-1,"")</f>
        <v>-9.0595460049801235E-2</v>
      </c>
      <c r="X52" s="113">
        <f>IFERROR(peer_prices_monthly!X35/peer_prices_monthly!X34-1,"")</f>
        <v>-4.3760286899344303E-2</v>
      </c>
      <c r="Y52" s="113">
        <f>IFERROR(peer_prices_monthly!Y35/peer_prices_monthly!Y34-1,"")</f>
        <v>-9.1496949506326697E-2</v>
      </c>
      <c r="Z52" s="113">
        <f>IFERROR(peer_prices_monthly!Z35/peer_prices_monthly!Z34-1,"")</f>
        <v>-3.5188851180806724E-2</v>
      </c>
      <c r="AA52" s="113">
        <f>IFERROR(peer_prices_monthly!AA35/peer_prices_monthly!AA34-1,"")</f>
        <v>-2.0377831883453545E-2</v>
      </c>
      <c r="AB52" s="113">
        <f>IFERROR(peer_prices_monthly!AB35/peer_prices_monthly!AB34-1,"")</f>
        <v>-9.8945683258537365E-2</v>
      </c>
      <c r="AC52" s="113">
        <f>IFERROR(peer_prices_monthly!AC35/peer_prices_monthly!AC34-1,"")</f>
        <v>-0.1872146325518923</v>
      </c>
      <c r="AD52" s="113">
        <f>IFERROR(peer_prices_monthly!AD35/peer_prices_monthly!AD34-1,"")</f>
        <v>-7.0860824175502435E-2</v>
      </c>
      <c r="AE52" s="113">
        <f>IFERROR(peer_prices_monthly!AE35/peer_prices_monthly!AE34-1,"")</f>
        <v>-9.0320090528497432E-2</v>
      </c>
      <c r="AF52" s="113">
        <f>IFERROR(peer_prices_monthly!AF35/peer_prices_monthly!AF34-1,"")</f>
        <v>0.31097567864563613</v>
      </c>
      <c r="AG52" s="113">
        <f>IFERROR(peer_prices_monthly!AG35/peer_prices_monthly!AG34-1,"")</f>
        <v>-3.6972376823474651E-2</v>
      </c>
      <c r="AH52" s="113">
        <f>IFERROR(peer_prices_monthly!AH35/peer_prices_monthly!AH34-1,"")</f>
        <v>-0.15803977530977975</v>
      </c>
      <c r="AI52" s="113">
        <f>IFERROR(peer_prices_monthly!AI35/peer_prices_monthly!AI34-1,"")</f>
        <v>-9.158638153227483E-2</v>
      </c>
      <c r="AJ52" s="113">
        <f>IFERROR(peer_prices_monthly!AJ35/peer_prices_monthly!AJ34-1,"")</f>
        <v>4.2607689739043275E-2</v>
      </c>
      <c r="AK52" s="113">
        <f>IFERROR(peer_prices_monthly!AK35/peer_prices_monthly!AK34-1,"")</f>
        <v>9.4818544980848074E-3</v>
      </c>
      <c r="AL52" s="113">
        <f>IFERROR(peer_prices_monthly!AL35/peer_prices_monthly!AL34-1,"")</f>
        <v>-5.227636456812057E-2</v>
      </c>
      <c r="AM52" s="113">
        <f>IFERROR(peer_prices_monthly!AM35/peer_prices_monthly!AM34-1,"")</f>
        <v>-1.3627987692296561E-2</v>
      </c>
      <c r="AN52" s="113">
        <f>IFERROR(peer_prices_monthly!AN35/peer_prices_monthly!AN34-1,"")</f>
        <v>-4.161507173789869E-2</v>
      </c>
    </row>
    <row r="53" spans="1:40" x14ac:dyDescent="0.25">
      <c r="A53" s="126">
        <f>peer_prices_monthly!A36</f>
        <v>45443</v>
      </c>
      <c r="B53" s="113">
        <f>IFERROR(peer_prices_monthly!B36/peer_prices_monthly!B35-1,"")</f>
        <v>0.13022233027813979</v>
      </c>
      <c r="C53" s="113">
        <f>IFERROR(peer_prices_monthly!C36/peer_prices_monthly!C35-1,"")</f>
        <v>-3.9042364001666052E-2</v>
      </c>
      <c r="D53" s="113">
        <f>IFERROR(peer_prices_monthly!D36/peer_prices_monthly!D35-1,"")</f>
        <v>5.3794600018960193E-2</v>
      </c>
      <c r="E53" s="113">
        <f>IFERROR(peer_prices_monthly!E36/peer_prices_monthly!E35-1,"")</f>
        <v>8.2285853794643593E-3</v>
      </c>
      <c r="F53" s="113">
        <f>IFERROR(peer_prices_monthly!F36/peer_prices_monthly!F35-1,"")</f>
        <v>0.19079140137603501</v>
      </c>
      <c r="G53" s="113">
        <f>IFERROR(peer_prices_monthly!G36/peer_prices_monthly!G35-1,"")</f>
        <v>2.1749417688139872E-2</v>
      </c>
      <c r="H53" s="113">
        <f>IFERROR(peer_prices_monthly!H36/peer_prices_monthly!H35-1,"")</f>
        <v>4.6626590547262925E-2</v>
      </c>
      <c r="I53" s="113">
        <f>IFERROR(peer_prices_monthly!I36/peer_prices_monthly!I35-1,"")</f>
        <v>0.12033473986489063</v>
      </c>
      <c r="J53" s="113">
        <f>IFERROR(peer_prices_monthly!J36/peer_prices_monthly!J35-1,"")</f>
        <v>-0.12828138848743709</v>
      </c>
      <c r="K53" s="113">
        <f>IFERROR(peer_prices_monthly!K36/peer_prices_monthly!K35-1,"")</f>
        <v>0.1197048426322036</v>
      </c>
      <c r="L53" s="113">
        <f>IFERROR(peer_prices_monthly!L36/peer_prices_monthly!L35-1,"")</f>
        <v>5.7349666265764432E-2</v>
      </c>
      <c r="M53" s="113">
        <f>IFERROR(peer_prices_monthly!M36/peer_prices_monthly!M35-1,"")</f>
        <v>1.0479694698052544E-2</v>
      </c>
      <c r="N53" s="113">
        <f>IFERROR(peer_prices_monthly!N36/peer_prices_monthly!N35-1,"")</f>
        <v>1.0330270137891118E-2</v>
      </c>
      <c r="O53" s="113">
        <f>IFERROR(peer_prices_monthly!O36/peer_prices_monthly!O35-1,"")</f>
        <v>5.9712297503344614E-2</v>
      </c>
      <c r="P53" s="113">
        <f>IFERROR(peer_prices_monthly!P36/peer_prices_monthly!P35-1,"")</f>
        <v>0.29939484679348305</v>
      </c>
      <c r="Q53" s="113">
        <f>IFERROR(peer_prices_monthly!Q36/peer_prices_monthly!Q35-1,"")</f>
        <v>1.3876577057434503E-2</v>
      </c>
      <c r="R53" s="113">
        <f>IFERROR(peer_prices_monthly!R36/peer_prices_monthly!R35-1,"")</f>
        <v>1.6583726214154382E-2</v>
      </c>
      <c r="S53" s="113">
        <f>IFERROR(peer_prices_monthly!S36/peer_prices_monthly!S35-1,"")</f>
        <v>0.11372547523648135</v>
      </c>
      <c r="T53" s="113">
        <f>IFERROR(peer_prices_monthly!T36/peer_prices_monthly!T35-1,"")</f>
        <v>8.5221961330667062E-2</v>
      </c>
      <c r="U53" s="113">
        <f>IFERROR(peer_prices_monthly!U36/peer_prices_monthly!U35-1,"")</f>
        <v>6.8191280661079379E-2</v>
      </c>
      <c r="V53" s="113">
        <f>IFERROR(peer_prices_monthly!V36/peer_prices_monthly!V35-1,"")</f>
        <v>0.10658628483664812</v>
      </c>
      <c r="W53" s="113">
        <f>IFERROR(peer_prices_monthly!W36/peer_prices_monthly!W35-1,"")</f>
        <v>-5.250024346321891E-2</v>
      </c>
      <c r="X53" s="113">
        <f>IFERROR(peer_prices_monthly!X36/peer_prices_monthly!X35-1,"")</f>
        <v>0.26887105087437169</v>
      </c>
      <c r="Y53" s="113">
        <f>IFERROR(peer_prices_monthly!Y36/peer_prices_monthly!Y35-1,"")</f>
        <v>3.0241768901655419E-2</v>
      </c>
      <c r="Z53" s="113">
        <f>IFERROR(peer_prices_monthly!Z36/peer_prices_monthly!Z35-1,"")</f>
        <v>0.24035876628245623</v>
      </c>
      <c r="AA53" s="113">
        <f>IFERROR(peer_prices_monthly!AA36/peer_prices_monthly!AA35-1,"")</f>
        <v>0.23537056906289866</v>
      </c>
      <c r="AB53" s="113">
        <f>IFERROR(peer_prices_monthly!AB36/peer_prices_monthly!AB35-1,"")</f>
        <v>0.22052212769124369</v>
      </c>
      <c r="AC53" s="113">
        <f>IFERROR(peer_prices_monthly!AC36/peer_prices_monthly!AC35-1,"")</f>
        <v>0.22696635329713089</v>
      </c>
      <c r="AD53" s="113">
        <f>IFERROR(peer_prices_monthly!AD36/peer_prices_monthly!AD35-1,"")</f>
        <v>1.9421883577758647E-2</v>
      </c>
      <c r="AE53" s="113">
        <f>IFERROR(peer_prices_monthly!AE36/peer_prices_monthly!AE35-1,"")</f>
        <v>-0.15740734904177189</v>
      </c>
      <c r="AF53" s="113">
        <f>IFERROR(peer_prices_monthly!AF36/peer_prices_monthly!AF35-1,"")</f>
        <v>-1.9933377136871488E-3</v>
      </c>
      <c r="AG53" s="113">
        <f>IFERROR(peer_prices_monthly!AG36/peer_prices_monthly!AG35-1,"")</f>
        <v>-2.7854078380534775E-3</v>
      </c>
      <c r="AH53" s="113">
        <f>IFERROR(peer_prices_monthly!AH36/peer_prices_monthly!AH35-1,"")</f>
        <v>-1.3452178125713532E-3</v>
      </c>
      <c r="AI53" s="113">
        <f>IFERROR(peer_prices_monthly!AI36/peer_prices_monthly!AI35-1,"")</f>
        <v>-2.3264169076328778E-2</v>
      </c>
      <c r="AJ53" s="113">
        <f>IFERROR(peer_prices_monthly!AJ36/peer_prices_monthly!AJ35-1,"")</f>
        <v>-2.8371873542535009E-2</v>
      </c>
      <c r="AK53" s="113">
        <f>IFERROR(peer_prices_monthly!AK36/peer_prices_monthly!AK35-1,"")</f>
        <v>9.9752259258154119E-2</v>
      </c>
      <c r="AL53" s="113">
        <f>IFERROR(peer_prices_monthly!AL36/peer_prices_monthly!AL35-1,"")</f>
        <v>0.11985516581847011</v>
      </c>
      <c r="AM53" s="113">
        <f>IFERROR(peer_prices_monthly!AM36/peer_prices_monthly!AM35-1,"")</f>
        <v>0.1118383104142906</v>
      </c>
      <c r="AN53" s="113">
        <f>IFERROR(peer_prices_monthly!AN36/peer_prices_monthly!AN35-1,"")</f>
        <v>4.80211901511991E-2</v>
      </c>
    </row>
    <row r="54" spans="1:40" x14ac:dyDescent="0.25">
      <c r="A54" s="126">
        <f>peer_prices_monthly!A37</f>
        <v>45473</v>
      </c>
      <c r="B54" s="113">
        <f>IFERROR(peer_prices_monthly!B37/peer_prices_monthly!B36-1,"")</f>
        <v>9.555247923040211E-2</v>
      </c>
      <c r="C54" s="113">
        <f>IFERROR(peer_prices_monthly!C37/peer_prices_monthly!C36-1,"")</f>
        <v>0.24907807768080681</v>
      </c>
      <c r="D54" s="113">
        <f>IFERROR(peer_prices_monthly!D37/peer_prices_monthly!D36-1,"")</f>
        <v>-2.8100583308145799E-2</v>
      </c>
      <c r="E54" s="113">
        <f>IFERROR(peer_prices_monthly!E37/peer_prices_monthly!E36-1,"")</f>
        <v>9.5273165529320192E-2</v>
      </c>
      <c r="F54" s="113">
        <f>IFERROR(peer_prices_monthly!F37/peer_prices_monthly!F36-1,"")</f>
        <v>0.35761699033038163</v>
      </c>
      <c r="G54" s="113">
        <f>IFERROR(peer_prices_monthly!G37/peer_prices_monthly!G36-1,"")</f>
        <v>0.21232006860890307</v>
      </c>
      <c r="H54" s="113">
        <f>IFERROR(peer_prices_monthly!H37/peer_prices_monthly!H36-1,"")</f>
        <v>-6.0954634894178739E-2</v>
      </c>
      <c r="I54" s="113">
        <f>IFERROR(peer_prices_monthly!I37/peer_prices_monthly!I36-1,"")</f>
        <v>4.9512847110025016E-2</v>
      </c>
      <c r="J54" s="113">
        <f>IFERROR(peer_prices_monthly!J37/peer_prices_monthly!J36-1,"")</f>
        <v>9.6655822042360118E-2</v>
      </c>
      <c r="K54" s="113">
        <f>IFERROR(peer_prices_monthly!K37/peer_prices_monthly!K36-1,"")</f>
        <v>-1.182266689760747E-2</v>
      </c>
      <c r="L54" s="113">
        <f>IFERROR(peer_prices_monthly!L37/peer_prices_monthly!L36-1,"")</f>
        <v>-9.2217387849282684E-3</v>
      </c>
      <c r="M54" s="113">
        <f>IFERROR(peer_prices_monthly!M37/peer_prices_monthly!M36-1,"")</f>
        <v>3.3800474689527737E-2</v>
      </c>
      <c r="N54" s="113">
        <f>IFERROR(peer_prices_monthly!N37/peer_prices_monthly!N36-1,"")</f>
        <v>3.5398002995290279E-2</v>
      </c>
      <c r="O54" s="113">
        <f>IFERROR(peer_prices_monthly!O37/peer_prices_monthly!O36-1,"")</f>
        <v>5.7154121922653678E-2</v>
      </c>
      <c r="P54" s="113">
        <f>IFERROR(peer_prices_monthly!P37/peer_prices_monthly!P36-1,"")</f>
        <v>-3.3201367178716468E-2</v>
      </c>
      <c r="Q54" s="113">
        <f>IFERROR(peer_prices_monthly!Q37/peer_prices_monthly!Q36-1,"")</f>
        <v>3.6559843426496874E-2</v>
      </c>
      <c r="R54" s="113">
        <f>IFERROR(peer_prices_monthly!R37/peer_prices_monthly!R36-1,"")</f>
        <v>3.889728738131204E-3</v>
      </c>
      <c r="S54" s="113">
        <f>IFERROR(peer_prices_monthly!S37/peer_prices_monthly!S36-1,"")</f>
        <v>-8.0985889716697623E-2</v>
      </c>
      <c r="T54" s="113">
        <f>IFERROR(peer_prices_monthly!T37/peer_prices_monthly!T36-1,"")</f>
        <v>8.1165685584812852E-2</v>
      </c>
      <c r="U54" s="113">
        <f>IFERROR(peer_prices_monthly!U37/peer_prices_monthly!U36-1,"")</f>
        <v>7.6650542228535512E-2</v>
      </c>
      <c r="V54" s="113">
        <f>IFERROR(peer_prices_monthly!V37/peer_prices_monthly!V36-1,"")</f>
        <v>5.2239958813268927E-2</v>
      </c>
      <c r="W54" s="113">
        <f>IFERROR(peer_prices_monthly!W37/peer_prices_monthly!W36-1,"")</f>
        <v>0.19749438854572321</v>
      </c>
      <c r="X54" s="113">
        <f>IFERROR(peer_prices_monthly!X37/peer_prices_monthly!X36-1,"")</f>
        <v>0.12694311715196505</v>
      </c>
      <c r="Y54" s="113">
        <f>IFERROR(peer_prices_monthly!Y37/peer_prices_monthly!Y36-1,"")</f>
        <v>0.20488092790046619</v>
      </c>
      <c r="Z54" s="113">
        <f>IFERROR(peer_prices_monthly!Z37/peer_prices_monthly!Z36-1,"")</f>
        <v>6.2183608387184952E-2</v>
      </c>
      <c r="AA54" s="113">
        <f>IFERROR(peer_prices_monthly!AA37/peer_prices_monthly!AA36-1,"")</f>
        <v>-2.3866722601310508E-2</v>
      </c>
      <c r="AB54" s="113">
        <f>IFERROR(peer_prices_monthly!AB37/peer_prices_monthly!AB36-1,"")</f>
        <v>0.17791293164750543</v>
      </c>
      <c r="AC54" s="113">
        <f>IFERROR(peer_prices_monthly!AC37/peer_prices_monthly!AC36-1,"")</f>
        <v>0.22893772733822693</v>
      </c>
      <c r="AD54" s="113">
        <f>IFERROR(peer_prices_monthly!AD37/peer_prices_monthly!AD36-1,"")</f>
        <v>0.1056237903854873</v>
      </c>
      <c r="AE54" s="113">
        <f>IFERROR(peer_prices_monthly!AE37/peer_prices_monthly!AE36-1,"")</f>
        <v>0.1166526009785489</v>
      </c>
      <c r="AF54" s="113">
        <f>IFERROR(peer_prices_monthly!AF37/peer_prices_monthly!AF36-1,"")</f>
        <v>0.10585886179291282</v>
      </c>
      <c r="AG54" s="113">
        <f>IFERROR(peer_prices_monthly!AG37/peer_prices_monthly!AG36-1,"")</f>
        <v>3.1697777197628119E-2</v>
      </c>
      <c r="AH54" s="113">
        <f>IFERROR(peer_prices_monthly!AH37/peer_prices_monthly!AH36-1,"")</f>
        <v>-0.10866643577744117</v>
      </c>
      <c r="AI54" s="113">
        <f>IFERROR(peer_prices_monthly!AI37/peer_prices_monthly!AI36-1,"")</f>
        <v>-5.1997900964958377E-2</v>
      </c>
      <c r="AJ54" s="113">
        <f>IFERROR(peer_prices_monthly!AJ37/peer_prices_monthly!AJ36-1,"")</f>
        <v>0.11118599982126098</v>
      </c>
      <c r="AK54" s="113">
        <f>IFERROR(peer_prices_monthly!AK37/peer_prices_monthly!AK36-1,"")</f>
        <v>0.15438529343310714</v>
      </c>
      <c r="AL54" s="113">
        <f>IFERROR(peer_prices_monthly!AL37/peer_prices_monthly!AL36-1,"")</f>
        <v>5.2705318538327051E-2</v>
      </c>
      <c r="AM54" s="113">
        <f>IFERROR(peer_prices_monthly!AM37/peer_prices_monthly!AM36-1,"")</f>
        <v>2.9653324571501605E-2</v>
      </c>
      <c r="AN54" s="113">
        <f>IFERROR(peer_prices_monthly!AN37/peer_prices_monthly!AN36-1,"")</f>
        <v>3.4669801283083279E-2</v>
      </c>
    </row>
    <row r="55" spans="1:40" x14ac:dyDescent="0.25">
      <c r="A55" s="126">
        <f>peer_prices_monthly!A38</f>
        <v>45504</v>
      </c>
      <c r="B55" s="113">
        <f>IFERROR(peer_prices_monthly!B38/peer_prices_monthly!B37-1,"")</f>
        <v>5.4410821936317078E-2</v>
      </c>
      <c r="C55" s="113">
        <f>IFERROR(peer_prices_monthly!C38/peer_prices_monthly!C37-1,"")</f>
        <v>-7.0021128400048482E-3</v>
      </c>
      <c r="D55" s="113">
        <f>IFERROR(peer_prices_monthly!D38/peer_prices_monthly!D37-1,"")</f>
        <v>-0.10930281889207516</v>
      </c>
      <c r="E55" s="113">
        <f>IFERROR(peer_prices_monthly!E38/peer_prices_monthly!E37-1,"")</f>
        <v>-3.2445041513381345E-2</v>
      </c>
      <c r="F55" s="113">
        <f>IFERROR(peer_prices_monthly!F38/peer_prices_monthly!F37-1,"")</f>
        <v>-0.11887298330691043</v>
      </c>
      <c r="G55" s="113">
        <f>IFERROR(peer_prices_monthly!G38/peer_prices_monthly!G37-1,"")</f>
        <v>7.9116804327905577E-4</v>
      </c>
      <c r="H55" s="113">
        <f>IFERROR(peer_prices_monthly!H38/peer_prices_monthly!H37-1,"")</f>
        <v>9.5138744273927101E-2</v>
      </c>
      <c r="I55" s="113">
        <f>IFERROR(peer_prices_monthly!I38/peer_prices_monthly!I37-1,"")</f>
        <v>-3.1553051675139443E-2</v>
      </c>
      <c r="J55" s="113">
        <f>IFERROR(peer_prices_monthly!J38/peer_prices_monthly!J37-1,"")</f>
        <v>8.1791939737092534E-3</v>
      </c>
      <c r="K55" s="113">
        <f>IFERROR(peer_prices_monthly!K38/peer_prices_monthly!K37-1,"")</f>
        <v>-0.17283527867687332</v>
      </c>
      <c r="L55" s="113">
        <f>IFERROR(peer_prices_monthly!L38/peer_prices_monthly!L37-1,"")</f>
        <v>3.5182465299503418E-2</v>
      </c>
      <c r="M55" s="113">
        <f>IFERROR(peer_prices_monthly!M38/peer_prices_monthly!M37-1,"")</f>
        <v>-0.13716116785149868</v>
      </c>
      <c r="N55" s="113">
        <f>IFERROR(peer_prices_monthly!N38/peer_prices_monthly!N37-1,"")</f>
        <v>-4.6061138484928876E-2</v>
      </c>
      <c r="O55" s="113">
        <f>IFERROR(peer_prices_monthly!O38/peer_prices_monthly!O37-1,"")</f>
        <v>-5.8248738270554878E-2</v>
      </c>
      <c r="P55" s="113">
        <f>IFERROR(peer_prices_monthly!P38/peer_prices_monthly!P37-1,"")</f>
        <v>3.0554139524979096E-2</v>
      </c>
      <c r="Q55" s="113">
        <f>IFERROR(peer_prices_monthly!Q38/peer_prices_monthly!Q37-1,"")</f>
        <v>0.11095690990350859</v>
      </c>
      <c r="R55" s="113">
        <f>IFERROR(peer_prices_monthly!R38/peer_prices_monthly!R37-1,"")</f>
        <v>-7.4265350905735605E-3</v>
      </c>
      <c r="S55" s="113">
        <f>IFERROR(peer_prices_monthly!S38/peer_prices_monthly!S37-1,"")</f>
        <v>0.34865901335122107</v>
      </c>
      <c r="T55" s="113">
        <f>IFERROR(peer_prices_monthly!T38/peer_prices_monthly!T37-1,"")</f>
        <v>-5.8287945600159707E-2</v>
      </c>
      <c r="U55" s="113">
        <f>IFERROR(peer_prices_monthly!U38/peer_prices_monthly!U37-1,"")</f>
        <v>-6.3989162670969102E-2</v>
      </c>
      <c r="V55" s="113">
        <f>IFERROR(peer_prices_monthly!V38/peer_prices_monthly!V37-1,"")</f>
        <v>-0.16432710711377607</v>
      </c>
      <c r="W55" s="113">
        <f>IFERROR(peer_prices_monthly!W38/peer_prices_monthly!W37-1,"")</f>
        <v>3.5237179252802786E-2</v>
      </c>
      <c r="X55" s="113">
        <f>IFERROR(peer_prices_monthly!X38/peer_prices_monthly!X37-1,"")</f>
        <v>-5.2776477036049152E-2</v>
      </c>
      <c r="Y55" s="113">
        <f>IFERROR(peer_prices_monthly!Y38/peer_prices_monthly!Y37-1,"")</f>
        <v>-9.6053210696629421E-3</v>
      </c>
      <c r="Z55" s="113">
        <f>IFERROR(peer_prices_monthly!Z38/peer_prices_monthly!Z37-1,"")</f>
        <v>-0.2750169960474993</v>
      </c>
      <c r="AA55" s="113">
        <f>IFERROR(peer_prices_monthly!AA38/peer_prices_monthly!AA37-1,"")</f>
        <v>-9.1525253005710683E-2</v>
      </c>
      <c r="AB55" s="113">
        <f>IFERROR(peer_prices_monthly!AB38/peer_prices_monthly!AB37-1,"")</f>
        <v>-4.7581795970714769E-2</v>
      </c>
      <c r="AC55" s="113">
        <f>IFERROR(peer_prices_monthly!AC38/peer_prices_monthly!AC37-1,"")</f>
        <v>0.22280177005363178</v>
      </c>
      <c r="AD55" s="113">
        <f>IFERROR(peer_prices_monthly!AD38/peer_prices_monthly!AD37-1,"")</f>
        <v>4.9030722840246455E-2</v>
      </c>
      <c r="AE55" s="113">
        <f>IFERROR(peer_prices_monthly!AE38/peer_prices_monthly!AE37-1,"")</f>
        <v>-7.3429251547767915E-2</v>
      </c>
      <c r="AF55" s="113">
        <f>IFERROR(peer_prices_monthly!AF38/peer_prices_monthly!AF37-1,"")</f>
        <v>-0.19807349756970949</v>
      </c>
      <c r="AG55" s="113">
        <f>IFERROR(peer_prices_monthly!AG38/peer_prices_monthly!AG37-1,"")</f>
        <v>4.2848773606177559E-2</v>
      </c>
      <c r="AH55" s="113">
        <f>IFERROR(peer_prices_monthly!AH38/peer_prices_monthly!AH37-1,"")</f>
        <v>-0.15919389911238369</v>
      </c>
      <c r="AI55" s="113">
        <f>IFERROR(peer_prices_monthly!AI38/peer_prices_monthly!AI37-1,"")</f>
        <v>1.600915432653216E-2</v>
      </c>
      <c r="AJ55" s="113">
        <f>IFERROR(peer_prices_monthly!AJ38/peer_prices_monthly!AJ37-1,"")</f>
        <v>0.17278149180183244</v>
      </c>
      <c r="AK55" s="113">
        <f>IFERROR(peer_prices_monthly!AK38/peer_prices_monthly!AK37-1,"")</f>
        <v>-4.6084814168472099E-2</v>
      </c>
      <c r="AL55" s="113">
        <f>IFERROR(peer_prices_monthly!AL38/peer_prices_monthly!AL37-1,"")</f>
        <v>-7.9758380890440295E-2</v>
      </c>
      <c r="AM55" s="113">
        <f>IFERROR(peer_prices_monthly!AM38/peer_prices_monthly!AM37-1,"")</f>
        <v>1.3734993833101727E-2</v>
      </c>
      <c r="AN55" s="113">
        <f>IFERROR(peer_prices_monthly!AN38/peer_prices_monthly!AN37-1,"")</f>
        <v>1.1321316887868749E-2</v>
      </c>
    </row>
    <row r="56" spans="1:40" x14ac:dyDescent="0.25">
      <c r="A56" s="126">
        <f>peer_prices_monthly!A39</f>
        <v>45535</v>
      </c>
      <c r="B56" s="113">
        <f>IFERROR(peer_prices_monthly!B39/peer_prices_monthly!B38-1,"")</f>
        <v>3.2353535965368163E-2</v>
      </c>
      <c r="C56" s="113">
        <f>IFERROR(peer_prices_monthly!C39/peer_prices_monthly!C38-1,"")</f>
        <v>4.1257949285225415E-2</v>
      </c>
      <c r="D56" s="113">
        <f>IFERROR(peer_prices_monthly!D39/peer_prices_monthly!D38-1,"")</f>
        <v>2.8239216166290326E-2</v>
      </c>
      <c r="E56" s="113">
        <f>IFERROR(peer_prices_monthly!E39/peer_prices_monthly!E38-1,"")</f>
        <v>-4.5352422298136297E-2</v>
      </c>
      <c r="F56" s="113">
        <f>IFERROR(peer_prices_monthly!F39/peer_prices_monthly!F38-1,"")</f>
        <v>-7.8310282510392071E-2</v>
      </c>
      <c r="G56" s="113">
        <f>IFERROR(peer_prices_monthly!G39/peer_prices_monthly!G38-1,"")</f>
        <v>1.3318286804904655E-2</v>
      </c>
      <c r="H56" s="113">
        <f>IFERROR(peer_prices_monthly!H39/peer_prices_monthly!H38-1,"")</f>
        <v>5.6943672269389012E-2</v>
      </c>
      <c r="I56" s="113">
        <f>IFERROR(peer_prices_monthly!I39/peer_prices_monthly!I38-1,"")</f>
        <v>8.5620364284955564E-2</v>
      </c>
      <c r="J56" s="113">
        <f>IFERROR(peer_prices_monthly!J39/peer_prices_monthly!J38-1,"")</f>
        <v>-2.2797727087321085E-2</v>
      </c>
      <c r="K56" s="113">
        <f>IFERROR(peer_prices_monthly!K39/peer_prices_monthly!K38-1,"")</f>
        <v>1.6361710988687994E-2</v>
      </c>
      <c r="L56" s="113">
        <f>IFERROR(peer_prices_monthly!L39/peer_prices_monthly!L38-1,"")</f>
        <v>6.7677674768554352E-2</v>
      </c>
      <c r="M56" s="113">
        <f>IFERROR(peer_prices_monthly!M39/peer_prices_monthly!M38-1,"")</f>
        <v>5.0305047591773455E-2</v>
      </c>
      <c r="N56" s="113">
        <f>IFERROR(peer_prices_monthly!N39/peer_prices_monthly!N38-1,"")</f>
        <v>0.12319490675434874</v>
      </c>
      <c r="O56" s="113">
        <f>IFERROR(peer_prices_monthly!O39/peer_prices_monthly!O38-1,"")</f>
        <v>-4.7569093830463816E-2</v>
      </c>
      <c r="P56" s="113">
        <f>IFERROR(peer_prices_monthly!P39/peer_prices_monthly!P38-1,"")</f>
        <v>2.4938341011004894E-3</v>
      </c>
      <c r="Q56" s="113">
        <f>IFERROR(peer_prices_monthly!Q39/peer_prices_monthly!Q38-1,"")</f>
        <v>6.1194255662636143E-2</v>
      </c>
      <c r="R56" s="113">
        <f>IFERROR(peer_prices_monthly!R39/peer_prices_monthly!R38-1,"")</f>
        <v>-0.27847058573763883</v>
      </c>
      <c r="S56" s="113">
        <f>IFERROR(peer_prices_monthly!S39/peer_prices_monthly!S38-1,"")</f>
        <v>0.14204545146670222</v>
      </c>
      <c r="T56" s="113">
        <f>IFERROR(peer_prices_monthly!T39/peer_prices_monthly!T38-1,"")</f>
        <v>9.7887681125897075E-2</v>
      </c>
      <c r="U56" s="113">
        <f>IFERROR(peer_prices_monthly!U39/peer_prices_monthly!U38-1,"")</f>
        <v>-1.0951819108935279E-3</v>
      </c>
      <c r="V56" s="113">
        <f>IFERROR(peer_prices_monthly!V39/peer_prices_monthly!V38-1,"")</f>
        <v>-0.12365679986493638</v>
      </c>
      <c r="W56" s="113">
        <f>IFERROR(peer_prices_monthly!W39/peer_prices_monthly!W38-1,"")</f>
        <v>4.9865504980948216E-2</v>
      </c>
      <c r="X56" s="113">
        <f>IFERROR(peer_prices_monthly!X39/peer_prices_monthly!X38-1,"")</f>
        <v>2.0082015014099897E-2</v>
      </c>
      <c r="Y56" s="113">
        <f>IFERROR(peer_prices_monthly!Y39/peer_prices_monthly!Y38-1,"")</f>
        <v>1.3194617930643915E-2</v>
      </c>
      <c r="Z56" s="113">
        <f>IFERROR(peer_prices_monthly!Z39/peer_prices_monthly!Z38-1,"")</f>
        <v>2.8169061170191245E-3</v>
      </c>
      <c r="AA56" s="113">
        <f>IFERROR(peer_prices_monthly!AA39/peer_prices_monthly!AA38-1,"")</f>
        <v>-3.1224178794365343E-2</v>
      </c>
      <c r="AB56" s="113">
        <f>IFERROR(peer_prices_monthly!AB39/peer_prices_monthly!AB38-1,"")</f>
        <v>-1.3475755388440258E-2</v>
      </c>
      <c r="AC56" s="113">
        <f>IFERROR(peer_prices_monthly!AC39/peer_prices_monthly!AC38-1,"")</f>
        <v>-0.13893965595196223</v>
      </c>
      <c r="AD56" s="113">
        <f>IFERROR(peer_prices_monthly!AD39/peer_prices_monthly!AD38-1,"")</f>
        <v>3.8327006128216823E-2</v>
      </c>
      <c r="AE56" s="113">
        <f>IFERROR(peer_prices_monthly!AE39/peer_prices_monthly!AE38-1,"")</f>
        <v>0.21029409757259976</v>
      </c>
      <c r="AF56" s="113">
        <f>IFERROR(peer_prices_monthly!AF39/peer_prices_monthly!AF38-1,"")</f>
        <v>-0.29879877127796373</v>
      </c>
      <c r="AG56" s="113">
        <f>IFERROR(peer_prices_monthly!AG39/peer_prices_monthly!AG38-1,"")</f>
        <v>0.10125294713118826</v>
      </c>
      <c r="AH56" s="113">
        <f>IFERROR(peer_prices_monthly!AH39/peer_prices_monthly!AH38-1,"")</f>
        <v>5.3924658441824036E-3</v>
      </c>
      <c r="AI56" s="113">
        <f>IFERROR(peer_prices_monthly!AI39/peer_prices_monthly!AI38-1,"")</f>
        <v>2.9329257802987563E-2</v>
      </c>
      <c r="AJ56" s="113">
        <f>IFERROR(peer_prices_monthly!AJ39/peer_prices_monthly!AJ38-1,"")</f>
        <v>-7.7390469026769826E-2</v>
      </c>
      <c r="AK56" s="113">
        <f>IFERROR(peer_prices_monthly!AK39/peer_prices_monthly!AK38-1,"")</f>
        <v>3.5584859230780364E-2</v>
      </c>
      <c r="AL56" s="113">
        <f>IFERROR(peer_prices_monthly!AL39/peer_prices_monthly!AL38-1,"")</f>
        <v>0.1629951265415932</v>
      </c>
      <c r="AM56" s="113">
        <f>IFERROR(peer_prices_monthly!AM39/peer_prices_monthly!AM38-1,"")</f>
        <v>0.12835305744488013</v>
      </c>
      <c r="AN56" s="113">
        <f>IFERROR(peer_prices_monthly!AN39/peer_prices_monthly!AN38-1,"")</f>
        <v>2.2834706936630367E-2</v>
      </c>
    </row>
    <row r="57" spans="1:40" x14ac:dyDescent="0.25">
      <c r="A57" s="126">
        <f>peer_prices_monthly!A40</f>
        <v>45565</v>
      </c>
      <c r="B57" s="113">
        <f>IFERROR(peer_prices_monthly!B40/peer_prices_monthly!B39-1,"")</f>
        <v>1.7467281154993852E-2</v>
      </c>
      <c r="C57" s="113">
        <f>IFERROR(peer_prices_monthly!C40/peer_prices_monthly!C39-1,"")</f>
        <v>-9.8588023354892584E-2</v>
      </c>
      <c r="D57" s="113">
        <f>IFERROR(peer_prices_monthly!D40/peer_prices_monthly!D39-1,"")</f>
        <v>0.10446960505865421</v>
      </c>
      <c r="E57" s="113">
        <f>IFERROR(peer_prices_monthly!E40/peer_prices_monthly!E39-1,"")</f>
        <v>4.3865556476496925E-2</v>
      </c>
      <c r="F57" s="113">
        <f>IFERROR(peer_prices_monthly!F40/peer_prices_monthly!F39-1,"")</f>
        <v>7.6234115380693357E-2</v>
      </c>
      <c r="G57" s="113">
        <f>IFERROR(peer_prices_monthly!G40/peer_prices_monthly!G39-1,"")</f>
        <v>6.2936932071850027E-2</v>
      </c>
      <c r="H57" s="113">
        <f>IFERROR(peer_prices_monthly!H40/peer_prices_monthly!H39-1,"")</f>
        <v>0.27333817163767216</v>
      </c>
      <c r="I57" s="113">
        <f>IFERROR(peer_prices_monthly!I40/peer_prices_monthly!I39-1,"")</f>
        <v>-6.5666426584707338E-3</v>
      </c>
      <c r="J57" s="113">
        <f>IFERROR(peer_prices_monthly!J40/peer_prices_monthly!J39-1,"")</f>
        <v>8.3984842276376037E-2</v>
      </c>
      <c r="K57" s="113">
        <f>IFERROR(peer_prices_monthly!K40/peer_prices_monthly!K39-1,"")</f>
        <v>2.5964923175056054E-2</v>
      </c>
      <c r="L57" s="113">
        <f>IFERROR(peer_prices_monthly!L40/peer_prices_monthly!L39-1,"")</f>
        <v>0.10169206699459954</v>
      </c>
      <c r="M57" s="113">
        <f>IFERROR(peer_prices_monthly!M40/peer_prices_monthly!M39-1,"")</f>
        <v>-5.6300253583441484E-2</v>
      </c>
      <c r="N57" s="113">
        <f>IFERROR(peer_prices_monthly!N40/peer_prices_monthly!N39-1,"")</f>
        <v>-9.6986080676421005E-2</v>
      </c>
      <c r="O57" s="113">
        <f>IFERROR(peer_prices_monthly!O40/peer_prices_monthly!O39-1,"")</f>
        <v>1.6465162583457316E-2</v>
      </c>
      <c r="P57" s="113">
        <f>IFERROR(peer_prices_monthly!P40/peer_prices_monthly!P39-1,"")</f>
        <v>-3.2507431915185236E-4</v>
      </c>
      <c r="Q57" s="113">
        <f>IFERROR(peer_prices_monthly!Q40/peer_prices_monthly!Q39-1,"")</f>
        <v>9.3751603709527842E-2</v>
      </c>
      <c r="R57" s="113">
        <f>IFERROR(peer_prices_monthly!R40/peer_prices_monthly!R39-1,"")</f>
        <v>6.4428226404696476E-2</v>
      </c>
      <c r="S57" s="113">
        <f>IFERROR(peer_prices_monthly!S40/peer_prices_monthly!S39-1,"")</f>
        <v>-0.1218905829075565</v>
      </c>
      <c r="T57" s="113">
        <f>IFERROR(peer_prices_monthly!T40/peer_prices_monthly!T39-1,"")</f>
        <v>9.9127435854218238E-2</v>
      </c>
      <c r="U57" s="113">
        <f>IFERROR(peer_prices_monthly!U40/peer_prices_monthly!U39-1,"")</f>
        <v>3.1548093636018404E-2</v>
      </c>
      <c r="V57" s="113">
        <f>IFERROR(peer_prices_monthly!V40/peer_prices_monthly!V39-1,"")</f>
        <v>7.7618319061502961E-2</v>
      </c>
      <c r="W57" s="113">
        <f>IFERROR(peer_prices_monthly!W40/peer_prices_monthly!W39-1,"")</f>
        <v>4.6070210417808788E-2</v>
      </c>
      <c r="X57" s="113">
        <f>IFERROR(peer_prices_monthly!X40/peer_prices_monthly!X39-1,"")</f>
        <v>1.7428198324771715E-2</v>
      </c>
      <c r="Y57" s="113">
        <f>IFERROR(peer_prices_monthly!Y40/peer_prices_monthly!Y39-1,"")</f>
        <v>0.20603026833396143</v>
      </c>
      <c r="Z57" s="113">
        <f>IFERROR(peer_prices_monthly!Z40/peer_prices_monthly!Z39-1,"")</f>
        <v>1.0299563262418543E-2</v>
      </c>
      <c r="AA57" s="113">
        <f>IFERROR(peer_prices_monthly!AA40/peer_prices_monthly!AA39-1,"")</f>
        <v>-2.4935582133325029E-2</v>
      </c>
      <c r="AB57" s="113">
        <f>IFERROR(peer_prices_monthly!AB40/peer_prices_monthly!AB39-1,"")</f>
        <v>9.8117599690503043E-2</v>
      </c>
      <c r="AC57" s="113">
        <f>IFERROR(peer_prices_monthly!AC40/peer_prices_monthly!AC39-1,"")</f>
        <v>-0.20594478583464959</v>
      </c>
      <c r="AD57" s="113">
        <f>IFERROR(peer_prices_monthly!AD40/peer_prices_monthly!AD39-1,"")</f>
        <v>4.2738135876711825E-2</v>
      </c>
      <c r="AE57" s="113">
        <f>IFERROR(peer_prices_monthly!AE40/peer_prices_monthly!AE39-1,"")</f>
        <v>8.1949503440437832E-2</v>
      </c>
      <c r="AF57" s="113">
        <f>IFERROR(peer_prices_monthly!AF40/peer_prices_monthly!AF39-1,"")</f>
        <v>0.14561023923542682</v>
      </c>
      <c r="AG57" s="113">
        <f>IFERROR(peer_prices_monthly!AG40/peer_prices_monthly!AG39-1,"")</f>
        <v>-6.718279151044948E-3</v>
      </c>
      <c r="AH57" s="113">
        <f>IFERROR(peer_prices_monthly!AH40/peer_prices_monthly!AH39-1,"")</f>
        <v>-0.16269372902773804</v>
      </c>
      <c r="AI57" s="113">
        <f>IFERROR(peer_prices_monthly!AI40/peer_prices_monthly!AI39-1,"")</f>
        <v>1.4581572431453305E-2</v>
      </c>
      <c r="AJ57" s="113">
        <f>IFERROR(peer_prices_monthly!AJ40/peer_prices_monthly!AJ39-1,"")</f>
        <v>0.22194201175563166</v>
      </c>
      <c r="AK57" s="113">
        <f>IFERROR(peer_prices_monthly!AK40/peer_prices_monthly!AK39-1,"")</f>
        <v>1.5206914895750323E-2</v>
      </c>
      <c r="AL57" s="113">
        <f>IFERROR(peer_prices_monthly!AL40/peer_prices_monthly!AL39-1,"")</f>
        <v>4.8981180583311135E-2</v>
      </c>
      <c r="AM57" s="113">
        <f>IFERROR(peer_prices_monthly!AM40/peer_prices_monthly!AM39-1,"")</f>
        <v>4.557823695858354E-2</v>
      </c>
      <c r="AN57" s="113">
        <f>IFERROR(peer_prices_monthly!AN40/peer_prices_monthly!AN39-1,"")</f>
        <v>2.0196884090601275E-2</v>
      </c>
    </row>
    <row r="58" spans="1:40" x14ac:dyDescent="0.25">
      <c r="A58" s="126">
        <f>peer_prices_monthly!A41</f>
        <v>45596</v>
      </c>
      <c r="B58" s="113">
        <f>IFERROR(peer_prices_monthly!B41/peer_prices_monthly!B40-1,"")</f>
        <v>-3.0429248668191744E-2</v>
      </c>
      <c r="C58" s="113">
        <f>IFERROR(peer_prices_monthly!C41/peer_prices_monthly!C40-1,"")</f>
        <v>-7.6673568848378504E-2</v>
      </c>
      <c r="D58" s="113">
        <f>IFERROR(peer_prices_monthly!D41/peer_prices_monthly!D40-1,"")</f>
        <v>-0.12195267115756903</v>
      </c>
      <c r="E58" s="113">
        <f>IFERROR(peer_prices_monthly!E41/peer_prices_monthly!E40-1,"")</f>
        <v>3.7563497419568215E-4</v>
      </c>
      <c r="F58" s="113">
        <f>IFERROR(peer_prices_monthly!F41/peer_prices_monthly!F40-1,"")</f>
        <v>-1.195714649857138E-2</v>
      </c>
      <c r="G58" s="113">
        <f>IFERROR(peer_prices_monthly!G41/peer_prices_monthly!G40-1,"")</f>
        <v>-1.5826247047905029E-2</v>
      </c>
      <c r="H58" s="113">
        <f>IFERROR(peer_prices_monthly!H41/peer_prices_monthly!H40-1,"")</f>
        <v>-7.6705634137635315E-2</v>
      </c>
      <c r="I58" s="113">
        <f>IFERROR(peer_prices_monthly!I41/peer_prices_monthly!I40-1,"")</f>
        <v>-1.3919558636834251E-2</v>
      </c>
      <c r="J58" s="113">
        <f>IFERROR(peer_prices_monthly!J41/peer_prices_monthly!J40-1,"")</f>
        <v>6.4520846326610704E-2</v>
      </c>
      <c r="K58" s="113">
        <f>IFERROR(peer_prices_monthly!K41/peer_prices_monthly!K40-1,"")</f>
        <v>4.6645637330898104E-2</v>
      </c>
      <c r="L58" s="113">
        <f>IFERROR(peer_prices_monthly!L41/peer_prices_monthly!L40-1,"")</f>
        <v>-0.11672547422931778</v>
      </c>
      <c r="M58" s="113">
        <f>IFERROR(peer_prices_monthly!M41/peer_prices_monthly!M40-1,"")</f>
        <v>-2.5568246717886378E-2</v>
      </c>
      <c r="N58" s="113">
        <f>IFERROR(peer_prices_monthly!N41/peer_prices_monthly!N40-1,"")</f>
        <v>0.13202489355231939</v>
      </c>
      <c r="O58" s="113">
        <f>IFERROR(peer_prices_monthly!O41/peer_prices_monthly!O40-1,"")</f>
        <v>3.1715349151240524E-2</v>
      </c>
      <c r="P58" s="113">
        <f>IFERROR(peer_prices_monthly!P41/peer_prices_monthly!P40-1,"")</f>
        <v>-9.7570134581680401E-3</v>
      </c>
      <c r="Q58" s="113">
        <f>IFERROR(peer_prices_monthly!Q41/peer_prices_monthly!Q40-1,"")</f>
        <v>-6.4953755713074934E-2</v>
      </c>
      <c r="R58" s="113">
        <f>IFERROR(peer_prices_monthly!R41/peer_prices_monthly!R40-1,"")</f>
        <v>-8.2693891833653166E-2</v>
      </c>
      <c r="S58" s="113">
        <f>IFERROR(peer_prices_monthly!S41/peer_prices_monthly!S40-1,"")</f>
        <v>-0.37393765271622126</v>
      </c>
      <c r="T58" s="113">
        <f>IFERROR(peer_prices_monthly!T41/peer_prices_monthly!T40-1,"")</f>
        <v>-8.4898928774335136E-3</v>
      </c>
      <c r="U58" s="113">
        <f>IFERROR(peer_prices_monthly!U41/peer_prices_monthly!U40-1,"")</f>
        <v>-5.5658813457409639E-2</v>
      </c>
      <c r="V58" s="113">
        <f>IFERROR(peer_prices_monthly!V41/peer_prices_monthly!V40-1,"")</f>
        <v>-3.8065680030084703E-2</v>
      </c>
      <c r="W58" s="113">
        <f>IFERROR(peer_prices_monthly!W41/peer_prices_monthly!W40-1,"")</f>
        <v>4.3157911887188094E-2</v>
      </c>
      <c r="X58" s="113">
        <f>IFERROR(peer_prices_monthly!X41/peer_prices_monthly!X40-1,"")</f>
        <v>9.3214607697995833E-2</v>
      </c>
      <c r="Y58" s="113">
        <f>IFERROR(peer_prices_monthly!Y41/peer_prices_monthly!Y40-1,"")</f>
        <v>-1.2808740212908232E-2</v>
      </c>
      <c r="Z58" s="113">
        <f>IFERROR(peer_prices_monthly!Z41/peer_prices_monthly!Z40-1,"")</f>
        <v>-1.7917764457697216E-2</v>
      </c>
      <c r="AA58" s="113">
        <f>IFERROR(peer_prices_monthly!AA41/peer_prices_monthly!AA40-1,"")</f>
        <v>-4.2810872967587899E-2</v>
      </c>
      <c r="AB58" s="113">
        <f>IFERROR(peer_prices_monthly!AB41/peer_prices_monthly!AB40-1,"")</f>
        <v>0.80976951404042419</v>
      </c>
      <c r="AC58" s="113">
        <f>IFERROR(peer_prices_monthly!AC41/peer_prices_monthly!AC40-1,"")</f>
        <v>-9.9821734305151844E-2</v>
      </c>
      <c r="AD58" s="113">
        <f>IFERROR(peer_prices_monthly!AD41/peer_prices_monthly!AD40-1,"")</f>
        <v>1.9816736722314543E-2</v>
      </c>
      <c r="AE58" s="113">
        <f>IFERROR(peer_prices_monthly!AE41/peer_prices_monthly!AE40-1,"")</f>
        <v>-2.4082858995193357E-2</v>
      </c>
      <c r="AF58" s="113">
        <f>IFERROR(peer_prices_monthly!AF41/peer_prices_monthly!AF40-1,"")</f>
        <v>0.13644860412826909</v>
      </c>
      <c r="AG58" s="113">
        <f>IFERROR(peer_prices_monthly!AG41/peer_prices_monthly!AG40-1,"")</f>
        <v>-8.8743777633368492E-2</v>
      </c>
      <c r="AH58" s="113">
        <f>IFERROR(peer_prices_monthly!AH41/peer_prices_monthly!AH40-1,"")</f>
        <v>-3.0604979840653024E-2</v>
      </c>
      <c r="AI58" s="113">
        <f>IFERROR(peer_prices_monthly!AI41/peer_prices_monthly!AI40-1,"")</f>
        <v>-3.734143034063786E-2</v>
      </c>
      <c r="AJ58" s="113">
        <f>IFERROR(peer_prices_monthly!AJ41/peer_prices_monthly!AJ40-1,"")</f>
        <v>-4.5025412068364634E-2</v>
      </c>
      <c r="AK58" s="113">
        <f>IFERROR(peer_prices_monthly!AK41/peer_prices_monthly!AK40-1,"")</f>
        <v>9.7138247122489085E-2</v>
      </c>
      <c r="AL58" s="113">
        <f>IFERROR(peer_prices_monthly!AL41/peer_prices_monthly!AL40-1,"")</f>
        <v>9.6306405942925943E-2</v>
      </c>
      <c r="AM58" s="113">
        <f>IFERROR(peer_prices_monthly!AM41/peer_prices_monthly!AM40-1,"")</f>
        <v>1.4860599103772465E-2</v>
      </c>
      <c r="AN58" s="113">
        <f>IFERROR(peer_prices_monthly!AN41/peer_prices_monthly!AN40-1,"")</f>
        <v>-9.8967433031517116E-3</v>
      </c>
    </row>
    <row r="59" spans="1:40" x14ac:dyDescent="0.25">
      <c r="A59" s="126">
        <f>peer_prices_monthly!A42</f>
        <v>45626</v>
      </c>
      <c r="B59" s="113">
        <f>IFERROR(peer_prices_monthly!B42/peer_prices_monthly!B41-1,"")</f>
        <v>5.1706969387507185E-2</v>
      </c>
      <c r="C59" s="113">
        <f>IFERROR(peer_prices_monthly!C42/peer_prices_monthly!C41-1,"")</f>
        <v>7.9170865057314632E-2</v>
      </c>
      <c r="D59" s="113">
        <f>IFERROR(peer_prices_monthly!D42/peer_prices_monthly!D41-1,"")</f>
        <v>-4.7824073701419612E-2</v>
      </c>
      <c r="E59" s="113">
        <f>IFERROR(peer_prices_monthly!E42/peer_prices_monthly!E41-1,"")</f>
        <v>0.11528973281564769</v>
      </c>
      <c r="F59" s="113">
        <f>IFERROR(peer_prices_monthly!F42/peer_prices_monthly!F41-1,"")</f>
        <v>-4.9610825295292149E-2</v>
      </c>
      <c r="G59" s="113">
        <f>IFERROR(peer_prices_monthly!G42/peer_prices_monthly!G41-1,"")</f>
        <v>-4.5296425472834523E-2</v>
      </c>
      <c r="H59" s="113">
        <f>IFERROR(peer_prices_monthly!H42/peer_prices_monthly!H41-1,"")</f>
        <v>-0.10828737899703633</v>
      </c>
      <c r="I59" s="113">
        <f>IFERROR(peer_prices_monthly!I42/peer_prices_monthly!I41-1,"")</f>
        <v>0.11323896799725319</v>
      </c>
      <c r="J59" s="113">
        <f>IFERROR(peer_prices_monthly!J42/peer_prices_monthly!J41-1,"")</f>
        <v>0.13254611162005614</v>
      </c>
      <c r="K59" s="113">
        <f>IFERROR(peer_prices_monthly!K42/peer_prices_monthly!K41-1,"")</f>
        <v>3.2031130662712348E-2</v>
      </c>
      <c r="L59" s="113">
        <f>IFERROR(peer_prices_monthly!L42/peer_prices_monthly!L41-1,"")</f>
        <v>0.1051441326203415</v>
      </c>
      <c r="M59" s="113">
        <f>IFERROR(peer_prices_monthly!M42/peer_prices_monthly!M41-1,"")</f>
        <v>9.6329001782372803E-2</v>
      </c>
      <c r="N59" s="113">
        <f>IFERROR(peer_prices_monthly!N42/peer_prices_monthly!N41-1,"")</f>
        <v>9.5153691049830291E-2</v>
      </c>
      <c r="O59" s="113">
        <f>IFERROR(peer_prices_monthly!O42/peer_prices_monthly!O41-1,"")</f>
        <v>-1.262345835787082E-2</v>
      </c>
      <c r="P59" s="113">
        <f>IFERROR(peer_prices_monthly!P42/peer_prices_monthly!P41-1,"")</f>
        <v>-2.5342456431529659E-3</v>
      </c>
      <c r="Q59" s="113">
        <f>IFERROR(peer_prices_monthly!Q42/peer_prices_monthly!Q41-1,"")</f>
        <v>0.1087568458100856</v>
      </c>
      <c r="R59" s="113">
        <f>IFERROR(peer_prices_monthly!R42/peer_prices_monthly!R41-1,"")</f>
        <v>0.11756499653716967</v>
      </c>
      <c r="S59" s="113">
        <f>IFERROR(peer_prices_monthly!S42/peer_prices_monthly!S41-1,"")</f>
        <v>-1.3574712182390813E-2</v>
      </c>
      <c r="T59" s="113">
        <f>IFERROR(peer_prices_monthly!T42/peer_prices_monthly!T41-1,"")</f>
        <v>1.1874926725355506E-2</v>
      </c>
      <c r="U59" s="113">
        <f>IFERROR(peer_prices_monthly!U42/peer_prices_monthly!U41-1,"")</f>
        <v>4.4192581324298708E-2</v>
      </c>
      <c r="V59" s="113">
        <f>IFERROR(peer_prices_monthly!V42/peer_prices_monthly!V41-1,"")</f>
        <v>-1.7059852894063088E-2</v>
      </c>
      <c r="W59" s="113">
        <f>IFERROR(peer_prices_monthly!W42/peer_prices_monthly!W41-1,"")</f>
        <v>0.12481372998213169</v>
      </c>
      <c r="X59" s="113">
        <f>IFERROR(peer_prices_monthly!X42/peer_prices_monthly!X41-1,"")</f>
        <v>4.1353012581465176E-2</v>
      </c>
      <c r="Y59" s="113">
        <f>IFERROR(peer_prices_monthly!Y42/peer_prices_monthly!Y41-1,"")</f>
        <v>0.10128712912590254</v>
      </c>
      <c r="Z59" s="113">
        <f>IFERROR(peer_prices_monthly!Z42/peer_prices_monthly!Z41-1,"")</f>
        <v>-4.6240993342819503E-2</v>
      </c>
      <c r="AA59" s="113">
        <f>IFERROR(peer_prices_monthly!AA42/peer_prices_monthly!AA41-1,"")</f>
        <v>-2.6049035183973168E-2</v>
      </c>
      <c r="AB59" s="113">
        <f>IFERROR(peer_prices_monthly!AB42/peer_prices_monthly!AB41-1,"")</f>
        <v>0.17929588300486854</v>
      </c>
      <c r="AC59" s="113">
        <f>IFERROR(peer_prices_monthly!AC42/peer_prices_monthly!AC41-1,"")</f>
        <v>0.21089099805129408</v>
      </c>
      <c r="AD59" s="113">
        <f>IFERROR(peer_prices_monthly!AD42/peer_prices_monthly!AD41-1,"")</f>
        <v>1.6949120724386812E-2</v>
      </c>
      <c r="AE59" s="113">
        <f>IFERROR(peer_prices_monthly!AE42/peer_prices_monthly!AE41-1,"")</f>
        <v>0.47807185561099974</v>
      </c>
      <c r="AF59" s="113">
        <f>IFERROR(peer_prices_monthly!AF42/peer_prices_monthly!AF41-1,"")</f>
        <v>-2.878284804172071E-2</v>
      </c>
      <c r="AG59" s="113">
        <f>IFERROR(peer_prices_monthly!AG42/peer_prices_monthly!AG41-1,"")</f>
        <v>0.13920444264526499</v>
      </c>
      <c r="AH59" s="113">
        <f>IFERROR(peer_prices_monthly!AH42/peer_prices_monthly!AH41-1,"")</f>
        <v>-3.0836991314338147E-2</v>
      </c>
      <c r="AI59" s="113">
        <f>IFERROR(peer_prices_monthly!AI42/peer_prices_monthly!AI41-1,"")</f>
        <v>-0.11179136813439394</v>
      </c>
      <c r="AJ59" s="113">
        <f>IFERROR(peer_prices_monthly!AJ42/peer_prices_monthly!AJ41-1,"")</f>
        <v>0.3814688622385134</v>
      </c>
      <c r="AK59" s="113">
        <f>IFERROR(peer_prices_monthly!AK42/peer_prices_monthly!AK41-1,"")</f>
        <v>-3.0859603926023604E-2</v>
      </c>
      <c r="AL59" s="113">
        <f>IFERROR(peer_prices_monthly!AL42/peer_prices_monthly!AL41-1,"")</f>
        <v>6.9378621003270746E-2</v>
      </c>
      <c r="AM59" s="113">
        <f>IFERROR(peer_prices_monthly!AM42/peer_prices_monthly!AM41-1,"")</f>
        <v>0.12873723315137253</v>
      </c>
      <c r="AN59" s="113">
        <f>IFERROR(peer_prices_monthly!AN42/peer_prices_monthly!AN41-1,"")</f>
        <v>5.7301295482098835E-2</v>
      </c>
    </row>
    <row r="60" spans="1:40" x14ac:dyDescent="0.25">
      <c r="A60" s="126">
        <f>peer_prices_monthly!A43</f>
        <v>45657</v>
      </c>
      <c r="B60" s="113">
        <f>IFERROR(peer_prices_monthly!B43/peer_prices_monthly!B42-1,"")</f>
        <v>5.5155197533574674E-2</v>
      </c>
      <c r="C60" s="113">
        <f>IFERROR(peer_prices_monthly!C43/peer_prices_monthly!C42-1,"")</f>
        <v>-0.13810013182306824</v>
      </c>
      <c r="D60" s="113">
        <f>IFERROR(peer_prices_monthly!D43/peer_prices_monthly!D42-1,"")</f>
        <v>-0.11947800433982314</v>
      </c>
      <c r="E60" s="113">
        <f>IFERROR(peer_prices_monthly!E43/peer_prices_monthly!E42-1,"")</f>
        <v>5.5317716262269778E-2</v>
      </c>
      <c r="F60" s="113">
        <f>IFERROR(peer_prices_monthly!F43/peer_prices_monthly!F42-1,"")</f>
        <v>-8.1390968964401011E-2</v>
      </c>
      <c r="G60" s="113">
        <f>IFERROR(peer_prices_monthly!G43/peer_prices_monthly!G42-1,"")</f>
        <v>0.43423718352687812</v>
      </c>
      <c r="H60" s="113">
        <f>IFERROR(peer_prices_monthly!H43/peer_prices_monthly!H42-1,"")</f>
        <v>-2.9529599543469121E-2</v>
      </c>
      <c r="I60" s="113">
        <f>IFERROR(peer_prices_monthly!I43/peer_prices_monthly!I42-1,"")</f>
        <v>-5.7218824709834748E-2</v>
      </c>
      <c r="J60" s="113">
        <f>IFERROR(peer_prices_monthly!J43/peer_prices_monthly!J42-1,"")</f>
        <v>1.4307902058445121E-2</v>
      </c>
      <c r="K60" s="113">
        <f>IFERROR(peer_prices_monthly!K43/peer_prices_monthly!K42-1,"")</f>
        <v>-9.6794439267719579E-2</v>
      </c>
      <c r="L60" s="113">
        <f>IFERROR(peer_prices_monthly!L43/peer_prices_monthly!L42-1,"")</f>
        <v>-2.1172433372181554E-2</v>
      </c>
      <c r="M60" s="113">
        <f>IFERROR(peer_prices_monthly!M43/peer_prices_monthly!M42-1,"")</f>
        <v>-0.11051223831082513</v>
      </c>
      <c r="N60" s="113">
        <f>IFERROR(peer_prices_monthly!N43/peer_prices_monthly!N42-1,"")</f>
        <v>-3.9575427701626698E-2</v>
      </c>
      <c r="O60" s="113">
        <f>IFERROR(peer_prices_monthly!O43/peer_prices_monthly!O42-1,"")</f>
        <v>0.12173413141867995</v>
      </c>
      <c r="P60" s="113">
        <f>IFERROR(peer_prices_monthly!P43/peer_prices_monthly!P42-1,"")</f>
        <v>-7.1347620455389671E-2</v>
      </c>
      <c r="Q60" s="113">
        <f>IFERROR(peer_prices_monthly!Q43/peer_prices_monthly!Q42-1,"")</f>
        <v>-3.3331815462519732E-2</v>
      </c>
      <c r="R60" s="113">
        <f>IFERROR(peer_prices_monthly!R43/peer_prices_monthly!R42-1,"")</f>
        <v>-0.16632017159635015</v>
      </c>
      <c r="S60" s="113">
        <f>IFERROR(peer_prices_monthly!S43/peer_prices_monthly!S42-1,"")</f>
        <v>0.38532118439704766</v>
      </c>
      <c r="T60" s="113">
        <f>IFERROR(peer_prices_monthly!T43/peer_prices_monthly!T42-1,"")</f>
        <v>2.0306264584485811E-2</v>
      </c>
      <c r="U60" s="113">
        <f>IFERROR(peer_prices_monthly!U43/peer_prices_monthly!U42-1,"")</f>
        <v>-4.628586100503207E-3</v>
      </c>
      <c r="V60" s="113">
        <f>IFERROR(peer_prices_monthly!V43/peer_prices_monthly!V42-1,"")</f>
        <v>-0.13966969052884026</v>
      </c>
      <c r="W60" s="113">
        <f>IFERROR(peer_prices_monthly!W43/peer_prices_monthly!W42-1,"")</f>
        <v>1.0176863765174238E-2</v>
      </c>
      <c r="X60" s="113">
        <f>IFERROR(peer_prices_monthly!X43/peer_prices_monthly!X42-1,"")</f>
        <v>-2.8576914684125487E-2</v>
      </c>
      <c r="Y60" s="113">
        <f>IFERROR(peer_prices_monthly!Y43/peer_prices_monthly!Y42-1,"")</f>
        <v>-9.8463625781874176E-2</v>
      </c>
      <c r="Z60" s="113">
        <f>IFERROR(peer_prices_monthly!Z43/peer_prices_monthly!Z42-1,"")</f>
        <v>-4.3535610425799232E-2</v>
      </c>
      <c r="AA60" s="113">
        <f>IFERROR(peer_prices_monthly!AA43/peer_prices_monthly!AA42-1,"")</f>
        <v>-2.5903077396870033E-2</v>
      </c>
      <c r="AB60" s="113">
        <f>IFERROR(peer_prices_monthly!AB43/peer_prices_monthly!AB42-1,"")</f>
        <v>0.16170303223553351</v>
      </c>
      <c r="AC60" s="113">
        <f>IFERROR(peer_prices_monthly!AC43/peer_prices_monthly!AC42-1,"")</f>
        <v>8.748983553133316E-2</v>
      </c>
      <c r="AD60" s="113">
        <f>IFERROR(peer_prices_monthly!AD43/peer_prices_monthly!AD42-1,"")</f>
        <v>3.6237383759704977E-2</v>
      </c>
      <c r="AE60" s="113">
        <f>IFERROR(peer_prices_monthly!AE43/peer_prices_monthly!AE42-1,"")</f>
        <v>-8.0190283437950427E-2</v>
      </c>
      <c r="AF60" s="113">
        <f>IFERROR(peer_prices_monthly!AF43/peer_prices_monthly!AF42-1,"")</f>
        <v>-8.8060958924739863E-2</v>
      </c>
      <c r="AG60" s="113">
        <f>IFERROR(peer_prices_monthly!AG43/peer_prices_monthly!AG42-1,"")</f>
        <v>5.5361594772922684E-2</v>
      </c>
      <c r="AH60" s="113">
        <f>IFERROR(peer_prices_monthly!AH43/peer_prices_monthly!AH42-1,"")</f>
        <v>-1.1363642617535752E-2</v>
      </c>
      <c r="AI60" s="113">
        <f>IFERROR(peer_prices_monthly!AI43/peer_prices_monthly!AI42-1,"")</f>
        <v>2.1691263212044065E-2</v>
      </c>
      <c r="AJ60" s="113">
        <f>IFERROR(peer_prices_monthly!AJ43/peer_prices_monthly!AJ42-1,"")</f>
        <v>0.17000808915631316</v>
      </c>
      <c r="AK60" s="113">
        <f>IFERROR(peer_prices_monthly!AK43/peer_prices_monthly!AK42-1,"")</f>
        <v>7.2875159231903686E-2</v>
      </c>
      <c r="AL60" s="113">
        <f>IFERROR(peer_prices_monthly!AL43/peer_prices_monthly!AL42-1,"")</f>
        <v>-8.5725429878239501E-2</v>
      </c>
      <c r="AM60" s="113">
        <f>IFERROR(peer_prices_monthly!AM43/peer_prices_monthly!AM42-1,"")</f>
        <v>-2.1079245152757276E-2</v>
      </c>
      <c r="AN60" s="113">
        <f>IFERROR(peer_prices_monthly!AN43/peer_prices_monthly!AN42-1,"")</f>
        <v>-2.4990137048483629E-2</v>
      </c>
    </row>
    <row r="61" spans="1:40" x14ac:dyDescent="0.25">
      <c r="A61" s="126">
        <f>peer_prices_monthly!A44</f>
        <v>45688</v>
      </c>
      <c r="B61" s="113">
        <f>IFERROR(peer_prices_monthly!B44/peer_prices_monthly!B43-1,"")</f>
        <v>-5.7583225120277137E-2</v>
      </c>
      <c r="C61" s="113">
        <f>IFERROR(peer_prices_monthly!C44/peer_prices_monthly!C43-1,"")</f>
        <v>-1.6258839137881842E-2</v>
      </c>
      <c r="D61" s="113">
        <f>IFERROR(peer_prices_monthly!D44/peer_prices_monthly!D43-1,"")</f>
        <v>-4.0069574721420365E-2</v>
      </c>
      <c r="E61" s="113">
        <f>IFERROR(peer_prices_monthly!E44/peer_prices_monthly!E43-1,"")</f>
        <v>8.3367488659539024E-2</v>
      </c>
      <c r="F61" s="113">
        <f>IFERROR(peer_prices_monthly!F44/peer_prices_monthly!F43-1,"")</f>
        <v>0.29336901963641382</v>
      </c>
      <c r="G61" s="113">
        <f>IFERROR(peer_prices_monthly!G44/peer_prices_monthly!G43-1,"")</f>
        <v>-4.559176469788373E-2</v>
      </c>
      <c r="H61" s="113">
        <f>IFERROR(peer_prices_monthly!H44/peer_prices_monthly!H43-1,"")</f>
        <v>0.16570342640695435</v>
      </c>
      <c r="I61" s="113">
        <f>IFERROR(peer_prices_monthly!I44/peer_prices_monthly!I43-1,"")</f>
        <v>6.9422596600611897E-2</v>
      </c>
      <c r="J61" s="113">
        <f>IFERROR(peer_prices_monthly!J44/peer_prices_monthly!J43-1,"")</f>
        <v>2.2044174227652924E-2</v>
      </c>
      <c r="K61" s="113">
        <f>IFERROR(peer_prices_monthly!K44/peer_prices_monthly!K43-1,"")</f>
        <v>-9.7406055645579359E-2</v>
      </c>
      <c r="L61" s="113">
        <f>IFERROR(peer_prices_monthly!L44/peer_prices_monthly!L43-1,"")</f>
        <v>8.9265482564164778E-2</v>
      </c>
      <c r="M61" s="113">
        <f>IFERROR(peer_prices_monthly!M44/peer_prices_monthly!M43-1,"")</f>
        <v>1.8181902907916214E-2</v>
      </c>
      <c r="N61" s="113">
        <f>IFERROR(peer_prices_monthly!N44/peer_prices_monthly!N43-1,"")</f>
        <v>-7.152246451546318E-2</v>
      </c>
      <c r="O61" s="113">
        <f>IFERROR(peer_prices_monthly!O44/peer_prices_monthly!O43-1,"")</f>
        <v>7.7760133610943916E-2</v>
      </c>
      <c r="P61" s="113">
        <f>IFERROR(peer_prices_monthly!P44/peer_prices_monthly!P43-1,"")</f>
        <v>-3.9842098379397894E-3</v>
      </c>
      <c r="Q61" s="113">
        <f>IFERROR(peer_prices_monthly!Q44/peer_prices_monthly!Q43-1,"")</f>
        <v>0.16317147342903859</v>
      </c>
      <c r="R61" s="113">
        <f>IFERROR(peer_prices_monthly!R44/peer_prices_monthly!R43-1,"")</f>
        <v>-3.0922641170916143E-2</v>
      </c>
      <c r="S61" s="113">
        <f>IFERROR(peer_prices_monthly!S44/peer_prices_monthly!S43-1,"")</f>
        <v>-8.6092725688284411E-2</v>
      </c>
      <c r="T61" s="113">
        <f>IFERROR(peer_prices_monthly!T44/peer_prices_monthly!T43-1,"")</f>
        <v>0.17705928483416922</v>
      </c>
      <c r="U61" s="113">
        <f>IFERROR(peer_prices_monthly!U44/peer_prices_monthly!U43-1,"")</f>
        <v>-1.5278774333898015E-2</v>
      </c>
      <c r="V61" s="113">
        <f>IFERROR(peer_prices_monthly!V44/peer_prices_monthly!V43-1,"")</f>
        <v>8.4125398512414407E-2</v>
      </c>
      <c r="W61" s="113">
        <f>IFERROR(peer_prices_monthly!W44/peer_prices_monthly!W43-1,"")</f>
        <v>-3.9372934764186684E-2</v>
      </c>
      <c r="X61" s="113">
        <f>IFERROR(peer_prices_monthly!X44/peer_prices_monthly!X43-1,"")</f>
        <v>-0.10589021820828082</v>
      </c>
      <c r="Y61" s="113">
        <f>IFERROR(peer_prices_monthly!Y44/peer_prices_monthly!Y43-1,"")</f>
        <v>2.3031708222763569E-2</v>
      </c>
      <c r="Z61" s="113">
        <f>IFERROR(peer_prices_monthly!Z44/peer_prices_monthly!Z43-1,"")</f>
        <v>0.13655169256802258</v>
      </c>
      <c r="AA61" s="113">
        <f>IFERROR(peer_prices_monthly!AA44/peer_prices_monthly!AA43-1,"")</f>
        <v>0.12569967992650266</v>
      </c>
      <c r="AB61" s="113">
        <f>IFERROR(peer_prices_monthly!AB44/peer_prices_monthly!AB43-1,"")</f>
        <v>0.22093734747279581</v>
      </c>
      <c r="AC61" s="113">
        <f>IFERROR(peer_prices_monthly!AC44/peer_prices_monthly!AC43-1,"")</f>
        <v>-5.5639079737282104E-2</v>
      </c>
      <c r="AD61" s="113">
        <f>IFERROR(peer_prices_monthly!AD44/peer_prices_monthly!AD43-1,"")</f>
        <v>0.12123794408403921</v>
      </c>
      <c r="AE61" s="113">
        <f>IFERROR(peer_prices_monthly!AE44/peer_prices_monthly!AE43-1,"")</f>
        <v>9.8467046368894806E-2</v>
      </c>
      <c r="AF61" s="113">
        <f>IFERROR(peer_prices_monthly!AF44/peer_prices_monthly!AF43-1,"")</f>
        <v>4.8282217454736376E-2</v>
      </c>
      <c r="AG61" s="113">
        <f>IFERROR(peer_prices_monthly!AG44/peer_prices_monthly!AG43-1,"")</f>
        <v>4.0170181963597118E-2</v>
      </c>
      <c r="AH61" s="113">
        <f>IFERROR(peer_prices_monthly!AH44/peer_prices_monthly!AH43-1,"")</f>
        <v>6.1302769133724233E-3</v>
      </c>
      <c r="AI61" s="113">
        <f>IFERROR(peer_prices_monthly!AI44/peer_prices_monthly!AI43-1,"")</f>
        <v>2.019544302775178E-2</v>
      </c>
      <c r="AJ61" s="113">
        <f>IFERROR(peer_prices_monthly!AJ44/peer_prices_monthly!AJ43-1,"")</f>
        <v>1.8819576379678349E-3</v>
      </c>
      <c r="AK61" s="113">
        <f>IFERROR(peer_prices_monthly!AK44/peer_prices_monthly!AK43-1,"")</f>
        <v>5.9901882669278095E-2</v>
      </c>
      <c r="AL61" s="113">
        <f>IFERROR(peer_prices_monthly!AL44/peer_prices_monthly!AL43-1,"")</f>
        <v>9.7847488966491536E-3</v>
      </c>
      <c r="AM61" s="113">
        <f>IFERROR(peer_prices_monthly!AM44/peer_prices_monthly!AM43-1,"")</f>
        <v>8.6441566640310885E-2</v>
      </c>
      <c r="AN61" s="113">
        <f>IFERROR(peer_prices_monthly!AN44/peer_prices_monthly!AN43-1,"")</f>
        <v>2.70163042404441E-2</v>
      </c>
    </row>
    <row r="62" spans="1:40" x14ac:dyDescent="0.25">
      <c r="A62" s="126">
        <f>peer_prices_monthly!A45</f>
        <v>45716</v>
      </c>
      <c r="B62" s="113">
        <f>IFERROR(peer_prices_monthly!B45/peer_prices_monthly!B44-1,"")</f>
        <v>2.5872465978197923E-2</v>
      </c>
      <c r="C62" s="113">
        <f>IFERROR(peer_prices_monthly!C45/peer_prices_monthly!C44-1,"")</f>
        <v>2.5373992926926991E-3</v>
      </c>
      <c r="D62" s="113">
        <f>IFERROR(peer_prices_monthly!D45/peer_prices_monthly!D44-1,"")</f>
        <v>-0.13876668185746377</v>
      </c>
      <c r="E62" s="113">
        <f>IFERROR(peer_prices_monthly!E45/peer_prices_monthly!E44-1,"")</f>
        <v>-0.10686635257151178</v>
      </c>
      <c r="F62" s="113">
        <f>IFERROR(peer_prices_monthly!F45/peer_prices_monthly!F44-1,"")</f>
        <v>-0.17461610828872132</v>
      </c>
      <c r="G62" s="113">
        <f>IFERROR(peer_prices_monthly!G45/peer_prices_monthly!G44-1,"")</f>
        <v>-9.8702996436369039E-2</v>
      </c>
      <c r="H62" s="113">
        <f>IFERROR(peer_prices_monthly!H45/peer_prices_monthly!H44-1,"")</f>
        <v>0.34065152014925348</v>
      </c>
      <c r="I62" s="113">
        <f>IFERROR(peer_prices_monthly!I45/peer_prices_monthly!I44-1,"")</f>
        <v>7.1323612879449438E-2</v>
      </c>
      <c r="J62" s="113">
        <f>IFERROR(peer_prices_monthly!J45/peer_prices_monthly!J44-1,"")</f>
        <v>-0.12832885415777273</v>
      </c>
      <c r="K62" s="113">
        <f>IFERROR(peer_prices_monthly!K45/peer_prices_monthly!K44-1,"")</f>
        <v>-8.1079879293244339E-3</v>
      </c>
      <c r="L62" s="113">
        <f>IFERROR(peer_prices_monthly!L45/peer_prices_monthly!L44-1,"")</f>
        <v>-4.060463752388821E-2</v>
      </c>
      <c r="M62" s="113">
        <f>IFERROR(peer_prices_monthly!M45/peer_prices_monthly!M44-1,"")</f>
        <v>-2.1617937754086047E-2</v>
      </c>
      <c r="N62" s="113">
        <f>IFERROR(peer_prices_monthly!N45/peer_prices_monthly!N44-1,"")</f>
        <v>-6.6719917562353404E-3</v>
      </c>
      <c r="O62" s="113">
        <f>IFERROR(peer_prices_monthly!O45/peer_prices_monthly!O44-1,"")</f>
        <v>-0.16537614216361685</v>
      </c>
      <c r="P62" s="113">
        <f>IFERROR(peer_prices_monthly!P45/peer_prices_monthly!P44-1,"")</f>
        <v>-5.0153738343857168E-2</v>
      </c>
      <c r="Q62" s="113">
        <f>IFERROR(peer_prices_monthly!Q45/peer_prices_monthly!Q44-1,"")</f>
        <v>-6.1721496453406299E-3</v>
      </c>
      <c r="R62" s="113">
        <f>IFERROR(peer_prices_monthly!R45/peer_prices_monthly!R44-1,"")</f>
        <v>0.22130721407735177</v>
      </c>
      <c r="S62" s="113">
        <f>IFERROR(peer_prices_monthly!S45/peer_prices_monthly!S44-1,"")</f>
        <v>-0.19565215738749631</v>
      </c>
      <c r="T62" s="113">
        <f>IFERROR(peer_prices_monthly!T45/peer_prices_monthly!T44-1,"")</f>
        <v>-3.0441913034980672E-2</v>
      </c>
      <c r="U62" s="113">
        <f>IFERROR(peer_prices_monthly!U45/peer_prices_monthly!U44-1,"")</f>
        <v>-4.1618202614432609E-2</v>
      </c>
      <c r="V62" s="113">
        <f>IFERROR(peer_prices_monthly!V45/peer_prices_monthly!V44-1,"")</f>
        <v>2.6194596102813161E-2</v>
      </c>
      <c r="W62" s="113">
        <f>IFERROR(peer_prices_monthly!W45/peer_prices_monthly!W44-1,"")</f>
        <v>-8.7020559464972891E-2</v>
      </c>
      <c r="X62" s="113">
        <f>IFERROR(peer_prices_monthly!X45/peer_prices_monthly!X44-1,"")</f>
        <v>4.0393090491961825E-2</v>
      </c>
      <c r="Y62" s="113">
        <f>IFERROR(peer_prices_monthly!Y45/peer_prices_monthly!Y44-1,"")</f>
        <v>-2.3521155760677592E-2</v>
      </c>
      <c r="Z62" s="113">
        <f>IFERROR(peer_prices_monthly!Z45/peer_prices_monthly!Z44-1,"")</f>
        <v>0.12196603669377781</v>
      </c>
      <c r="AA62" s="113">
        <f>IFERROR(peer_prices_monthly!AA45/peer_prices_monthly!AA44-1,"")</f>
        <v>-9.1134985244339828E-2</v>
      </c>
      <c r="AB62" s="113">
        <f>IFERROR(peer_prices_monthly!AB45/peer_prices_monthly!AB44-1,"")</f>
        <v>-0.18927588922493999</v>
      </c>
      <c r="AC62" s="113">
        <f>IFERROR(peer_prices_monthly!AC45/peer_prices_monthly!AC44-1,"")</f>
        <v>-5.7324860109421949E-2</v>
      </c>
      <c r="AD62" s="113">
        <f>IFERROR(peer_prices_monthly!AD45/peer_prices_monthly!AD44-1,"")</f>
        <v>-3.8397820715144748E-3</v>
      </c>
      <c r="AE62" s="113">
        <f>IFERROR(peer_prices_monthly!AE45/peer_prices_monthly!AE44-1,"")</f>
        <v>-4.1095915465265698E-2</v>
      </c>
      <c r="AF62" s="113">
        <f>IFERROR(peer_prices_monthly!AF45/peer_prices_monthly!AF44-1,"")</f>
        <v>-9.2116914558636687E-2</v>
      </c>
      <c r="AG62" s="113">
        <f>IFERROR(peer_prices_monthly!AG45/peer_prices_monthly!AG44-1,"")</f>
        <v>0.13766473770233101</v>
      </c>
      <c r="AH62" s="113">
        <f>IFERROR(peer_prices_monthly!AH45/peer_prices_monthly!AH44-1,"")</f>
        <v>-3.1226174500781911E-2</v>
      </c>
      <c r="AI62" s="113">
        <f>IFERROR(peer_prices_monthly!AI45/peer_prices_monthly!AI44-1,"")</f>
        <v>-9.1439927528293108E-2</v>
      </c>
      <c r="AJ62" s="113">
        <f>IFERROR(peer_prices_monthly!AJ45/peer_prices_monthly!AJ44-1,"")</f>
        <v>-0.27587739355750251</v>
      </c>
      <c r="AK62" s="113">
        <f>IFERROR(peer_prices_monthly!AK45/peer_prices_monthly!AK44-1,"")</f>
        <v>-0.13754059654927664</v>
      </c>
      <c r="AL62" s="113">
        <f>IFERROR(peer_prices_monthly!AL45/peer_prices_monthly!AL44-1,"")</f>
        <v>-0.40748230945397568</v>
      </c>
      <c r="AM62" s="113">
        <f>IFERROR(peer_prices_monthly!AM45/peer_prices_monthly!AM44-1,"")</f>
        <v>4.5843155778813038E-3</v>
      </c>
      <c r="AN62" s="113">
        <f>IFERROR(peer_prices_monthly!AN45/peer_prices_monthly!AN44-1,"")</f>
        <v>-1.4242092699825126E-2</v>
      </c>
    </row>
    <row r="63" spans="1:40" x14ac:dyDescent="0.25">
      <c r="A63" s="126">
        <f>peer_prices_monthly!A46</f>
        <v>45747</v>
      </c>
      <c r="B63" s="113">
        <f>IFERROR(peer_prices_monthly!B46/peer_prices_monthly!B45-1,"")</f>
        <v>-8.150014433027486E-2</v>
      </c>
      <c r="C63" s="113">
        <f>IFERROR(peer_prices_monthly!C46/peer_prices_monthly!C45-1,"")</f>
        <v>-0.12547883775456425</v>
      </c>
      <c r="D63" s="113">
        <f>IFERROR(peer_prices_monthly!D46/peer_prices_monthly!D45-1,"")</f>
        <v>2.8840348846537411E-2</v>
      </c>
      <c r="E63" s="113">
        <f>IFERROR(peer_prices_monthly!E46/peer_prices_monthly!E45-1,"")</f>
        <v>-0.10373094214756751</v>
      </c>
      <c r="F63" s="113">
        <f>IFERROR(peer_prices_monthly!F46/peer_prices_monthly!F45-1,"")</f>
        <v>-0.18908042421031801</v>
      </c>
      <c r="G63" s="113">
        <f>IFERROR(peer_prices_monthly!G46/peer_prices_monthly!G45-1,"")</f>
        <v>-0.15791686164531837</v>
      </c>
      <c r="H63" s="113">
        <f>IFERROR(peer_prices_monthly!H46/peer_prices_monthly!H45-1,"")</f>
        <v>-2.1129456920960799E-3</v>
      </c>
      <c r="I63" s="113">
        <f>IFERROR(peer_prices_monthly!I46/peer_prices_monthly!I45-1,"")</f>
        <v>-9.8063098549217131E-2</v>
      </c>
      <c r="J63" s="113">
        <f>IFERROR(peer_prices_monthly!J46/peer_prices_monthly!J45-1,"")</f>
        <v>-9.9009738839556882E-2</v>
      </c>
      <c r="K63" s="113">
        <f>IFERROR(peer_prices_monthly!K46/peer_prices_monthly!K45-1,"")</f>
        <v>-0.1129817560889842</v>
      </c>
      <c r="L63" s="113">
        <f>IFERROR(peer_prices_monthly!L46/peer_prices_monthly!L45-1,"")</f>
        <v>5.0928341346286876E-2</v>
      </c>
      <c r="M63" s="113">
        <f>IFERROR(peer_prices_monthly!M46/peer_prices_monthly!M45-1,"")</f>
        <v>5.026176808168703E-2</v>
      </c>
      <c r="N63" s="113">
        <f>IFERROR(peer_prices_monthly!N46/peer_prices_monthly!N45-1,"")</f>
        <v>-4.03039107962615E-2</v>
      </c>
      <c r="O63" s="113">
        <f>IFERROR(peer_prices_monthly!O46/peer_prices_monthly!O45-1,"")</f>
        <v>-9.080264321442455E-2</v>
      </c>
      <c r="P63" s="113">
        <f>IFERROR(peer_prices_monthly!P46/peer_prices_monthly!P45-1,"")</f>
        <v>-9.3862559030958415E-2</v>
      </c>
      <c r="Q63" s="113">
        <f>IFERROR(peer_prices_monthly!Q46/peer_prices_monthly!Q45-1,"")</f>
        <v>-1.4973775144257129E-2</v>
      </c>
      <c r="R63" s="113">
        <f>IFERROR(peer_prices_monthly!R46/peer_prices_monthly!R45-1,"")</f>
        <v>-4.298358522713841E-2</v>
      </c>
      <c r="S63" s="113">
        <f>IFERROR(peer_prices_monthly!S46/peer_prices_monthly!S45-1,"")</f>
        <v>9.0090086993996232E-2</v>
      </c>
      <c r="T63" s="113">
        <f>IFERROR(peer_prices_monthly!T46/peer_prices_monthly!T45-1,"")</f>
        <v>-0.13667648741355742</v>
      </c>
      <c r="U63" s="113">
        <f>IFERROR(peer_prices_monthly!U46/peer_prices_monthly!U45-1,"")</f>
        <v>-5.4409178072004294E-2</v>
      </c>
      <c r="V63" s="113">
        <f>IFERROR(peer_prices_monthly!V46/peer_prices_monthly!V45-1,"")</f>
        <v>-7.0777122435566331E-2</v>
      </c>
      <c r="W63" s="113">
        <f>IFERROR(peer_prices_monthly!W46/peer_prices_monthly!W45-1,"")</f>
        <v>-0.14371450492551219</v>
      </c>
      <c r="X63" s="113">
        <f>IFERROR(peer_prices_monthly!X46/peer_prices_monthly!X45-1,"")</f>
        <v>-0.13232498406486914</v>
      </c>
      <c r="Y63" s="113">
        <f>IFERROR(peer_prices_monthly!Y46/peer_prices_monthly!Y45-1,"")</f>
        <v>-0.15807526990563714</v>
      </c>
      <c r="Z63" s="113">
        <f>IFERROR(peer_prices_monthly!Z46/peer_prices_monthly!Z45-1,"")</f>
        <v>-0.16170902153220235</v>
      </c>
      <c r="AA63" s="113">
        <f>IFERROR(peer_prices_monthly!AA46/peer_prices_monthly!AA45-1,"")</f>
        <v>-1.7380677227682217E-2</v>
      </c>
      <c r="AB63" s="113">
        <f>IFERROR(peer_prices_monthly!AB46/peer_prices_monthly!AB45-1,"")</f>
        <v>-0.35158856275561401</v>
      </c>
      <c r="AC63" s="113">
        <f>IFERROR(peer_prices_monthly!AC46/peer_prices_monthly!AC45-1,"")</f>
        <v>5.1520240609449486E-2</v>
      </c>
      <c r="AD63" s="113">
        <f>IFERROR(peer_prices_monthly!AD46/peer_prices_monthly!AD45-1,"")</f>
        <v>-2.3854553209590956E-2</v>
      </c>
      <c r="AE63" s="113">
        <f>IFERROR(peer_prices_monthly!AE46/peer_prices_monthly!AE45-1,"")</f>
        <v>-0.14749997002737858</v>
      </c>
      <c r="AF63" s="113">
        <f>IFERROR(peer_prices_monthly!AF46/peer_prices_monthly!AF45-1,"")</f>
        <v>-0.15024389871736854</v>
      </c>
      <c r="AG63" s="113">
        <f>IFERROR(peer_prices_monthly!AG46/peer_prices_monthly!AG45-1,"")</f>
        <v>1.6814440159660382E-2</v>
      </c>
      <c r="AH63" s="113">
        <f>IFERROR(peer_prices_monthly!AH46/peer_prices_monthly!AH45-1,"")</f>
        <v>-0.1187107646879908</v>
      </c>
      <c r="AI63" s="113">
        <f>IFERROR(peer_prices_monthly!AI46/peer_prices_monthly!AI45-1,"")</f>
        <v>-0.16001278166203614</v>
      </c>
      <c r="AJ63" s="113">
        <f>IFERROR(peer_prices_monthly!AJ46/peer_prices_monthly!AJ45-1,"")</f>
        <v>-0.11543452131892018</v>
      </c>
      <c r="AK63" s="113">
        <f>IFERROR(peer_prices_monthly!AK46/peer_prices_monthly!AK45-1,"")</f>
        <v>-7.6902557775937463E-2</v>
      </c>
      <c r="AL63" s="113">
        <f>IFERROR(peer_prices_monthly!AL46/peer_prices_monthly!AL45-1,"")</f>
        <v>-0.22184298267665248</v>
      </c>
      <c r="AM63" s="113">
        <f>IFERROR(peer_prices_monthly!AM46/peer_prices_monthly!AM45-1,"")</f>
        <v>-0.10728033796981595</v>
      </c>
      <c r="AN63" s="113">
        <f>IFERROR(peer_prices_monthly!AN46/peer_prices_monthly!AN45-1,"")</f>
        <v>-5.7544697681375379E-2</v>
      </c>
    </row>
    <row r="64" spans="1:40" x14ac:dyDescent="0.25">
      <c r="A64" s="126">
        <f>peer_prices_monthly!A47</f>
        <v>45777</v>
      </c>
      <c r="B64" s="113">
        <f>IFERROR(peer_prices_monthly!B47/peer_prices_monthly!B46-1,"")</f>
        <v>-4.3353020282165589E-2</v>
      </c>
      <c r="C64" s="113">
        <f>IFERROR(peer_prices_monthly!C47/peer_prices_monthly!C46-1,"")</f>
        <v>-2.229287883654929E-2</v>
      </c>
      <c r="D64" s="113">
        <f>IFERROR(peer_prices_monthly!D47/peer_prices_monthly!D46-1,"")</f>
        <v>-5.2462521916687543E-2</v>
      </c>
      <c r="E64" s="113">
        <f>IFERROR(peer_prices_monthly!E47/peer_prices_monthly!E46-1,"")</f>
        <v>-3.0694820280155133E-2</v>
      </c>
      <c r="F64" s="113">
        <f>IFERROR(peer_prices_monthly!F47/peer_prices_monthly!F46-1,"")</f>
        <v>6.7983913044192601E-2</v>
      </c>
      <c r="G64" s="113">
        <f>IFERROR(peer_prices_monthly!G47/peer_prices_monthly!G46-1,"")</f>
        <v>0.14955498149908619</v>
      </c>
      <c r="H64" s="113">
        <f>IFERROR(peer_prices_monthly!H47/peer_prices_monthly!H46-1,"")</f>
        <v>-9.6801073868104215E-2</v>
      </c>
      <c r="I64" s="113">
        <f>IFERROR(peer_prices_monthly!I47/peer_prices_monthly!I46-1,"")</f>
        <v>5.1513035846862287E-2</v>
      </c>
      <c r="J64" s="113">
        <f>IFERROR(peer_prices_monthly!J47/peer_prices_monthly!J46-1,"")</f>
        <v>2.8777014833956116E-3</v>
      </c>
      <c r="K64" s="113">
        <f>IFERROR(peer_prices_monthly!K47/peer_prices_monthly!K46-1,"")</f>
        <v>1.3148286109131657E-2</v>
      </c>
      <c r="L64" s="113">
        <f>IFERROR(peer_prices_monthly!L47/peer_prices_monthly!L46-1,"")</f>
        <v>6.3487783426992017E-3</v>
      </c>
      <c r="M64" s="113">
        <f>IFERROR(peer_prices_monthly!M47/peer_prices_monthly!M46-1,"")</f>
        <v>-1.9939668785682318E-3</v>
      </c>
      <c r="N64" s="113">
        <f>IFERROR(peer_prices_monthly!N47/peer_prices_monthly!N46-1,"")</f>
        <v>-3.806060990258231E-2</v>
      </c>
      <c r="O64" s="113">
        <f>IFERROR(peer_prices_monthly!O47/peer_prices_monthly!O46-1,"")</f>
        <v>2.6901138452414486E-2</v>
      </c>
      <c r="P64" s="113">
        <f>IFERROR(peer_prices_monthly!P47/peer_prices_monthly!P46-1,"")</f>
        <v>-7.6562064880481451E-2</v>
      </c>
      <c r="Q64" s="113">
        <f>IFERROR(peer_prices_monthly!Q47/peer_prices_monthly!Q46-1,"")</f>
        <v>-2.7507465599829861E-2</v>
      </c>
      <c r="R64" s="113">
        <f>IFERROR(peer_prices_monthly!R47/peer_prices_monthly!R46-1,"")</f>
        <v>-0.11492729230391929</v>
      </c>
      <c r="S64" s="113">
        <f>IFERROR(peer_prices_monthly!S47/peer_prices_monthly!S46-1,"")</f>
        <v>3.7190065708946562E-2</v>
      </c>
      <c r="T64" s="113">
        <f>IFERROR(peer_prices_monthly!T47/peer_prices_monthly!T46-1,"")</f>
        <v>-4.7470504512600598E-2</v>
      </c>
      <c r="U64" s="113">
        <f>IFERROR(peer_prices_monthly!U47/peer_prices_monthly!U46-1,"")</f>
        <v>5.2931529773061925E-2</v>
      </c>
      <c r="V64" s="113">
        <f>IFERROR(peer_prices_monthly!V47/peer_prices_monthly!V46-1,"")</f>
        <v>-0.11439754371142075</v>
      </c>
      <c r="W64" s="113">
        <f>IFERROR(peer_prices_monthly!W47/peer_prices_monthly!W46-1,"")</f>
        <v>0.19955034735432098</v>
      </c>
      <c r="X64" s="113">
        <f>IFERROR(peer_prices_monthly!X47/peer_prices_monthly!X46-1,"")</f>
        <v>4.9824108117870747E-3</v>
      </c>
      <c r="Y64" s="113">
        <f>IFERROR(peer_prices_monthly!Y47/peer_prices_monthly!Y46-1,"")</f>
        <v>1.0124151745932064E-2</v>
      </c>
      <c r="Z64" s="113">
        <f>IFERROR(peer_prices_monthly!Z47/peer_prices_monthly!Z46-1,"")</f>
        <v>-0.18322581629599299</v>
      </c>
      <c r="AA64" s="113">
        <f>IFERROR(peer_prices_monthly!AA47/peer_prices_monthly!AA46-1,"")</f>
        <v>-3.3526582263240012E-2</v>
      </c>
      <c r="AB64" s="113">
        <f>IFERROR(peer_prices_monthly!AB47/peer_prices_monthly!AB46-1,"")</f>
        <v>0.11124878931547322</v>
      </c>
      <c r="AC64" s="113">
        <f>IFERROR(peer_prices_monthly!AC47/peer_prices_monthly!AC46-1,"")</f>
        <v>9.7188759573032746E-2</v>
      </c>
      <c r="AD64" s="113">
        <f>IFERROR(peer_prices_monthly!AD47/peer_prices_monthly!AD46-1,"")</f>
        <v>8.8474244704802141E-2</v>
      </c>
      <c r="AE64" s="113">
        <f>IFERROR(peer_prices_monthly!AE47/peer_prices_monthly!AE46-1,"")</f>
        <v>-5.0272658154314476E-3</v>
      </c>
      <c r="AF64" s="113">
        <f>IFERROR(peer_prices_monthly!AF47/peer_prices_monthly!AF46-1,"")</f>
        <v>-8.6107921551692668E-2</v>
      </c>
      <c r="AG64" s="113">
        <f>IFERROR(peer_prices_monthly!AG47/peer_prices_monthly!AG46-1,"")</f>
        <v>2.4025231390917723E-2</v>
      </c>
      <c r="AH64" s="113">
        <f>IFERROR(peer_prices_monthly!AH47/peer_prices_monthly!AH46-1,"")</f>
        <v>-9.9151530300505497E-2</v>
      </c>
      <c r="AI64" s="113">
        <f>IFERROR(peer_prices_monthly!AI47/peer_prices_monthly!AI46-1,"")</f>
        <v>-7.3399834884503634E-2</v>
      </c>
      <c r="AJ64" s="113">
        <f>IFERROR(peer_prices_monthly!AJ47/peer_prices_monthly!AJ46-1,"")</f>
        <v>8.8748262366854958E-2</v>
      </c>
      <c r="AK64" s="113">
        <f>IFERROR(peer_prices_monthly!AK47/peer_prices_monthly!AK46-1,"")</f>
        <v>4.1565080444720959E-3</v>
      </c>
      <c r="AL64" s="113">
        <f>IFERROR(peer_prices_monthly!AL47/peer_prices_monthly!AL46-1,"")</f>
        <v>-1.9919592987426515E-2</v>
      </c>
      <c r="AM64" s="113">
        <f>IFERROR(peer_prices_monthly!AM47/peer_prices_monthly!AM46-1,"")</f>
        <v>0.10775703079767451</v>
      </c>
      <c r="AN64" s="113">
        <f>IFERROR(peer_prices_monthly!AN47/peer_prices_monthly!AN46-1,"")</f>
        <v>-7.6249433462898253E-3</v>
      </c>
    </row>
    <row r="65" spans="1:40" x14ac:dyDescent="0.25">
      <c r="A65" s="126">
        <f>peer_prices_monthly!A48</f>
        <v>45808</v>
      </c>
      <c r="B65" s="113">
        <f>IFERROR(peer_prices_monthly!B48/peer_prices_monthly!B47-1,"")</f>
        <v>-5.3584070052247079E-2</v>
      </c>
      <c r="C65" s="113">
        <f>IFERROR(peer_prices_monthly!C48/peer_prices_monthly!C47-1,"")</f>
        <v>0.10696566263908114</v>
      </c>
      <c r="D65" s="113">
        <f>IFERROR(peer_prices_monthly!D48/peer_prices_monthly!D47-1,"")</f>
        <v>0.13744227110973561</v>
      </c>
      <c r="E65" s="113">
        <f>IFERROR(peer_prices_monthly!E48/peer_prices_monthly!E47-1,"")</f>
        <v>0.1116473080052216</v>
      </c>
      <c r="F65" s="113">
        <f>IFERROR(peer_prices_monthly!F48/peer_prices_monthly!F47-1,"")</f>
        <v>9.1977181789368201E-2</v>
      </c>
      <c r="G65" s="113">
        <f>IFERROR(peer_prices_monthly!G48/peer_prices_monthly!G47-1,"")</f>
        <v>0.25770250453069665</v>
      </c>
      <c r="H65" s="113">
        <f>IFERROR(peer_prices_monthly!H48/peer_prices_monthly!H47-1,"")</f>
        <v>-4.6805693873934628E-2</v>
      </c>
      <c r="I65" s="113">
        <f>IFERROR(peer_prices_monthly!I48/peer_prices_monthly!I47-1,"")</f>
        <v>4.7295509816531522E-2</v>
      </c>
      <c r="J65" s="113">
        <f>IFERROR(peer_prices_monthly!J48/peer_prices_monthly!J47-1,"")</f>
        <v>-1.243001327923754E-2</v>
      </c>
      <c r="K65" s="113">
        <f>IFERROR(peer_prices_monthly!K48/peer_prices_monthly!K47-1,"")</f>
        <v>0.21261982470323781</v>
      </c>
      <c r="L65" s="113">
        <f>IFERROR(peer_prices_monthly!L48/peer_prices_monthly!L47-1,"")</f>
        <v>7.7800445304401666E-2</v>
      </c>
      <c r="M65" s="113">
        <f>IFERROR(peer_prices_monthly!M48/peer_prices_monthly!M47-1,"")</f>
        <v>5.2093689668693877E-2</v>
      </c>
      <c r="N65" s="113">
        <f>IFERROR(peer_prices_monthly!N48/peer_prices_monthly!N47-1,"")</f>
        <v>9.6595854854607976E-2</v>
      </c>
      <c r="O65" s="113">
        <f>IFERROR(peer_prices_monthly!O48/peer_prices_monthly!O47-1,"")</f>
        <v>8.1486148914747814E-2</v>
      </c>
      <c r="P65" s="113">
        <f>IFERROR(peer_prices_monthly!P48/peer_prices_monthly!P47-1,"")</f>
        <v>-2.6202517900559275E-2</v>
      </c>
      <c r="Q65" s="113">
        <f>IFERROR(peer_prices_monthly!Q48/peer_prices_monthly!Q47-1,"")</f>
        <v>7.842156641446052E-2</v>
      </c>
      <c r="R65" s="113">
        <f>IFERROR(peer_prices_monthly!R48/peer_prices_monthly!R47-1,"")</f>
        <v>-2.736324049606631E-2</v>
      </c>
      <c r="S65" s="113">
        <f>IFERROR(peer_prices_monthly!S48/peer_prices_monthly!S47-1,"")</f>
        <v>-0.11155382875915421</v>
      </c>
      <c r="T65" s="113">
        <f>IFERROR(peer_prices_monthly!T48/peer_prices_monthly!T47-1,"")</f>
        <v>0.17939913856479706</v>
      </c>
      <c r="U65" s="113">
        <f>IFERROR(peer_prices_monthly!U48/peer_prices_monthly!U47-1,"")</f>
        <v>0.16683986059240441</v>
      </c>
      <c r="V65" s="113">
        <f>IFERROR(peer_prices_monthly!V48/peer_prices_monthly!V47-1,"")</f>
        <v>0.22755045098792714</v>
      </c>
      <c r="W65" s="113">
        <f>IFERROR(peer_prices_monthly!W48/peer_prices_monthly!W47-1,"")</f>
        <v>5.8721916432721066E-2</v>
      </c>
      <c r="X65" s="113">
        <f>IFERROR(peer_prices_monthly!X48/peer_prices_monthly!X47-1,"")</f>
        <v>0.24063552730278981</v>
      </c>
      <c r="Y65" s="113">
        <f>IFERROR(peer_prices_monthly!Y48/peer_prices_monthly!Y47-1,"")</f>
        <v>0.17630767374260126</v>
      </c>
      <c r="Z65" s="113">
        <f>IFERROR(peer_prices_monthly!Z48/peer_prices_monthly!Z47-1,"")</f>
        <v>0.22867302469639861</v>
      </c>
      <c r="AA65" s="113">
        <f>IFERROR(peer_prices_monthly!AA48/peer_prices_monthly!AA47-1,"")</f>
        <v>-2.1958790684965868E-2</v>
      </c>
      <c r="AB65" s="113">
        <f>IFERROR(peer_prices_monthly!AB48/peer_prices_monthly!AB47-1,"")</f>
        <v>-3.6201434603679528E-2</v>
      </c>
      <c r="AC65" s="113">
        <f>IFERROR(peer_prices_monthly!AC48/peer_prices_monthly!AC47-1,"")</f>
        <v>6.3689597018839139E-2</v>
      </c>
      <c r="AD65" s="113">
        <f>IFERROR(peer_prices_monthly!AD48/peer_prices_monthly!AD47-1,"")</f>
        <v>4.5888945120172941E-2</v>
      </c>
      <c r="AE65" s="113">
        <f>IFERROR(peer_prices_monthly!AE48/peer_prices_monthly!AE47-1,"")</f>
        <v>0.128631591796875</v>
      </c>
      <c r="AF65" s="113">
        <f>IFERROR(peer_prices_monthly!AF48/peer_prices_monthly!AF47-1,"")</f>
        <v>3.6432155837091917E-2</v>
      </c>
      <c r="AG65" s="113">
        <f>IFERROR(peer_prices_monthly!AG48/peer_prices_monthly!AG47-1,"")</f>
        <v>1.4615352337177034E-2</v>
      </c>
      <c r="AH65" s="113">
        <f>IFERROR(peer_prices_monthly!AH48/peer_prices_monthly!AH47-1,"")</f>
        <v>9.2672482230364839E-2</v>
      </c>
      <c r="AI65" s="113">
        <f>IFERROR(peer_prices_monthly!AI48/peer_prices_monthly!AI47-1,"")</f>
        <v>-1.670405090809135E-2</v>
      </c>
      <c r="AJ65" s="113">
        <f>IFERROR(peer_prices_monthly!AJ48/peer_prices_monthly!AJ47-1,"")</f>
        <v>0.22788484178632529</v>
      </c>
      <c r="AK65" s="113">
        <f>IFERROR(peer_prices_monthly!AK48/peer_prices_monthly!AK47-1,"")</f>
        <v>0.15975753294903217</v>
      </c>
      <c r="AL65" s="113">
        <f>IFERROR(peer_prices_monthly!AL48/peer_prices_monthly!AL47-1,"")</f>
        <v>0.40257318147666132</v>
      </c>
      <c r="AM65" s="113">
        <f>IFERROR(peer_prices_monthly!AM48/peer_prices_monthly!AM47-1,"")</f>
        <v>1.7570099120008287E-2</v>
      </c>
      <c r="AN65" s="113">
        <f>IFERROR(peer_prices_monthly!AN48/peer_prices_monthly!AN47-1,"")</f>
        <v>6.1523826140782889E-2</v>
      </c>
    </row>
    <row r="66" spans="1:40" x14ac:dyDescent="0.25">
      <c r="A66" s="126">
        <f>peer_prices_monthly!A49</f>
        <v>45838</v>
      </c>
      <c r="B66" s="113">
        <f>IFERROR(peer_prices_monthly!B49/peer_prices_monthly!B48-1,"")</f>
        <v>2.1508605211605802E-2</v>
      </c>
      <c r="C66" s="113">
        <f>IFERROR(peer_prices_monthly!C49/peer_prices_monthly!C48-1,"")</f>
        <v>-6.796114506241846E-2</v>
      </c>
      <c r="D66" s="113">
        <f>IFERROR(peer_prices_monthly!D49/peer_prices_monthly!D48-1,"")</f>
        <v>0.28149543569573998</v>
      </c>
      <c r="E66" s="113">
        <f>IFERROR(peer_prices_monthly!E49/peer_prices_monthly!E48-1,"")</f>
        <v>7.0142945554456881E-2</v>
      </c>
      <c r="F66" s="113">
        <f>IFERROR(peer_prices_monthly!F49/peer_prices_monthly!F48-1,"")</f>
        <v>0.29869924766476141</v>
      </c>
      <c r="G66" s="113">
        <f>IFERROR(peer_prices_monthly!G49/peer_prices_monthly!G48-1,"")</f>
        <v>0.14140037846415243</v>
      </c>
      <c r="H66" s="113">
        <f>IFERROR(peer_prices_monthly!H49/peer_prices_monthly!H48-1,"")</f>
        <v>1.3060861851404315E-2</v>
      </c>
      <c r="I66" s="113">
        <f>IFERROR(peer_prices_monthly!I49/peer_prices_monthly!I48-1,"")</f>
        <v>-4.8299374728575817E-2</v>
      </c>
      <c r="J66" s="113">
        <f>IFERROR(peer_prices_monthly!J49/peer_prices_monthly!J48-1,"")</f>
        <v>2.9213692490345222E-2</v>
      </c>
      <c r="K66" s="113">
        <f>IFERROR(peer_prices_monthly!K49/peer_prices_monthly!K48-1,"")</f>
        <v>0.10182437281083767</v>
      </c>
      <c r="L66" s="113">
        <f>IFERROR(peer_prices_monthly!L49/peer_prices_monthly!L48-1,"")</f>
        <v>1.763012486161375E-2</v>
      </c>
      <c r="M66" s="113">
        <f>IFERROR(peer_prices_monthly!M49/peer_prices_monthly!M48-1,"")</f>
        <v>4.5279439806360955E-2</v>
      </c>
      <c r="N66" s="113">
        <f>IFERROR(peer_prices_monthly!N49/peer_prices_monthly!N48-1,"")</f>
        <v>-4.9039595520836698E-3</v>
      </c>
      <c r="O66" s="113">
        <f>IFERROR(peer_prices_monthly!O49/peer_prices_monthly!O48-1,"")</f>
        <v>2.7386522135337099E-2</v>
      </c>
      <c r="P66" s="113">
        <f>IFERROR(peer_prices_monthly!P49/peer_prices_monthly!P48-1,"")</f>
        <v>-6.4367193314249782E-3</v>
      </c>
      <c r="Q66" s="113">
        <f>IFERROR(peer_prices_monthly!Q49/peer_prices_monthly!Q48-1,"")</f>
        <v>0.13788317123694638</v>
      </c>
      <c r="R66" s="113">
        <f>IFERROR(peer_prices_monthly!R49/peer_prices_monthly!R48-1,"")</f>
        <v>0.14578007635248591</v>
      </c>
      <c r="S66" s="113">
        <f>IFERROR(peer_prices_monthly!S49/peer_prices_monthly!S48-1,"")</f>
        <v>-5.3811609715059161E-2</v>
      </c>
      <c r="T66" s="113">
        <f>IFERROR(peer_prices_monthly!T49/peer_prices_monthly!T48-1,"")</f>
        <v>0.1408019465265502</v>
      </c>
      <c r="U66" s="113">
        <f>IFERROR(peer_prices_monthly!U49/peer_prices_monthly!U48-1,"")</f>
        <v>8.0480501268982207E-2</v>
      </c>
      <c r="V66" s="113">
        <f>IFERROR(peer_prices_monthly!V49/peer_prices_monthly!V48-1,"")</f>
        <v>0.30478508731904363</v>
      </c>
      <c r="W66" s="113">
        <f>IFERROR(peer_prices_monthly!W49/peer_prices_monthly!W48-1,"")</f>
        <v>1.6803622606018864E-2</v>
      </c>
      <c r="X66" s="113">
        <f>IFERROR(peer_prices_monthly!X49/peer_prices_monthly!X48-1,"")</f>
        <v>0.16925156332564284</v>
      </c>
      <c r="Y66" s="113">
        <f>IFERROR(peer_prices_monthly!Y49/peer_prices_monthly!Y48-1,"")</f>
        <v>0.32078793405324402</v>
      </c>
      <c r="Z66" s="113">
        <f>IFERROR(peer_prices_monthly!Z49/peer_prices_monthly!Z48-1,"")</f>
        <v>0.15268402143391424</v>
      </c>
      <c r="AA66" s="113">
        <f>IFERROR(peer_prices_monthly!AA49/peer_prices_monthly!AA48-1,"")</f>
        <v>0.10342070827873884</v>
      </c>
      <c r="AB66" s="113">
        <f>IFERROR(peer_prices_monthly!AB49/peer_prices_monthly!AB48-1,"")</f>
        <v>0.34018699928065699</v>
      </c>
      <c r="AC66" s="113">
        <f>IFERROR(peer_prices_monthly!AC49/peer_prices_monthly!AC48-1,"")</f>
        <v>-5.437026678399548E-2</v>
      </c>
      <c r="AD66" s="113">
        <f>IFERROR(peer_prices_monthly!AD49/peer_prices_monthly!AD48-1,"")</f>
        <v>4.0942961363861219E-3</v>
      </c>
      <c r="AE66" s="113">
        <f>IFERROR(peer_prices_monthly!AE49/peer_prices_monthly!AE48-1,"")</f>
        <v>7.5825379228294132E-2</v>
      </c>
      <c r="AF66" s="113">
        <f>IFERROR(peer_prices_monthly!AF49/peer_prices_monthly!AF48-1,"")</f>
        <v>5.3333282470703125E-2</v>
      </c>
      <c r="AG66" s="113">
        <f>IFERROR(peer_prices_monthly!AG49/peer_prices_monthly!AG48-1,"")</f>
        <v>-1.3267569569965221E-2</v>
      </c>
      <c r="AH66" s="113">
        <f>IFERROR(peer_prices_monthly!AH49/peer_prices_monthly!AH48-1,"")</f>
        <v>-1.084818605790272E-2</v>
      </c>
      <c r="AI66" s="113">
        <f>IFERROR(peer_prices_monthly!AI49/peer_prices_monthly!AI48-1,"")</f>
        <v>4.9356557277761448E-2</v>
      </c>
      <c r="AJ66" s="113">
        <f>IFERROR(peer_prices_monthly!AJ49/peer_prices_monthly!AJ48-1,"")</f>
        <v>-8.3126446063839232E-2</v>
      </c>
      <c r="AK66" s="113">
        <f>IFERROR(peer_prices_monthly!AK49/peer_prices_monthly!AK48-1,"")</f>
        <v>0.17586470298432944</v>
      </c>
      <c r="AL66" s="113">
        <f>IFERROR(peer_prices_monthly!AL49/peer_prices_monthly!AL48-1,"")</f>
        <v>-4.2940751190051696E-2</v>
      </c>
      <c r="AM66" s="113">
        <f>IFERROR(peer_prices_monthly!AM49/peer_prices_monthly!AM48-1,"")</f>
        <v>-9.521949610746927E-3</v>
      </c>
      <c r="AN66" s="113">
        <f>IFERROR(peer_prices_monthly!AN49/peer_prices_monthly!AN48-1,"")</f>
        <v>4.9606839467715824E-2</v>
      </c>
    </row>
    <row r="67" spans="1:40" x14ac:dyDescent="0.25">
      <c r="A67" s="126">
        <f>peer_prices_monthly!A50</f>
        <v>45869</v>
      </c>
      <c r="B67" s="113">
        <f>IFERROR(peer_prices_monthly!B50/peer_prices_monthly!B49-1,"")</f>
        <v>1.1697625508581444E-2</v>
      </c>
      <c r="C67" s="113">
        <f>IFERROR(peer_prices_monthly!C50/peer_prices_monthly!C49-1,"")</f>
        <v>-7.5449757219290814E-2</v>
      </c>
      <c r="D67" s="113">
        <f>IFERROR(peer_prices_monthly!D50/peer_prices_monthly!D49-1,"")</f>
        <v>0.24249475082579197</v>
      </c>
      <c r="E67" s="113">
        <f>IFERROR(peer_prices_monthly!E50/peer_prices_monthly!E49-1,"")</f>
        <v>6.7095133149435826E-2</v>
      </c>
      <c r="F67" s="113">
        <f>IFERROR(peer_prices_monthly!F50/peer_prices_monthly!F49-1,"")</f>
        <v>-0.12591198714918306</v>
      </c>
      <c r="G67" s="113">
        <f>IFERROR(peer_prices_monthly!G50/peer_prices_monthly!G49-1,"")</f>
        <v>6.5481680305500278E-2</v>
      </c>
      <c r="H67" s="113">
        <f>IFERROR(peer_prices_monthly!H50/peer_prices_monthly!H49-1,"")</f>
        <v>6.3662760699543686E-2</v>
      </c>
      <c r="I67" s="113">
        <f>IFERROR(peer_prices_monthly!I50/peer_prices_monthly!I49-1,"")</f>
        <v>-5.0811207451927909E-2</v>
      </c>
      <c r="J67" s="113">
        <f>IFERROR(peer_prices_monthly!J50/peer_prices_monthly!J49-1,"")</f>
        <v>-5.266050088301899E-2</v>
      </c>
      <c r="K67" s="113">
        <f>IFERROR(peer_prices_monthly!K50/peer_prices_monthly!K49-1,"")</f>
        <v>8.6724276471884298E-2</v>
      </c>
      <c r="L67" s="113">
        <f>IFERROR(peer_prices_monthly!L50/peer_prices_monthly!L49-1,"")</f>
        <v>0.23220524658719022</v>
      </c>
      <c r="M67" s="113">
        <f>IFERROR(peer_prices_monthly!M50/peer_prices_monthly!M49-1,"")</f>
        <v>2.0276380558529317E-2</v>
      </c>
      <c r="N67" s="113">
        <f>IFERROR(peer_prices_monthly!N50/peer_prices_monthly!N49-1,"")</f>
        <v>8.3926007926213408E-2</v>
      </c>
      <c r="O67" s="113">
        <f>IFERROR(peer_prices_monthly!O50/peer_prices_monthly!O49-1,"")</f>
        <v>8.8917728529258167E-2</v>
      </c>
      <c r="P67" s="113">
        <f>IFERROR(peer_prices_monthly!P50/peer_prices_monthly!P49-1,"")</f>
        <v>1.3900174714416735E-2</v>
      </c>
      <c r="Q67" s="113">
        <f>IFERROR(peer_prices_monthly!Q50/peer_prices_monthly!Q49-1,"")</f>
        <v>-0.14122398180508766</v>
      </c>
      <c r="R67" s="113">
        <f>IFERROR(peer_prices_monthly!R50/peer_prices_monthly!R49-1,"")</f>
        <v>-0.11607144757801202</v>
      </c>
      <c r="S67" s="113">
        <f>IFERROR(peer_prices_monthly!S50/peer_prices_monthly!S49-1,"")</f>
        <v>0.16587677425227643</v>
      </c>
      <c r="T67" s="113">
        <f>IFERROR(peer_prices_monthly!T50/peer_prices_monthly!T49-1,"")</f>
        <v>4.7893857332087064E-2</v>
      </c>
      <c r="U67" s="113">
        <f>IFERROR(peer_prices_monthly!U50/peer_prices_monthly!U49-1,"")</f>
        <v>7.2555846107834832E-2</v>
      </c>
      <c r="V67" s="113">
        <f>IFERROR(peer_prices_monthly!V50/peer_prices_monthly!V49-1,"")</f>
        <v>-0.11364930304085319</v>
      </c>
      <c r="W67" s="113">
        <f>IFERROR(peer_prices_monthly!W50/peer_prices_monthly!W49-1,"")</f>
        <v>-8.2639505760561005E-2</v>
      </c>
      <c r="X67" s="113">
        <f>IFERROR(peer_prices_monthly!X50/peer_prices_monthly!X49-1,"")</f>
        <v>0.1258307696488512</v>
      </c>
      <c r="Y67" s="113">
        <f>IFERROR(peer_prices_monthly!Y50/peer_prices_monthly!Y49-1,"")</f>
        <v>0.16319454048139193</v>
      </c>
      <c r="Z67" s="113">
        <f>IFERROR(peer_prices_monthly!Z50/peer_prices_monthly!Z49-1,"")</f>
        <v>7.640819345046479E-2</v>
      </c>
      <c r="AA67" s="113">
        <f>IFERROR(peer_prices_monthly!AA50/peer_prices_monthly!AA49-1,"")</f>
        <v>-7.8488092822627031E-2</v>
      </c>
      <c r="AB67" s="113">
        <f>IFERROR(peer_prices_monthly!AB50/peer_prices_monthly!AB49-1,"")</f>
        <v>6.6547044738439087E-2</v>
      </c>
      <c r="AC67" s="113">
        <f>IFERROR(peer_prices_monthly!AC50/peer_prices_monthly!AC49-1,"")</f>
        <v>-6.3318770018311432E-2</v>
      </c>
      <c r="AD67" s="113">
        <f>IFERROR(peer_prices_monthly!AD50/peer_prices_monthly!AD49-1,"")</f>
        <v>-5.7217919800573447E-2</v>
      </c>
      <c r="AE67" s="113">
        <f>IFERROR(peer_prices_monthly!AE50/peer_prices_monthly!AE49-1,"")</f>
        <v>5.9471180763739806E-2</v>
      </c>
      <c r="AF67" s="113">
        <f>IFERROR(peer_prices_monthly!AF50/peer_prices_monthly!AF49-1,"")</f>
        <v>8.5155438495411406E-2</v>
      </c>
      <c r="AG67" s="113">
        <f>IFERROR(peer_prices_monthly!AG50/peer_prices_monthly!AG49-1,"")</f>
        <v>-6.5693467027013619E-2</v>
      </c>
      <c r="AH67" s="113">
        <f>IFERROR(peer_prices_monthly!AH50/peer_prices_monthly!AH49-1,"")</f>
        <v>-0.11365896510455187</v>
      </c>
      <c r="AI67" s="113">
        <f>IFERROR(peer_prices_monthly!AI50/peer_prices_monthly!AI49-1,"")</f>
        <v>1.875319460423075E-2</v>
      </c>
      <c r="AJ67" s="113">
        <f>IFERROR(peer_prices_monthly!AJ50/peer_prices_monthly!AJ49-1,"")</f>
        <v>-2.9559952591404981E-2</v>
      </c>
      <c r="AK67" s="113">
        <f>IFERROR(peer_prices_monthly!AK50/peer_prices_monthly!AK49-1,"")</f>
        <v>6.6802099001381787E-2</v>
      </c>
      <c r="AL67" s="113">
        <f>IFERROR(peer_prices_monthly!AL50/peer_prices_monthly!AL49-1,"")</f>
        <v>0.20794557111991652</v>
      </c>
      <c r="AM67" s="113">
        <f>IFERROR(peer_prices_monthly!AM50/peer_prices_monthly!AM49-1,"")</f>
        <v>2.0455620846464573E-3</v>
      </c>
      <c r="AN67" s="113">
        <f>IFERROR(peer_prices_monthly!AN50/peer_prices_monthly!AN49-1,"")</f>
        <v>2.1666562530640698E-2</v>
      </c>
    </row>
    <row r="68" spans="1:40" x14ac:dyDescent="0.25">
      <c r="A68" s="126">
        <f>peer_prices_monthly!A51</f>
        <v>45900</v>
      </c>
      <c r="B68" s="113">
        <f>IFERROR(peer_prices_monthly!B51/peer_prices_monthly!B50-1,"")</f>
        <v>0.11963891948030181</v>
      </c>
      <c r="C68" s="113">
        <f>IFERROR(peer_prices_monthly!C51/peer_prices_monthly!C50-1,"")</f>
        <v>-2.7677324711841145E-3</v>
      </c>
      <c r="D68" s="113">
        <f>IFERROR(peer_prices_monthly!D51/peer_prices_monthly!D50-1,"")</f>
        <v>-7.7590566985487719E-2</v>
      </c>
      <c r="E68" s="113">
        <f>IFERROR(peer_prices_monthly!E51/peer_prices_monthly!E50-1,"")</f>
        <v>-2.1827348669553603E-2</v>
      </c>
      <c r="F68" s="113">
        <f>IFERROR(peer_prices_monthly!F51/peer_prices_monthly!F50-1,"")</f>
        <v>-2.1679946535145933E-2</v>
      </c>
      <c r="G68" s="113">
        <f>IFERROR(peer_prices_monthly!G51/peer_prices_monthly!G50-1,"")</f>
        <v>1.2563901519778264E-2</v>
      </c>
      <c r="H68" s="113">
        <f>IFERROR(peer_prices_monthly!H51/peer_prices_monthly!H50-1,"")</f>
        <v>0.11912465987337861</v>
      </c>
      <c r="I68" s="113">
        <f>IFERROR(peer_prices_monthly!I51/peer_prices_monthly!I50-1,"")</f>
        <v>5.3071774802637695E-3</v>
      </c>
      <c r="J68" s="113">
        <f>IFERROR(peer_prices_monthly!J51/peer_prices_monthly!J50-1,"")</f>
        <v>-8.051667916977423E-3</v>
      </c>
      <c r="K68" s="113">
        <f>IFERROR(peer_prices_monthly!K51/peer_prices_monthly!K50-1,"")</f>
        <v>-7.9433213770415234E-2</v>
      </c>
      <c r="L68" s="113">
        <f>IFERROR(peer_prices_monthly!L51/peer_prices_monthly!L50-1,"")</f>
        <v>-9.3292499230844816E-3</v>
      </c>
      <c r="M68" s="113">
        <f>IFERROR(peer_prices_monthly!M51/peer_prices_monthly!M50-1,"")</f>
        <v>7.7512157829541017E-2</v>
      </c>
      <c r="N68" s="113">
        <f>IFERROR(peer_prices_monthly!N51/peer_prices_monthly!N50-1,"")</f>
        <v>9.8425215603473282E-2</v>
      </c>
      <c r="O68" s="113">
        <f>IFERROR(peer_prices_monthly!O51/peer_prices_monthly!O50-1,"")</f>
        <v>0.10948423286893694</v>
      </c>
      <c r="P68" s="113">
        <f>IFERROR(peer_prices_monthly!P51/peer_prices_monthly!P50-1,"")</f>
        <v>0.15080650488621661</v>
      </c>
      <c r="Q68" s="113">
        <f>IFERROR(peer_prices_monthly!Q51/peer_prices_monthly!Q50-1,"")</f>
        <v>-3.1656043356211971E-2</v>
      </c>
      <c r="R68" s="113">
        <f>IFERROR(peer_prices_monthly!R51/peer_prices_monthly!R50-1,"")</f>
        <v>0.22979804645106938</v>
      </c>
      <c r="S68" s="113">
        <f>IFERROR(peer_prices_monthly!S51/peer_prices_monthly!S50-1,"")</f>
        <v>-0.19512199471447345</v>
      </c>
      <c r="T68" s="113">
        <f>IFERROR(peer_prices_monthly!T51/peer_prices_monthly!T50-1,"")</f>
        <v>-4.4916237050145691E-2</v>
      </c>
      <c r="U68" s="113">
        <f>IFERROR(peer_prices_monthly!U51/peer_prices_monthly!U50-1,"")</f>
        <v>-4.8691769534084828E-2</v>
      </c>
      <c r="V68" s="113">
        <f>IFERROR(peer_prices_monthly!V51/peer_prices_monthly!V50-1,"")</f>
        <v>9.0434338397372915E-2</v>
      </c>
      <c r="W68" s="113">
        <f>IFERROR(peer_prices_monthly!W51/peer_prices_monthly!W50-1,"")</f>
        <v>-2.7207506563437844E-2</v>
      </c>
      <c r="X68" s="113">
        <f>IFERROR(peer_prices_monthly!X51/peer_prices_monthly!X50-1,"")</f>
        <v>-2.0745643301518069E-2</v>
      </c>
      <c r="Y68" s="113">
        <f>IFERROR(peer_prices_monthly!Y51/peer_prices_monthly!Y50-1,"")</f>
        <v>-0.10891753243136015</v>
      </c>
      <c r="Z68" s="113">
        <f>IFERROR(peer_prices_monthly!Z51/peer_prices_monthly!Z50-1,"")</f>
        <v>-5.1036204245619832E-2</v>
      </c>
      <c r="AA68" s="113">
        <f>IFERROR(peer_prices_monthly!AA51/peer_prices_monthly!AA50-1,"")</f>
        <v>9.5189599222975874E-2</v>
      </c>
      <c r="AB68" s="113">
        <f>IFERROR(peer_prices_monthly!AB51/peer_prices_monthly!AB50-1,"")</f>
        <v>0.4015817109645694</v>
      </c>
      <c r="AC68" s="113">
        <f>IFERROR(peer_prices_monthly!AC51/peer_prices_monthly!AC50-1,"")</f>
        <v>5.4390040053580613E-2</v>
      </c>
      <c r="AD68" s="113">
        <f>IFERROR(peer_prices_monthly!AD51/peer_prices_monthly!AD50-1,"")</f>
        <v>-5.071504810882832E-2</v>
      </c>
      <c r="AE68" s="113">
        <f>IFERROR(peer_prices_monthly!AE51/peer_prices_monthly!AE50-1,"")</f>
        <v>0.15604287568681574</v>
      </c>
      <c r="AF68" s="113">
        <f>IFERROR(peer_prices_monthly!AF51/peer_prices_monthly!AF50-1,"")</f>
        <v>-0.24284203229911761</v>
      </c>
      <c r="AG68" s="113">
        <f>IFERROR(peer_prices_monthly!AG51/peer_prices_monthly!AG50-1,"")</f>
        <v>0.13157898039038529</v>
      </c>
      <c r="AH68" s="113">
        <f>IFERROR(peer_prices_monthly!AH51/peer_prices_monthly!AH50-1,"")</f>
        <v>8.3239566090002937E-2</v>
      </c>
      <c r="AI68" s="113">
        <f>IFERROR(peer_prices_monthly!AI51/peer_prices_monthly!AI50-1,"")</f>
        <v>-3.4618100610503966E-2</v>
      </c>
      <c r="AJ68" s="113">
        <f>IFERROR(peer_prices_monthly!AJ51/peer_prices_monthly!AJ50-1,"")</f>
        <v>8.3044107489750774E-2</v>
      </c>
      <c r="AK68" s="113">
        <f>IFERROR(peer_prices_monthly!AK51/peer_prices_monthly!AK50-1,"")</f>
        <v>-4.4491431271389881E-2</v>
      </c>
      <c r="AL68" s="113">
        <f>IFERROR(peer_prices_monthly!AL51/peer_prices_monthly!AL50-1,"")</f>
        <v>-0.37143513773136583</v>
      </c>
      <c r="AM68" s="113">
        <f>IFERROR(peer_prices_monthly!AM51/peer_prices_monthly!AM50-1,"")</f>
        <v>-7.8945014950981829E-3</v>
      </c>
      <c r="AN68" s="113">
        <f>IFERROR(peer_prices_monthly!AN51/peer_prices_monthly!AN50-1,"")</f>
        <v>1.9066444295036122E-2</v>
      </c>
    </row>
    <row r="69" spans="1:40" x14ac:dyDescent="0.25">
      <c r="A69" s="126">
        <f>peer_prices_monthly!A52</f>
        <v>45930</v>
      </c>
      <c r="B69" s="113">
        <f>IFERROR(peer_prices_monthly!B52/peer_prices_monthly!B51-1,"")</f>
        <v>9.6881219262932694E-2</v>
      </c>
      <c r="C69" s="113">
        <f>IFERROR(peer_prices_monthly!C52/peer_prices_monthly!C51-1,"")</f>
        <v>-1.1073765270124603E-2</v>
      </c>
      <c r="D69" s="113">
        <f>IFERROR(peer_prices_monthly!D52/peer_prices_monthly!D51-1,"")</f>
        <v>-5.1651698423361703E-3</v>
      </c>
      <c r="E69" s="113">
        <f>IFERROR(peer_prices_monthly!E52/peer_prices_monthly!E51-1,"")</f>
        <v>-4.1179007317822092E-2</v>
      </c>
      <c r="F69" s="113">
        <f>IFERROR(peer_prices_monthly!F52/peer_prices_monthly!F51-1,"")</f>
        <v>2.2991887721081961E-2</v>
      </c>
      <c r="G69" s="113">
        <f>IFERROR(peer_prices_monthly!G52/peer_prices_monthly!G51-1,"")</f>
        <v>0.11125198134296954</v>
      </c>
      <c r="H69" s="113">
        <f>IFERROR(peer_prices_monthly!H52/peer_prices_monthly!H51-1,"")</f>
        <v>0.32392584516712164</v>
      </c>
      <c r="I69" s="113">
        <f>IFERROR(peer_prices_monthly!I52/peer_prices_monthly!I51-1,"")</f>
        <v>-1.8752869214826662E-2</v>
      </c>
      <c r="J69" s="113">
        <f>IFERROR(peer_prices_monthly!J52/peer_prices_monthly!J51-1,"")</f>
        <v>-7.3511516721416648E-2</v>
      </c>
      <c r="K69" s="113">
        <f>IFERROR(peer_prices_monthly!K52/peer_prices_monthly!K51-1,"")</f>
        <v>0.16062220542727879</v>
      </c>
      <c r="L69" s="113">
        <f>IFERROR(peer_prices_monthly!L52/peer_prices_monthly!L51-1,"")</f>
        <v>3.7523042235674264E-3</v>
      </c>
      <c r="M69" s="113">
        <f>IFERROR(peer_prices_monthly!M52/peer_prices_monthly!M51-1,"")</f>
        <v>1.6142730137892247E-2</v>
      </c>
      <c r="N69" s="113">
        <f>IFERROR(peer_prices_monthly!N52/peer_prices_monthly!N51-1,"")</f>
        <v>4.3312543927237712E-2</v>
      </c>
      <c r="O69" s="113">
        <f>IFERROR(peer_prices_monthly!O52/peer_prices_monthly!O51-1,"")</f>
        <v>0.14281825997597464</v>
      </c>
      <c r="P69" s="113">
        <f>IFERROR(peer_prices_monthly!P52/peer_prices_monthly!P51-1,"")</f>
        <v>-3.6310063890064193E-2</v>
      </c>
      <c r="Q69" s="113">
        <f>IFERROR(peer_prices_monthly!Q52/peer_prices_monthly!Q51-1,"")</f>
        <v>0.15881554588052049</v>
      </c>
      <c r="R69" s="113">
        <f>IFERROR(peer_prices_monthly!R52/peer_prices_monthly!R51-1,"")</f>
        <v>0.37782335570688486</v>
      </c>
      <c r="S69" s="113">
        <f>IFERROR(peer_prices_monthly!S52/peer_prices_monthly!S51-1,"")</f>
        <v>0.20151524405104682</v>
      </c>
      <c r="T69" s="113">
        <f>IFERROR(peer_prices_monthly!T52/peer_prices_monthly!T51-1,"")</f>
        <v>-5.1770975542974051E-3</v>
      </c>
      <c r="U69" s="113">
        <f>IFERROR(peer_prices_monthly!U52/peer_prices_monthly!U51-1,"")</f>
        <v>2.2222744821464024E-2</v>
      </c>
      <c r="V69" s="113">
        <f>IFERROR(peer_prices_monthly!V52/peer_prices_monthly!V51-1,"")</f>
        <v>0.40593231668250729</v>
      </c>
      <c r="W69" s="113">
        <f>IFERROR(peer_prices_monthly!W52/peer_prices_monthly!W51-1,"")</f>
        <v>3.0736781321296647E-3</v>
      </c>
      <c r="X69" s="113">
        <f>IFERROR(peer_prices_monthly!X52/peer_prices_monthly!X51-1,"")</f>
        <v>7.1251213609691888E-2</v>
      </c>
      <c r="Y69" s="113">
        <f>IFERROR(peer_prices_monthly!Y52/peer_prices_monthly!Y51-1,"")</f>
        <v>0.24370936315274028</v>
      </c>
      <c r="Z69" s="113">
        <f>IFERROR(peer_prices_monthly!Z52/peer_prices_monthly!Z51-1,"")</f>
        <v>-0.1217581973551225</v>
      </c>
      <c r="AA69" s="113">
        <f>IFERROR(peer_prices_monthly!AA52/peer_prices_monthly!AA51-1,"")</f>
        <v>4.0917809791387594E-2</v>
      </c>
      <c r="AB69" s="113">
        <f>IFERROR(peer_prices_monthly!AB52/peer_prices_monthly!AB51-1,"")</f>
        <v>2.1814482060449114E-2</v>
      </c>
      <c r="AC69" s="113">
        <f>IFERROR(peer_prices_monthly!AC52/peer_prices_monthly!AC51-1,"")</f>
        <v>8.1798130826409077E-2</v>
      </c>
      <c r="AD69" s="113">
        <f>IFERROR(peer_prices_monthly!AD52/peer_prices_monthly!AD51-1,"")</f>
        <v>-1.8187930809862696E-2</v>
      </c>
      <c r="AE69" s="113">
        <f>IFERROR(peer_prices_monthly!AE52/peer_prices_monthly!AE51-1,"")</f>
        <v>5.1882799365714716E-2</v>
      </c>
      <c r="AF69" s="113">
        <f>IFERROR(peer_prices_monthly!AF52/peer_prices_monthly!AF51-1,"")</f>
        <v>7.9831958308136386E-2</v>
      </c>
      <c r="AG69" s="113">
        <f>IFERROR(peer_prices_monthly!AG52/peer_prices_monthly!AG51-1,"")</f>
        <v>4.6148271680184205E-2</v>
      </c>
      <c r="AH69" s="113">
        <f>IFERROR(peer_prices_monthly!AH52/peer_prices_monthly!AH51-1,"")</f>
        <v>-3.0114222056773388E-2</v>
      </c>
      <c r="AI69" s="113">
        <f>IFERROR(peer_prices_monthly!AI52/peer_prices_monthly!AI51-1,"")</f>
        <v>-6.5430305812009038E-2</v>
      </c>
      <c r="AJ69" s="113">
        <f>IFERROR(peer_prices_monthly!AJ52/peer_prices_monthly!AJ51-1,"")</f>
        <v>0.33201547825406585</v>
      </c>
      <c r="AK69" s="113">
        <f>IFERROR(peer_prices_monthly!AK52/peer_prices_monthly!AK51-1,"")</f>
        <v>0.21354501863139697</v>
      </c>
      <c r="AL69" s="113">
        <f>IFERROR(peer_prices_monthly!AL52/peer_prices_monthly!AL51-1,"")</f>
        <v>-0.10336629238293726</v>
      </c>
      <c r="AM69" s="113">
        <f>IFERROR(peer_prices_monthly!AM52/peer_prices_monthly!AM51-1,"")</f>
        <v>6.2693340595464608E-2</v>
      </c>
      <c r="AN69" s="113">
        <f>IFERROR(peer_prices_monthly!AN52/peer_prices_monthly!AN51-1,"")</f>
        <v>3.5323687218701494E-2</v>
      </c>
    </row>
    <row r="70" spans="1:40" x14ac:dyDescent="0.25">
      <c r="A70" s="126">
        <f>peer_prices_monthly!A53</f>
        <v>45961</v>
      </c>
      <c r="B70" s="113">
        <f>IFERROR(peer_prices_monthly!B53/peer_prices_monthly!B52-1,"")</f>
        <v>6.1815207668346028E-2</v>
      </c>
      <c r="C70" s="113">
        <f>IFERROR(peer_prices_monthly!C53/peer_prices_monthly!C52-1,"")</f>
        <v>-3.5265775879252281E-2</v>
      </c>
      <c r="D70" s="113">
        <f>IFERROR(peer_prices_monthly!D53/peer_prices_monthly!D52-1,"")</f>
        <v>0.58303977838869114</v>
      </c>
      <c r="E70" s="113">
        <f>IFERROR(peer_prices_monthly!E53/peer_prices_monthly!E52-1,"")</f>
        <v>0.11226484981660545</v>
      </c>
      <c r="F70" s="113">
        <f>IFERROR(peer_prices_monthly!F53/peer_prices_monthly!F52-1,"")</f>
        <v>0.20022616956095485</v>
      </c>
      <c r="G70" s="113">
        <f>IFERROR(peer_prices_monthly!G53/peer_prices_monthly!G52-1,"")</f>
        <v>0.12039641887231411</v>
      </c>
      <c r="H70" s="113">
        <f>IFERROR(peer_prices_monthly!H53/peer_prices_monthly!H52-1,"")</f>
        <v>-4.6438792782140359E-2</v>
      </c>
      <c r="I70" s="113">
        <f>IFERROR(peer_prices_monthly!I53/peer_prices_monthly!I52-1,"")</f>
        <v>-1.3926200614410078E-2</v>
      </c>
      <c r="J70" s="113">
        <f>IFERROR(peer_prices_monthly!J53/peer_prices_monthly!J52-1,"")</f>
        <v>9.8776458674449952E-2</v>
      </c>
      <c r="K70" s="113">
        <f>IFERROR(peer_prices_monthly!K53/peer_prices_monthly!K52-1,"")</f>
        <v>0.14683807178291408</v>
      </c>
      <c r="L70" s="113">
        <f>IFERROR(peer_prices_monthly!L53/peer_prices_monthly!L52-1,"")</f>
        <v>-0.10599235557615394</v>
      </c>
      <c r="M70" s="113">
        <f>IFERROR(peer_prices_monthly!M53/peer_prices_monthly!M52-1,"")</f>
        <v>9.782593170374887E-2</v>
      </c>
      <c r="N70" s="113">
        <f>IFERROR(peer_prices_monthly!N53/peer_prices_monthly!N52-1,"")</f>
        <v>0.13318023363972165</v>
      </c>
      <c r="O70" s="113">
        <f>IFERROR(peer_prices_monthly!O53/peer_prices_monthly!O52-1,"")</f>
        <v>0.15668444849346486</v>
      </c>
      <c r="P70" s="113">
        <f>IFERROR(peer_prices_monthly!P53/peer_prices_monthly!P52-1,"")</f>
        <v>1.6158614893793777E-2</v>
      </c>
      <c r="Q70" s="113">
        <f>IFERROR(peer_prices_monthly!Q53/peer_prices_monthly!Q52-1,"")</f>
        <v>8.9488200501730342E-2</v>
      </c>
      <c r="R70" s="113">
        <f>IFERROR(peer_prices_monthly!R53/peer_prices_monthly!R52-1,"")</f>
        <v>0.19195238711935314</v>
      </c>
      <c r="S70" s="113">
        <f>IFERROR(peer_prices_monthly!S53/peer_prices_monthly!S52-1,"")</f>
        <v>-0.25388821702756359</v>
      </c>
      <c r="T70" s="113">
        <f>IFERROR(peer_prices_monthly!T53/peer_prices_monthly!T52-1,"")</f>
        <v>-0.11714642355095917</v>
      </c>
      <c r="U70" s="113">
        <f>IFERROR(peer_prices_monthly!U53/peer_prices_monthly!U52-1,"")</f>
        <v>-2.7037645296212887E-4</v>
      </c>
      <c r="V70" s="113">
        <f>IFERROR(peer_prices_monthly!V53/peer_prices_monthly!V52-1,"")</f>
        <v>0.33821499478622052</v>
      </c>
      <c r="W70" s="113">
        <f>IFERROR(peer_prices_monthly!W53/peer_prices_monthly!W52-1,"")</f>
        <v>-1.0866092303835062E-3</v>
      </c>
      <c r="X70" s="113">
        <f>IFERROR(peer_prices_monthly!X53/peer_prices_monthly!X52-1,"")</f>
        <v>8.5271767883918104E-2</v>
      </c>
      <c r="Y70" s="113">
        <f>IFERROR(peer_prices_monthly!Y53/peer_prices_monthly!Y52-1,"")</f>
        <v>-6.4621893828224586E-2</v>
      </c>
      <c r="Z70" s="113">
        <f>IFERROR(peer_prices_monthly!Z53/peer_prices_monthly!Z52-1,"")</f>
        <v>2.8908932487087924E-2</v>
      </c>
      <c r="AA70" s="113">
        <f>IFERROR(peer_prices_monthly!AA53/peer_prices_monthly!AA52-1,"")</f>
        <v>8.7400844250426157E-2</v>
      </c>
      <c r="AB70" s="113">
        <f>IFERROR(peer_prices_monthly!AB53/peer_prices_monthly!AB52-1,"")</f>
        <v>-9.1482273326643493E-2</v>
      </c>
      <c r="AC70" s="113">
        <f>IFERROR(peer_prices_monthly!AC53/peer_prices_monthly!AC52-1,"")</f>
        <v>-7.5613119024269038E-2</v>
      </c>
      <c r="AD70" s="113">
        <f>IFERROR(peer_prices_monthly!AD53/peer_prices_monthly!AD52-1,"")</f>
        <v>-2.6945002205935209E-2</v>
      </c>
      <c r="AE70" s="113">
        <f>IFERROR(peer_prices_monthly!AE53/peer_prices_monthly!AE52-1,"")</f>
        <v>0.16990781169703584</v>
      </c>
      <c r="AF70" s="113">
        <f>IFERROR(peer_prices_monthly!AF53/peer_prices_monthly!AF52-1,"")</f>
        <v>1.1673171484123834E-2</v>
      </c>
      <c r="AG70" s="113">
        <f>IFERROR(peer_prices_monthly!AG53/peer_prices_monthly!AG52-1,"")</f>
        <v>-3.1260906469562033E-2</v>
      </c>
      <c r="AH70" s="113">
        <f>IFERROR(peer_prices_monthly!AH53/peer_prices_monthly!AH52-1,"")</f>
        <v>8.5653123947027066E-2</v>
      </c>
      <c r="AI70" s="113">
        <f>IFERROR(peer_prices_monthly!AI53/peer_prices_monthly!AI52-1,"")</f>
        <v>3.3667833914498235E-2</v>
      </c>
      <c r="AJ70" s="113">
        <f>IFERROR(peer_prices_monthly!AJ53/peer_prices_monthly!AJ52-1,"")</f>
        <v>2.6623485126352042E-2</v>
      </c>
      <c r="AK70" s="113">
        <f>IFERROR(peer_prices_monthly!AK53/peer_prices_monthly!AK52-1,"")</f>
        <v>7.5691846843002342E-2</v>
      </c>
      <c r="AL70" s="113">
        <f>IFERROR(peer_prices_monthly!AL53/peer_prices_monthly!AL52-1,"")</f>
        <v>2.5913089191143213E-2</v>
      </c>
      <c r="AM70" s="113">
        <f>IFERROR(peer_prices_monthly!AM53/peer_prices_monthly!AM52-1,"")</f>
        <v>-1.8241728861487561E-2</v>
      </c>
      <c r="AN70" s="113">
        <f>IFERROR(peer_prices_monthly!AN53/peer_prices_monthly!AN52-1,"")</f>
        <v>2.26868719049238E-2</v>
      </c>
    </row>
    <row r="71" spans="1:40" x14ac:dyDescent="0.25">
      <c r="A71" s="126">
        <f>peer_prices_monthly!A54</f>
        <v>45991</v>
      </c>
      <c r="B71" s="113">
        <f>IFERROR(peer_prices_monthly!B54/peer_prices_monthly!B53-1,"")</f>
        <v>3.2364173555669451E-2</v>
      </c>
      <c r="C71" s="113">
        <f>IFERROR(peer_prices_monthly!C54/peer_prices_monthly!C53-1,"")</f>
        <v>-5.9298853458769507E-2</v>
      </c>
      <c r="D71" s="113">
        <f>IFERROR(peer_prices_monthly!D54/peer_prices_monthly!D53-1,"")</f>
        <v>-0.15067154878022626</v>
      </c>
      <c r="E71" s="113">
        <f>IFERROR(peer_prices_monthly!E54/peer_prices_monthly!E53-1,"")</f>
        <v>-4.5041355929153482E-2</v>
      </c>
      <c r="F71" s="113">
        <f>IFERROR(peer_prices_monthly!F54/peer_prices_monthly!F53-1,"")</f>
        <v>-0.20174307082802156</v>
      </c>
      <c r="G71" s="113">
        <f>IFERROR(peer_prices_monthly!G54/peer_prices_monthly!G53-1,"")</f>
        <v>9.0171344084985838E-2</v>
      </c>
      <c r="H71" s="113">
        <f>IFERROR(peer_prices_monthly!H54/peer_prices_monthly!H53-1,"")</f>
        <v>-7.7040348655609492E-2</v>
      </c>
      <c r="I71" s="113">
        <f>IFERROR(peer_prices_monthly!I54/peer_prices_monthly!I53-1,"")</f>
        <v>2.3479278198506037E-3</v>
      </c>
      <c r="J71" s="113">
        <f>IFERROR(peer_prices_monthly!J54/peer_prices_monthly!J53-1,"")</f>
        <v>-0.11470378409843152</v>
      </c>
      <c r="K71" s="113">
        <f>IFERROR(peer_prices_monthly!K54/peer_prices_monthly!K53-1,"")</f>
        <v>-0.17690254337770861</v>
      </c>
      <c r="L71" s="113">
        <f>IFERROR(peer_prices_monthly!L54/peer_prices_monthly!L53-1,"")</f>
        <v>2.1794354861630394E-2</v>
      </c>
      <c r="M71" s="113">
        <f>IFERROR(peer_prices_monthly!M54/peer_prices_monthly!M53-1,"")</f>
        <v>2.3121598987919212E-2</v>
      </c>
      <c r="N71" s="113">
        <f>IFERROR(peer_prices_monthly!N54/peer_prices_monthly!N53-1,"")</f>
        <v>6.4119173863983026E-2</v>
      </c>
      <c r="O71" s="113">
        <f>IFERROR(peer_prices_monthly!O54/peer_prices_monthly!O53-1,"")</f>
        <v>0.13866064755474672</v>
      </c>
      <c r="P71" s="113">
        <f>IFERROR(peer_prices_monthly!P54/peer_prices_monthly!P53-1,"")</f>
        <v>-0.11745570761132984</v>
      </c>
      <c r="Q71" s="113">
        <f>IFERROR(peer_prices_monthly!Q54/peer_prices_monthly!Q53-1,"")</f>
        <v>9.3406387259904466E-3</v>
      </c>
      <c r="R71" s="113">
        <f>IFERROR(peer_prices_monthly!R54/peer_prices_monthly!R53-1,"")</f>
        <v>1.4253555161292786E-2</v>
      </c>
      <c r="S71" s="113">
        <f>IFERROR(peer_prices_monthly!S54/peer_prices_monthly!S53-1,"")</f>
        <v>-0.23211266960896237</v>
      </c>
      <c r="T71" s="113">
        <f>IFERROR(peer_prices_monthly!T54/peer_prices_monthly!T53-1,"")</f>
        <v>-6.1698850525027105E-4</v>
      </c>
      <c r="U71" s="113">
        <f>IFERROR(peer_prices_monthly!U54/peer_prices_monthly!U53-1,"")</f>
        <v>-4.8046790623513247E-2</v>
      </c>
      <c r="V71" s="113">
        <f>IFERROR(peer_prices_monthly!V54/peer_prices_monthly!V53-1,"")</f>
        <v>5.6799420640435416E-2</v>
      </c>
      <c r="W71" s="113">
        <f>IFERROR(peer_prices_monthly!W54/peer_prices_monthly!W53-1,"")</f>
        <v>-0.11625406759808776</v>
      </c>
      <c r="X71" s="113">
        <f>IFERROR(peer_prices_monthly!X54/peer_prices_monthly!X53-1,"")</f>
        <v>-0.125882777513319</v>
      </c>
      <c r="Y71" s="113">
        <f>IFERROR(peer_prices_monthly!Y54/peer_prices_monthly!Y53-1,"")</f>
        <v>-0.23098896209736575</v>
      </c>
      <c r="Z71" s="113">
        <f>IFERROR(peer_prices_monthly!Z54/peer_prices_monthly!Z53-1,"")</f>
        <v>-0.21087607119815843</v>
      </c>
      <c r="AA71" s="113">
        <f>IFERROR(peer_prices_monthly!AA54/peer_prices_monthly!AA53-1,"")</f>
        <v>-7.081269914457855E-2</v>
      </c>
      <c r="AB71" s="113">
        <f>IFERROR(peer_prices_monthly!AB54/peer_prices_monthly!AB53-1,"")</f>
        <v>3.5989492138273071E-2</v>
      </c>
      <c r="AC71" s="113">
        <f>IFERROR(peer_prices_monthly!AC54/peer_prices_monthly!AC53-1,"")</f>
        <v>0.24244664624290269</v>
      </c>
      <c r="AD71" s="113">
        <f>IFERROR(peer_prices_monthly!AD54/peer_prices_monthly!AD53-1,"")</f>
        <v>-7.0228127181678479E-2</v>
      </c>
      <c r="AE71" s="113">
        <f>IFERROR(peer_prices_monthly!AE54/peer_prices_monthly!AE53-1,"")</f>
        <v>-8.754170693242791E-2</v>
      </c>
      <c r="AF71" s="113">
        <f>IFERROR(peer_prices_monthly!AF54/peer_prices_monthly!AF53-1,"")</f>
        <v>-1.538466146946782E-2</v>
      </c>
      <c r="AG71" s="113">
        <f>IFERROR(peer_prices_monthly!AG54/peer_prices_monthly!AG53-1,"")</f>
        <v>5.2348548718978316E-2</v>
      </c>
      <c r="AH71" s="113">
        <f>IFERROR(peer_prices_monthly!AH54/peer_prices_monthly!AH53-1,"")</f>
        <v>5.1282000639356839E-2</v>
      </c>
      <c r="AI71" s="113">
        <f>IFERROR(peer_prices_monthly!AI54/peer_prices_monthly!AI53-1,"")</f>
        <v>-1.0329336878374229E-2</v>
      </c>
      <c r="AJ71" s="113">
        <f>IFERROR(peer_prices_monthly!AJ54/peer_prices_monthly!AJ53-1,"")</f>
        <v>-5.7801787874489752E-2</v>
      </c>
      <c r="AK71" s="113">
        <f>IFERROR(peer_prices_monthly!AK54/peer_prices_monthly!AK53-1,"")</f>
        <v>-2.9690840790357886E-2</v>
      </c>
      <c r="AL71" s="113">
        <f>IFERROR(peer_prices_monthly!AL54/peer_prices_monthly!AL53-1,"")</f>
        <v>-0.21320599972687126</v>
      </c>
      <c r="AM71" s="113">
        <f>IFERROR(peer_prices_monthly!AM54/peer_prices_monthly!AM53-1,"")</f>
        <v>9.2211845851921881E-2</v>
      </c>
      <c r="AN71" s="113">
        <f>IFERROR(peer_prices_monthly!AN54/peer_prices_monthly!AN53-1,"")</f>
        <v>1.2996181666717899E-3</v>
      </c>
    </row>
    <row r="72" spans="1:40" x14ac:dyDescent="0.25">
      <c r="A72" s="126">
        <f>peer_prices_monthly!A55</f>
        <v>46022</v>
      </c>
      <c r="B72" s="113">
        <f>IFERROR(peer_prices_monthly!B55/peer_prices_monthly!B54-1,"")</f>
        <v>-2.5067288626873463E-2</v>
      </c>
      <c r="C72" s="113">
        <f>IFERROR(peer_prices_monthly!C55/peer_prices_monthly!C54-1,"")</f>
        <v>9.327456001037171E-2</v>
      </c>
      <c r="D72" s="113">
        <f>IFERROR(peer_prices_monthly!D55/peer_prices_monthly!D54-1,"")</f>
        <v>-1.5492093670292584E-2</v>
      </c>
      <c r="E72" s="113">
        <f>IFERROR(peer_prices_monthly!E55/peer_prices_monthly!E54-1,"")</f>
        <v>-1.0290686407351424E-2</v>
      </c>
      <c r="F72" s="113">
        <f>IFERROR(peer_prices_monthly!F55/peer_prices_monthly!F54-1,"")</f>
        <v>-0.19364119557949855</v>
      </c>
      <c r="G72" s="113">
        <f>IFERROR(peer_prices_monthly!G55/peer_prices_monthly!G54-1,"")</f>
        <v>-0.13946246815075125</v>
      </c>
      <c r="H72" s="113">
        <f>IFERROR(peer_prices_monthly!H55/peer_prices_monthly!H54-1,"")</f>
        <v>-6.8150080093008381E-2</v>
      </c>
      <c r="I72" s="113">
        <f>IFERROR(peer_prices_monthly!I55/peer_prices_monthly!I54-1,"")</f>
        <v>-5.6097418913864439E-2</v>
      </c>
      <c r="J72" s="113">
        <f>IFERROR(peer_prices_monthly!J55/peer_prices_monthly!J54-1,"")</f>
        <v>0.15093956178170598</v>
      </c>
      <c r="K72" s="113">
        <f>IFERROR(peer_prices_monthly!K55/peer_prices_monthly!K54-1,"")</f>
        <v>-5.6018064644267174E-2</v>
      </c>
      <c r="L72" s="113">
        <f>IFERROR(peer_prices_monthly!L55/peer_prices_monthly!L54-1,"")</f>
        <v>5.2059382155219991E-2</v>
      </c>
      <c r="M72" s="113">
        <f>IFERROR(peer_prices_monthly!M55/peer_prices_monthly!M54-1,"")</f>
        <v>-1.2048227309854331E-2</v>
      </c>
      <c r="N72" s="113">
        <f>IFERROR(peer_prices_monthly!N55/peer_prices_monthly!N54-1,"")</f>
        <v>0.10830172605409127</v>
      </c>
      <c r="O72" s="113">
        <f>IFERROR(peer_prices_monthly!O55/peer_prices_monthly!O54-1,"")</f>
        <v>-2.1785435629447347E-2</v>
      </c>
      <c r="P72" s="113">
        <f>IFERROR(peer_prices_monthly!P55/peer_prices_monthly!P54-1,"")</f>
        <v>-7.676728161755908E-2</v>
      </c>
      <c r="Q72" s="113">
        <f>IFERROR(peer_prices_monthly!Q55/peer_prices_monthly!Q54-1,"")</f>
        <v>-4.0086899133102705E-2</v>
      </c>
      <c r="R72" s="113">
        <f>IFERROR(peer_prices_monthly!R55/peer_prices_monthly!R54-1,"")</f>
        <v>-9.023667957324677E-2</v>
      </c>
      <c r="S72" s="113">
        <f>IFERROR(peer_prices_monthly!S55/peer_prices_monthly!S54-1,"")</f>
        <v>-0.22450479779340893</v>
      </c>
      <c r="T72" s="113">
        <f>IFERROR(peer_prices_monthly!T55/peer_prices_monthly!T54-1,"")</f>
        <v>1.956693665206144E-2</v>
      </c>
      <c r="U72" s="113">
        <f>IFERROR(peer_prices_monthly!U55/peer_prices_monthly!U54-1,"")</f>
        <v>-1.7052520929608961E-2</v>
      </c>
      <c r="V72" s="113">
        <f>IFERROR(peer_prices_monthly!V55/peer_prices_monthly!V54-1,"")</f>
        <v>0.20739718483900438</v>
      </c>
      <c r="W72" s="113">
        <f>IFERROR(peer_prices_monthly!W55/peer_prices_monthly!W54-1,"")</f>
        <v>-5.7187826926435981E-2</v>
      </c>
      <c r="X72" s="113">
        <f>IFERROR(peer_prices_monthly!X55/peer_prices_monthly!X54-1,"")</f>
        <v>5.3731017852592711E-2</v>
      </c>
      <c r="Y72" s="113">
        <f>IFERROR(peer_prices_monthly!Y55/peer_prices_monthly!Y54-1,"")</f>
        <v>-3.4860132572954616E-2</v>
      </c>
      <c r="Z72" s="113">
        <f>IFERROR(peer_prices_monthly!Z55/peer_prices_monthly!Z54-1,"")</f>
        <v>-8.8055682310502759E-3</v>
      </c>
      <c r="AA72" s="113">
        <f>IFERROR(peer_prices_monthly!AA55/peer_prices_monthly!AA54-1,"")</f>
        <v>2.2809411766007148E-2</v>
      </c>
      <c r="AB72" s="113">
        <f>IFERROR(peer_prices_monthly!AB55/peer_prices_monthly!AB54-1,"")</f>
        <v>6.1902313581189139E-2</v>
      </c>
      <c r="AC72" s="113">
        <f>IFERROR(peer_prices_monthly!AC55/peer_prices_monthly!AC54-1,"")</f>
        <v>0.16903904928516278</v>
      </c>
      <c r="AD72" s="113">
        <f>IFERROR(peer_prices_monthly!AD55/peer_prices_monthly!AD54-1,"")</f>
        <v>4.798358246506762E-3</v>
      </c>
      <c r="AE72" s="113">
        <f>IFERROR(peer_prices_monthly!AE55/peer_prices_monthly!AE54-1,"")</f>
        <v>1.4687354009197851E-2</v>
      </c>
      <c r="AF72" s="113">
        <f>IFERROR(peer_prices_monthly!AF55/peer_prices_monthly!AF54-1,"")</f>
        <v>5.0781233750361032E-2</v>
      </c>
      <c r="AG72" s="113">
        <f>IFERROR(peer_prices_monthly!AG55/peer_prices_monthly!AG54-1,"")</f>
        <v>-0.12776831179762371</v>
      </c>
      <c r="AH72" s="113">
        <f>IFERROR(peer_prices_monthly!AH55/peer_prices_monthly!AH54-1,"")</f>
        <v>2.1576031820158104E-2</v>
      </c>
      <c r="AI72" s="113">
        <f>IFERROR(peer_prices_monthly!AI55/peer_prices_monthly!AI54-1,"")</f>
        <v>7.8680159902363433E-2</v>
      </c>
      <c r="AJ72" s="113">
        <f>IFERROR(peer_prices_monthly!AJ55/peer_prices_monthly!AJ54-1,"")</f>
        <v>4.5447119005781245E-2</v>
      </c>
      <c r="AK72" s="113">
        <f>IFERROR(peer_prices_monthly!AK55/peer_prices_monthly!AK54-1,"")</f>
        <v>4.5282952773078256E-2</v>
      </c>
      <c r="AL72" s="113">
        <f>IFERROR(peer_prices_monthly!AL55/peer_prices_monthly!AL54-1,"")</f>
        <v>-4.0444950285027148E-2</v>
      </c>
      <c r="AM72" s="113">
        <f>IFERROR(peer_prices_monthly!AM55/peer_prices_monthly!AM54-1,"")</f>
        <v>1.0199179523409097E-2</v>
      </c>
      <c r="AN72" s="113">
        <f>IFERROR(peer_prices_monthly!AN55/peer_prices_monthly!AN54-1,"")</f>
        <v>-5.2413442251397768E-4</v>
      </c>
    </row>
    <row r="73" spans="1:40" x14ac:dyDescent="0.25">
      <c r="A73" s="126">
        <f>peer_prices_monthly!A56</f>
        <v>46053</v>
      </c>
      <c r="B73" s="113">
        <f>IFERROR(peer_prices_monthly!B56/peer_prices_monthly!B55-1,"")</f>
        <v>-4.5538085253494565E-2</v>
      </c>
      <c r="C73" s="113">
        <f>IFERROR(peer_prices_monthly!C56/peer_prices_monthly!C55-1,"")</f>
        <v>-0.16211889430431536</v>
      </c>
      <c r="D73" s="113">
        <f>IFERROR(peer_prices_monthly!D56/peer_prices_monthly!D55-1,"")</f>
        <v>0.10538845573162892</v>
      </c>
      <c r="E73" s="113">
        <f>IFERROR(peer_prices_monthly!E56/peer_prices_monthly!E55-1,"")</f>
        <v>3.6738564502459825E-2</v>
      </c>
      <c r="F73" s="113">
        <f>IFERROR(peer_prices_monthly!F56/peer_prices_monthly!F55-1,"")</f>
        <v>-3.6135733569336637E-2</v>
      </c>
      <c r="G73" s="113">
        <f>IFERROR(peer_prices_monthly!G56/peer_prices_monthly!G55-1,"")</f>
        <v>-4.2762165467294166E-2</v>
      </c>
      <c r="H73" s="113">
        <f>IFERROR(peer_prices_monthly!H56/peer_prices_monthly!H55-1,"")</f>
        <v>0.15677446614852264</v>
      </c>
      <c r="I73" s="113">
        <f>IFERROR(peer_prices_monthly!I56/peer_prices_monthly!I55-1,"")</f>
        <v>9.1836807961044986E-2</v>
      </c>
      <c r="J73" s="113">
        <f>IFERROR(peer_prices_monthly!J56/peer_prices_monthly!J55-1,"")</f>
        <v>-0.1986335169853406</v>
      </c>
      <c r="K73" s="113">
        <f>IFERROR(peer_prices_monthly!K56/peer_prices_monthly!K55-1,"")</f>
        <v>-8.6902972308016802E-2</v>
      </c>
      <c r="L73" s="113">
        <f>IFERROR(peer_prices_monthly!L56/peer_prices_monthly!L55-1,"")</f>
        <v>4.7302006296711108E-2</v>
      </c>
      <c r="M73" s="113">
        <f>IFERROR(peer_prices_monthly!M56/peer_prices_monthly!M55-1,"")</f>
        <v>5.7926867149798555E-2</v>
      </c>
      <c r="N73" s="113">
        <f>IFERROR(peer_prices_monthly!N56/peer_prices_monthly!N55-1,"")</f>
        <v>3.2956204066557193E-2</v>
      </c>
      <c r="O73" s="113">
        <f>IFERROR(peer_prices_monthly!O56/peer_prices_monthly!O55-1,"")</f>
        <v>7.9872198234686165E-2</v>
      </c>
      <c r="P73" s="113">
        <f>IFERROR(peer_prices_monthly!P56/peer_prices_monthly!P55-1,"")</f>
        <v>-0.12746855971305615</v>
      </c>
      <c r="Q73" s="113">
        <f>IFERROR(peer_prices_monthly!Q56/peer_prices_monthly!Q55-1,"")</f>
        <v>3.5414124003240177E-2</v>
      </c>
      <c r="R73" s="113">
        <f>IFERROR(peer_prices_monthly!R56/peer_prices_monthly!R55-1,"")</f>
        <v>0.25934957450103457</v>
      </c>
      <c r="S73" s="113">
        <f>IFERROR(peer_prices_monthly!S56/peer_prices_monthly!S55-1,"")</f>
        <v>4.7303691053542263E-2</v>
      </c>
      <c r="T73" s="113">
        <f>IFERROR(peer_prices_monthly!T56/peer_prices_monthly!T55-1,"")</f>
        <v>8.5457968379509586E-2</v>
      </c>
      <c r="U73" s="113">
        <f>IFERROR(peer_prices_monthly!U56/peer_prices_monthly!U55-1,"")</f>
        <v>-0.11027247827391273</v>
      </c>
      <c r="V73" s="113">
        <f>IFERROR(peer_prices_monthly!V56/peer_prices_monthly!V55-1,"")</f>
        <v>0.45362808188767456</v>
      </c>
      <c r="W73" s="113">
        <f>IFERROR(peer_prices_monthly!W56/peer_prices_monthly!W55-1,"")</f>
        <v>-0.23617729439631219</v>
      </c>
      <c r="X73" s="113">
        <f>IFERROR(peer_prices_monthly!X56/peer_prices_monthly!X55-1,"")</f>
        <v>2.4825733202540334E-2</v>
      </c>
      <c r="Y73" s="113">
        <f>IFERROR(peer_prices_monthly!Y56/peer_prices_monthly!Y55-1,"")</f>
        <v>-0.15337827103154622</v>
      </c>
      <c r="Z73" s="113">
        <f>IFERROR(peer_prices_monthly!Z56/peer_prices_monthly!Z55-1,"")</f>
        <v>-0.14522983072704099</v>
      </c>
      <c r="AA73" s="113">
        <f>IFERROR(peer_prices_monthly!AA56/peer_prices_monthly!AA55-1,"")</f>
        <v>-0.11376794198874118</v>
      </c>
      <c r="AB73" s="113">
        <f>IFERROR(peer_prices_monthly!AB56/peer_prices_monthly!AB55-1,"")</f>
        <v>-0.21577409796106939</v>
      </c>
      <c r="AC73" s="113">
        <f>IFERROR(peer_prices_monthly!AC56/peer_prices_monthly!AC55-1,"")</f>
        <v>-0.25164887442232786</v>
      </c>
      <c r="AD73" s="113">
        <f>IFERROR(peer_prices_monthly!AD56/peer_prices_monthly!AD55-1,"")</f>
        <v>-0.17236839153693906</v>
      </c>
      <c r="AE73" s="113">
        <f>IFERROR(peer_prices_monthly!AE56/peer_prices_monthly!AE55-1,"")</f>
        <v>-0.18475495600194514</v>
      </c>
      <c r="AF73" s="113">
        <f>IFERROR(peer_prices_monthly!AF56/peer_prices_monthly!AF55-1,"")</f>
        <v>-0.14126392931795861</v>
      </c>
      <c r="AG73" s="113">
        <f>IFERROR(peer_prices_monthly!AG56/peer_prices_monthly!AG55-1,"")</f>
        <v>-0.13671874796273187</v>
      </c>
      <c r="AH73" s="113">
        <f>IFERROR(peer_prices_monthly!AH56/peer_prices_monthly!AH55-1,"")</f>
        <v>-9.3663950928072226E-2</v>
      </c>
      <c r="AI73" s="113">
        <f>IFERROR(peer_prices_monthly!AI56/peer_prices_monthly!AI55-1,"")</f>
        <v>7.8976994302158765E-2</v>
      </c>
      <c r="AJ73" s="113">
        <f>IFERROR(peer_prices_monthly!AJ56/peer_prices_monthly!AJ55-1,"")</f>
        <v>-4.2937822436581508E-2</v>
      </c>
      <c r="AK73" s="113">
        <f>IFERROR(peer_prices_monthly!AK56/peer_prices_monthly!AK55-1,"")</f>
        <v>8.7761924065843155E-2</v>
      </c>
      <c r="AL73" s="113">
        <f>IFERROR(peer_prices_monthly!AL56/peer_prices_monthly!AL55-1,"")</f>
        <v>-0.20100103648020406</v>
      </c>
      <c r="AM73" s="113">
        <f>IFERROR(peer_prices_monthly!AM56/peer_prices_monthly!AM55-1,"")</f>
        <v>6.9383248629930616E-2</v>
      </c>
      <c r="AN73" s="113">
        <f>IFERROR(peer_prices_monthly!AN56/peer_prices_monthly!AN55-1,"")</f>
        <v>1.3662958900920286E-2</v>
      </c>
    </row>
    <row r="74" spans="1:40" x14ac:dyDescent="0.25">
      <c r="A74" s="126">
        <f>peer_prices_monthly!A57</f>
        <v>46081</v>
      </c>
      <c r="B74" s="113">
        <f>IFERROR(peer_prices_monthly!B57/peer_prices_monthly!B56-1,"")</f>
        <v>1.9065797261252682E-2</v>
      </c>
      <c r="C74" s="113">
        <f>IFERROR(peer_prices_monthly!C57/peer_prices_monthly!C56-1,"")</f>
        <v>-0.10516622792119568</v>
      </c>
      <c r="D74" s="113">
        <f>IFERROR(peer_prices_monthly!D57/peer_prices_monthly!D56-1,"")</f>
        <v>-0.15426853239039473</v>
      </c>
      <c r="E74" s="113">
        <f>IFERROR(peer_prices_monthly!E57/peer_prices_monthly!E56-1,"")</f>
        <v>-0.12244046250772744</v>
      </c>
      <c r="F74" s="113">
        <f>IFERROR(peer_prices_monthly!F57/peer_prices_monthly!F56-1,"")</f>
        <v>0.20966207488537436</v>
      </c>
      <c r="G74" s="113">
        <f>IFERROR(peer_prices_monthly!G57/peer_prices_monthly!G56-1,"")</f>
        <v>-3.54663539257567E-2</v>
      </c>
      <c r="H74" s="113">
        <f>IFERROR(peer_prices_monthly!H57/peer_prices_monthly!H56-1,"")</f>
        <v>-0.15009438607637815</v>
      </c>
      <c r="I74" s="113">
        <f>IFERROR(peer_prices_monthly!I57/peer_prices_monthly!I56-1,"")</f>
        <v>7.5022608271466229E-2</v>
      </c>
      <c r="J74" s="113">
        <f>IFERROR(peer_prices_monthly!J57/peer_prices_monthly!J56-1,"")</f>
        <v>-8.2434355458762987E-2</v>
      </c>
      <c r="K74" s="113">
        <f>IFERROR(peer_prices_monthly!K57/peer_prices_monthly!K56-1,"")</f>
        <v>0.29395313438508475</v>
      </c>
      <c r="L74" s="113">
        <f>IFERROR(peer_prices_monthly!L57/peer_prices_monthly!L56-1,"")</f>
        <v>-3.9465293615422725E-3</v>
      </c>
      <c r="M74" s="113">
        <f>IFERROR(peer_prices_monthly!M57/peer_prices_monthly!M56-1,"")</f>
        <v>2.612386960746016E-2</v>
      </c>
      <c r="N74" s="113">
        <f>IFERROR(peer_prices_monthly!N57/peer_prices_monthly!N56-1,"")</f>
        <v>-6.2976116855387509E-2</v>
      </c>
      <c r="O74" s="113">
        <f>IFERROR(peer_prices_monthly!O57/peer_prices_monthly!O56-1,"")</f>
        <v>-7.7633085638375454E-2</v>
      </c>
      <c r="P74" s="113">
        <f>IFERROR(peer_prices_monthly!P57/peer_prices_monthly!P56-1,"")</f>
        <v>-2.3148136467533997E-2</v>
      </c>
      <c r="Q74" s="113">
        <f>IFERROR(peer_prices_monthly!Q57/peer_prices_monthly!Q56-1,"")</f>
        <v>-0.21232615857322001</v>
      </c>
      <c r="R74" s="113">
        <f>IFERROR(peer_prices_monthly!R57/peer_prices_monthly!R56-1,"")</f>
        <v>-1.8506576022391363E-2</v>
      </c>
      <c r="S74" s="113">
        <f>IFERROR(peer_prices_monthly!S57/peer_prices_monthly!S56-1,"")</f>
        <v>-9.6657608339817513E-2</v>
      </c>
      <c r="T74" s="113">
        <f>IFERROR(peer_prices_monthly!T57/peer_prices_monthly!T56-1,"")</f>
        <v>-9.535234535787096E-2</v>
      </c>
      <c r="U74" s="113">
        <f>IFERROR(peer_prices_monthly!U57/peer_prices_monthly!U56-1,"")</f>
        <v>-8.5183531909994836E-2</v>
      </c>
      <c r="V74" s="113">
        <f>IFERROR(peer_prices_monthly!V57/peer_prices_monthly!V56-1,"")</f>
        <v>-6.0499055383057554E-3</v>
      </c>
      <c r="W74" s="113">
        <f>IFERROR(peer_prices_monthly!W57/peer_prices_monthly!W56-1,"")</f>
        <v>-7.6916501458752506E-2</v>
      </c>
      <c r="X74" s="113">
        <f>IFERROR(peer_prices_monthly!X57/peer_prices_monthly!X56-1,"")</f>
        <v>-7.293465552553402E-2</v>
      </c>
      <c r="Y74" s="113">
        <f>IFERROR(peer_prices_monthly!Y57/peer_prices_monthly!Y56-1,"")</f>
        <v>-0.11653907797239704</v>
      </c>
      <c r="Z74" s="113">
        <f>IFERROR(peer_prices_monthly!Z57/peer_prices_monthly!Z56-1,"")</f>
        <v>-0.22593764977923281</v>
      </c>
      <c r="AA74" s="113">
        <f>IFERROR(peer_prices_monthly!AA57/peer_prices_monthly!AA56-1,"")</f>
        <v>-6.0887960223286464E-2</v>
      </c>
      <c r="AB74" s="113">
        <f>IFERROR(peer_prices_monthly!AB57/peer_prices_monthly!AB56-1,"")</f>
        <v>-0.19115774059551349</v>
      </c>
      <c r="AC74" s="113">
        <f>IFERROR(peer_prices_monthly!AC57/peer_prices_monthly!AC56-1,"")</f>
        <v>3.9322028725834235E-2</v>
      </c>
      <c r="AD74" s="113">
        <f>IFERROR(peer_prices_monthly!AD57/peer_prices_monthly!AD56-1,"")</f>
        <v>2.4373304760361147E-3</v>
      </c>
      <c r="AE74" s="113">
        <f>IFERROR(peer_prices_monthly!AE57/peer_prices_monthly!AE56-1,"")</f>
        <v>-8.0012136801449363E-2</v>
      </c>
      <c r="AF74" s="113">
        <f>IFERROR(peer_prices_monthly!AF57/peer_prices_monthly!AF56-1,"")</f>
        <v>-0.24819622406888253</v>
      </c>
      <c r="AG74" s="113">
        <f>IFERROR(peer_prices_monthly!AG57/peer_prices_monthly!AG56-1,"")</f>
        <v>4.3438871850771221E-2</v>
      </c>
      <c r="AH74" s="113">
        <f>IFERROR(peer_prices_monthly!AH57/peer_prices_monthly!AH56-1,"")</f>
        <v>-0.1803444532532904</v>
      </c>
      <c r="AI74" s="113">
        <f>IFERROR(peer_prices_monthly!AI57/peer_prices_monthly!AI56-1,"")</f>
        <v>8.985773734636604E-2</v>
      </c>
      <c r="AJ74" s="113">
        <f>IFERROR(peer_prices_monthly!AJ57/peer_prices_monthly!AJ56-1,"")</f>
        <v>-6.4821899256753968E-2</v>
      </c>
      <c r="AK74" s="113">
        <f>IFERROR(peer_prices_monthly!AK57/peer_prices_monthly!AK56-1,"")</f>
        <v>0.13316789960911701</v>
      </c>
      <c r="AL74" s="113">
        <f>IFERROR(peer_prices_monthly!AL57/peer_prices_monthly!AL56-1,"")</f>
        <v>-0.21463897940182952</v>
      </c>
      <c r="AM74" s="113">
        <f>IFERROR(peer_prices_monthly!AM57/peer_prices_monthly!AM56-1,"")</f>
        <v>7.3946601478914076E-2</v>
      </c>
      <c r="AN74" s="113">
        <f>IFERROR(peer_prices_monthly!AN57/peer_prices_monthly!AN56-1,"")</f>
        <v>-8.6683447407043257E-3</v>
      </c>
    </row>
    <row r="75" spans="1:40" x14ac:dyDescent="0.25">
      <c r="A75" s="126">
        <f>peer_prices_monthly!A58</f>
        <v>46112</v>
      </c>
      <c r="B75" s="113">
        <f>IFERROR(peer_prices_monthly!B58/peer_prices_monthly!B57-1,"")</f>
        <v>-3.9329287398935486E-2</v>
      </c>
      <c r="C75" s="113">
        <f>IFERROR(peer_prices_monthly!C58/peer_prices_monthly!C57-1,"")</f>
        <v>-7.3663357194052925E-2</v>
      </c>
      <c r="D75" s="113">
        <f>IFERROR(peer_prices_monthly!D58/peer_prices_monthly!D57-1,"")</f>
        <v>1.6083042075494047E-2</v>
      </c>
      <c r="E75" s="113">
        <f>IFERROR(peer_prices_monthly!E58/peer_prices_monthly!E57-1,"")</f>
        <v>-8.2380748930431791E-3</v>
      </c>
      <c r="F75" s="113">
        <f>IFERROR(peer_prices_monthly!F58/peer_prices_monthly!F57-1,"")</f>
        <v>0.1869753032691881</v>
      </c>
      <c r="G75" s="113">
        <f>IFERROR(peer_prices_monthly!G58/peer_prices_monthly!G57-1,"")</f>
        <v>-2.938735024803063E-2</v>
      </c>
      <c r="H75" s="113">
        <f>IFERROR(peer_prices_monthly!H58/peer_prices_monthly!H57-1,"")</f>
        <v>-0.12941498293787057</v>
      </c>
      <c r="I75" s="113">
        <f>IFERROR(peer_prices_monthly!I58/peer_prices_monthly!I57-1,"")</f>
        <v>-1.4206744807467864E-2</v>
      </c>
      <c r="J75" s="113">
        <f>IFERROR(peer_prices_monthly!J58/peer_prices_monthly!J57-1,"")</f>
        <v>-4.1685979254285188E-2</v>
      </c>
      <c r="K75" s="113">
        <f>IFERROR(peer_prices_monthly!K58/peer_prices_monthly!K57-1,"")</f>
        <v>0.10838743409422102</v>
      </c>
      <c r="L75" s="113">
        <f>IFERROR(peer_prices_monthly!L58/peer_prices_monthly!L57-1,"")</f>
        <v>5.1097826447845662E-3</v>
      </c>
      <c r="M75" s="113">
        <f>IFERROR(peer_prices_monthly!M58/peer_prices_monthly!M57-1,"")</f>
        <v>-0.18097940567170934</v>
      </c>
      <c r="N75" s="113">
        <f>IFERROR(peer_prices_monthly!N58/peer_prices_monthly!N57-1,"")</f>
        <v>-5.1246411165052241E-2</v>
      </c>
      <c r="O75" s="113">
        <f>IFERROR(peer_prices_monthly!O58/peer_prices_monthly!O57-1,"")</f>
        <v>-7.6974580278191373E-2</v>
      </c>
      <c r="P75" s="113">
        <f>IFERROR(peer_prices_monthly!P58/peer_prices_monthly!P57-1,"")</f>
        <v>2.7997858135906606E-2</v>
      </c>
      <c r="Q75" s="113">
        <f>IFERROR(peer_prices_monthly!Q58/peer_prices_monthly!Q57-1,"")</f>
        <v>9.0753501577294227E-3</v>
      </c>
      <c r="R75" s="113">
        <f>IFERROR(peer_prices_monthly!R58/peer_prices_monthly!R57-1,"")</f>
        <v>-3.2449013866060583E-2</v>
      </c>
      <c r="S75" s="113">
        <f>IFERROR(peer_prices_monthly!S58/peer_prices_monthly!S57-1,"")</f>
        <v>-4.7000026702880837E-2</v>
      </c>
      <c r="T75" s="113">
        <f>IFERROR(peer_prices_monthly!T58/peer_prices_monthly!T57-1,"")</f>
        <v>-0.11657286306258574</v>
      </c>
      <c r="U75" s="113">
        <f>IFERROR(peer_prices_monthly!U58/peer_prices_monthly!U57-1,"")</f>
        <v>-5.746801520166156E-2</v>
      </c>
      <c r="V75" s="113">
        <f>IFERROR(peer_prices_monthly!V58/peer_prices_monthly!V57-1,"")</f>
        <v>-0.18039156331876049</v>
      </c>
      <c r="W75" s="113">
        <f>IFERROR(peer_prices_monthly!W58/peer_prices_monthly!W57-1,"")</f>
        <v>-3.2034061809466885E-2</v>
      </c>
      <c r="X75" s="113">
        <f>IFERROR(peer_prices_monthly!X58/peer_prices_monthly!X57-1,"")</f>
        <v>-1.5692551019651502E-2</v>
      </c>
      <c r="Y75" s="113">
        <f>IFERROR(peer_prices_monthly!Y58/peer_prices_monthly!Y57-1,"")</f>
        <v>1.1760729962057903E-2</v>
      </c>
      <c r="Z75" s="113">
        <f>IFERROR(peer_prices_monthly!Z58/peer_prices_monthly!Z57-1,"")</f>
        <v>7.0636371926543484E-2</v>
      </c>
      <c r="AA75" s="113">
        <f>IFERROR(peer_prices_monthly!AA58/peer_prices_monthly!AA57-1,"")</f>
        <v>-8.9583960629154857E-2</v>
      </c>
      <c r="AB75" s="113">
        <f>IFERROR(peer_prices_monthly!AB58/peer_prices_monthly!AB57-1,"")</f>
        <v>-7.6537986756530341E-2</v>
      </c>
      <c r="AC75" s="113">
        <f>IFERROR(peer_prices_monthly!AC58/peer_prices_monthly!AC57-1,"")</f>
        <v>-1.8264822854839324E-2</v>
      </c>
      <c r="AD75" s="113">
        <f>IFERROR(peer_prices_monthly!AD58/peer_prices_monthly!AD57-1,"")</f>
        <v>-0.15044903641236751</v>
      </c>
      <c r="AE75" s="113">
        <f>IFERROR(peer_prices_monthly!AE58/peer_prices_monthly!AE57-1,"")</f>
        <v>-1.7477019396027194E-2</v>
      </c>
      <c r="AF75" s="113">
        <f>IFERROR(peer_prices_monthly!AF58/peer_prices_monthly!AF57-1,"")</f>
        <v>-0.11708255835855264</v>
      </c>
      <c r="AG75" s="113">
        <f>IFERROR(peer_prices_monthly!AG58/peer_prices_monthly!AG57-1,"")</f>
        <v>-0.10234166338505091</v>
      </c>
      <c r="AH75" s="113">
        <f>IFERROR(peer_prices_monthly!AH58/peer_prices_monthly!AH57-1,"")</f>
        <v>-0.1236093919825344</v>
      </c>
      <c r="AI75" s="113">
        <f>IFERROR(peer_prices_monthly!AI58/peer_prices_monthly!AI57-1,"")</f>
        <v>6.5119882873117207E-2</v>
      </c>
      <c r="AJ75" s="113">
        <f>IFERROR(peer_prices_monthly!AJ58/peer_prices_monthly!AJ57-1,"")</f>
        <v>-7.6420484011157974E-2</v>
      </c>
      <c r="AK75" s="113">
        <f>IFERROR(peer_prices_monthly!AK58/peer_prices_monthly!AK57-1,"")</f>
        <v>-9.5247204788475703E-2</v>
      </c>
      <c r="AL75" s="113">
        <f>IFERROR(peer_prices_monthly!AL58/peer_prices_monthly!AL57-1,"")</f>
        <v>-4.7439092159691998E-2</v>
      </c>
      <c r="AM75" s="113">
        <f>IFERROR(peer_prices_monthly!AM58/peer_prices_monthly!AM57-1,"")</f>
        <v>-2.6689618655165503E-2</v>
      </c>
      <c r="AN75" s="113">
        <f>IFERROR(peer_prices_monthly!AN58/peer_prices_monthly!AN57-1,"")</f>
        <v>-5.0932690968576999E-2</v>
      </c>
    </row>
    <row r="76" spans="1:40" x14ac:dyDescent="0.25">
      <c r="A76" s="126">
        <f>peer_prices_monthly!A59</f>
        <v>46142</v>
      </c>
      <c r="B76" s="113">
        <f>IFERROR(peer_prices_monthly!B59/peer_prices_monthly!B58-1,"")</f>
        <v>6.9191195006629069E-2</v>
      </c>
      <c r="C76" s="113">
        <f>IFERROR(peer_prices_monthly!C59/peer_prices_monthly!C58-1,"")</f>
        <v>1.2423910851209863E-2</v>
      </c>
      <c r="D76" s="113">
        <f>IFERROR(peer_prices_monthly!D59/peer_prices_monthly!D58-1,"")</f>
        <v>0.74256502481100339</v>
      </c>
      <c r="E76" s="113">
        <f>IFERROR(peer_prices_monthly!E59/peer_prices_monthly!E58-1,"")</f>
        <v>0.27267485533749536</v>
      </c>
      <c r="F76" s="113">
        <f>IFERROR(peer_prices_monthly!F59/peer_prices_monthly!F58-1,"")</f>
        <v>0.39026975820548238</v>
      </c>
      <c r="G76" s="113">
        <f>IFERROR(peer_prices_monthly!G59/peer_prices_monthly!G58-1,"")</f>
        <v>0.34868010047009679</v>
      </c>
      <c r="H76" s="113">
        <f>IFERROR(peer_prices_monthly!H59/peer_prices_monthly!H58-1,"")</f>
        <v>5.1171661068508234E-2</v>
      </c>
      <c r="I76" s="113">
        <f>IFERROR(peer_prices_monthly!I59/peer_prices_monthly!I58-1,"")</f>
        <v>1.8164869611206669E-2</v>
      </c>
      <c r="J76" s="113">
        <f>IFERROR(peer_prices_monthly!J59/peer_prices_monthly!J58-1,"")</f>
        <v>-5.1955319196133276E-2</v>
      </c>
      <c r="K76" s="113">
        <f>IFERROR(peer_prices_monthly!K59/peer_prices_monthly!K58-1,"")</f>
        <v>0.2770152763696303</v>
      </c>
      <c r="L76" s="113">
        <f>IFERROR(peer_prices_monthly!L59/peer_prices_monthly!L58-1,"")</f>
        <v>0.1368930814755418</v>
      </c>
      <c r="M76" s="113">
        <f>IFERROR(peer_prices_monthly!M59/peer_prices_monthly!M58-1,"")</f>
        <v>4.6793715582457374E-2</v>
      </c>
      <c r="N76" s="113">
        <f>IFERROR(peer_prices_monthly!N59/peer_prices_monthly!N58-1,"")</f>
        <v>3.2080587511390535E-2</v>
      </c>
      <c r="O76" s="113">
        <f>IFERROR(peer_prices_monthly!O59/peer_prices_monthly!O58-1,"")</f>
        <v>0.33815549751246166</v>
      </c>
      <c r="P76" s="113">
        <f>IFERROR(peer_prices_monthly!P59/peer_prices_monthly!P58-1,"")</f>
        <v>8.5892839519771114E-2</v>
      </c>
      <c r="Q76" s="113">
        <f>IFERROR(peer_prices_monthly!Q59/peer_prices_monthly!Q58-1,"")</f>
        <v>-4.7072935169231722E-2</v>
      </c>
      <c r="R76" s="113">
        <f>IFERROR(peer_prices_monthly!R59/peer_prices_monthly!R58-1,"")</f>
        <v>1.140947225700323</v>
      </c>
      <c r="S76" s="113">
        <f>IFERROR(peer_prices_monthly!S59/peer_prices_monthly!S58-1,"")</f>
        <v>-0.33158446337405179</v>
      </c>
      <c r="T76" s="113">
        <f>IFERROR(peer_prices_monthly!T59/peer_prices_monthly!T58-1,"")</f>
        <v>6.9529651478286825E-2</v>
      </c>
      <c r="U76" s="113">
        <f>IFERROR(peer_prices_monthly!U59/peer_prices_monthly!U58-1,"")</f>
        <v>0.1016019642556758</v>
      </c>
      <c r="V76" s="113">
        <f>IFERROR(peer_prices_monthly!V59/peer_prices_monthly!V58-1,"")</f>
        <v>0.53078368532933462</v>
      </c>
      <c r="W76" s="113">
        <f>IFERROR(peer_prices_monthly!W59/peer_prices_monthly!W58-1,"")</f>
        <v>-0.1553324248601351</v>
      </c>
      <c r="X76" s="113">
        <f>IFERROR(peer_prices_monthly!X59/peer_prices_monthly!X58-1,"")</f>
        <v>0.14432340855381232</v>
      </c>
      <c r="Y76" s="113">
        <f>IFERROR(peer_prices_monthly!Y59/peer_prices_monthly!Y58-1,"")</f>
        <v>0.10090182531315084</v>
      </c>
      <c r="Z76" s="113">
        <f>IFERROR(peer_prices_monthly!Z59/peer_prices_monthly!Z58-1,"")</f>
        <v>7.1973810460299159E-2</v>
      </c>
      <c r="AA76" s="113">
        <f>IFERROR(peer_prices_monthly!AA59/peer_prices_monthly!AA58-1,"")</f>
        <v>0.39447122963218084</v>
      </c>
      <c r="AB76" s="113">
        <f>IFERROR(peer_prices_monthly!AB59/peer_prices_monthly!AB58-1,"")</f>
        <v>9.3427422215301981E-2</v>
      </c>
      <c r="AC76" s="113">
        <f>IFERROR(peer_prices_monthly!AC59/peer_prices_monthly!AC58-1,"")</f>
        <v>8.9700957520685076E-2</v>
      </c>
      <c r="AD76" s="113">
        <f>IFERROR(peer_prices_monthly!AD59/peer_prices_monthly!AD58-1,"")</f>
        <v>-1.0046153222605825E-2</v>
      </c>
      <c r="AE76" s="113">
        <f>IFERROR(peer_prices_monthly!AE59/peer_prices_monthly!AE58-1,"")</f>
        <v>2.115995994535802E-2</v>
      </c>
      <c r="AF76" s="113">
        <f>IFERROR(peer_prices_monthly!AF59/peer_prices_monthly!AF58-1,"")</f>
        <v>0.31956528206628887</v>
      </c>
      <c r="AG76" s="113">
        <f>IFERROR(peer_prices_monthly!AG59/peer_prices_monthly!AG58-1,"")</f>
        <v>-2.9468627433274608E-2</v>
      </c>
      <c r="AH76" s="113">
        <f>IFERROR(peer_prices_monthly!AH59/peer_prices_monthly!AH58-1,"")</f>
        <v>2.6798314969162185E-2</v>
      </c>
      <c r="AI76" s="113">
        <f>IFERROR(peer_prices_monthly!AI59/peer_prices_monthly!AI58-1,"")</f>
        <v>7.0544644423037317E-2</v>
      </c>
      <c r="AJ76" s="113">
        <f>IFERROR(peer_prices_monthly!AJ59/peer_prices_monthly!AJ58-1,"")</f>
        <v>2.6577013807162153E-2</v>
      </c>
      <c r="AK76" s="113">
        <f>IFERROR(peer_prices_monthly!AK59/peer_prices_monthly!AK58-1,"")</f>
        <v>0.17194844748038873</v>
      </c>
      <c r="AL76" s="113">
        <f>IFERROR(peer_prices_monthly!AL59/peer_prices_monthly!AL58-1,"")</f>
        <v>3.9665032937278966E-2</v>
      </c>
      <c r="AM76" s="113">
        <f>IFERROR(peer_prices_monthly!AM59/peer_prices_monthly!AM58-1,"")</f>
        <v>6.1554500387487332E-2</v>
      </c>
      <c r="AN76" s="113">
        <f>IFERROR(peer_prices_monthly!AN59/peer_prices_monthly!AN58-1,"")</f>
        <v>0.10423338582985764</v>
      </c>
    </row>
    <row r="77" spans="1:40" x14ac:dyDescent="0.25">
      <c r="A77" s="126">
        <f>peer_prices_monthly!A60</f>
        <v>46173</v>
      </c>
      <c r="B77" s="113">
        <f>IFERROR(peer_prices_monthly!B60/peer_prices_monthly!B59-1,"")</f>
        <v>0.15108708781185798</v>
      </c>
      <c r="C77" s="113">
        <f>IFERROR(peer_prices_monthly!C60/peer_prices_monthly!C59-1,"")</f>
        <v>5.3270967193914442E-2</v>
      </c>
      <c r="D77" s="113">
        <f>IFERROR(peer_prices_monthly!D60/peer_prices_monthly!D59-1,"")</f>
        <v>0.45589435471707462</v>
      </c>
      <c r="E77" s="113">
        <f>IFERROR(peer_prices_monthly!E60/peer_prices_monthly!E59-1,"")</f>
        <v>2.1051901989134425E-2</v>
      </c>
      <c r="F77" s="113">
        <f>IFERROR(peer_prices_monthly!F60/peer_prices_monthly!F59-1,"")</f>
        <v>0.67977366033611708</v>
      </c>
      <c r="G77" s="113">
        <f>IFERROR(peer_prices_monthly!G60/peer_prices_monthly!G59-1,"")</f>
        <v>7.0287240021990716E-2</v>
      </c>
      <c r="H77" s="113">
        <f>IFERROR(peer_prices_monthly!H60/peer_prices_monthly!H59-1,"")</f>
        <v>-5.8083069659236264E-2</v>
      </c>
      <c r="I77" s="113">
        <f>IFERROR(peer_prices_monthly!I60/peer_prices_monthly!I59-1,"")</f>
        <v>-5.6008558724586432E-2</v>
      </c>
      <c r="J77" s="113">
        <f>IFERROR(peer_prices_monthly!J60/peer_prices_monthly!J59-1,"")</f>
        <v>8.2535602069694569E-2</v>
      </c>
      <c r="K77" s="113">
        <f>IFERROR(peer_prices_monthly!K60/peer_prices_monthly!K59-1,"")</f>
        <v>1.0144053655740599</v>
      </c>
      <c r="L77" s="113">
        <f>IFERROR(peer_prices_monthly!L60/peer_prices_monthly!L59-1,"")</f>
        <v>5.8880218320010336E-2</v>
      </c>
      <c r="M77" s="113">
        <f>IFERROR(peer_prices_monthly!M60/peer_prices_monthly!M59-1,"")</f>
        <v>0.46190667289145848</v>
      </c>
      <c r="N77" s="113">
        <f>IFERROR(peer_prices_monthly!N60/peer_prices_monthly!N59-1,"")</f>
        <v>8.2585412886294174E-2</v>
      </c>
      <c r="O77" s="113">
        <f>IFERROR(peer_prices_monthly!O60/peer_prices_monthly!O59-1,"")</f>
        <v>-1.1590433880652729E-2</v>
      </c>
      <c r="P77" s="113">
        <f>IFERROR(peer_prices_monthly!P60/peer_prices_monthly!P59-1,"")</f>
        <v>0.29626087403975832</v>
      </c>
      <c r="Q77" s="113">
        <f>IFERROR(peer_prices_monthly!Q60/peer_prices_monthly!Q59-1,"")</f>
        <v>0.29877825157232962</v>
      </c>
      <c r="R77" s="113">
        <f>IFERROR(peer_prices_monthly!R60/peer_prices_monthly!R59-1,"")</f>
        <v>0.21380182293102945</v>
      </c>
      <c r="S77" s="113">
        <f>IFERROR(peer_prices_monthly!S60/peer_prices_monthly!S59-1,"")</f>
        <v>2.8257505244834613E-2</v>
      </c>
      <c r="T77" s="113">
        <f>IFERROR(peer_prices_monthly!T60/peer_prices_monthly!T59-1,"")</f>
        <v>3.3665094221889458E-2</v>
      </c>
      <c r="U77" s="113">
        <f>IFERROR(peer_prices_monthly!U60/peer_prices_monthly!U59-1,"")</f>
        <v>0.10651613480487176</v>
      </c>
      <c r="V77" s="113">
        <f>IFERROR(peer_prices_monthly!V60/peer_prices_monthly!V59-1,"")</f>
        <v>0.8775622219761785</v>
      </c>
      <c r="W77" s="113">
        <f>IFERROR(peer_prices_monthly!W60/peer_prices_monthly!W59-1,"")</f>
        <v>0.40833434701504134</v>
      </c>
      <c r="X77" s="113">
        <f>IFERROR(peer_prices_monthly!X60/peer_prices_monthly!X59-1,"")</f>
        <v>5.7974658816573488E-2</v>
      </c>
      <c r="Y77" s="113">
        <f>IFERROR(peer_prices_monthly!Y60/peer_prices_monthly!Y59-1,"")</f>
        <v>0.39897142232594374</v>
      </c>
      <c r="Z77" s="113">
        <f>IFERROR(peer_prices_monthly!Z60/peer_prices_monthly!Z59-1,"")</f>
        <v>1.9837202068939686E-2</v>
      </c>
      <c r="AA77" s="113">
        <f>IFERROR(peer_prices_monthly!AA60/peer_prices_monthly!AA59-1,"")</f>
        <v>0.3978171097936003</v>
      </c>
      <c r="AB77" s="113">
        <f>IFERROR(peer_prices_monthly!AB60/peer_prices_monthly!AB59-1,"")</f>
        <v>0.19540857914376453</v>
      </c>
      <c r="AC77" s="113">
        <f>IFERROR(peer_prices_monthly!AC60/peer_prices_monthly!AC59-1,"")</f>
        <v>-6.0975843777908434E-3</v>
      </c>
      <c r="AD77" s="113">
        <f>IFERROR(peer_prices_monthly!AD60/peer_prices_monthly!AD59-1,"")</f>
        <v>9.1215868102143771E-2</v>
      </c>
      <c r="AE77" s="113">
        <f>IFERROR(peer_prices_monthly!AE60/peer_prices_monthly!AE59-1,"")</f>
        <v>-1.9978520794336374E-2</v>
      </c>
      <c r="AF77" s="113">
        <f>IFERROR(peer_prices_monthly!AF60/peer_prices_monthly!AF59-1,"")</f>
        <v>-5.9308092806177215E-2</v>
      </c>
      <c r="AG77" s="113">
        <f>IFERROR(peer_prices_monthly!AG60/peer_prices_monthly!AG59-1,"")</f>
        <v>7.3668468441782542E-2</v>
      </c>
      <c r="AH77" s="113">
        <f>IFERROR(peer_prices_monthly!AH60/peer_prices_monthly!AH59-1,"")</f>
        <v>9.6153817182865753E-2</v>
      </c>
      <c r="AI77" s="113">
        <f>IFERROR(peer_prices_monthly!AI60/peer_prices_monthly!AI59-1,"")</f>
        <v>-1.1402281346613474E-2</v>
      </c>
      <c r="AJ77" s="113">
        <f>IFERROR(peer_prices_monthly!AJ60/peer_prices_monthly!AJ59-1,"")</f>
        <v>0.14191757191298504</v>
      </c>
      <c r="AK77" s="113">
        <f>IFERROR(peer_prices_monthly!AK60/peer_prices_monthly!AK59-1,"")</f>
        <v>5.6531888266182051E-2</v>
      </c>
      <c r="AL77" s="113">
        <f>IFERROR(peer_prices_monthly!AL60/peer_prices_monthly!AL59-1,"")</f>
        <v>-8.6053441013768328E-2</v>
      </c>
      <c r="AM77" s="113">
        <f>IFERROR(peer_prices_monthly!AM60/peer_prices_monthly!AM59-1,"")</f>
        <v>-0.12096638409584581</v>
      </c>
      <c r="AN77" s="113">
        <f>IFERROR(peer_prices_monthly!AN60/peer_prices_monthly!AN59-1,"")</f>
        <v>5.1470355157242631E-2</v>
      </c>
    </row>
    <row r="78" spans="1:40" x14ac:dyDescent="0.25">
      <c r="A78" s="126">
        <f>peer_prices_monthly!A61</f>
        <v>46203</v>
      </c>
      <c r="B78" s="113">
        <f>IFERROR(peer_prices_monthly!B61/peer_prices_monthly!B60-1,"")</f>
        <v>-7.2742461015910864E-2</v>
      </c>
      <c r="C78" s="113">
        <f>IFERROR(peer_prices_monthly!C61/peer_prices_monthly!C60-1,"")</f>
        <v>-0.20905824994793254</v>
      </c>
      <c r="D78" s="113">
        <f>IFERROR(peer_prices_monthly!D61/peer_prices_monthly!D60-1,"")</f>
        <v>0.12557643988456646</v>
      </c>
      <c r="E78" s="113">
        <f>IFERROR(peer_prices_monthly!E61/peer_prices_monthly!E60-1,"")</f>
        <v>-0.11934679486514488</v>
      </c>
      <c r="F78" s="113">
        <f>IFERROR(peer_prices_monthly!F61/peer_prices_monthly!F60-1,"")</f>
        <v>3.6230823072771479E-3</v>
      </c>
      <c r="G78" s="113">
        <f>IFERROR(peer_prices_monthly!G61/peer_prices_monthly!G60-1,"")</f>
        <v>-0.15314847626257933</v>
      </c>
      <c r="H78" s="113">
        <f>IFERROR(peer_prices_monthly!H61/peer_prices_monthly!H60-1,"")</f>
        <v>-0.22024249525555184</v>
      </c>
      <c r="I78" s="113">
        <f>IFERROR(peer_prices_monthly!I61/peer_prices_monthly!I60-1,"")</f>
        <v>-2.1802380864865412E-2</v>
      </c>
      <c r="J78" s="113">
        <f>IFERROR(peer_prices_monthly!J61/peer_prices_monthly!J60-1,"")</f>
        <v>-0.17810393774612865</v>
      </c>
      <c r="K78" s="113">
        <f>IFERROR(peer_prices_monthly!K61/peer_prices_monthly!K60-1,"")</f>
        <v>2.5064734878400774E-2</v>
      </c>
      <c r="L78" s="113">
        <f>IFERROR(peer_prices_monthly!L61/peer_prices_monthly!L60-1,"")</f>
        <v>2.2696105363987584E-2</v>
      </c>
      <c r="M78" s="113">
        <f>IFERROR(peer_prices_monthly!M61/peer_prices_monthly!M60-1,"")</f>
        <v>-0.20298169765615948</v>
      </c>
      <c r="N78" s="113">
        <f>IFERROR(peer_prices_monthly!N61/peer_prices_monthly!N60-1,"")</f>
        <v>-7.1995586595698935E-2</v>
      </c>
      <c r="O78" s="113">
        <f>IFERROR(peer_prices_monthly!O61/peer_prices_monthly!O60-1,"")</f>
        <v>-5.9832085976835536E-2</v>
      </c>
      <c r="P78" s="113">
        <f>IFERROR(peer_prices_monthly!P61/peer_prices_monthly!P60-1,"")</f>
        <v>-0.17873054667576926</v>
      </c>
      <c r="Q78" s="113">
        <f>IFERROR(peer_prices_monthly!Q61/peer_prices_monthly!Q60-1,"")</f>
        <v>-5.5708519200558304E-2</v>
      </c>
      <c r="R78" s="113">
        <f>IFERROR(peer_prices_monthly!R61/peer_prices_monthly!R60-1,"")</f>
        <v>0.21756195074330376</v>
      </c>
      <c r="S78" s="113">
        <f>IFERROR(peer_prices_monthly!S61/peer_prices_monthly!S60-1,"")</f>
        <v>2.137402479524031E-2</v>
      </c>
      <c r="T78" s="113">
        <f>IFERROR(peer_prices_monthly!T61/peer_prices_monthly!T60-1,"")</f>
        <v>-0.10861164319364913</v>
      </c>
      <c r="U78" s="113">
        <f>IFERROR(peer_prices_monthly!U61/peer_prices_monthly!U60-1,"")</f>
        <v>-0.17150853521586529</v>
      </c>
      <c r="V78" s="113">
        <f>IFERROR(peer_prices_monthly!V61/peer_prices_monthly!V60-1,"")</f>
        <v>0.18876418311149634</v>
      </c>
      <c r="W78" s="113">
        <f>IFERROR(peer_prices_monthly!W61/peer_prices_monthly!W60-1,"")</f>
        <v>-0.20173678068021661</v>
      </c>
      <c r="X78" s="113">
        <f>IFERROR(peer_prices_monthly!X61/peer_prices_monthly!X60-1,"")</f>
        <v>-5.1230493410720945E-2</v>
      </c>
      <c r="Y78" s="113">
        <f>IFERROR(peer_prices_monthly!Y61/peer_prices_monthly!Y60-1,"")</f>
        <v>-0.3509167830361416</v>
      </c>
      <c r="Z78" s="113">
        <f>IFERROR(peer_prices_monthly!Z61/peer_prices_monthly!Z60-1,"")</f>
        <v>4.8877879644679378E-2</v>
      </c>
      <c r="AA78" s="113">
        <f>IFERROR(peer_prices_monthly!AA61/peer_prices_monthly!AA60-1,"")</f>
        <v>-0.26112459129815113</v>
      </c>
      <c r="AB78" s="113">
        <f>IFERROR(peer_prices_monthly!AB61/peer_prices_monthly!AB60-1,"")</f>
        <v>-1.3749989596280154E-2</v>
      </c>
      <c r="AC78" s="113">
        <f>IFERROR(peer_prices_monthly!AC61/peer_prices_monthly!AC60-1,"")</f>
        <v>6.4417251138382925E-2</v>
      </c>
      <c r="AD78" s="113">
        <f>IFERROR(peer_prices_monthly!AD61/peer_prices_monthly!AD60-1,"")</f>
        <v>-0.15226356619208214</v>
      </c>
      <c r="AE78" s="113">
        <f>IFERROR(peer_prices_monthly!AE61/peer_prices_monthly!AE60-1,"")</f>
        <v>-3.8160212401934013E-2</v>
      </c>
      <c r="AF78" s="113">
        <f>IFERROR(peer_prices_monthly!AF61/peer_prices_monthly!AF60-1,"")</f>
        <v>-0.22241680778318496</v>
      </c>
      <c r="AG78" s="113">
        <f>IFERROR(peer_prices_monthly!AG61/peer_prices_monthly!AG60-1,"")</f>
        <v>-7.0004647670169673E-2</v>
      </c>
      <c r="AH78" s="113">
        <f>IFERROR(peer_prices_monthly!AH61/peer_prices_monthly!AH60-1,"")</f>
        <v>-0.28070178478713792</v>
      </c>
      <c r="AI78" s="113">
        <f>IFERROR(peer_prices_monthly!AI61/peer_prices_monthly!AI60-1,"")</f>
        <v>2.7858667852594055E-2</v>
      </c>
      <c r="AJ78" s="113">
        <f>IFERROR(peer_prices_monthly!AJ61/peer_prices_monthly!AJ60-1,"")</f>
        <v>-3.4856243015127464E-2</v>
      </c>
      <c r="AK78" s="113">
        <f>IFERROR(peer_prices_monthly!AK61/peer_prices_monthly!AK60-1,"")</f>
        <v>0.14395601551901516</v>
      </c>
      <c r="AL78" s="113">
        <f>IFERROR(peer_prices_monthly!AL61/peer_prices_monthly!AL60-1,"")</f>
        <v>-0.16141000131904304</v>
      </c>
      <c r="AM78" s="113">
        <f>IFERROR(peer_prices_monthly!AM61/peer_prices_monthly!AM60-1,"")</f>
        <v>-2.1511860594121246E-2</v>
      </c>
      <c r="AN78" s="113">
        <f>IFERROR(peer_prices_monthly!AN61/peer_prices_monthly!AN60-1,"")</f>
        <v>-1.0646379407113993E-2</v>
      </c>
    </row>
    <row r="79" spans="1:40" x14ac:dyDescent="0.25">
      <c r="A79" s="126">
        <f>peer_prices_monthly!A62</f>
        <v>46234</v>
      </c>
      <c r="B79" s="113">
        <f>IFERROR(peer_prices_monthly!B62/peer_prices_monthly!B61-1,"")</f>
        <v>6.7562964128555114E-2</v>
      </c>
      <c r="C79" s="113">
        <f>IFERROR(peer_prices_monthly!C62/peer_prices_monthly!C61-1,"")</f>
        <v>0.22139302723517407</v>
      </c>
      <c r="D79" s="113">
        <f>IFERROR(peer_prices_monthly!D62/peer_prices_monthly!D61-1,"")</f>
        <v>-0.18033771856415082</v>
      </c>
      <c r="E79" s="113">
        <f>IFERROR(peer_prices_monthly!E62/peer_prices_monthly!E61-1,"")</f>
        <v>0.13946459152936819</v>
      </c>
      <c r="F79" s="113">
        <f>IFERROR(peer_prices_monthly!F62/peer_prices_monthly!F61-1,"")</f>
        <v>-0.32399808926242946</v>
      </c>
      <c r="G79" s="113">
        <f>IFERROR(peer_prices_monthly!G62/peer_prices_monthly!G61-1,"")</f>
        <v>3.0522829329707069E-2</v>
      </c>
      <c r="H79" s="113">
        <f>IFERROR(peer_prices_monthly!H62/peer_prices_monthly!H61-1,"")</f>
        <v>0.27370281021321374</v>
      </c>
      <c r="I79" s="113">
        <f>IFERROR(peer_prices_monthly!I62/peer_prices_monthly!I61-1,"")</f>
        <v>1.9170575092420039E-2</v>
      </c>
      <c r="J79" s="113">
        <f>IFERROR(peer_prices_monthly!J62/peer_prices_monthly!J61-1,"")</f>
        <v>0.17464572941899537</v>
      </c>
      <c r="K79" s="113">
        <f>IFERROR(peer_prices_monthly!K62/peer_prices_monthly!K61-1,"")</f>
        <v>-5.8916565124004561E-2</v>
      </c>
      <c r="L79" s="113">
        <f>IFERROR(peer_prices_monthly!L62/peer_prices_monthly!L61-1,"")</f>
        <v>2.0223732762688851E-2</v>
      </c>
      <c r="M79" s="113">
        <f>IFERROR(peer_prices_monthly!M62/peer_prices_monthly!M61-1,"")</f>
        <v>5.6115158852643399E-2</v>
      </c>
      <c r="N79" s="113">
        <f>IFERROR(peer_prices_monthly!N62/peer_prices_monthly!N61-1,"")</f>
        <v>0.15282821094265775</v>
      </c>
      <c r="O79" s="113">
        <f>IFERROR(peer_prices_monthly!O62/peer_prices_monthly!O61-1,"")</f>
        <v>-3.4697659325551022E-3</v>
      </c>
      <c r="P79" s="113">
        <f>IFERROR(peer_prices_monthly!P62/peer_prices_monthly!P61-1,"")</f>
        <v>0.24293526864013781</v>
      </c>
      <c r="Q79" s="113">
        <f>IFERROR(peer_prices_monthly!Q62/peer_prices_monthly!Q61-1,"")</f>
        <v>-0.20468688633984278</v>
      </c>
      <c r="R79" s="113">
        <f>IFERROR(peer_prices_monthly!R62/peer_prices_monthly!R61-1,"")</f>
        <v>-0.35400706299520301</v>
      </c>
      <c r="S79" s="113">
        <f>IFERROR(peer_prices_monthly!S62/peer_prices_monthly!S61-1,"")</f>
        <v>0.10313902112388584</v>
      </c>
      <c r="T79" s="113">
        <f>IFERROR(peer_prices_monthly!T62/peer_prices_monthly!T61-1,"")</f>
        <v>-1.1681294380082363E-2</v>
      </c>
      <c r="U79" s="113">
        <f>IFERROR(peer_prices_monthly!U62/peer_prices_monthly!U61-1,"")</f>
        <v>0.24583136268247086</v>
      </c>
      <c r="V79" s="113">
        <f>IFERROR(peer_prices_monthly!V62/peer_prices_monthly!V61-1,"")</f>
        <v>-0.28687195184510217</v>
      </c>
      <c r="W79" s="113">
        <f>IFERROR(peer_prices_monthly!W62/peer_prices_monthly!W61-1,"")</f>
        <v>0.1203666873949305</v>
      </c>
      <c r="X79" s="113">
        <f>IFERROR(peer_prices_monthly!X62/peer_prices_monthly!X61-1,"")</f>
        <v>3.2985340306310729E-3</v>
      </c>
      <c r="Y79" s="113">
        <f>IFERROR(peer_prices_monthly!Y62/peer_prices_monthly!Y61-1,"")</f>
        <v>-0.11073488215029481</v>
      </c>
      <c r="Z79" s="113">
        <f>IFERROR(peer_prices_monthly!Z62/peer_prices_monthly!Z61-1,"")</f>
        <v>0.14170230361089287</v>
      </c>
      <c r="AA79" s="113">
        <f>IFERROR(peer_prices_monthly!AA62/peer_prices_monthly!AA61-1,"")</f>
        <v>-0.20120133138492491</v>
      </c>
      <c r="AB79" s="113">
        <f>IFERROR(peer_prices_monthly!AB62/peer_prices_monthly!AB61-1,"")</f>
        <v>-0.18959559462466569</v>
      </c>
      <c r="AC79" s="113">
        <f>IFERROR(peer_prices_monthly!AC62/peer_prices_monthly!AC61-1,"")</f>
        <v>-0.12276657450197037</v>
      </c>
      <c r="AD79" s="113">
        <f>IFERROR(peer_prices_monthly!AD62/peer_prices_monthly!AD61-1,"")</f>
        <v>0.19148656407735909</v>
      </c>
      <c r="AE79" s="113">
        <f>IFERROR(peer_prices_monthly!AE62/peer_prices_monthly!AE61-1,"")</f>
        <v>2.601157131516052E-2</v>
      </c>
      <c r="AF79" s="113">
        <f>IFERROR(peer_prices_monthly!AF62/peer_prices_monthly!AF61-1,"")</f>
        <v>5.630630558065941E-2</v>
      </c>
      <c r="AG79" s="113">
        <f>IFERROR(peer_prices_monthly!AG62/peer_prices_monthly!AG61-1,"")</f>
        <v>0.15952147797273741</v>
      </c>
      <c r="AH79" s="113">
        <f>IFERROR(peer_prices_monthly!AH62/peer_prices_monthly!AH61-1,"")</f>
        <v>3.48440044620002E-3</v>
      </c>
      <c r="AI79" s="113">
        <f>IFERROR(peer_prices_monthly!AI62/peer_prices_monthly!AI61-1,"")</f>
        <v>0.10627061341359822</v>
      </c>
      <c r="AJ79" s="113">
        <f>IFERROR(peer_prices_monthly!AJ62/peer_prices_monthly!AJ61-1,"")</f>
        <v>-0.26008086795299534</v>
      </c>
      <c r="AK79" s="113">
        <f>IFERROR(peer_prices_monthly!AK62/peer_prices_monthly!AK61-1,"")</f>
        <v>-0.15352724459189571</v>
      </c>
      <c r="AL79" s="113">
        <f>IFERROR(peer_prices_monthly!AL62/peer_prices_monthly!AL61-1,"")</f>
        <v>-2.2123345324943644E-3</v>
      </c>
      <c r="AM79" s="113">
        <f>IFERROR(peer_prices_monthly!AM62/peer_prices_monthly!AM61-1,"")</f>
        <v>-1.8188284912006969E-2</v>
      </c>
      <c r="AN79" s="113">
        <f>IFERROR(peer_prices_monthly!AN62/peer_prices_monthly!AN61-1,"")</f>
        <v>-1.2853961689047733E-3</v>
      </c>
    </row>
    <row r="82" spans="1:6" x14ac:dyDescent="0.25">
      <c r="A82" t="s">
        <v>738</v>
      </c>
      <c r="F82" s="58">
        <v>1.1000000000000001</v>
      </c>
    </row>
    <row r="84" spans="1:6" x14ac:dyDescent="0.25">
      <c r="A84" s="54" t="s">
        <v>739</v>
      </c>
      <c r="B84" s="54"/>
      <c r="C84" s="54"/>
      <c r="D84" s="54"/>
      <c r="E84" s="54"/>
      <c r="F84" s="54"/>
    </row>
    <row r="85" spans="1:6" x14ac:dyDescent="0.25">
      <c r="A85" s="9" t="s">
        <v>1</v>
      </c>
      <c r="B85" s="9" t="s">
        <v>740</v>
      </c>
      <c r="C85" s="9" t="s">
        <v>741</v>
      </c>
      <c r="D85" s="9" t="s">
        <v>742</v>
      </c>
      <c r="E85" s="9" t="s">
        <v>743</v>
      </c>
      <c r="F85" s="9" t="s">
        <v>744</v>
      </c>
    </row>
    <row r="86" spans="1:6" x14ac:dyDescent="0.25">
      <c r="A86" t="s">
        <v>296</v>
      </c>
      <c r="B86" t="s">
        <v>466</v>
      </c>
      <c r="C86" s="113">
        <f>'AAPL Rev Drivers &amp; Forecast'!B22</f>
        <v>0.50361759030759734</v>
      </c>
      <c r="D86" s="115">
        <f>$B$16</f>
        <v>1.0729716338469268</v>
      </c>
      <c r="E86" s="115">
        <f>C86*D86</f>
        <v>0.54036738870639489</v>
      </c>
    </row>
    <row r="87" spans="1:6" x14ac:dyDescent="0.25">
      <c r="B87" t="s">
        <v>467</v>
      </c>
      <c r="C87" s="113">
        <f>'AAPL Rev Drivers &amp; Forecast'!B23</f>
        <v>8.0997498564257586E-2</v>
      </c>
      <c r="D87" s="115">
        <f>$B$16</f>
        <v>1.0729716338469268</v>
      </c>
      <c r="E87" s="115">
        <f>C87*D87</f>
        <v>8.6908018372005569E-2</v>
      </c>
    </row>
    <row r="88" spans="1:6" x14ac:dyDescent="0.25">
      <c r="B88" t="s">
        <v>468</v>
      </c>
      <c r="C88" s="113">
        <f>'AAPL Rev Drivers &amp; Forecast'!B24</f>
        <v>6.7336920086216626E-2</v>
      </c>
      <c r="D88" s="115">
        <f>$B$16</f>
        <v>1.0729716338469268</v>
      </c>
      <c r="E88" s="115">
        <f>C88*D88</f>
        <v>7.2250605163127798E-2</v>
      </c>
    </row>
    <row r="89" spans="1:6" x14ac:dyDescent="0.25">
      <c r="B89" t="s">
        <v>469</v>
      </c>
      <c r="C89" s="113">
        <f>'AAPL Rev Drivers &amp; Forecast'!B25</f>
        <v>8.5750466766467789E-2</v>
      </c>
      <c r="D89" s="115">
        <f>$B$16</f>
        <v>1.0729716338469268</v>
      </c>
      <c r="E89" s="115">
        <f>C89*D89</f>
        <v>9.2007818429553551E-2</v>
      </c>
    </row>
    <row r="90" spans="1:6" x14ac:dyDescent="0.25">
      <c r="B90" t="s">
        <v>470</v>
      </c>
      <c r="C90" s="113">
        <f>'AAPL Rev Drivers &amp; Forecast'!B26</f>
        <v>0.26229752427546071</v>
      </c>
      <c r="D90" s="115">
        <f>$D$16</f>
        <v>0.99473772042584707</v>
      </c>
      <c r="E90" s="115">
        <f>C90*D90</f>
        <v>0.26091724137111505</v>
      </c>
    </row>
    <row r="91" spans="1:6" x14ac:dyDescent="0.25">
      <c r="A91" s="9" t="s">
        <v>745</v>
      </c>
      <c r="B91" s="9"/>
      <c r="C91" s="30"/>
      <c r="D91" s="42"/>
      <c r="E91" s="116">
        <f>SUM(E86:E90)</f>
        <v>1.0524510720421967</v>
      </c>
      <c r="F91" s="9"/>
    </row>
    <row r="92" spans="1:6" x14ac:dyDescent="0.25">
      <c r="A92" s="9" t="s">
        <v>746</v>
      </c>
      <c r="B92" s="9"/>
      <c r="C92" s="30"/>
      <c r="D92" s="42"/>
      <c r="E92" s="127">
        <f ca="1">E91*(1+(1-$B$4)*WACC!C35/WACC!C34)</f>
        <v>1.0733779612506678</v>
      </c>
      <c r="F92" s="9"/>
    </row>
    <row r="93" spans="1:6" x14ac:dyDescent="0.25">
      <c r="C93" s="28"/>
      <c r="D93" s="27"/>
      <c r="E93" s="27"/>
    </row>
    <row r="94" spans="1:6" x14ac:dyDescent="0.25">
      <c r="A94" t="s">
        <v>295</v>
      </c>
      <c r="B94" t="s">
        <v>472</v>
      </c>
      <c r="C94" s="113">
        <f>'MSFT Rev Drivers &amp; Forecast'!B27</f>
        <v>0.34940225184932772</v>
      </c>
      <c r="D94" s="115">
        <f>$C$16</f>
        <v>1.0827218870581818</v>
      </c>
      <c r="E94" s="115">
        <f t="shared" ref="E94:E103" si="4">C94*D94</f>
        <v>0.37830546546468219</v>
      </c>
    </row>
    <row r="95" spans="1:6" x14ac:dyDescent="0.25">
      <c r="B95" t="s">
        <v>473</v>
      </c>
      <c r="C95" s="113">
        <f>'MSFT Rev Drivers &amp; Forecast'!B28</f>
        <v>0.31153540344450598</v>
      </c>
      <c r="D95" s="115">
        <f>$C$16</f>
        <v>1.0827218870581818</v>
      </c>
      <c r="E95" s="115">
        <f t="shared" si="4"/>
        <v>0.33730619990286753</v>
      </c>
    </row>
    <row r="96" spans="1:6" x14ac:dyDescent="0.25">
      <c r="B96" t="s">
        <v>474</v>
      </c>
      <c r="C96" s="113">
        <f>'MSFT Rev Drivers &amp; Forecast'!B29</f>
        <v>8.3255242719825082E-2</v>
      </c>
      <c r="D96" s="115">
        <f>$C$16</f>
        <v>1.0827218870581818</v>
      </c>
      <c r="E96" s="115">
        <f t="shared" si="4"/>
        <v>9.0142273505095974E-2</v>
      </c>
    </row>
    <row r="97" spans="1:6" x14ac:dyDescent="0.25">
      <c r="B97" t="s">
        <v>475</v>
      </c>
      <c r="C97" s="113">
        <f>'MSFT Rev Drivers &amp; Forecast'!B30</f>
        <v>6.3225000354957331E-2</v>
      </c>
      <c r="D97" s="115">
        <f>$D$16</f>
        <v>0.99473772042584707</v>
      </c>
      <c r="E97" s="115">
        <f t="shared" si="4"/>
        <v>6.2892292727013632E-2</v>
      </c>
    </row>
    <row r="98" spans="1:6" x14ac:dyDescent="0.25">
      <c r="B98" t="s">
        <v>476</v>
      </c>
      <c r="C98" s="113">
        <f>'MSFT Rev Drivers &amp; Forecast'!B31</f>
        <v>6.1457312830997715E-2</v>
      </c>
      <c r="D98" s="115">
        <f>$C$16</f>
        <v>1.0827218870581818</v>
      </c>
      <c r="E98" s="115">
        <f t="shared" si="4"/>
        <v>6.6541177721902864E-2</v>
      </c>
    </row>
    <row r="99" spans="1:6" x14ac:dyDescent="0.25">
      <c r="B99" t="s">
        <v>477</v>
      </c>
      <c r="C99" s="113">
        <f>'MSFT Rev Drivers &amp; Forecast'!B32</f>
        <v>4.9260978830344596E-2</v>
      </c>
      <c r="D99" s="115">
        <f>$D$16</f>
        <v>0.99473772042584707</v>
      </c>
      <c r="E99" s="115">
        <f t="shared" si="4"/>
        <v>4.900175378764289E-2</v>
      </c>
    </row>
    <row r="100" spans="1:6" x14ac:dyDescent="0.25">
      <c r="B100" t="s">
        <v>478</v>
      </c>
      <c r="C100" s="113">
        <f>'MSFT Rev Drivers &amp; Forecast'!B33</f>
        <v>2.7782510542232824E-2</v>
      </c>
      <c r="D100" s="115">
        <f>$C$16</f>
        <v>1.0827218870581818</v>
      </c>
      <c r="E100" s="115">
        <f t="shared" si="4"/>
        <v>3.0080732241500156E-2</v>
      </c>
    </row>
    <row r="101" spans="1:6" x14ac:dyDescent="0.25">
      <c r="B101" t="s">
        <v>479</v>
      </c>
      <c r="C101" s="113">
        <f>'MSFT Rev Drivers &amp; Forecast'!B34</f>
        <v>2.7544689128366769E-2</v>
      </c>
      <c r="D101" s="115">
        <f>$C$16</f>
        <v>1.0827218870581818</v>
      </c>
      <c r="E101" s="115">
        <f t="shared" si="4"/>
        <v>2.9823237791496253E-2</v>
      </c>
    </row>
    <row r="102" spans="1:6" x14ac:dyDescent="0.25">
      <c r="B102" t="s">
        <v>480</v>
      </c>
      <c r="C102" s="113">
        <f>'MSFT Rev Drivers &amp; Forecast'!B35</f>
        <v>2.6281041018869532E-2</v>
      </c>
      <c r="D102" s="115">
        <f>$C$16</f>
        <v>1.0827218870581818</v>
      </c>
      <c r="E102" s="115">
        <f t="shared" si="4"/>
        <v>2.8455058325803903E-2</v>
      </c>
    </row>
    <row r="103" spans="1:6" x14ac:dyDescent="0.25">
      <c r="B103" t="s">
        <v>481</v>
      </c>
      <c r="C103" s="113">
        <f>'MSFT Rev Drivers &amp; Forecast'!B36</f>
        <v>2.5556928057247517E-4</v>
      </c>
      <c r="D103" s="115">
        <f>$C$16</f>
        <v>1.0827218870581818</v>
      </c>
      <c r="E103" s="115">
        <f t="shared" si="4"/>
        <v>2.7671045373553227E-4</v>
      </c>
    </row>
    <row r="104" spans="1:6" x14ac:dyDescent="0.25">
      <c r="A104" s="9" t="s">
        <v>747</v>
      </c>
      <c r="B104" s="9"/>
      <c r="C104" s="30"/>
      <c r="D104" s="42"/>
      <c r="E104" s="116">
        <f>SUM(E94:E103)</f>
        <v>1.0728249019217408</v>
      </c>
      <c r="F104" s="9"/>
    </row>
    <row r="105" spans="1:6" x14ac:dyDescent="0.25">
      <c r="A105" s="9" t="s">
        <v>748</v>
      </c>
      <c r="B105" s="9"/>
      <c r="C105" s="30"/>
      <c r="D105" s="42"/>
      <c r="E105" s="127">
        <f ca="1">E104*(1+(1-$B$4)*WACC!D35/WACC!D34)</f>
        <v>1.0827666433843359</v>
      </c>
      <c r="F105" s="9"/>
    </row>
    <row r="106" spans="1:6" x14ac:dyDescent="0.25">
      <c r="C106" s="28"/>
      <c r="D106" s="27"/>
      <c r="E106" s="27"/>
    </row>
    <row r="107" spans="1:6" x14ac:dyDescent="0.25">
      <c r="A107" t="s">
        <v>308</v>
      </c>
      <c r="B107" t="s">
        <v>483</v>
      </c>
      <c r="C107" s="113">
        <f>'GOOGL Rev Drivers &amp; Forecast'!B24</f>
        <v>0.55737818864252453</v>
      </c>
      <c r="D107" s="115">
        <f>$D$16</f>
        <v>0.99473772042584707</v>
      </c>
      <c r="E107" s="115">
        <f t="shared" ref="E107:E113" si="5">C107*D107</f>
        <v>0.55444510878535258</v>
      </c>
    </row>
    <row r="108" spans="1:6" x14ac:dyDescent="0.25">
      <c r="B108" t="s">
        <v>484</v>
      </c>
      <c r="C108" s="113">
        <f>'GOOGL Rev Drivers &amp; Forecast'!B25</f>
        <v>0.10020703214211242</v>
      </c>
      <c r="D108" s="115">
        <f>$D$16</f>
        <v>0.99473772042584707</v>
      </c>
      <c r="E108" s="115">
        <f t="shared" si="5"/>
        <v>9.967971472368449E-2</v>
      </c>
    </row>
    <row r="109" spans="1:6" x14ac:dyDescent="0.25">
      <c r="B109" t="s">
        <v>485</v>
      </c>
      <c r="C109" s="113">
        <f>'GOOGL Rev Drivers &amp; Forecast'!B26</f>
        <v>7.3955654410231456E-2</v>
      </c>
      <c r="D109" s="115">
        <f>$D$16</f>
        <v>0.99473772042584707</v>
      </c>
      <c r="E109" s="115">
        <f t="shared" si="5"/>
        <v>7.3566479080635377E-2</v>
      </c>
    </row>
    <row r="110" spans="1:6" x14ac:dyDescent="0.25">
      <c r="B110" t="s">
        <v>486</v>
      </c>
      <c r="C110" s="113">
        <f>'GOOGL Rev Drivers &amp; Forecast'!B27</f>
        <v>0.11922966169855723</v>
      </c>
      <c r="D110" s="115">
        <f>$D$16</f>
        <v>0.99473772042584707</v>
      </c>
      <c r="E110" s="115">
        <f t="shared" si="5"/>
        <v>0.11860224188516774</v>
      </c>
    </row>
    <row r="111" spans="1:6" x14ac:dyDescent="0.25">
      <c r="B111" t="s">
        <v>487</v>
      </c>
      <c r="C111" s="113">
        <f>'GOOGL Rev Drivers &amp; Forecast'!B28</f>
        <v>0.14572927940899025</v>
      </c>
      <c r="D111" s="115">
        <f>$C$16</f>
        <v>1.0827218870581818</v>
      </c>
      <c r="E111" s="115">
        <f t="shared" si="5"/>
        <v>0.15778428040133097</v>
      </c>
    </row>
    <row r="112" spans="1:6" x14ac:dyDescent="0.25">
      <c r="B112" t="s">
        <v>488</v>
      </c>
      <c r="C112" s="113">
        <f>'GOOGL Rev Drivers &amp; Forecast'!B29</f>
        <v>3.8154484703452523E-3</v>
      </c>
      <c r="D112" s="115">
        <f>$D$16</f>
        <v>0.99473772042584707</v>
      </c>
      <c r="E112" s="115">
        <f t="shared" si="5"/>
        <v>3.7953705137935214E-3</v>
      </c>
    </row>
    <row r="113" spans="1:6" x14ac:dyDescent="0.25">
      <c r="B113" t="s">
        <v>489</v>
      </c>
      <c r="C113" s="113">
        <f>'GOOGL Rev Drivers &amp; Forecast'!B30</f>
        <v>-3.1526477276112364E-4</v>
      </c>
      <c r="D113" s="115">
        <f>$D$16</f>
        <v>0.99473772042584707</v>
      </c>
      <c r="E113" s="115">
        <f t="shared" si="5"/>
        <v>-3.1360576138697284E-4</v>
      </c>
    </row>
    <row r="114" spans="1:6" x14ac:dyDescent="0.25">
      <c r="A114" s="9" t="s">
        <v>749</v>
      </c>
      <c r="B114" s="9"/>
      <c r="C114" s="30"/>
      <c r="D114" s="42"/>
      <c r="E114" s="116">
        <f>SUM(E107:E113)</f>
        <v>1.0075595896285776</v>
      </c>
      <c r="F114" s="9"/>
    </row>
    <row r="115" spans="1:6" x14ac:dyDescent="0.25">
      <c r="A115" s="9" t="s">
        <v>750</v>
      </c>
      <c r="B115" s="9"/>
      <c r="C115" s="30"/>
      <c r="D115" s="42"/>
      <c r="E115" s="127">
        <f ca="1">E114*(1+(1-$B$4)*WACC!E35/WACC!E34)</f>
        <v>1.0163177422413638</v>
      </c>
      <c r="F115" s="9"/>
    </row>
    <row r="116" spans="1:6" x14ac:dyDescent="0.25">
      <c r="C116" s="28"/>
      <c r="D116" s="27"/>
      <c r="E116" s="27"/>
    </row>
    <row r="117" spans="1:6" x14ac:dyDescent="0.25">
      <c r="A117" t="s">
        <v>291</v>
      </c>
      <c r="B117" t="s">
        <v>491</v>
      </c>
      <c r="C117" s="113">
        <f>'AMZN Rev Drivers &amp; Forecast'!B24</f>
        <v>0.37561443053935983</v>
      </c>
      <c r="D117" s="115">
        <f>$E$16</f>
        <v>0.85824228584333662</v>
      </c>
      <c r="E117" s="115">
        <f t="shared" ref="E117:E123" si="6">C117*D117</f>
        <v>0.32236818746184337</v>
      </c>
    </row>
    <row r="118" spans="1:6" x14ac:dyDescent="0.25">
      <c r="B118" t="s">
        <v>492</v>
      </c>
      <c r="C118" s="113">
        <f>'AMZN Rev Drivers &amp; Forecast'!B25</f>
        <v>3.1469165490344862E-2</v>
      </c>
      <c r="D118" s="115">
        <f>$E$16</f>
        <v>0.85824228584333662</v>
      </c>
      <c r="E118" s="115">
        <f t="shared" si="6"/>
        <v>2.7008168524015819E-2</v>
      </c>
    </row>
    <row r="119" spans="1:6" x14ac:dyDescent="0.25">
      <c r="B119" t="s">
        <v>493</v>
      </c>
      <c r="C119" s="113">
        <f>'AMZN Rev Drivers &amp; Forecast'!B26</f>
        <v>0.24013981956246408</v>
      </c>
      <c r="D119" s="115">
        <f>$E$16</f>
        <v>0.85824228584333662</v>
      </c>
      <c r="E119" s="115">
        <f t="shared" si="6"/>
        <v>0.20609814766329557</v>
      </c>
    </row>
    <row r="120" spans="1:6" x14ac:dyDescent="0.25">
      <c r="B120" t="s">
        <v>494</v>
      </c>
      <c r="C120" s="113">
        <f>'AMZN Rev Drivers &amp; Forecast'!B27</f>
        <v>9.5735391757006322E-2</v>
      </c>
      <c r="D120" s="115">
        <f>$D$16</f>
        <v>0.99473772042584707</v>
      </c>
      <c r="E120" s="115">
        <f t="shared" si="6"/>
        <v>9.5231605360439897E-2</v>
      </c>
    </row>
    <row r="121" spans="1:6" x14ac:dyDescent="0.25">
      <c r="B121" t="s">
        <v>495</v>
      </c>
      <c r="C121" s="113">
        <f>'AMZN Rev Drivers &amp; Forecast'!B28</f>
        <v>6.9210962389318814E-2</v>
      </c>
      <c r="D121" s="115">
        <f>$E$16</f>
        <v>0.85824228584333662</v>
      </c>
      <c r="E121" s="115">
        <f t="shared" si="6"/>
        <v>5.9399774566426179E-2</v>
      </c>
    </row>
    <row r="122" spans="1:6" x14ac:dyDescent="0.25">
      <c r="B122" t="s">
        <v>496</v>
      </c>
      <c r="C122" s="113">
        <f>'AMZN Rev Drivers &amp; Forecast'!B29</f>
        <v>0.17955180744402474</v>
      </c>
      <c r="D122" s="115">
        <f>$C$16</f>
        <v>1.0827218870581818</v>
      </c>
      <c r="E122" s="115">
        <f t="shared" si="6"/>
        <v>0.19440467178050178</v>
      </c>
    </row>
    <row r="123" spans="1:6" x14ac:dyDescent="0.25">
      <c r="B123" t="s">
        <v>481</v>
      </c>
      <c r="C123" s="113">
        <f>'AMZN Rev Drivers &amp; Forecast'!B30</f>
        <v>8.2784228174813505E-3</v>
      </c>
      <c r="D123" s="115">
        <f>$E$16</f>
        <v>0.85824228584333662</v>
      </c>
      <c r="E123" s="115">
        <f t="shared" si="6"/>
        <v>7.1048925220528296E-3</v>
      </c>
    </row>
    <row r="124" spans="1:6" x14ac:dyDescent="0.25">
      <c r="A124" s="9" t="s">
        <v>751</v>
      </c>
      <c r="B124" s="9"/>
      <c r="C124" s="30"/>
      <c r="D124" s="42"/>
      <c r="E124" s="116">
        <f>SUM(E117:E123)</f>
        <v>0.91161544787857551</v>
      </c>
      <c r="F124" s="9"/>
    </row>
    <row r="125" spans="1:6" x14ac:dyDescent="0.25">
      <c r="A125" s="9" t="s">
        <v>752</v>
      </c>
      <c r="B125" s="9"/>
      <c r="C125" s="30"/>
      <c r="D125" s="42"/>
      <c r="E125" s="127">
        <f ca="1">E124*(1+(1-$B$4)*WACC!F35/WACC!F34)</f>
        <v>0.9505059000565852</v>
      </c>
      <c r="F125" s="9"/>
    </row>
    <row r="126" spans="1:6" x14ac:dyDescent="0.25">
      <c r="C126" s="28"/>
      <c r="D126" s="27"/>
      <c r="E126" s="27"/>
    </row>
    <row r="127" spans="1:6" x14ac:dyDescent="0.25">
      <c r="A127" t="s">
        <v>294</v>
      </c>
      <c r="B127" t="s">
        <v>498</v>
      </c>
      <c r="C127" s="113">
        <f>'NVDA Rev Drivers &amp; Forecast'!B19</f>
        <v>0.89599329437153252</v>
      </c>
      <c r="D127" s="115">
        <f>$F$16</f>
        <v>2.1238344461358238</v>
      </c>
      <c r="E127" s="115">
        <f>C127*D127</f>
        <v>1.9029414220929759</v>
      </c>
    </row>
    <row r="128" spans="1:6" x14ac:dyDescent="0.25">
      <c r="B128" t="s">
        <v>499</v>
      </c>
      <c r="C128" s="113">
        <f>'NVDA Rev Drivers &amp; Forecast'!B20</f>
        <v>0.10400670562846744</v>
      </c>
      <c r="D128" s="115">
        <f>$F$16</f>
        <v>2.1238344461358238</v>
      </c>
      <c r="E128" s="115">
        <f>C128*D128</f>
        <v>0.2208930240428478</v>
      </c>
    </row>
    <row r="129" spans="1:6" x14ac:dyDescent="0.25">
      <c r="A129" s="9" t="s">
        <v>753</v>
      </c>
      <c r="B129" s="9"/>
      <c r="C129" s="30"/>
      <c r="D129" s="42"/>
      <c r="E129" s="116">
        <f>SUM(E127:E128)</f>
        <v>2.1238344461358238</v>
      </c>
      <c r="F129" s="9"/>
    </row>
    <row r="130" spans="1:6" x14ac:dyDescent="0.25">
      <c r="A130" s="9" t="s">
        <v>754</v>
      </c>
      <c r="B130" s="9"/>
      <c r="C130" s="30"/>
      <c r="D130" s="42"/>
      <c r="E130" s="127">
        <f ca="1">E129*(1+(1-$B$4)*WACC!G35/WACC!G34)</f>
        <v>2.1264419321936727</v>
      </c>
      <c r="F130" s="9"/>
    </row>
    <row r="131" spans="1:6" x14ac:dyDescent="0.25">
      <c r="C131" s="28"/>
      <c r="D131" s="27"/>
      <c r="E131" s="27"/>
    </row>
    <row r="132" spans="1:6" x14ac:dyDescent="0.25">
      <c r="A132" t="s">
        <v>292</v>
      </c>
      <c r="B132" t="s">
        <v>501</v>
      </c>
      <c r="C132" s="113">
        <f>'META Rev Drivers &amp; Forecast'!B19</f>
        <v>0.98901804285301986</v>
      </c>
      <c r="D132" s="115">
        <f>$D$16</f>
        <v>0.99473772042584707</v>
      </c>
      <c r="E132" s="115">
        <f>C132*D132</f>
        <v>0.98381355340764576</v>
      </c>
    </row>
    <row r="133" spans="1:6" x14ac:dyDescent="0.25">
      <c r="B133" t="s">
        <v>502</v>
      </c>
      <c r="C133" s="113">
        <f>'META Rev Drivers &amp; Forecast'!B20</f>
        <v>1.0981957146980087E-2</v>
      </c>
      <c r="D133" s="115">
        <f>$B$16</f>
        <v>1.0729716338469268</v>
      </c>
      <c r="E133" s="115">
        <f>C133*D133</f>
        <v>1.1783328502832159E-2</v>
      </c>
    </row>
    <row r="134" spans="1:6" x14ac:dyDescent="0.25">
      <c r="A134" s="9" t="s">
        <v>755</v>
      </c>
      <c r="B134" s="9"/>
      <c r="C134" s="30"/>
      <c r="D134" s="42"/>
      <c r="E134" s="116">
        <f>SUM(E132:E133)</f>
        <v>0.9955968819104779</v>
      </c>
      <c r="F134" s="9"/>
    </row>
    <row r="135" spans="1:6" x14ac:dyDescent="0.25">
      <c r="A135" s="9" t="s">
        <v>756</v>
      </c>
      <c r="B135" s="9"/>
      <c r="C135" s="30"/>
      <c r="D135" s="42"/>
      <c r="E135" s="127">
        <f ca="1">E134*(1+(1-$B$4)*WACC!H35/WACC!H34)</f>
        <v>1.0263449146604997</v>
      </c>
      <c r="F135" s="9"/>
    </row>
    <row r="136" spans="1:6" x14ac:dyDescent="0.25">
      <c r="C136" s="28"/>
      <c r="D136" s="27"/>
      <c r="E136" s="27"/>
    </row>
    <row r="137" spans="1:6" x14ac:dyDescent="0.25">
      <c r="A137" t="s">
        <v>293</v>
      </c>
      <c r="B137" t="s">
        <v>450</v>
      </c>
      <c r="C137" s="113">
        <f>'TSLA Rev Drivers &amp; Forecast'!B22</f>
        <v>0.69411665453931892</v>
      </c>
      <c r="D137" s="115">
        <f>$H$16</f>
        <v>0.84148143489623495</v>
      </c>
      <c r="E137" s="115">
        <f>C137*D137</f>
        <v>0.58408627844712036</v>
      </c>
    </row>
    <row r="138" spans="1:6" x14ac:dyDescent="0.25">
      <c r="B138" t="s">
        <v>451</v>
      </c>
      <c r="C138" s="113">
        <f>'TSLA Rev Drivers &amp; Forecast'!B23</f>
        <v>2.1017220833728791E-2</v>
      </c>
      <c r="D138" s="115">
        <f>$H$16</f>
        <v>0.84148143489623495</v>
      </c>
      <c r="E138" s="115">
        <f>C138*D138</f>
        <v>1.7685601144697145E-2</v>
      </c>
    </row>
    <row r="139" spans="1:6" x14ac:dyDescent="0.25">
      <c r="B139" t="s">
        <v>452</v>
      </c>
      <c r="C139" s="113">
        <f>'TSLA Rev Drivers &amp; Forecast'!B24</f>
        <v>1.8053929787929596E-2</v>
      </c>
      <c r="D139" s="115">
        <f>$H$16</f>
        <v>0.84148143489623495</v>
      </c>
      <c r="E139" s="115">
        <f>C139*D139</f>
        <v>1.5192046743462875E-2</v>
      </c>
    </row>
    <row r="140" spans="1:6" x14ac:dyDescent="0.25">
      <c r="B140" t="s">
        <v>453</v>
      </c>
      <c r="C140" s="113">
        <f>'TSLA Rev Drivers &amp; Forecast'!B25</f>
        <v>0.13213536229133052</v>
      </c>
      <c r="D140" s="115">
        <f>$H$16</f>
        <v>0.84148143489623495</v>
      </c>
      <c r="E140" s="115">
        <f>C140*D140</f>
        <v>0.11118945426144267</v>
      </c>
    </row>
    <row r="141" spans="1:6" x14ac:dyDescent="0.25">
      <c r="B141" t="s">
        <v>454</v>
      </c>
      <c r="C141" s="113">
        <f>'TSLA Rev Drivers &amp; Forecast'!B26</f>
        <v>0.13467683254769211</v>
      </c>
      <c r="D141" s="115">
        <f>$F$82</f>
        <v>1.1000000000000001</v>
      </c>
      <c r="E141" s="115">
        <f>C141*D141</f>
        <v>0.14814451580246132</v>
      </c>
    </row>
    <row r="142" spans="1:6" x14ac:dyDescent="0.25">
      <c r="A142" s="9" t="s">
        <v>757</v>
      </c>
      <c r="B142" s="9"/>
      <c r="C142" s="30"/>
      <c r="D142" s="42"/>
      <c r="E142" s="116">
        <f>SUM(E137:E141)</f>
        <v>0.87629789639918443</v>
      </c>
      <c r="F142" s="9"/>
    </row>
    <row r="143" spans="1:6" x14ac:dyDescent="0.25">
      <c r="A143" s="9" t="s">
        <v>758</v>
      </c>
      <c r="B143" s="9"/>
      <c r="C143" s="30"/>
      <c r="D143" s="42"/>
      <c r="E143" s="127">
        <f ca="1">E142*(1+(1-$B$4)*WACC!I35/WACC!I34)</f>
        <v>0.88058732465128287</v>
      </c>
      <c r="F143" s="9"/>
    </row>
    <row r="144" spans="1:6" x14ac:dyDescent="0.25">
      <c r="C144" s="28"/>
      <c r="D144" s="27"/>
      <c r="E144" s="27"/>
    </row>
    <row r="145" spans="3:5" x14ac:dyDescent="0.25">
      <c r="C145" s="28"/>
      <c r="D145" s="27"/>
      <c r="E145" s="27"/>
    </row>
  </sheetData>
  <pageMargins left="0.7" right="0.7" top="0.75" bottom="0.75" header="0.3" footer="0.3"/>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DDCD28-B56E-4316-895C-483B1C7E50FA}">
  <sheetPr>
    <tabColor rgb="FFF8CBAD"/>
  </sheetPr>
  <dimension ref="A1:I82"/>
  <sheetViews>
    <sheetView workbookViewId="0">
      <selection activeCell="A95" sqref="A95"/>
    </sheetView>
  </sheetViews>
  <sheetFormatPr defaultRowHeight="15" x14ac:dyDescent="0.25"/>
  <cols>
    <col min="1" max="1" width="47.5703125" customWidth="1"/>
    <col min="3" max="9" width="11.7109375" bestFit="1" customWidth="1"/>
  </cols>
  <sheetData>
    <row r="1" spans="1:9" ht="15.75" x14ac:dyDescent="0.25">
      <c r="A1" s="15" t="s">
        <v>297</v>
      </c>
    </row>
    <row r="3" spans="1:9" x14ac:dyDescent="0.25">
      <c r="A3" s="24" t="s">
        <v>298</v>
      </c>
      <c r="B3" s="24"/>
      <c r="C3" s="24"/>
      <c r="D3" s="24"/>
      <c r="E3" s="24"/>
      <c r="F3" s="24"/>
      <c r="G3" s="24"/>
      <c r="H3" s="24"/>
      <c r="I3" s="24"/>
    </row>
    <row r="4" spans="1:9" x14ac:dyDescent="0.25">
      <c r="A4" t="s">
        <v>299</v>
      </c>
      <c r="B4" s="72">
        <f>'Valuation Dashboard'!B5</f>
        <v>4.6800000000000001E-2</v>
      </c>
    </row>
    <row r="5" spans="1:9" x14ac:dyDescent="0.25">
      <c r="A5" t="s">
        <v>829</v>
      </c>
      <c r="B5" s="109">
        <f>peer_prices_monthly!AN2</f>
        <v>4395.259765625</v>
      </c>
    </row>
    <row r="6" spans="1:9" x14ac:dyDescent="0.25">
      <c r="A6" t="s">
        <v>830</v>
      </c>
      <c r="B6" s="109">
        <f>peer_prices_monthly!AN62</f>
        <v>7489.72021484375</v>
      </c>
    </row>
    <row r="7" spans="1:9" x14ac:dyDescent="0.25">
      <c r="A7" t="s">
        <v>300</v>
      </c>
      <c r="B7" s="110">
        <v>5</v>
      </c>
    </row>
    <row r="8" spans="1:9" x14ac:dyDescent="0.25">
      <c r="A8" t="s">
        <v>413</v>
      </c>
      <c r="B8" s="111">
        <f>(B6/B5)^(1/B7)-1</f>
        <v>0.11249023960183679</v>
      </c>
    </row>
    <row r="9" spans="1:9" x14ac:dyDescent="0.25">
      <c r="A9" s="33" t="s">
        <v>430</v>
      </c>
      <c r="B9" s="44">
        <f>B8-B4</f>
        <v>6.5690239601836786E-2</v>
      </c>
    </row>
    <row r="10" spans="1:9" x14ac:dyDescent="0.25">
      <c r="A10" s="33" t="s">
        <v>437</v>
      </c>
      <c r="B10" s="73">
        <f>'Valuation Dashboard'!B7</f>
        <v>0.13</v>
      </c>
    </row>
    <row r="11" spans="1:9" x14ac:dyDescent="0.25">
      <c r="A11" s="33" t="s">
        <v>438</v>
      </c>
      <c r="B11" s="73">
        <f>'Valuation Dashboard'!B8</f>
        <v>3.5000000000000003E-2</v>
      </c>
    </row>
    <row r="12" spans="1:9" x14ac:dyDescent="0.25">
      <c r="A12" s="33" t="s">
        <v>439</v>
      </c>
      <c r="B12" s="74">
        <f>'Valuation Dashboard'!B9</f>
        <v>4.7899999999999998E-2</v>
      </c>
    </row>
    <row r="13" spans="1:9" x14ac:dyDescent="0.25">
      <c r="A13" s="9" t="s">
        <v>440</v>
      </c>
      <c r="B13" s="45">
        <f>B12*(1-B11/B10)+B11</f>
        <v>7.0003846153846153E-2</v>
      </c>
    </row>
    <row r="14" spans="1:9" x14ac:dyDescent="0.25">
      <c r="A14" s="9" t="s">
        <v>431</v>
      </c>
      <c r="B14" s="75">
        <f>'Valuation Dashboard'!B6</f>
        <v>2.1499999999999998E-2</v>
      </c>
    </row>
    <row r="15" spans="1:9" x14ac:dyDescent="0.25">
      <c r="A15" s="9" t="s">
        <v>432</v>
      </c>
      <c r="B15" s="45">
        <f>B13-B14</f>
        <v>4.8503846153846154E-2</v>
      </c>
    </row>
    <row r="16" spans="1:9" x14ac:dyDescent="0.25">
      <c r="A16" s="24" t="s">
        <v>414</v>
      </c>
      <c r="B16" s="24"/>
      <c r="C16" s="24"/>
      <c r="D16" s="24"/>
      <c r="E16" s="24"/>
      <c r="F16" s="24"/>
      <c r="G16" s="24"/>
      <c r="H16" s="24"/>
      <c r="I16" s="24"/>
    </row>
    <row r="17" spans="1:9" x14ac:dyDescent="0.25">
      <c r="A17" s="9" t="s">
        <v>289</v>
      </c>
      <c r="B17" s="9"/>
      <c r="C17" s="9" t="s">
        <v>296</v>
      </c>
      <c r="D17" s="9" t="s">
        <v>295</v>
      </c>
      <c r="E17" s="9" t="s">
        <v>308</v>
      </c>
      <c r="F17" s="9" t="s">
        <v>291</v>
      </c>
      <c r="G17" s="9" t="s">
        <v>294</v>
      </c>
      <c r="H17" s="9" t="s">
        <v>292</v>
      </c>
      <c r="I17" s="9" t="s">
        <v>293</v>
      </c>
    </row>
    <row r="18" spans="1:9" x14ac:dyDescent="0.25">
      <c r="A18" t="s">
        <v>730</v>
      </c>
      <c r="C18" s="112">
        <f>'Peer Betas'!B7</f>
        <v>1.0887905474826183</v>
      </c>
      <c r="D18" s="112">
        <f>'Peer Betas'!U7</f>
        <v>1.1067291711686729</v>
      </c>
      <c r="E18" s="112">
        <f>'Peer Betas'!O7</f>
        <v>1.2405248990979161</v>
      </c>
      <c r="F18" s="112">
        <f>'Peer Betas'!E7</f>
        <v>1.4542221536411706</v>
      </c>
      <c r="G18" s="112">
        <f>'Peer Betas'!X7</f>
        <v>2.223121848771628</v>
      </c>
      <c r="H18" s="112">
        <f>'Peer Betas'!T7</f>
        <v>1.2473930187579434</v>
      </c>
      <c r="I18" s="112">
        <f>'Peer Betas'!AJ7</f>
        <v>1.8296260360233942</v>
      </c>
    </row>
    <row r="19" spans="1:9" x14ac:dyDescent="0.25">
      <c r="A19" t="s">
        <v>301</v>
      </c>
      <c r="C19" s="113">
        <f>IFERROR(RSQ('Peer Betas'!B$20:B$79,'Peer Betas'!$AN$20:$AN$79),"")</f>
        <v>0.47638813564364951</v>
      </c>
      <c r="D19" s="113">
        <f>IFERROR(RSQ('Peer Betas'!U$20:U$79,'Peer Betas'!$AN$20:$AN$79),"")</f>
        <v>0.40959436583712616</v>
      </c>
      <c r="E19" s="113">
        <f>IFERROR(RSQ('Peer Betas'!O$20:O$79,'Peer Betas'!$AN$20:$AN$79),"")</f>
        <v>0.38785367659185443</v>
      </c>
      <c r="F19" s="113">
        <f>IFERROR(RSQ('Peer Betas'!E$20:E$79,'Peer Betas'!$AN$20:$AN$79),"")</f>
        <v>0.46059244038186042</v>
      </c>
      <c r="G19" s="113">
        <f>IFERROR(RSQ('Peer Betas'!X$20:X$79,'Peer Betas'!$AN$20:$AN$79),"")</f>
        <v>0.48516388040334163</v>
      </c>
      <c r="H19" s="113">
        <f>IFERROR(RSQ('Peer Betas'!T$20:T$79,'Peer Betas'!$AN$20:$AN$79),"")</f>
        <v>0.22450711589602526</v>
      </c>
      <c r="I19" s="113">
        <f>IFERROR(RSQ('Peer Betas'!AJ$20:AJ$79,'Peer Betas'!$AN$20:$AN$79),"")</f>
        <v>0.22745109443281616</v>
      </c>
    </row>
    <row r="20" spans="1:9" x14ac:dyDescent="0.25">
      <c r="A20" t="s">
        <v>302</v>
      </c>
      <c r="C20" s="114">
        <f>COUNT('Peer Betas'!B$20:B$79)</f>
        <v>60</v>
      </c>
      <c r="D20" s="114">
        <f>COUNT('Peer Betas'!U$20:U$79)</f>
        <v>60</v>
      </c>
      <c r="E20" s="114">
        <f>COUNT('Peer Betas'!O$20:O$79)</f>
        <v>60</v>
      </c>
      <c r="F20" s="114">
        <f>COUNT('Peer Betas'!E$20:E$79)</f>
        <v>60</v>
      </c>
      <c r="G20" s="114">
        <f>COUNT('Peer Betas'!X$20:X$79)</f>
        <v>60</v>
      </c>
      <c r="H20" s="114">
        <f>COUNT('Peer Betas'!T$20:T$79)</f>
        <v>60</v>
      </c>
      <c r="I20" s="114">
        <f>COUNT('Peer Betas'!AJ$20:AJ$79)</f>
        <v>60</v>
      </c>
    </row>
    <row r="21" spans="1:9" x14ac:dyDescent="0.25">
      <c r="A21" t="s">
        <v>415</v>
      </c>
      <c r="C21" s="115">
        <f t="shared" ref="C21:I21" si="0">0.33+0.67*C18</f>
        <v>1.0594896668133542</v>
      </c>
      <c r="D21" s="115">
        <f t="shared" si="0"/>
        <v>1.0715085446830108</v>
      </c>
      <c r="E21" s="115">
        <f t="shared" si="0"/>
        <v>1.1611516823956038</v>
      </c>
      <c r="F21" s="115">
        <f t="shared" si="0"/>
        <v>1.3043288429395843</v>
      </c>
      <c r="G21" s="115">
        <f t="shared" si="0"/>
        <v>1.8194916386769908</v>
      </c>
      <c r="H21" s="115">
        <f t="shared" si="0"/>
        <v>1.165753322567822</v>
      </c>
      <c r="I21" s="115">
        <f t="shared" si="0"/>
        <v>1.5558494441356743</v>
      </c>
    </row>
    <row r="22" spans="1:9" x14ac:dyDescent="0.25">
      <c r="A22" t="s">
        <v>416</v>
      </c>
      <c r="C22" s="115">
        <f t="shared" ref="C22:I22" ca="1" si="1">C21/(1+(1-$B$49)*(C35+C36)/C34)</f>
        <v>1.0363667013213691</v>
      </c>
      <c r="D22" s="115">
        <f t="shared" ca="1" si="1"/>
        <v>1.0463010130106594</v>
      </c>
      <c r="E22" s="115">
        <f t="shared" ca="1" si="1"/>
        <v>1.1472261291312134</v>
      </c>
      <c r="F22" s="115">
        <f t="shared" ca="1" si="1"/>
        <v>1.2178888191198589</v>
      </c>
      <c r="G22" s="115">
        <f t="shared" ca="1" si="1"/>
        <v>1.816486155229637</v>
      </c>
      <c r="H22" s="115">
        <f t="shared" ca="1" si="1"/>
        <v>1.1158412845541867</v>
      </c>
      <c r="I22" s="115">
        <f t="shared" ca="1" si="1"/>
        <v>1.5423811863182453</v>
      </c>
    </row>
    <row r="23" spans="1:9" x14ac:dyDescent="0.25">
      <c r="A23" s="9" t="s">
        <v>417</v>
      </c>
      <c r="B23" s="9"/>
      <c r="C23" s="116">
        <f t="shared" ref="C23:I23" ca="1" si="2">C22*(1+(1-$B$49)*(C35+C36)/C34)</f>
        <v>1.0594896668133542</v>
      </c>
      <c r="D23" s="116">
        <f t="shared" ca="1" si="2"/>
        <v>1.0715085446830108</v>
      </c>
      <c r="E23" s="116">
        <f t="shared" ca="1" si="2"/>
        <v>1.1611516823956038</v>
      </c>
      <c r="F23" s="116">
        <f t="shared" ca="1" si="2"/>
        <v>1.3043288429395843</v>
      </c>
      <c r="G23" s="116">
        <f t="shared" ca="1" si="2"/>
        <v>1.8194916386769908</v>
      </c>
      <c r="H23" s="116">
        <f t="shared" ca="1" si="2"/>
        <v>1.1657533225678223</v>
      </c>
      <c r="I23" s="116">
        <f t="shared" ca="1" si="2"/>
        <v>1.5558494441356743</v>
      </c>
    </row>
    <row r="24" spans="1:9" x14ac:dyDescent="0.25">
      <c r="A24" s="9" t="s">
        <v>759</v>
      </c>
      <c r="C24" s="50">
        <v>3</v>
      </c>
      <c r="D24" s="50">
        <v>3</v>
      </c>
      <c r="E24" s="50">
        <v>3</v>
      </c>
      <c r="F24" s="50">
        <v>3</v>
      </c>
      <c r="G24" s="50">
        <v>3</v>
      </c>
      <c r="H24" s="50">
        <v>3</v>
      </c>
      <c r="I24" s="50">
        <v>1</v>
      </c>
    </row>
    <row r="25" spans="1:9" x14ac:dyDescent="0.25">
      <c r="A25" s="24" t="s">
        <v>303</v>
      </c>
      <c r="B25" s="24"/>
      <c r="C25" s="24"/>
      <c r="D25" s="24"/>
      <c r="E25" s="24"/>
      <c r="F25" s="24"/>
      <c r="G25" s="24"/>
      <c r="H25" s="24"/>
      <c r="I25" s="24"/>
    </row>
    <row r="26" spans="1:9" x14ac:dyDescent="0.25">
      <c r="A26" t="s">
        <v>304</v>
      </c>
      <c r="C26" s="111">
        <f t="shared" ref="C26:I26" si="3">$B$4</f>
        <v>4.6800000000000001E-2</v>
      </c>
      <c r="D26" s="111">
        <f t="shared" si="3"/>
        <v>4.6800000000000001E-2</v>
      </c>
      <c r="E26" s="111">
        <f t="shared" si="3"/>
        <v>4.6800000000000001E-2</v>
      </c>
      <c r="F26" s="111">
        <f t="shared" si="3"/>
        <v>4.6800000000000001E-2</v>
      </c>
      <c r="G26" s="111">
        <f t="shared" si="3"/>
        <v>4.6800000000000001E-2</v>
      </c>
      <c r="H26" s="111">
        <f t="shared" si="3"/>
        <v>4.6800000000000001E-2</v>
      </c>
      <c r="I26" s="111">
        <f t="shared" si="3"/>
        <v>4.6800000000000001E-2</v>
      </c>
    </row>
    <row r="27" spans="1:9" x14ac:dyDescent="0.25">
      <c r="A27" t="s">
        <v>305</v>
      </c>
      <c r="C27" s="112">
        <f ca="1">IF(C24=1,C23,IF(C24=2,'Peer Betas'!B18,'Peer Betas'!$E$92))</f>
        <v>1.0733779612506678</v>
      </c>
      <c r="D27" s="112">
        <f ca="1">IF(D24=1,D23,IF(D24=2,'Peer Betas'!C18,'Peer Betas'!$E$105))</f>
        <v>1.0827666433843359</v>
      </c>
      <c r="E27" s="112">
        <f ca="1">IF(E24=1,E23,IF(E24=2,'Peer Betas'!D18,'Peer Betas'!$E$115))</f>
        <v>1.0163177422413638</v>
      </c>
      <c r="F27" s="112">
        <f ca="1">IF(F24=1,F23,IF(F24=2,'Peer Betas'!E18,'Peer Betas'!$E$125))</f>
        <v>0.9505059000565852</v>
      </c>
      <c r="G27" s="112">
        <f ca="1">IF(G24=1,G23,IF(G24=2,'Peer Betas'!F18,'Peer Betas'!$E$130))</f>
        <v>2.1264419321936727</v>
      </c>
      <c r="H27" s="112">
        <f ca="1">IF(H24=1,H23,IF(H24=2,'Peer Betas'!G18,'Peer Betas'!$E$135))</f>
        <v>1.0263449146604997</v>
      </c>
      <c r="I27" s="112">
        <f ca="1">IF(I24=1,I23,IF(I24=2,'Peer Betas'!H18,'Peer Betas'!$E$143))</f>
        <v>1.5558494441356743</v>
      </c>
    </row>
    <row r="28" spans="1:9" x14ac:dyDescent="0.25">
      <c r="A28" t="s">
        <v>306</v>
      </c>
      <c r="C28" s="111">
        <f t="shared" ref="C28:I28" si="4">$B$15</f>
        <v>4.8503846153846154E-2</v>
      </c>
      <c r="D28" s="111">
        <f t="shared" si="4"/>
        <v>4.8503846153846154E-2</v>
      </c>
      <c r="E28" s="111">
        <f t="shared" si="4"/>
        <v>4.8503846153846154E-2</v>
      </c>
      <c r="F28" s="111">
        <f t="shared" si="4"/>
        <v>4.8503846153846154E-2</v>
      </c>
      <c r="G28" s="111">
        <f t="shared" si="4"/>
        <v>4.8503846153846154E-2</v>
      </c>
      <c r="H28" s="111">
        <f t="shared" si="4"/>
        <v>4.8503846153846154E-2</v>
      </c>
      <c r="I28" s="111">
        <f t="shared" si="4"/>
        <v>4.8503846153846154E-2</v>
      </c>
    </row>
    <row r="29" spans="1:9" x14ac:dyDescent="0.25">
      <c r="A29" s="9" t="s">
        <v>307</v>
      </c>
      <c r="B29" s="9"/>
      <c r="C29" s="117">
        <f t="shared" ref="C29:I29" ca="1" si="5">C26+C27*C28</f>
        <v>9.886295949743143E-2</v>
      </c>
      <c r="D29" s="117">
        <f t="shared" ca="1" si="5"/>
        <v>9.9318346691230242E-2</v>
      </c>
      <c r="E29" s="117">
        <f t="shared" ca="1" si="5"/>
        <v>9.6095319413099387E-2</v>
      </c>
      <c r="F29" s="117">
        <f t="shared" ca="1" si="5"/>
        <v>9.2903191944667673E-2</v>
      </c>
      <c r="G29" s="117">
        <f t="shared" ca="1" si="5"/>
        <v>0.14994061233420927</v>
      </c>
      <c r="H29" s="117">
        <f t="shared" ca="1" si="5"/>
        <v>9.6581675841475242E-2</v>
      </c>
      <c r="I29" s="117">
        <f t="shared" ca="1" si="5"/>
        <v>0.1222646820769038</v>
      </c>
    </row>
    <row r="31" spans="1:9" x14ac:dyDescent="0.25">
      <c r="A31" s="24" t="s">
        <v>327</v>
      </c>
      <c r="B31" s="24"/>
      <c r="C31" s="24"/>
      <c r="D31" s="24"/>
      <c r="E31" s="24"/>
      <c r="F31" s="24"/>
      <c r="G31" s="24"/>
      <c r="H31" s="24"/>
      <c r="I31" s="24"/>
    </row>
    <row r="32" spans="1:9" x14ac:dyDescent="0.25">
      <c r="A32" t="s">
        <v>608</v>
      </c>
      <c r="C32" s="109">
        <f ca="1">'Ticker Sheet'!B1</f>
        <v>305.93</v>
      </c>
      <c r="D32" s="109">
        <f ca="1">'Ticker Sheet'!B2</f>
        <v>495.4</v>
      </c>
      <c r="E32" s="109">
        <f ca="1">'Ticker Sheet'!B3</f>
        <v>345.9</v>
      </c>
      <c r="F32" s="109">
        <f ca="1">'Ticker Sheet'!B4</f>
        <v>262.64999999999998</v>
      </c>
      <c r="G32" s="109">
        <f ca="1">'Ticker Sheet'!B5</f>
        <v>225.16</v>
      </c>
      <c r="H32" s="109">
        <f ca="1">'Ticker Sheet'!B6</f>
        <v>589.85</v>
      </c>
      <c r="I32" s="109">
        <f ca="1">'Ticker Sheet'!B7</f>
        <v>342.27</v>
      </c>
    </row>
    <row r="33" spans="1:9" x14ac:dyDescent="0.25">
      <c r="A33" t="s">
        <v>609</v>
      </c>
      <c r="C33" s="118">
        <f ca="1">'Ticker Sheet'!D1/1000000</f>
        <v>14594.18</v>
      </c>
      <c r="D33" s="118">
        <f ca="1">'Ticker Sheet'!D2/1000000</f>
        <v>7425.5450000000001</v>
      </c>
      <c r="E33" s="118">
        <f ca="1">'Ticker Sheet'!D3/1000000</f>
        <v>12230</v>
      </c>
      <c r="F33" s="118">
        <f ca="1">'Ticker Sheet'!D4/1000000</f>
        <v>10786.31</v>
      </c>
      <c r="G33" s="118">
        <f ca="1">'Ticker Sheet'!D5/1000000</f>
        <v>24200</v>
      </c>
      <c r="H33" s="118">
        <f ca="1">'Ticker Sheet'!D6/1000000</f>
        <v>2547.5059999999999</v>
      </c>
      <c r="I33" s="118">
        <f ca="1">'Ticker Sheet'!D7/1000000</f>
        <v>3949.547</v>
      </c>
    </row>
    <row r="34" spans="1:9" x14ac:dyDescent="0.25">
      <c r="A34" t="s">
        <v>328</v>
      </c>
      <c r="C34" s="119">
        <f t="shared" ref="C34:I34" ca="1" si="6">IF(C33="","",C32*C33)</f>
        <v>4464797.4874</v>
      </c>
      <c r="D34" s="119">
        <f t="shared" ca="1" si="6"/>
        <v>3678614.9929999998</v>
      </c>
      <c r="E34" s="119">
        <f t="shared" ca="1" si="6"/>
        <v>4230357</v>
      </c>
      <c r="F34" s="119">
        <f t="shared" ca="1" si="6"/>
        <v>2833024.3214999996</v>
      </c>
      <c r="G34" s="119">
        <f t="shared" ca="1" si="6"/>
        <v>5448872</v>
      </c>
      <c r="H34" s="119">
        <f t="shared" ca="1" si="6"/>
        <v>1502646.4140999999</v>
      </c>
      <c r="I34" s="119">
        <f t="shared" ca="1" si="6"/>
        <v>1351811.45169</v>
      </c>
    </row>
    <row r="35" spans="1:9" x14ac:dyDescent="0.25">
      <c r="A35" t="s">
        <v>329</v>
      </c>
      <c r="C35" s="109">
        <f>'AAPL - Balance Sheet FY'!B51</f>
        <v>112377</v>
      </c>
      <c r="D35" s="109">
        <f>'MSFT - Balance Sheet FY'!B51</f>
        <v>43151</v>
      </c>
      <c r="E35" s="109">
        <f>'GOOGL - Balance Sheet FY'!B51</f>
        <v>46547</v>
      </c>
      <c r="F35" s="109">
        <f>'AMZN - Balance Sheet FY'!B51</f>
        <v>152987</v>
      </c>
      <c r="G35" s="109">
        <f>'NVDA - Balance Sheet FY'!B51</f>
        <v>8468</v>
      </c>
      <c r="H35" s="109">
        <f>'META - Balance Sheet FY'!B51</f>
        <v>58744</v>
      </c>
      <c r="I35" s="109">
        <f>'TSLA - Balance Sheet FY'!B51</f>
        <v>8376</v>
      </c>
    </row>
    <row r="36" spans="1:9" x14ac:dyDescent="0.25">
      <c r="A36" t="s">
        <v>390</v>
      </c>
      <c r="C36" s="109">
        <f>SUMIFS(mag7_leases_fy2019_fy2026!$S:$S,mag7_leases_fy2019_fy2026!$A:$A,"AAPL",mag7_leases_fy2019_fy2026!$B:$B,_xlfn.MAXIFS(mag7_leases_fy2019_fy2026!$B:$B,mag7_leases_fy2019_fy2026!$A:$A,"AAPL"))</f>
        <v>13720</v>
      </c>
      <c r="D36" s="109">
        <f>SUMIFS(mag7_leases_fy2019_fy2026!$S:$S,mag7_leases_fy2019_fy2026!$A:$A,"MSFT",mag7_leases_fy2019_fy2026!$B:$B,_xlfn.MAXIFS(mag7_leases_fy2019_fy2026!$B:$B,mag7_leases_fy2019_fy2026!$A:$A,"MSFT"))</f>
        <v>69033</v>
      </c>
      <c r="E36" s="109">
        <f>SUMIFS(mag7_leases_fy2019_fy2026!$S:$S,mag7_leases_fy2019_fy2026!$A:$A,"GOOGL",mag7_leases_fy2019_fy2026!$B:$B,_xlfn.MAXIFS(mag7_leases_fy2019_fy2026!$B:$B,mag7_leases_fy2019_fy2026!$A:$A,"GOOGL"))</f>
        <v>18453</v>
      </c>
      <c r="F36" s="109">
        <f>SUMIFS(mag7_leases_fy2019_fy2026!$S:$S,mag7_leases_fy2019_fy2026!$A:$A,"AMZN",mag7_leases_fy2019_fy2026!$B:$B,_xlfn.MAXIFS(mag7_leases_fy2019_fy2026!$B:$B,mag7_leases_fy2019_fy2026!$A:$A,"AMZN"))</f>
        <v>101538</v>
      </c>
      <c r="G36" s="109">
        <f>SUMIFS(mag7_leases_fy2019_fy2026!$S:$S,mag7_leases_fy2019_fy2026!$A:$A,"NVDA",mag7_leases_fy2019_fy2026!$B:$B,_xlfn.MAXIFS(mag7_leases_fy2019_fy2026!$B:$B,mag7_leases_fy2019_fy2026!$A:$A,"NVDA"))</f>
        <v>2944</v>
      </c>
      <c r="H36" s="109">
        <f>SUMIFS(mag7_leases_fy2019_fy2026!$S:$S,mag7_leases_fy2019_fy2026!$A:$A,"META",mag7_leases_fy2019_fy2026!$B:$B,_xlfn.MAXIFS(mag7_leases_fy2019_fy2026!$B:$B,mag7_leases_fy2019_fy2026!$A:$A,"META"))</f>
        <v>26337</v>
      </c>
      <c r="I36" s="109">
        <f>SUMIFS(mag7_leases_fy2019_fy2026!$S:$S,mag7_leases_fy2019_fy2026!$A:$A,"TSLA",mag7_leases_fy2019_fy2026!$B:$B,_xlfn.MAXIFS(mag7_leases_fy2019_fy2026!$B:$B,mag7_leases_fy2019_fy2026!$A:$A,"TSLA"))</f>
        <v>6566</v>
      </c>
    </row>
    <row r="37" spans="1:9" x14ac:dyDescent="0.25">
      <c r="A37" t="s">
        <v>391</v>
      </c>
      <c r="C37" s="119">
        <f t="shared" ref="C37:I37" ca="1" si="7">IF(C34="","",C34+C35+C36)</f>
        <v>4590894.4874</v>
      </c>
      <c r="D37" s="119">
        <f t="shared" ca="1" si="7"/>
        <v>3790798.9929999998</v>
      </c>
      <c r="E37" s="119">
        <f t="shared" ca="1" si="7"/>
        <v>4295357</v>
      </c>
      <c r="F37" s="119">
        <f t="shared" ca="1" si="7"/>
        <v>3087549.3214999996</v>
      </c>
      <c r="G37" s="119">
        <f t="shared" ca="1" si="7"/>
        <v>5460284</v>
      </c>
      <c r="H37" s="119">
        <f t="shared" ca="1" si="7"/>
        <v>1587727.4140999999</v>
      </c>
      <c r="I37" s="119">
        <f t="shared" ca="1" si="7"/>
        <v>1366753.45169</v>
      </c>
    </row>
    <row r="38" spans="1:9" x14ac:dyDescent="0.25">
      <c r="A38" t="s">
        <v>330</v>
      </c>
      <c r="C38" s="111">
        <f t="shared" ref="C38:I38" ca="1" si="8">IF(C37="","",C34/C37)</f>
        <v>0.97253323936194103</v>
      </c>
      <c r="D38" s="111">
        <f t="shared" ca="1" si="8"/>
        <v>0.9704062388411635</v>
      </c>
      <c r="E38" s="111">
        <f t="shared" ca="1" si="8"/>
        <v>0.98486738122116513</v>
      </c>
      <c r="F38" s="111">
        <f t="shared" ca="1" si="8"/>
        <v>0.91756406991537676</v>
      </c>
      <c r="G38" s="111">
        <f t="shared" ca="1" si="8"/>
        <v>0.99790999882057418</v>
      </c>
      <c r="H38" s="111">
        <f t="shared" ca="1" si="8"/>
        <v>0.94641334573905556</v>
      </c>
      <c r="I38" s="111">
        <f t="shared" ca="1" si="8"/>
        <v>0.98906752349406979</v>
      </c>
    </row>
    <row r="39" spans="1:9" x14ac:dyDescent="0.25">
      <c r="A39" t="s">
        <v>331</v>
      </c>
      <c r="C39" s="111">
        <f t="shared" ref="C39:I39" ca="1" si="9">IF(C37="","",(C35+C36)/C37)</f>
        <v>2.7466760638058918E-2</v>
      </c>
      <c r="D39" s="111">
        <f t="shared" ca="1" si="9"/>
        <v>2.9593761158836523E-2</v>
      </c>
      <c r="E39" s="111">
        <f t="shared" ca="1" si="9"/>
        <v>1.5132618778834914E-2</v>
      </c>
      <c r="F39" s="111">
        <f t="shared" ca="1" si="9"/>
        <v>8.2435930084623271E-2</v>
      </c>
      <c r="G39" s="111">
        <f t="shared" ca="1" si="9"/>
        <v>2.090001179425832E-3</v>
      </c>
      <c r="H39" s="111">
        <f t="shared" ca="1" si="9"/>
        <v>5.3586654260944402E-2</v>
      </c>
      <c r="I39" s="111">
        <f t="shared" ca="1" si="9"/>
        <v>1.0932476505930249E-2</v>
      </c>
    </row>
    <row r="41" spans="1:9" x14ac:dyDescent="0.25">
      <c r="A41" s="24" t="s">
        <v>332</v>
      </c>
      <c r="B41" s="24"/>
      <c r="C41" s="24"/>
      <c r="D41" s="24"/>
      <c r="E41" s="24"/>
      <c r="F41" s="24"/>
      <c r="G41" s="24"/>
      <c r="H41" s="24"/>
      <c r="I41" s="24"/>
    </row>
    <row r="42" spans="1:9" x14ac:dyDescent="0.25">
      <c r="A42" t="s">
        <v>389</v>
      </c>
      <c r="C42" s="72">
        <f>'Debt Schedule'!$C$8</f>
        <v>2.5211317251125645E-2</v>
      </c>
      <c r="D42" s="72">
        <f>'Debt Schedule'!$C$25</f>
        <v>3.5643994280266926E-2</v>
      </c>
      <c r="E42" s="72">
        <f>'Debt Schedule'!$C$33</f>
        <v>3.6299745339716818E-2</v>
      </c>
      <c r="F42" s="72">
        <f>'Debt Schedule'!$C$44</f>
        <v>3.5112442922374427E-2</v>
      </c>
      <c r="G42" s="72">
        <f>'Debt Schedule'!$C$55</f>
        <v>2.8544117647058824E-2</v>
      </c>
      <c r="H42" s="72">
        <f>'Debt Schedule'!$C$63</f>
        <v>4.8423728813559323E-2</v>
      </c>
      <c r="I42" s="72">
        <f>IFERROR('TSLA - Income Statement FY'!B23/AVERAGE('TSLA - Balance Sheet FY'!B51,'TSLA - Balance Sheet FY'!C51),"")</f>
        <v>3.072866948497659E-2</v>
      </c>
    </row>
    <row r="43" spans="1:9" x14ac:dyDescent="0.25">
      <c r="A43" t="s">
        <v>333</v>
      </c>
      <c r="C43" s="111">
        <f t="shared" ref="C43:I43" si="10">IF(C42="","",C42*(1-$B$49))</f>
        <v>1.9916940628389262E-2</v>
      </c>
      <c r="D43" s="111">
        <f t="shared" si="10"/>
        <v>2.8158755481410874E-2</v>
      </c>
      <c r="E43" s="111">
        <f t="shared" si="10"/>
        <v>2.8676798818376287E-2</v>
      </c>
      <c r="F43" s="111">
        <f t="shared" si="10"/>
        <v>2.7738829908675797E-2</v>
      </c>
      <c r="G43" s="111">
        <f t="shared" si="10"/>
        <v>2.2549852941176472E-2</v>
      </c>
      <c r="H43" s="111">
        <f t="shared" si="10"/>
        <v>3.8254745762711866E-2</v>
      </c>
      <c r="I43" s="111">
        <f t="shared" si="10"/>
        <v>2.4275648893131507E-2</v>
      </c>
    </row>
    <row r="45" spans="1:9" x14ac:dyDescent="0.25">
      <c r="A45" s="24" t="s">
        <v>334</v>
      </c>
      <c r="B45" s="24"/>
      <c r="C45" s="24"/>
      <c r="D45" s="24"/>
      <c r="E45" s="24"/>
      <c r="F45" s="24"/>
      <c r="G45" s="24"/>
      <c r="H45" s="24"/>
      <c r="I45" s="24"/>
    </row>
    <row r="46" spans="1:9" x14ac:dyDescent="0.25">
      <c r="A46" t="s">
        <v>335</v>
      </c>
      <c r="C46" s="111">
        <f t="shared" ref="C46:I46" ca="1" si="11">IF(OR(C38="",C43=""),"",C29*C38)</f>
        <v>9.6147514252945362E-2</v>
      </c>
      <c r="D46" s="111">
        <f t="shared" ca="1" si="11"/>
        <v>9.6379143260559449E-2</v>
      </c>
      <c r="E46" s="111">
        <f t="shared" ca="1" si="11"/>
        <v>9.4641145577990582E-2</v>
      </c>
      <c r="F46" s="111">
        <f t="shared" ca="1" si="11"/>
        <v>8.524463090887871E-2</v>
      </c>
      <c r="G46" s="111">
        <f t="shared" ca="1" si="11"/>
        <v>0.14962723627758695</v>
      </c>
      <c r="H46" s="111">
        <f t="shared" ca="1" si="11"/>
        <v>9.1406186970215492E-2</v>
      </c>
      <c r="I46" s="111">
        <f t="shared" ca="1" si="11"/>
        <v>0.12092802631259303</v>
      </c>
    </row>
    <row r="47" spans="1:9" x14ac:dyDescent="0.25">
      <c r="A47" t="s">
        <v>336</v>
      </c>
      <c r="C47" s="120">
        <f t="shared" ref="C47:I47" ca="1" si="12">IF(OR(C39="",C43=""),"",C43*C39)</f>
        <v>5.4705384088239858E-4</v>
      </c>
      <c r="D47" s="120">
        <f t="shared" ca="1" si="12"/>
        <v>8.3332348424695218E-4</v>
      </c>
      <c r="E47" s="120">
        <f t="shared" ca="1" si="12"/>
        <v>4.3395506431583188E-4</v>
      </c>
      <c r="F47" s="120">
        <f t="shared" ca="1" si="12"/>
        <v>2.2866762429808551E-3</v>
      </c>
      <c r="G47" s="120">
        <f t="shared" ca="1" si="12"/>
        <v>4.7129219242937894E-5</v>
      </c>
      <c r="H47" s="120">
        <f t="shared" ca="1" si="12"/>
        <v>2.0499438350267685E-3</v>
      </c>
      <c r="I47" s="120">
        <f t="shared" ca="1" si="12"/>
        <v>2.6539296119037185E-4</v>
      </c>
    </row>
    <row r="48" spans="1:9" x14ac:dyDescent="0.25">
      <c r="A48" s="9" t="s">
        <v>334</v>
      </c>
      <c r="B48" s="9"/>
      <c r="C48" s="117">
        <f t="shared" ref="C48:I48" ca="1" si="13">IF(C46="","",C46+C47)</f>
        <v>9.669456809382776E-2</v>
      </c>
      <c r="D48" s="117">
        <f t="shared" ca="1" si="13"/>
        <v>9.7212466744806408E-2</v>
      </c>
      <c r="E48" s="117">
        <f t="shared" ca="1" si="13"/>
        <v>9.5075100642306412E-2</v>
      </c>
      <c r="F48" s="117">
        <f t="shared" ca="1" si="13"/>
        <v>8.7531307151859569E-2</v>
      </c>
      <c r="G48" s="117">
        <f t="shared" ca="1" si="13"/>
        <v>0.14967436549682989</v>
      </c>
      <c r="H48" s="117">
        <f t="shared" ca="1" si="13"/>
        <v>9.345613080524226E-2</v>
      </c>
      <c r="I48" s="117">
        <f t="shared" ca="1" si="13"/>
        <v>0.1211934192737834</v>
      </c>
    </row>
    <row r="49" spans="1:9" x14ac:dyDescent="0.25">
      <c r="A49" t="s">
        <v>337</v>
      </c>
      <c r="B49" s="76">
        <f>'Valuation Dashboard'!B12</f>
        <v>0.21</v>
      </c>
    </row>
    <row r="50" spans="1:9" x14ac:dyDescent="0.25">
      <c r="A50" s="40" t="s">
        <v>392</v>
      </c>
      <c r="B50" s="40"/>
      <c r="C50" s="40"/>
      <c r="D50" s="40"/>
      <c r="E50" s="40"/>
      <c r="F50" s="40"/>
      <c r="G50" s="40"/>
      <c r="H50" s="40"/>
      <c r="I50" s="40"/>
    </row>
    <row r="51" spans="1:9" x14ac:dyDescent="0.25">
      <c r="A51" t="s">
        <v>393</v>
      </c>
      <c r="C51" s="109">
        <f>'AAPL - Balance Sheet FY'!B47</f>
        <v>73733</v>
      </c>
      <c r="D51" s="109">
        <f>'MSFT - Balance Sheet FY'!B47</f>
        <v>343479</v>
      </c>
      <c r="E51" s="109">
        <f>'GOOGL - Balance Sheet FY'!B47</f>
        <v>415265</v>
      </c>
      <c r="F51" s="109">
        <f>'AMZN - Balance Sheet FY'!B47</f>
        <v>411065</v>
      </c>
      <c r="G51" s="109">
        <f>'NVDA - Balance Sheet FY'!B47</f>
        <v>157293</v>
      </c>
      <c r="H51" s="109">
        <f>'META - Balance Sheet FY'!B47</f>
        <v>217243</v>
      </c>
      <c r="I51" s="109">
        <f>'TSLA - Balance Sheet FY'!B47</f>
        <v>82137</v>
      </c>
    </row>
    <row r="52" spans="1:9" x14ac:dyDescent="0.25">
      <c r="A52" t="s">
        <v>394</v>
      </c>
      <c r="C52" s="119">
        <f t="shared" ref="C52:I52" si="14">C35+C36</f>
        <v>126097</v>
      </c>
      <c r="D52" s="119">
        <f t="shared" si="14"/>
        <v>112184</v>
      </c>
      <c r="E52" s="119">
        <f t="shared" si="14"/>
        <v>65000</v>
      </c>
      <c r="F52" s="119">
        <f t="shared" si="14"/>
        <v>254525</v>
      </c>
      <c r="G52" s="119">
        <f t="shared" si="14"/>
        <v>11412</v>
      </c>
      <c r="H52" s="119">
        <f t="shared" si="14"/>
        <v>85081</v>
      </c>
      <c r="I52" s="119">
        <f t="shared" si="14"/>
        <v>14942</v>
      </c>
    </row>
    <row r="53" spans="1:9" x14ac:dyDescent="0.25">
      <c r="A53" t="s">
        <v>395</v>
      </c>
      <c r="C53" s="111">
        <f t="shared" ref="C53:I53" si="15">C51/(C51+C52)</f>
        <v>0.36897863183706148</v>
      </c>
      <c r="D53" s="111">
        <f t="shared" si="15"/>
        <v>0.7538005060757621</v>
      </c>
      <c r="E53" s="111">
        <f t="shared" si="15"/>
        <v>0.86465805336637069</v>
      </c>
      <c r="F53" s="111">
        <f t="shared" si="15"/>
        <v>0.61759491578899928</v>
      </c>
      <c r="G53" s="111">
        <f t="shared" si="15"/>
        <v>0.93235529474526535</v>
      </c>
      <c r="H53" s="111">
        <f t="shared" si="15"/>
        <v>0.71857675870919935</v>
      </c>
      <c r="I53" s="111">
        <f t="shared" si="15"/>
        <v>0.8460841170593022</v>
      </c>
    </row>
    <row r="54" spans="1:9" x14ac:dyDescent="0.25">
      <c r="A54" t="s">
        <v>396</v>
      </c>
      <c r="C54" s="111">
        <f t="shared" ref="C54:I54" si="16">C52/(C51+C52)</f>
        <v>0.63102136816293852</v>
      </c>
      <c r="D54" s="111">
        <f t="shared" si="16"/>
        <v>0.24619949392423787</v>
      </c>
      <c r="E54" s="111">
        <f t="shared" si="16"/>
        <v>0.13534194663362936</v>
      </c>
      <c r="F54" s="111">
        <f t="shared" si="16"/>
        <v>0.38240508421100078</v>
      </c>
      <c r="G54" s="111">
        <f t="shared" si="16"/>
        <v>6.7644705254734594E-2</v>
      </c>
      <c r="H54" s="111">
        <f t="shared" si="16"/>
        <v>0.2814232412908006</v>
      </c>
      <c r="I54" s="111">
        <f t="shared" si="16"/>
        <v>0.15391588294069777</v>
      </c>
    </row>
    <row r="55" spans="1:9" x14ac:dyDescent="0.25">
      <c r="A55" s="9" t="s">
        <v>397</v>
      </c>
      <c r="B55" s="9"/>
      <c r="C55" s="117">
        <f t="shared" ref="C55:I55" ca="1" si="17">C29*C53+C43*C54</f>
        <v>4.904633465967128E-2</v>
      </c>
      <c r="D55" s="117">
        <f t="shared" ca="1" si="17"/>
        <v>8.1798891347517055E-2</v>
      </c>
      <c r="E55" s="117">
        <f t="shared" ca="1" si="17"/>
        <v>8.6970765596650138E-2</v>
      </c>
      <c r="F55" s="117">
        <f t="shared" ca="1" si="17"/>
        <v>6.7984008592738066E-2</v>
      </c>
      <c r="G55" s="117">
        <f t="shared" ca="1" si="17"/>
        <v>0.14132330196289075</v>
      </c>
      <c r="H55" s="117">
        <f t="shared" ca="1" si="17"/>
        <v>8.0167122124167753E-2</v>
      </c>
      <c r="I55" s="117">
        <f t="shared" ca="1" si="17"/>
        <v>0.10718261351591815</v>
      </c>
    </row>
    <row r="56" spans="1:9" x14ac:dyDescent="0.25">
      <c r="A56" s="33" t="s">
        <v>398</v>
      </c>
      <c r="B56" s="33"/>
      <c r="C56" s="121">
        <f t="shared" ref="C56:I56" ca="1" si="18">C55-C48</f>
        <v>-4.764823343415648E-2</v>
      </c>
      <c r="D56" s="121">
        <f t="shared" ca="1" si="18"/>
        <v>-1.5413575397289353E-2</v>
      </c>
      <c r="E56" s="121">
        <f t="shared" ca="1" si="18"/>
        <v>-8.1043350456562746E-3</v>
      </c>
      <c r="F56" s="121">
        <f t="shared" ca="1" si="18"/>
        <v>-1.9547298559121504E-2</v>
      </c>
      <c r="G56" s="121">
        <f t="shared" ca="1" si="18"/>
        <v>-8.3510635339391348E-3</v>
      </c>
      <c r="H56" s="121">
        <f t="shared" ca="1" si="18"/>
        <v>-1.3289008681074507E-2</v>
      </c>
      <c r="I56" s="121">
        <f t="shared" ca="1" si="18"/>
        <v>-1.4010805757865244E-2</v>
      </c>
    </row>
    <row r="58" spans="1:9" x14ac:dyDescent="0.25">
      <c r="A58" s="24" t="s">
        <v>411</v>
      </c>
      <c r="B58" s="24"/>
      <c r="C58" s="24"/>
      <c r="D58" s="24"/>
      <c r="E58" s="24"/>
      <c r="F58" s="24"/>
      <c r="G58" s="24"/>
      <c r="H58" s="24"/>
      <c r="I58" s="24"/>
    </row>
    <row r="59" spans="1:9" x14ac:dyDescent="0.25">
      <c r="A59" s="9" t="s">
        <v>412</v>
      </c>
      <c r="B59" s="9"/>
      <c r="C59" s="122" t="str">
        <f t="shared" ref="C59:I59" si="19">C17</f>
        <v>AAPL</v>
      </c>
      <c r="D59" s="122" t="str">
        <f t="shared" si="19"/>
        <v>MSFT</v>
      </c>
      <c r="E59" s="122" t="str">
        <f t="shared" si="19"/>
        <v>GOOGL</v>
      </c>
      <c r="F59" s="122" t="str">
        <f t="shared" si="19"/>
        <v>AMZN</v>
      </c>
      <c r="G59" s="122" t="str">
        <f t="shared" si="19"/>
        <v>NVDA</v>
      </c>
      <c r="H59" s="122" t="str">
        <f t="shared" si="19"/>
        <v>META</v>
      </c>
      <c r="I59" s="122" t="str">
        <f t="shared" si="19"/>
        <v>TSLA</v>
      </c>
    </row>
    <row r="60" spans="1:9" x14ac:dyDescent="0.25">
      <c r="A60" s="123">
        <v>0.04</v>
      </c>
      <c r="C60" s="111">
        <f t="shared" ref="C60:I65" ca="1" si="20">($B$4+C$23*$A60)*C$38+C$43*C$39</f>
        <v>8.7277166152481045E-2</v>
      </c>
      <c r="D60" s="111">
        <f t="shared" ca="1" si="20"/>
        <v>8.7840278531293781E-2</v>
      </c>
      <c r="E60" s="111">
        <f t="shared" ca="1" si="20"/>
        <v>9.2268965171126704E-2</v>
      </c>
      <c r="F60" s="111">
        <f t="shared" ca="1" si="20"/>
        <v>9.3100885980446857E-2</v>
      </c>
      <c r="G60" s="111">
        <f t="shared" ca="1" si="20"/>
        <v>0.11937687312429383</v>
      </c>
      <c r="H60" s="111">
        <f t="shared" ca="1" si="20"/>
        <v>9.0473468508327909E-2</v>
      </c>
      <c r="I60" s="111">
        <f t="shared" ca="1" si="20"/>
        <v>0.1081073593263487</v>
      </c>
    </row>
    <row r="61" spans="1:9" x14ac:dyDescent="0.25">
      <c r="A61" s="123">
        <v>0.05</v>
      </c>
      <c r="C61" s="111">
        <f t="shared" ca="1" si="20"/>
        <v>9.7581055329845984E-2</v>
      </c>
      <c r="D61" s="111">
        <f t="shared" ca="1" si="20"/>
        <v>9.8238264298613889E-2</v>
      </c>
      <c r="E61" s="111">
        <f t="shared" ca="1" si="20"/>
        <v>0.10370476933754177</v>
      </c>
      <c r="F61" s="111">
        <f t="shared" ca="1" si="20"/>
        <v>0.10506893879680346</v>
      </c>
      <c r="G61" s="111">
        <f t="shared" ca="1" si="20"/>
        <v>0.13753376211435586</v>
      </c>
      <c r="H61" s="111">
        <f t="shared" ca="1" si="20"/>
        <v>0.10150631353150624</v>
      </c>
      <c r="I61" s="111">
        <f t="shared" ca="1" si="20"/>
        <v>0.12349576089275766</v>
      </c>
    </row>
    <row r="62" spans="1:9" x14ac:dyDescent="0.25">
      <c r="A62" s="123">
        <v>5.5E-2</v>
      </c>
      <c r="C62" s="111">
        <f t="shared" ca="1" si="20"/>
        <v>0.10273299991852847</v>
      </c>
      <c r="D62" s="111">
        <f t="shared" ca="1" si="20"/>
        <v>0.10343725718227392</v>
      </c>
      <c r="E62" s="111">
        <f t="shared" ca="1" si="20"/>
        <v>0.10942267142074932</v>
      </c>
      <c r="F62" s="111">
        <f t="shared" ca="1" si="20"/>
        <v>0.11105296520498176</v>
      </c>
      <c r="G62" s="111">
        <f t="shared" ca="1" si="20"/>
        <v>0.14661220660938684</v>
      </c>
      <c r="H62" s="111">
        <f t="shared" ca="1" si="20"/>
        <v>0.1070227360430954</v>
      </c>
      <c r="I62" s="111">
        <f t="shared" ca="1" si="20"/>
        <v>0.13118996167596217</v>
      </c>
    </row>
    <row r="63" spans="1:9" x14ac:dyDescent="0.25">
      <c r="A63" s="123">
        <v>0.06</v>
      </c>
      <c r="C63" s="111">
        <f t="shared" ca="1" si="20"/>
        <v>0.10788494450721094</v>
      </c>
      <c r="D63" s="111">
        <f t="shared" ca="1" si="20"/>
        <v>0.10863625006593396</v>
      </c>
      <c r="E63" s="111">
        <f t="shared" ca="1" si="20"/>
        <v>0.11514057350395686</v>
      </c>
      <c r="F63" s="111">
        <f t="shared" ca="1" si="20"/>
        <v>0.11703699161316006</v>
      </c>
      <c r="G63" s="111">
        <f t="shared" ca="1" si="20"/>
        <v>0.15569065110441785</v>
      </c>
      <c r="H63" s="111">
        <f t="shared" ca="1" si="20"/>
        <v>0.11253915855468455</v>
      </c>
      <c r="I63" s="111">
        <f t="shared" ca="1" si="20"/>
        <v>0.13888416245916663</v>
      </c>
    </row>
    <row r="64" spans="1:9" x14ac:dyDescent="0.25">
      <c r="A64" s="123">
        <v>7.0000000000000007E-2</v>
      </c>
      <c r="C64" s="111">
        <f t="shared" ca="1" si="20"/>
        <v>0.11818883368457589</v>
      </c>
      <c r="D64" s="111">
        <f t="shared" ca="1" si="20"/>
        <v>0.11903423583325408</v>
      </c>
      <c r="E64" s="111">
        <f t="shared" ca="1" si="20"/>
        <v>0.12657637767037197</v>
      </c>
      <c r="F64" s="111">
        <f t="shared" ca="1" si="20"/>
        <v>0.12900504442951663</v>
      </c>
      <c r="G64" s="111">
        <f t="shared" ca="1" si="20"/>
        <v>0.17384754009447986</v>
      </c>
      <c r="H64" s="111">
        <f t="shared" ca="1" si="20"/>
        <v>0.1235720035778629</v>
      </c>
      <c r="I64" s="111">
        <f t="shared" ca="1" si="20"/>
        <v>0.1542725640255756</v>
      </c>
    </row>
    <row r="65" spans="1:9" x14ac:dyDescent="0.25">
      <c r="A65" s="123">
        <v>0.08</v>
      </c>
      <c r="C65" s="111">
        <f t="shared" ca="1" si="20"/>
        <v>0.12849272286194086</v>
      </c>
      <c r="D65" s="111">
        <f t="shared" ca="1" si="20"/>
        <v>0.12943222160057413</v>
      </c>
      <c r="E65" s="111">
        <f t="shared" ca="1" si="20"/>
        <v>0.13801218183678704</v>
      </c>
      <c r="F65" s="111">
        <f t="shared" ca="1" si="20"/>
        <v>0.1409730972458732</v>
      </c>
      <c r="G65" s="111">
        <f t="shared" ca="1" si="20"/>
        <v>0.19200442908454188</v>
      </c>
      <c r="H65" s="111">
        <f t="shared" ca="1" si="20"/>
        <v>0.13460484860104124</v>
      </c>
      <c r="I65" s="111">
        <f t="shared" ca="1" si="20"/>
        <v>0.16966096559198457</v>
      </c>
    </row>
    <row r="66" spans="1:9" x14ac:dyDescent="0.25">
      <c r="A66" s="41" t="s">
        <v>433</v>
      </c>
      <c r="B66" s="9"/>
      <c r="C66" s="117">
        <f t="shared" ref="C66:I66" ca="1" si="21">C48</f>
        <v>9.669456809382776E-2</v>
      </c>
      <c r="D66" s="117">
        <f t="shared" ca="1" si="21"/>
        <v>9.7212466744806408E-2</v>
      </c>
      <c r="E66" s="117">
        <f t="shared" ca="1" si="21"/>
        <v>9.5075100642306412E-2</v>
      </c>
      <c r="F66" s="117">
        <f t="shared" ca="1" si="21"/>
        <v>8.7531307151859569E-2</v>
      </c>
      <c r="G66" s="117">
        <f t="shared" ca="1" si="21"/>
        <v>0.14967436549682989</v>
      </c>
      <c r="H66" s="117">
        <f t="shared" ca="1" si="21"/>
        <v>9.345613080524226E-2</v>
      </c>
      <c r="I66" s="117">
        <f t="shared" ca="1" si="21"/>
        <v>0.1211934192737834</v>
      </c>
    </row>
    <row r="67" spans="1:9" x14ac:dyDescent="0.25">
      <c r="A67" s="33" t="s">
        <v>429</v>
      </c>
      <c r="B67" s="33"/>
      <c r="C67" s="121">
        <f t="shared" ref="C67:I67" ca="1" si="22">($B$4+C$23*$B$9)*C$38+C$43*C$39</f>
        <v>0.11374810433220889</v>
      </c>
      <c r="D67" s="121">
        <f t="shared" ca="1" si="22"/>
        <v>0.11455295310518797</v>
      </c>
      <c r="E67" s="121">
        <f t="shared" ca="1" si="22"/>
        <v>0.12164782007861538</v>
      </c>
      <c r="F67" s="121">
        <f t="shared" ca="1" si="22"/>
        <v>0.12384710042241071</v>
      </c>
      <c r="G67" s="121">
        <f t="shared" ca="1" si="22"/>
        <v>0.16602235598215834</v>
      </c>
      <c r="H67" s="121">
        <f t="shared" ca="1" si="22"/>
        <v>0.11881711172186629</v>
      </c>
      <c r="I67" s="121">
        <f t="shared" ca="1" si="22"/>
        <v>0.14764053165938137</v>
      </c>
    </row>
    <row r="69" spans="1:9" x14ac:dyDescent="0.25">
      <c r="A69" s="24" t="s">
        <v>418</v>
      </c>
      <c r="B69" s="24"/>
      <c r="C69" s="24"/>
      <c r="D69" s="24"/>
      <c r="E69" s="24"/>
      <c r="F69" s="24"/>
      <c r="G69" s="24"/>
      <c r="H69" s="24"/>
      <c r="I69" s="24"/>
    </row>
    <row r="70" spans="1:9" x14ac:dyDescent="0.25">
      <c r="A70" s="43" t="s">
        <v>419</v>
      </c>
    </row>
    <row r="71" spans="1:9" x14ac:dyDescent="0.25">
      <c r="A71" s="43" t="s">
        <v>434</v>
      </c>
    </row>
    <row r="72" spans="1:9" x14ac:dyDescent="0.25">
      <c r="A72" s="43" t="s">
        <v>435</v>
      </c>
    </row>
    <row r="73" spans="1:9" x14ac:dyDescent="0.25">
      <c r="A73" s="43" t="s">
        <v>436</v>
      </c>
    </row>
    <row r="74" spans="1:9" x14ac:dyDescent="0.25">
      <c r="A74" s="43" t="s">
        <v>420</v>
      </c>
    </row>
    <row r="75" spans="1:9" x14ac:dyDescent="0.25">
      <c r="A75" s="43" t="s">
        <v>421</v>
      </c>
    </row>
    <row r="76" spans="1:9" x14ac:dyDescent="0.25">
      <c r="A76" s="43" t="s">
        <v>422</v>
      </c>
    </row>
    <row r="77" spans="1:9" x14ac:dyDescent="0.25">
      <c r="A77" s="43" t="s">
        <v>423</v>
      </c>
    </row>
    <row r="78" spans="1:9" x14ac:dyDescent="0.25">
      <c r="A78" s="43" t="s">
        <v>424</v>
      </c>
    </row>
    <row r="79" spans="1:9" x14ac:dyDescent="0.25">
      <c r="A79" s="43" t="s">
        <v>425</v>
      </c>
    </row>
    <row r="80" spans="1:9" x14ac:dyDescent="0.25">
      <c r="A80" s="43" t="s">
        <v>426</v>
      </c>
    </row>
    <row r="81" spans="1:1" x14ac:dyDescent="0.25">
      <c r="A81" s="43" t="s">
        <v>427</v>
      </c>
    </row>
    <row r="82" spans="1:1" x14ac:dyDescent="0.25">
      <c r="A82" s="43" t="s">
        <v>428</v>
      </c>
    </row>
  </sheetData>
  <pageMargins left="0.7" right="0.7" top="0.75" bottom="0.75" header="0.3" footer="0.3"/>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84814D-DA1C-4F9F-BE88-5EA58D95D64B}">
  <sheetPr>
    <tabColor rgb="FFF8CBAD"/>
  </sheetPr>
  <dimension ref="A1:D66"/>
  <sheetViews>
    <sheetView topLeftCell="A45" workbookViewId="0">
      <selection activeCell="M147" sqref="M147"/>
    </sheetView>
  </sheetViews>
  <sheetFormatPr defaultRowHeight="15" x14ac:dyDescent="0.25"/>
  <cols>
    <col min="1" max="1" width="49.5703125" customWidth="1"/>
    <col min="2" max="3" width="21" customWidth="1"/>
    <col min="4" max="4" width="49.5703125" customWidth="1"/>
  </cols>
  <sheetData>
    <row r="1" spans="1:4" ht="15.75" x14ac:dyDescent="0.25">
      <c r="A1" s="15" t="s">
        <v>338</v>
      </c>
    </row>
    <row r="3" spans="1:4" x14ac:dyDescent="0.25">
      <c r="A3" s="9" t="s">
        <v>339</v>
      </c>
      <c r="B3" s="9" t="s">
        <v>340</v>
      </c>
      <c r="C3" s="9" t="s">
        <v>341</v>
      </c>
      <c r="D3" s="9" t="s">
        <v>342</v>
      </c>
    </row>
    <row r="4" spans="1:4" x14ac:dyDescent="0.25">
      <c r="A4" s="24" t="s">
        <v>296</v>
      </c>
      <c r="B4" s="34"/>
      <c r="C4" s="38"/>
      <c r="D4" s="24"/>
    </row>
    <row r="5" spans="1:4" x14ac:dyDescent="0.25">
      <c r="A5" t="s">
        <v>343</v>
      </c>
      <c r="B5" s="128">
        <v>86781</v>
      </c>
      <c r="C5" s="69">
        <v>2.4249999999999997E-2</v>
      </c>
    </row>
    <row r="6" spans="1:4" x14ac:dyDescent="0.25">
      <c r="A6" t="s">
        <v>344</v>
      </c>
      <c r="B6" s="128">
        <v>4500</v>
      </c>
      <c r="C6" s="69">
        <v>4.3749999999999997E-2</v>
      </c>
    </row>
    <row r="7" spans="1:4" x14ac:dyDescent="0.25">
      <c r="A7" s="9" t="s">
        <v>345</v>
      </c>
      <c r="B7" s="129">
        <f>SUM(B5:B6)</f>
        <v>91281</v>
      </c>
      <c r="C7" s="29"/>
    </row>
    <row r="8" spans="1:4" x14ac:dyDescent="0.25">
      <c r="A8" s="9" t="s">
        <v>346</v>
      </c>
      <c r="B8" s="36"/>
      <c r="C8" s="130">
        <f>IFERROR(SUMPRODUCT(B5:B6,C5:C6)/B7,"")</f>
        <v>2.5211317251125645E-2</v>
      </c>
      <c r="D8" t="s">
        <v>347</v>
      </c>
    </row>
    <row r="9" spans="1:4" x14ac:dyDescent="0.25">
      <c r="B9" s="35"/>
      <c r="C9" s="3"/>
    </row>
    <row r="10" spans="1:4" x14ac:dyDescent="0.25">
      <c r="A10" s="24" t="s">
        <v>295</v>
      </c>
      <c r="B10" s="34"/>
      <c r="C10" s="38"/>
      <c r="D10" s="24"/>
    </row>
    <row r="11" spans="1:4" x14ac:dyDescent="0.25">
      <c r="A11" t="s">
        <v>348</v>
      </c>
      <c r="B11" s="128">
        <v>23800</v>
      </c>
      <c r="C11" s="69">
        <v>3.9399999999999998E-2</v>
      </c>
    </row>
    <row r="12" spans="1:4" x14ac:dyDescent="0.25">
      <c r="A12" t="s">
        <v>349</v>
      </c>
      <c r="B12" s="128">
        <v>19800</v>
      </c>
      <c r="C12" s="69">
        <v>3.175E-2</v>
      </c>
    </row>
    <row r="13" spans="1:4" x14ac:dyDescent="0.25">
      <c r="A13" t="s">
        <v>350</v>
      </c>
      <c r="B13" s="128">
        <v>17100</v>
      </c>
      <c r="C13" s="69">
        <v>3.9E-2</v>
      </c>
    </row>
    <row r="14" spans="1:4" x14ac:dyDescent="0.25">
      <c r="A14" t="s">
        <v>351</v>
      </c>
      <c r="B14" s="128">
        <v>10100</v>
      </c>
      <c r="C14" s="69">
        <v>2.0150000000000001E-2</v>
      </c>
    </row>
    <row r="15" spans="1:4" x14ac:dyDescent="0.25">
      <c r="A15" t="s">
        <v>352</v>
      </c>
      <c r="B15" s="128">
        <v>8200</v>
      </c>
      <c r="C15" s="69">
        <v>2.98E-2</v>
      </c>
    </row>
    <row r="16" spans="1:4" x14ac:dyDescent="0.25">
      <c r="A16" t="s">
        <v>353</v>
      </c>
      <c r="B16" s="128">
        <v>5200</v>
      </c>
      <c r="C16" s="69">
        <v>4.3150000000000001E-2</v>
      </c>
    </row>
    <row r="17" spans="1:4" x14ac:dyDescent="0.25">
      <c r="A17" t="s">
        <v>354</v>
      </c>
      <c r="B17" s="128">
        <v>4800</v>
      </c>
      <c r="C17" s="69">
        <v>4.4999999999999998E-2</v>
      </c>
    </row>
    <row r="18" spans="1:4" x14ac:dyDescent="0.25">
      <c r="A18" t="s">
        <v>355</v>
      </c>
      <c r="B18" s="128">
        <v>4100</v>
      </c>
      <c r="C18" s="69">
        <v>2.8799999999999999E-2</v>
      </c>
    </row>
    <row r="19" spans="1:4" x14ac:dyDescent="0.25">
      <c r="A19" t="s">
        <v>356</v>
      </c>
      <c r="B19" s="128">
        <v>3800</v>
      </c>
      <c r="C19" s="69">
        <v>5.2000000000000005E-2</v>
      </c>
    </row>
    <row r="20" spans="1:4" x14ac:dyDescent="0.25">
      <c r="A20" t="s">
        <v>357</v>
      </c>
      <c r="B20" s="128">
        <v>3300</v>
      </c>
      <c r="C20" s="69">
        <v>2.9249999999999998E-2</v>
      </c>
    </row>
    <row r="21" spans="1:4" x14ac:dyDescent="0.25">
      <c r="A21" t="s">
        <v>358</v>
      </c>
      <c r="B21" s="128">
        <v>2300</v>
      </c>
      <c r="C21" s="69">
        <v>5.2999999999999999E-2</v>
      </c>
    </row>
    <row r="22" spans="1:4" x14ac:dyDescent="0.25">
      <c r="A22" t="s">
        <v>359</v>
      </c>
      <c r="B22" s="128">
        <v>2300</v>
      </c>
      <c r="C22" s="69">
        <v>3.5000000000000003E-2</v>
      </c>
    </row>
    <row r="23" spans="1:4" x14ac:dyDescent="0.25">
      <c r="A23" t="s">
        <v>360</v>
      </c>
      <c r="B23" s="128">
        <v>100</v>
      </c>
      <c r="C23" s="69">
        <v>2.9249999999999998E-2</v>
      </c>
    </row>
    <row r="24" spans="1:4" x14ac:dyDescent="0.25">
      <c r="A24" s="9" t="s">
        <v>345</v>
      </c>
      <c r="B24" s="129">
        <f>SUM(B11:B23)</f>
        <v>104900</v>
      </c>
      <c r="C24" s="29"/>
    </row>
    <row r="25" spans="1:4" x14ac:dyDescent="0.25">
      <c r="A25" s="9" t="s">
        <v>346</v>
      </c>
      <c r="B25" s="36"/>
      <c r="C25" s="130">
        <f>IFERROR(SUMPRODUCT(B11:B23,C11:C23)/B24,"")</f>
        <v>3.5643994280266926E-2</v>
      </c>
      <c r="D25" t="s">
        <v>361</v>
      </c>
    </row>
    <row r="26" spans="1:4" x14ac:dyDescent="0.25">
      <c r="B26" s="35"/>
      <c r="C26" s="3"/>
    </row>
    <row r="27" spans="1:4" x14ac:dyDescent="0.25">
      <c r="A27" s="24" t="s">
        <v>308</v>
      </c>
      <c r="B27" s="34"/>
      <c r="C27" s="38"/>
      <c r="D27" s="24"/>
    </row>
    <row r="28" spans="1:4" x14ac:dyDescent="0.25">
      <c r="A28" t="s">
        <v>362</v>
      </c>
      <c r="B28" s="128">
        <v>22500</v>
      </c>
      <c r="C28" s="69">
        <v>4.7899999999999998E-2</v>
      </c>
    </row>
    <row r="29" spans="1:4" x14ac:dyDescent="0.25">
      <c r="A29" t="s">
        <v>363</v>
      </c>
      <c r="B29" s="128">
        <v>15585</v>
      </c>
      <c r="C29" s="69">
        <v>3.3799999999999997E-2</v>
      </c>
    </row>
    <row r="30" spans="1:4" x14ac:dyDescent="0.25">
      <c r="A30" t="s">
        <v>364</v>
      </c>
      <c r="B30" s="128">
        <v>9000</v>
      </c>
      <c r="C30" s="69">
        <v>1.525E-2</v>
      </c>
    </row>
    <row r="31" spans="1:4" x14ac:dyDescent="0.25">
      <c r="A31" t="s">
        <v>365</v>
      </c>
      <c r="B31" s="128">
        <v>2000</v>
      </c>
      <c r="C31" s="69">
        <v>0.02</v>
      </c>
    </row>
    <row r="32" spans="1:4" x14ac:dyDescent="0.25">
      <c r="A32" s="9" t="s">
        <v>345</v>
      </c>
      <c r="B32" s="129">
        <f>SUM(B28:B31)</f>
        <v>49085</v>
      </c>
      <c r="C32" s="29"/>
    </row>
    <row r="33" spans="1:4" x14ac:dyDescent="0.25">
      <c r="A33" s="9" t="s">
        <v>346</v>
      </c>
      <c r="B33" s="36"/>
      <c r="C33" s="130">
        <f>IFERROR(SUMPRODUCT(B28:B31,C28:C31)/B32,"")</f>
        <v>3.6299745339716818E-2</v>
      </c>
      <c r="D33" t="s">
        <v>366</v>
      </c>
    </row>
    <row r="34" spans="1:4" x14ac:dyDescent="0.25">
      <c r="B34" s="35"/>
      <c r="C34" s="3"/>
    </row>
    <row r="35" spans="1:4" x14ac:dyDescent="0.25">
      <c r="A35" s="24" t="s">
        <v>291</v>
      </c>
      <c r="B35" s="34"/>
      <c r="C35" s="38"/>
      <c r="D35" s="24"/>
    </row>
    <row r="36" spans="1:4" x14ac:dyDescent="0.25">
      <c r="A36" t="s">
        <v>367</v>
      </c>
      <c r="B36" s="128">
        <v>18500</v>
      </c>
      <c r="C36" s="69">
        <v>2.1250000000000002E-2</v>
      </c>
    </row>
    <row r="37" spans="1:4" x14ac:dyDescent="0.25">
      <c r="A37" t="s">
        <v>368</v>
      </c>
      <c r="B37" s="128">
        <v>17000</v>
      </c>
      <c r="C37" s="69">
        <v>3.7000000000000005E-2</v>
      </c>
    </row>
    <row r="38" spans="1:4" x14ac:dyDescent="0.25">
      <c r="A38" t="s">
        <v>369</v>
      </c>
      <c r="B38" s="128">
        <v>15000</v>
      </c>
      <c r="C38" s="69">
        <v>4.7249999999999993E-2</v>
      </c>
    </row>
    <row r="39" spans="1:4" x14ac:dyDescent="0.25">
      <c r="A39" t="s">
        <v>370</v>
      </c>
      <c r="B39" s="128">
        <v>12800</v>
      </c>
      <c r="C39" s="69">
        <v>3.7000000000000005E-2</v>
      </c>
    </row>
    <row r="40" spans="1:4" x14ac:dyDescent="0.25">
      <c r="A40" t="s">
        <v>371</v>
      </c>
      <c r="B40" s="128">
        <v>10000</v>
      </c>
      <c r="C40" s="69">
        <v>1.95E-2</v>
      </c>
    </row>
    <row r="41" spans="1:4" x14ac:dyDescent="0.25">
      <c r="A41" t="s">
        <v>372</v>
      </c>
      <c r="B41" s="128">
        <v>8300</v>
      </c>
      <c r="C41" s="69">
        <v>4.6249999999999999E-2</v>
      </c>
    </row>
    <row r="42" spans="1:4" x14ac:dyDescent="0.25">
      <c r="A42" t="s">
        <v>373</v>
      </c>
      <c r="B42" s="128">
        <v>6000</v>
      </c>
      <c r="C42" s="69">
        <v>4.8750000000000002E-2</v>
      </c>
    </row>
    <row r="43" spans="1:4" x14ac:dyDescent="0.25">
      <c r="A43" s="9" t="s">
        <v>345</v>
      </c>
      <c r="B43" s="129">
        <f>SUM(B36:B42)</f>
        <v>87600</v>
      </c>
      <c r="C43" s="29"/>
    </row>
    <row r="44" spans="1:4" x14ac:dyDescent="0.25">
      <c r="A44" s="9" t="s">
        <v>346</v>
      </c>
      <c r="B44" s="36"/>
      <c r="C44" s="130">
        <f>IFERROR(SUMPRODUCT(B36:B42,C36:C42)/B43,"")</f>
        <v>3.5112442922374427E-2</v>
      </c>
      <c r="D44" t="s">
        <v>374</v>
      </c>
    </row>
    <row r="45" spans="1:4" x14ac:dyDescent="0.25">
      <c r="B45" s="35"/>
      <c r="C45" s="3"/>
    </row>
    <row r="46" spans="1:4" x14ac:dyDescent="0.25">
      <c r="A46" s="24" t="s">
        <v>294</v>
      </c>
      <c r="B46" s="34"/>
      <c r="C46" s="38"/>
      <c r="D46" s="24"/>
    </row>
    <row r="47" spans="1:4" x14ac:dyDescent="0.25">
      <c r="A47" t="s">
        <v>375</v>
      </c>
      <c r="B47" s="128">
        <v>2000</v>
      </c>
      <c r="C47" s="69">
        <v>3.5000000000000003E-2</v>
      </c>
    </row>
    <row r="48" spans="1:4" x14ac:dyDescent="0.25">
      <c r="A48" t="s">
        <v>376</v>
      </c>
      <c r="B48" s="128">
        <v>1500</v>
      </c>
      <c r="C48" s="69">
        <v>2.8500000000000001E-2</v>
      </c>
    </row>
    <row r="49" spans="1:4" x14ac:dyDescent="0.25">
      <c r="A49" t="s">
        <v>377</v>
      </c>
      <c r="B49" s="128">
        <v>1250</v>
      </c>
      <c r="C49" s="69">
        <v>1.55E-2</v>
      </c>
    </row>
    <row r="50" spans="1:4" x14ac:dyDescent="0.25">
      <c r="A50" t="s">
        <v>378</v>
      </c>
      <c r="B50" s="128">
        <v>1250</v>
      </c>
      <c r="C50" s="69">
        <v>0.02</v>
      </c>
    </row>
    <row r="51" spans="1:4" x14ac:dyDescent="0.25">
      <c r="A51" t="s">
        <v>379</v>
      </c>
      <c r="B51" s="128">
        <v>1000</v>
      </c>
      <c r="C51" s="69">
        <v>3.2000000000000001E-2</v>
      </c>
    </row>
    <row r="52" spans="1:4" x14ac:dyDescent="0.25">
      <c r="A52" t="s">
        <v>380</v>
      </c>
      <c r="B52" s="128">
        <v>1000</v>
      </c>
      <c r="C52" s="69">
        <v>3.5000000000000003E-2</v>
      </c>
    </row>
    <row r="53" spans="1:4" x14ac:dyDescent="0.25">
      <c r="A53" t="s">
        <v>381</v>
      </c>
      <c r="B53" s="128">
        <v>500</v>
      </c>
      <c r="C53" s="69">
        <v>3.7000000000000005E-2</v>
      </c>
    </row>
    <row r="54" spans="1:4" x14ac:dyDescent="0.25">
      <c r="A54" s="9" t="s">
        <v>345</v>
      </c>
      <c r="B54" s="129">
        <f>SUM(B47:B53)</f>
        <v>8500</v>
      </c>
      <c r="C54" s="29"/>
    </row>
    <row r="55" spans="1:4" x14ac:dyDescent="0.25">
      <c r="A55" s="9" t="s">
        <v>346</v>
      </c>
      <c r="B55" s="36"/>
      <c r="C55" s="130">
        <f>IFERROR(SUMPRODUCT(B47:B53,C47:C53)/B54,"")</f>
        <v>2.8544117647058824E-2</v>
      </c>
      <c r="D55" t="s">
        <v>382</v>
      </c>
    </row>
    <row r="56" spans="1:4" x14ac:dyDescent="0.25">
      <c r="B56" s="35"/>
      <c r="C56" s="3"/>
    </row>
    <row r="57" spans="1:4" x14ac:dyDescent="0.25">
      <c r="A57" s="24" t="s">
        <v>292</v>
      </c>
      <c r="B57" s="34"/>
      <c r="C57" s="38"/>
      <c r="D57" s="24"/>
    </row>
    <row r="58" spans="1:4" x14ac:dyDescent="0.25">
      <c r="A58" t="s">
        <v>383</v>
      </c>
      <c r="B58" s="128">
        <v>30000</v>
      </c>
      <c r="C58" s="69">
        <v>4.9749999999999996E-2</v>
      </c>
    </row>
    <row r="59" spans="1:4" x14ac:dyDescent="0.25">
      <c r="A59" t="s">
        <v>384</v>
      </c>
      <c r="B59" s="128">
        <v>10500</v>
      </c>
      <c r="C59" s="69">
        <v>4.9249999999999995E-2</v>
      </c>
    </row>
    <row r="60" spans="1:4" x14ac:dyDescent="0.25">
      <c r="A60" t="s">
        <v>385</v>
      </c>
      <c r="B60" s="128">
        <v>10000</v>
      </c>
      <c r="C60" s="69">
        <v>4.0750000000000001E-2</v>
      </c>
    </row>
    <row r="61" spans="1:4" x14ac:dyDescent="0.25">
      <c r="A61" t="s">
        <v>386</v>
      </c>
      <c r="B61" s="128">
        <v>8500</v>
      </c>
      <c r="C61" s="69">
        <v>5.1749999999999997E-2</v>
      </c>
    </row>
    <row r="62" spans="1:4" x14ac:dyDescent="0.25">
      <c r="A62" s="9" t="s">
        <v>345</v>
      </c>
      <c r="B62" s="129">
        <f>SUM(B58:B61)</f>
        <v>59000</v>
      </c>
      <c r="C62" s="29"/>
    </row>
    <row r="63" spans="1:4" x14ac:dyDescent="0.25">
      <c r="A63" s="9" t="s">
        <v>346</v>
      </c>
      <c r="B63" s="36"/>
      <c r="C63" s="130">
        <f>IFERROR(SUMPRODUCT(B58:B61,C58:C61)/B62,"")</f>
        <v>4.8423728813559323E-2</v>
      </c>
      <c r="D63" t="s">
        <v>387</v>
      </c>
    </row>
    <row r="64" spans="1:4" x14ac:dyDescent="0.25">
      <c r="B64" s="35"/>
      <c r="C64" s="3"/>
    </row>
    <row r="65" spans="1:4" x14ac:dyDescent="0.25">
      <c r="A65" s="32" t="s">
        <v>293</v>
      </c>
      <c r="B65" s="37"/>
      <c r="C65" s="39"/>
      <c r="D65" s="32"/>
    </row>
    <row r="66" spans="1:4" x14ac:dyDescent="0.25">
      <c r="A66" s="33" t="s">
        <v>388</v>
      </c>
    </row>
  </sheetData>
  <pageMargins left="0.7" right="0.7" top="0.75" bottom="0.75" header="0.3" footer="0.3"/>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10FF03-8C2C-40D8-8E57-E9FC68222641}">
  <sheetPr>
    <tabColor rgb="FF7030A0"/>
  </sheetPr>
  <dimension ref="A1"/>
  <sheetViews>
    <sheetView workbookViewId="0"/>
  </sheetViews>
  <sheetFormatPr defaultRowHeight="15" x14ac:dyDescent="0.25"/>
  <sheetData>
    <row r="1" spans="1:1" ht="18.75" x14ac:dyDescent="0.3">
      <c r="A1" s="46" t="s">
        <v>441</v>
      </c>
    </row>
  </sheetData>
  <pageMargins left="0.7" right="0.7" top="0.75" bottom="0.75" header="0.3" footer="0.3"/>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00C88B-7C10-41D1-85C0-4310020B6253}">
  <sheetPr>
    <tabColor rgb="FFD9C2E9"/>
  </sheetPr>
  <dimension ref="A1:H39"/>
  <sheetViews>
    <sheetView topLeftCell="A12" workbookViewId="0">
      <selection activeCell="H39" sqref="H39"/>
    </sheetView>
  </sheetViews>
  <sheetFormatPr defaultRowHeight="15" x14ac:dyDescent="0.25"/>
  <cols>
    <col min="1" max="1" width="61.140625" bestFit="1" customWidth="1"/>
    <col min="2" max="8" width="10.140625" bestFit="1" customWidth="1"/>
  </cols>
  <sheetData>
    <row r="1" spans="1:8" ht="15.75" x14ac:dyDescent="0.25">
      <c r="A1" s="15" t="s">
        <v>464</v>
      </c>
    </row>
    <row r="3" spans="1:8" x14ac:dyDescent="0.25">
      <c r="A3" s="24" t="s">
        <v>443</v>
      </c>
      <c r="B3" s="24"/>
      <c r="C3" s="24"/>
      <c r="D3" s="24"/>
      <c r="E3" s="24"/>
      <c r="F3" s="24"/>
      <c r="G3" s="24"/>
      <c r="H3" s="24"/>
    </row>
    <row r="4" spans="1:8" x14ac:dyDescent="0.25">
      <c r="A4" t="s">
        <v>444</v>
      </c>
      <c r="B4" s="79">
        <f>WACC!B4-WACC!B14</f>
        <v>2.5300000000000003E-2</v>
      </c>
    </row>
    <row r="5" spans="1:8" x14ac:dyDescent="0.25">
      <c r="A5" t="s">
        <v>465</v>
      </c>
      <c r="B5" s="79">
        <f>('AAPL - Income Statement FY'!B7/'AAPL - Income Statement FY'!H7)^(1/6)-1</f>
        <v>8.1432907299933799E-2</v>
      </c>
    </row>
    <row r="6" spans="1:8" x14ac:dyDescent="0.25">
      <c r="A6" t="s">
        <v>446</v>
      </c>
      <c r="B6" s="111">
        <f>B5-B4</f>
        <v>5.6132907299933796E-2</v>
      </c>
    </row>
    <row r="7" spans="1:8" x14ac:dyDescent="0.25">
      <c r="A7" t="s">
        <v>447</v>
      </c>
      <c r="B7" s="25">
        <v>3.5000000000000003E-2</v>
      </c>
    </row>
    <row r="8" spans="1:8" x14ac:dyDescent="0.25">
      <c r="A8" t="s">
        <v>549</v>
      </c>
      <c r="B8" s="72">
        <f>'AAPL DCF'!$E$6</f>
        <v>0.04</v>
      </c>
    </row>
    <row r="9" spans="1:8" x14ac:dyDescent="0.25">
      <c r="A9" s="33" t="s">
        <v>550</v>
      </c>
      <c r="B9" s="121">
        <f>B38</f>
        <v>6.467500000000001E-2</v>
      </c>
    </row>
    <row r="10" spans="1:8" x14ac:dyDescent="0.25">
      <c r="A10" t="s">
        <v>546</v>
      </c>
      <c r="B10" s="50">
        <v>8</v>
      </c>
    </row>
    <row r="11" spans="1:8" x14ac:dyDescent="0.25">
      <c r="A11" s="24" t="s">
        <v>448</v>
      </c>
      <c r="B11" s="24"/>
      <c r="C11" s="24"/>
      <c r="D11" s="24"/>
      <c r="E11" s="24"/>
      <c r="F11" s="24"/>
      <c r="G11" s="24"/>
      <c r="H11" s="24"/>
    </row>
    <row r="12" spans="1:8" x14ac:dyDescent="0.25">
      <c r="A12" t="s">
        <v>449</v>
      </c>
      <c r="B12" s="164">
        <f>'AAPL - Income Statement FY'!B5</f>
        <v>45927</v>
      </c>
      <c r="C12" s="164">
        <f>'AAPL - Income Statement FY'!C5</f>
        <v>45563</v>
      </c>
      <c r="D12" s="164">
        <f>'AAPL - Income Statement FY'!D5</f>
        <v>45199</v>
      </c>
      <c r="E12" s="164">
        <f>'AAPL - Income Statement FY'!E5</f>
        <v>44828</v>
      </c>
      <c r="F12" s="164">
        <f>'AAPL - Income Statement FY'!F5</f>
        <v>44464</v>
      </c>
      <c r="G12" s="164">
        <f>'AAPL - Income Statement FY'!G5</f>
        <v>44100</v>
      </c>
      <c r="H12" s="164">
        <f>'AAPL - Income Statement FY'!H5</f>
        <v>43736</v>
      </c>
    </row>
    <row r="13" spans="1:8" x14ac:dyDescent="0.25">
      <c r="A13" t="s">
        <v>466</v>
      </c>
      <c r="B13" s="165">
        <v>209586</v>
      </c>
      <c r="C13" s="165">
        <v>201183</v>
      </c>
      <c r="D13" s="165">
        <v>200583</v>
      </c>
      <c r="E13" s="48"/>
      <c r="F13" s="48"/>
      <c r="G13" s="48"/>
      <c r="H13" s="48"/>
    </row>
    <row r="14" spans="1:8" x14ac:dyDescent="0.25">
      <c r="A14" t="s">
        <v>467</v>
      </c>
      <c r="B14" s="165">
        <v>33708</v>
      </c>
      <c r="C14" s="165">
        <v>29984</v>
      </c>
      <c r="D14" s="165">
        <v>29357</v>
      </c>
      <c r="E14" s="48"/>
      <c r="F14" s="48"/>
      <c r="G14" s="48"/>
      <c r="H14" s="48"/>
    </row>
    <row r="15" spans="1:8" x14ac:dyDescent="0.25">
      <c r="A15" t="s">
        <v>468</v>
      </c>
      <c r="B15" s="165">
        <v>28023</v>
      </c>
      <c r="C15" s="165">
        <v>26694</v>
      </c>
      <c r="D15" s="165">
        <v>28300</v>
      </c>
      <c r="E15" s="48"/>
      <c r="F15" s="48"/>
      <c r="G15" s="48"/>
      <c r="H15" s="48"/>
    </row>
    <row r="16" spans="1:8" x14ac:dyDescent="0.25">
      <c r="A16" t="s">
        <v>469</v>
      </c>
      <c r="B16" s="165">
        <v>35686</v>
      </c>
      <c r="C16" s="165">
        <v>37005</v>
      </c>
      <c r="D16" s="165">
        <v>39845</v>
      </c>
      <c r="E16" s="48"/>
      <c r="F16" s="48"/>
      <c r="G16" s="48"/>
      <c r="H16" s="48"/>
    </row>
    <row r="17" spans="1:8" x14ac:dyDescent="0.25">
      <c r="A17" t="s">
        <v>470</v>
      </c>
      <c r="B17" s="165">
        <v>109158</v>
      </c>
      <c r="C17" s="165">
        <v>96169</v>
      </c>
      <c r="D17" s="165">
        <v>85200</v>
      </c>
      <c r="E17" s="48"/>
      <c r="F17" s="48"/>
      <c r="G17" s="48"/>
      <c r="H17" s="48"/>
    </row>
    <row r="18" spans="1:8" x14ac:dyDescent="0.25">
      <c r="A18" t="s">
        <v>455</v>
      </c>
      <c r="B18" s="109">
        <f>'AAPL - Income Statement FY'!B7</f>
        <v>416161</v>
      </c>
      <c r="C18" s="109">
        <f>'AAPL - Income Statement FY'!C7</f>
        <v>391035</v>
      </c>
      <c r="D18" s="109">
        <f>'AAPL - Income Statement FY'!D7</f>
        <v>383285</v>
      </c>
      <c r="E18" s="109">
        <f>'AAPL - Income Statement FY'!E7</f>
        <v>394328</v>
      </c>
      <c r="F18" s="109">
        <f>'AAPL - Income Statement FY'!F7</f>
        <v>365817</v>
      </c>
      <c r="G18" s="109">
        <f>'AAPL - Income Statement FY'!G7</f>
        <v>274515</v>
      </c>
      <c r="H18" s="109">
        <f>'AAPL - Income Statement FY'!H7</f>
        <v>260174</v>
      </c>
    </row>
    <row r="19" spans="1:8" x14ac:dyDescent="0.25">
      <c r="A19" t="s">
        <v>456</v>
      </c>
      <c r="B19" s="119">
        <f t="shared" ref="B19:H19" si="0">IF(COUNT(B13:B17)=0,"",SUM(B13:B17)-B18)</f>
        <v>0</v>
      </c>
      <c r="C19" s="119">
        <f t="shared" si="0"/>
        <v>0</v>
      </c>
      <c r="D19" s="119">
        <f t="shared" si="0"/>
        <v>0</v>
      </c>
      <c r="E19" s="119" t="str">
        <f t="shared" si="0"/>
        <v/>
      </c>
      <c r="F19" s="119" t="str">
        <f t="shared" si="0"/>
        <v/>
      </c>
      <c r="G19" s="119" t="str">
        <f t="shared" si="0"/>
        <v/>
      </c>
      <c r="H19" s="119" t="str">
        <f t="shared" si="0"/>
        <v/>
      </c>
    </row>
    <row r="21" spans="1:8" x14ac:dyDescent="0.25">
      <c r="A21" s="24" t="s">
        <v>457</v>
      </c>
      <c r="B21" s="24"/>
      <c r="C21" s="24"/>
      <c r="D21" s="24"/>
      <c r="E21" s="24"/>
      <c r="F21" s="24"/>
      <c r="G21" s="24"/>
      <c r="H21" s="24"/>
    </row>
    <row r="22" spans="1:8" x14ac:dyDescent="0.25">
      <c r="A22" t="s">
        <v>466</v>
      </c>
      <c r="B22" s="134">
        <f t="shared" ref="B22:H22" si="1">IF(B13="","",B13/B18)</f>
        <v>0.50361759030759734</v>
      </c>
      <c r="C22" s="134">
        <f t="shared" si="1"/>
        <v>0.51448847289884536</v>
      </c>
      <c r="D22" s="134">
        <f t="shared" si="1"/>
        <v>0.52332598458066448</v>
      </c>
      <c r="E22" s="134" t="str">
        <f t="shared" si="1"/>
        <v/>
      </c>
      <c r="F22" s="134" t="str">
        <f t="shared" si="1"/>
        <v/>
      </c>
      <c r="G22" s="134" t="str">
        <f t="shared" si="1"/>
        <v/>
      </c>
      <c r="H22" s="134" t="str">
        <f t="shared" si="1"/>
        <v/>
      </c>
    </row>
    <row r="23" spans="1:8" x14ac:dyDescent="0.25">
      <c r="A23" t="s">
        <v>467</v>
      </c>
      <c r="B23" s="134">
        <f t="shared" ref="B23:H23" si="2">IF(B14="","",B14/B18)</f>
        <v>8.0997498564257586E-2</v>
      </c>
      <c r="C23" s="134">
        <f t="shared" si="2"/>
        <v>7.6678558185328677E-2</v>
      </c>
      <c r="D23" s="134">
        <f t="shared" si="2"/>
        <v>7.659313565623492E-2</v>
      </c>
      <c r="E23" s="134" t="str">
        <f t="shared" si="2"/>
        <v/>
      </c>
      <c r="F23" s="134" t="str">
        <f t="shared" si="2"/>
        <v/>
      </c>
      <c r="G23" s="134" t="str">
        <f t="shared" si="2"/>
        <v/>
      </c>
      <c r="H23" s="134" t="str">
        <f t="shared" si="2"/>
        <v/>
      </c>
    </row>
    <row r="24" spans="1:8" x14ac:dyDescent="0.25">
      <c r="A24" t="s">
        <v>468</v>
      </c>
      <c r="B24" s="134">
        <f t="shared" ref="B24:H24" si="3">IF(B15="","",B15/B18)</f>
        <v>6.7336920086216626E-2</v>
      </c>
      <c r="C24" s="134">
        <f t="shared" si="3"/>
        <v>6.8264989067474774E-2</v>
      </c>
      <c r="D24" s="134">
        <f t="shared" si="3"/>
        <v>7.3835396636967268E-2</v>
      </c>
      <c r="E24" s="134" t="str">
        <f t="shared" si="3"/>
        <v/>
      </c>
      <c r="F24" s="134" t="str">
        <f t="shared" si="3"/>
        <v/>
      </c>
      <c r="G24" s="134" t="str">
        <f t="shared" si="3"/>
        <v/>
      </c>
      <c r="H24" s="134" t="str">
        <f t="shared" si="3"/>
        <v/>
      </c>
    </row>
    <row r="25" spans="1:8" x14ac:dyDescent="0.25">
      <c r="A25" t="s">
        <v>469</v>
      </c>
      <c r="B25" s="134">
        <f t="shared" ref="B25:H25" si="4">IF(B16="","",B16/B18)</f>
        <v>8.5750466766467789E-2</v>
      </c>
      <c r="C25" s="134">
        <f t="shared" si="4"/>
        <v>9.4633472707046681E-2</v>
      </c>
      <c r="D25" s="134">
        <f t="shared" si="4"/>
        <v>0.1039565858303873</v>
      </c>
      <c r="E25" s="134" t="str">
        <f t="shared" si="4"/>
        <v/>
      </c>
      <c r="F25" s="134" t="str">
        <f t="shared" si="4"/>
        <v/>
      </c>
      <c r="G25" s="134" t="str">
        <f t="shared" si="4"/>
        <v/>
      </c>
      <c r="H25" s="134" t="str">
        <f t="shared" si="4"/>
        <v/>
      </c>
    </row>
    <row r="26" spans="1:8" x14ac:dyDescent="0.25">
      <c r="A26" t="s">
        <v>470</v>
      </c>
      <c r="B26" s="134">
        <f t="shared" ref="B26:H26" si="5">IF(B17="","",B17/B18)</f>
        <v>0.26229752427546071</v>
      </c>
      <c r="C26" s="134">
        <f t="shared" si="5"/>
        <v>0.24593450714130449</v>
      </c>
      <c r="D26" s="134">
        <f t="shared" si="5"/>
        <v>0.222288897295746</v>
      </c>
      <c r="E26" s="134" t="str">
        <f t="shared" si="5"/>
        <v/>
      </c>
      <c r="F26" s="134" t="str">
        <f t="shared" si="5"/>
        <v/>
      </c>
      <c r="G26" s="134" t="str">
        <f t="shared" si="5"/>
        <v/>
      </c>
      <c r="H26" s="134" t="str">
        <f t="shared" si="5"/>
        <v/>
      </c>
    </row>
    <row r="28" spans="1:8" x14ac:dyDescent="0.25">
      <c r="A28" s="24" t="s">
        <v>461</v>
      </c>
      <c r="B28" s="24"/>
      <c r="C28" s="24"/>
      <c r="D28" s="24"/>
      <c r="E28" s="24"/>
      <c r="F28" s="24"/>
      <c r="G28" s="24"/>
      <c r="H28" s="24"/>
    </row>
    <row r="29" spans="1:8" x14ac:dyDescent="0.25">
      <c r="A29" t="s">
        <v>449</v>
      </c>
      <c r="B29" s="164">
        <f>EDATE('AAPL - Income Statement FY'!B5,12)</f>
        <v>46292</v>
      </c>
      <c r="C29" s="166">
        <f>EDATE(B29,12)</f>
        <v>46657</v>
      </c>
      <c r="D29" s="166">
        <f>EDATE(C29,12)</f>
        <v>47023</v>
      </c>
      <c r="E29" s="166">
        <f>EDATE(D29,12)</f>
        <v>47388</v>
      </c>
      <c r="F29" s="166">
        <f>EDATE(E29,12)</f>
        <v>47753</v>
      </c>
    </row>
    <row r="30" spans="1:8" x14ac:dyDescent="0.25">
      <c r="A30" t="s">
        <v>466</v>
      </c>
      <c r="B30" s="119">
        <f>$B$13*(1+B$38)</f>
        <v>223140.97455000001</v>
      </c>
      <c r="C30" s="119">
        <f t="shared" ref="C30:F34" si="6">B30*(1+C$38)</f>
        <v>237433.15396992749</v>
      </c>
      <c r="D30" s="119">
        <f t="shared" si="6"/>
        <v>252492.35176047016</v>
      </c>
      <c r="E30" s="119">
        <f t="shared" si="6"/>
        <v>268348.87145102769</v>
      </c>
      <c r="F30" s="119">
        <f t="shared" si="6"/>
        <v>285033.46253349539</v>
      </c>
    </row>
    <row r="31" spans="1:8" x14ac:dyDescent="0.25">
      <c r="A31" t="s">
        <v>467</v>
      </c>
      <c r="B31" s="119">
        <f>$B$14*(1+B$38)</f>
        <v>35888.064900000005</v>
      </c>
      <c r="C31" s="119">
        <f t="shared" si="6"/>
        <v>38186.695456845002</v>
      </c>
      <c r="D31" s="119">
        <f t="shared" si="6"/>
        <v>40608.686616195402</v>
      </c>
      <c r="E31" s="119">
        <f t="shared" si="6"/>
        <v>43158.912135692473</v>
      </c>
      <c r="F31" s="119">
        <f t="shared" si="6"/>
        <v>45842.317497729156</v>
      </c>
    </row>
    <row r="32" spans="1:8" x14ac:dyDescent="0.25">
      <c r="A32" t="s">
        <v>468</v>
      </c>
      <c r="B32" s="119">
        <f>$B$15*(1+B$38)</f>
        <v>29835.387525000002</v>
      </c>
      <c r="C32" s="119">
        <f t="shared" si="6"/>
        <v>31746.344095976252</v>
      </c>
      <c r="D32" s="119">
        <f t="shared" si="6"/>
        <v>33759.855970263547</v>
      </c>
      <c r="E32" s="119">
        <f t="shared" si="6"/>
        <v>35879.974925196097</v>
      </c>
      <c r="F32" s="119">
        <f t="shared" si="6"/>
        <v>38110.812366170168</v>
      </c>
    </row>
    <row r="33" spans="1:6" x14ac:dyDescent="0.25">
      <c r="A33" t="s">
        <v>469</v>
      </c>
      <c r="B33" s="119">
        <f>$B$16*(1+B$38)</f>
        <v>37993.992050000001</v>
      </c>
      <c r="C33" s="119">
        <f t="shared" si="6"/>
        <v>40427.507240802501</v>
      </c>
      <c r="D33" s="119">
        <f t="shared" si="6"/>
        <v>42991.621887550406</v>
      </c>
      <c r="E33" s="119">
        <f t="shared" si="6"/>
        <v>45691.495742088569</v>
      </c>
      <c r="F33" s="119">
        <f t="shared" si="6"/>
        <v>48532.364489852931</v>
      </c>
    </row>
    <row r="34" spans="1:6" x14ac:dyDescent="0.25">
      <c r="A34" t="s">
        <v>470</v>
      </c>
      <c r="B34" s="119">
        <f>$B$17*(1+B$38)</f>
        <v>116217.79365000001</v>
      </c>
      <c r="C34" s="119">
        <f t="shared" si="6"/>
        <v>123661.54333328251</v>
      </c>
      <c r="D34" s="119">
        <f t="shared" si="6"/>
        <v>131504.77671919594</v>
      </c>
      <c r="E34" s="119">
        <f t="shared" si="6"/>
        <v>139763.27669716143</v>
      </c>
      <c r="F34" s="119">
        <f t="shared" si="6"/>
        <v>148453.05842580745</v>
      </c>
    </row>
    <row r="35" spans="1:6" x14ac:dyDescent="0.25">
      <c r="A35" t="s">
        <v>462</v>
      </c>
      <c r="B35" s="119">
        <f>SUM(B30:B34)</f>
        <v>443076.21267500002</v>
      </c>
      <c r="C35" s="119">
        <f>SUM(C30:C34)</f>
        <v>471455.24409683381</v>
      </c>
      <c r="D35" s="119">
        <f>SUM(D30:D34)</f>
        <v>501357.29295367544</v>
      </c>
      <c r="E35" s="119">
        <f>SUM(E30:E34)</f>
        <v>532842.53095116629</v>
      </c>
      <c r="F35" s="119">
        <f>SUM(F30:F34)</f>
        <v>565972.01531305513</v>
      </c>
    </row>
    <row r="36" spans="1:6" x14ac:dyDescent="0.25">
      <c r="A36" t="s">
        <v>463</v>
      </c>
      <c r="B36" s="134">
        <f>B35/$B$18-1</f>
        <v>6.4675000000000038E-2</v>
      </c>
      <c r="C36" s="134">
        <f>C35/B35-1</f>
        <v>6.4050000000000162E-2</v>
      </c>
      <c r="D36" s="134">
        <f>D35/C35-1</f>
        <v>6.3424999999999843E-2</v>
      </c>
      <c r="E36" s="134">
        <f>E35/D35-1</f>
        <v>6.2799999999999967E-2</v>
      </c>
      <c r="F36" s="134">
        <f>F35/E35-1</f>
        <v>6.2175000000000091E-2</v>
      </c>
    </row>
    <row r="38" spans="1:6" x14ac:dyDescent="0.25">
      <c r="A38" s="9" t="s">
        <v>547</v>
      </c>
      <c r="B38" s="134">
        <f>B39+$B$4</f>
        <v>6.467500000000001E-2</v>
      </c>
      <c r="C38" s="134">
        <f>C39+$B$4</f>
        <v>6.4049999999999996E-2</v>
      </c>
      <c r="D38" s="134">
        <f>D39+$B$4</f>
        <v>6.3425000000000009E-2</v>
      </c>
      <c r="E38" s="134">
        <f>E39+$B$4</f>
        <v>6.2800000000000009E-2</v>
      </c>
      <c r="F38" s="134">
        <f>F39+$B$4</f>
        <v>6.2175000000000008E-2</v>
      </c>
    </row>
    <row r="39" spans="1:6" x14ac:dyDescent="0.25">
      <c r="A39" s="33" t="s">
        <v>548</v>
      </c>
      <c r="B39" s="134">
        <f>$B$8+($B$7-$B$8)*MIN(1/$B$10,1)</f>
        <v>3.9375E-2</v>
      </c>
      <c r="C39" s="134">
        <f>$B$8+($B$7-$B$8)*MIN(2/$B$10,1)</f>
        <v>3.875E-2</v>
      </c>
      <c r="D39" s="134">
        <f>$B$8+($B$7-$B$8)*MIN(3/$B$10,1)</f>
        <v>3.8124999999999999E-2</v>
      </c>
      <c r="E39" s="134">
        <f>$B$8+($B$7-$B$8)*MIN(4/$B$10,1)</f>
        <v>3.7500000000000006E-2</v>
      </c>
      <c r="F39" s="134">
        <f>$B$8+($B$7-$B$8)*MIN(5/$B$10,1)</f>
        <v>3.6875000000000005E-2</v>
      </c>
    </row>
  </sheetData>
  <pageMargins left="0.7" right="0.7" top="0.75" bottom="0.75" header="0.3" footer="0.3"/>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2DE566-4DFE-4529-B9C2-AAF8631F77FF}">
  <sheetPr>
    <tabColor rgb="FFD9C2E9"/>
  </sheetPr>
  <dimension ref="A1:H54"/>
  <sheetViews>
    <sheetView topLeftCell="A18" workbookViewId="0">
      <selection activeCell="C51" sqref="C51"/>
    </sheetView>
  </sheetViews>
  <sheetFormatPr defaultRowHeight="15" x14ac:dyDescent="0.25"/>
  <cols>
    <col min="1" max="1" width="61.140625" bestFit="1" customWidth="1"/>
    <col min="2" max="8" width="10.140625" bestFit="1" customWidth="1"/>
  </cols>
  <sheetData>
    <row r="1" spans="1:8" ht="15.75" x14ac:dyDescent="0.25">
      <c r="A1" s="15" t="s">
        <v>471</v>
      </c>
    </row>
    <row r="3" spans="1:8" x14ac:dyDescent="0.25">
      <c r="A3" s="24" t="s">
        <v>443</v>
      </c>
      <c r="B3" s="24"/>
      <c r="C3" s="24"/>
      <c r="D3" s="24"/>
      <c r="E3" s="24"/>
      <c r="F3" s="24"/>
      <c r="G3" s="24"/>
      <c r="H3" s="24"/>
    </row>
    <row r="4" spans="1:8" x14ac:dyDescent="0.25">
      <c r="A4" t="s">
        <v>444</v>
      </c>
      <c r="B4" s="79">
        <f>WACC!B4-WACC!B14</f>
        <v>2.5300000000000003E-2</v>
      </c>
    </row>
    <row r="5" spans="1:8" x14ac:dyDescent="0.25">
      <c r="A5" t="s">
        <v>465</v>
      </c>
      <c r="B5" s="79">
        <f>('MSFT - Income Statement FY'!B7/'MSFT - Income Statement FY'!H7)^(1/6)-1</f>
        <v>0.14375357314985093</v>
      </c>
    </row>
    <row r="6" spans="1:8" x14ac:dyDescent="0.25">
      <c r="A6" t="s">
        <v>446</v>
      </c>
      <c r="B6" s="111">
        <f>B5-B4</f>
        <v>0.11845357314985093</v>
      </c>
    </row>
    <row r="7" spans="1:8" x14ac:dyDescent="0.25">
      <c r="A7" t="s">
        <v>447</v>
      </c>
      <c r="B7" s="25">
        <v>3.5000000000000003E-2</v>
      </c>
    </row>
    <row r="8" spans="1:8" x14ac:dyDescent="0.25">
      <c r="A8" t="s">
        <v>549</v>
      </c>
      <c r="B8" s="72">
        <f>'MSFT DCF'!$E$6</f>
        <v>0.1</v>
      </c>
    </row>
    <row r="9" spans="1:8" x14ac:dyDescent="0.25">
      <c r="A9" s="33" t="s">
        <v>550</v>
      </c>
      <c r="B9" s="121">
        <f>B53</f>
        <v>0.11717500000000002</v>
      </c>
    </row>
    <row r="10" spans="1:8" x14ac:dyDescent="0.25">
      <c r="A10" t="s">
        <v>546</v>
      </c>
      <c r="B10" s="50">
        <v>8</v>
      </c>
    </row>
    <row r="11" spans="1:8" x14ac:dyDescent="0.25">
      <c r="A11" s="24" t="s">
        <v>448</v>
      </c>
      <c r="B11" s="24"/>
      <c r="C11" s="24"/>
      <c r="D11" s="24"/>
      <c r="E11" s="24"/>
      <c r="F11" s="24"/>
      <c r="G11" s="24"/>
      <c r="H11" s="24"/>
    </row>
    <row r="12" spans="1:8" x14ac:dyDescent="0.25">
      <c r="A12" t="s">
        <v>449</v>
      </c>
      <c r="B12" s="164">
        <f>'MSFT - Income Statement FY'!B5</f>
        <v>45838</v>
      </c>
      <c r="C12" s="164">
        <f>'MSFT - Income Statement FY'!C5</f>
        <v>45473</v>
      </c>
      <c r="D12" s="164">
        <f>'MSFT - Income Statement FY'!D5</f>
        <v>45107</v>
      </c>
      <c r="E12" s="164">
        <f>'MSFT - Income Statement FY'!E5</f>
        <v>44742</v>
      </c>
      <c r="F12" s="164">
        <f>'MSFT - Income Statement FY'!F5</f>
        <v>44377</v>
      </c>
      <c r="G12" s="164">
        <f>'MSFT - Income Statement FY'!G5</f>
        <v>44012</v>
      </c>
      <c r="H12" s="164">
        <f>'MSFT - Income Statement FY'!H5</f>
        <v>43646</v>
      </c>
    </row>
    <row r="13" spans="1:8" x14ac:dyDescent="0.25">
      <c r="A13" t="s">
        <v>472</v>
      </c>
      <c r="B13" s="165">
        <v>98435</v>
      </c>
      <c r="C13" s="165">
        <v>79828</v>
      </c>
      <c r="D13" s="165">
        <v>65007</v>
      </c>
      <c r="E13" s="48"/>
      <c r="F13" s="48"/>
      <c r="G13" s="48"/>
      <c r="H13" s="48"/>
    </row>
    <row r="14" spans="1:8" x14ac:dyDescent="0.25">
      <c r="A14" t="s">
        <v>473</v>
      </c>
      <c r="B14" s="165">
        <v>87767</v>
      </c>
      <c r="C14" s="165">
        <v>76969</v>
      </c>
      <c r="D14" s="165">
        <v>66949</v>
      </c>
      <c r="E14" s="48"/>
      <c r="F14" s="48"/>
      <c r="G14" s="48"/>
      <c r="H14" s="48"/>
    </row>
    <row r="15" spans="1:8" x14ac:dyDescent="0.25">
      <c r="A15" t="s">
        <v>474</v>
      </c>
      <c r="B15" s="165">
        <v>23455</v>
      </c>
      <c r="C15" s="165">
        <v>21503</v>
      </c>
      <c r="D15" s="165">
        <v>15466</v>
      </c>
      <c r="E15" s="48"/>
      <c r="F15" s="48"/>
      <c r="G15" s="48"/>
      <c r="H15" s="48"/>
    </row>
    <row r="16" spans="1:8" x14ac:dyDescent="0.25">
      <c r="A16" t="s">
        <v>475</v>
      </c>
      <c r="B16" s="165">
        <v>17812</v>
      </c>
      <c r="C16" s="165">
        <v>16372</v>
      </c>
      <c r="D16" s="165">
        <v>14989</v>
      </c>
      <c r="E16" s="48"/>
      <c r="F16" s="48"/>
      <c r="G16" s="48"/>
      <c r="H16" s="48"/>
    </row>
    <row r="17" spans="1:8" x14ac:dyDescent="0.25">
      <c r="A17" t="s">
        <v>476</v>
      </c>
      <c r="B17" s="165">
        <v>17314</v>
      </c>
      <c r="C17" s="165">
        <v>17026</v>
      </c>
      <c r="D17" s="165">
        <v>17147</v>
      </c>
      <c r="E17" s="48"/>
      <c r="F17" s="48"/>
      <c r="G17" s="48"/>
      <c r="H17" s="48"/>
    </row>
    <row r="18" spans="1:8" x14ac:dyDescent="0.25">
      <c r="A18" t="s">
        <v>477</v>
      </c>
      <c r="B18" s="165">
        <v>13878</v>
      </c>
      <c r="C18" s="165">
        <v>12306</v>
      </c>
      <c r="D18" s="165">
        <v>12125</v>
      </c>
      <c r="E18" s="48"/>
      <c r="F18" s="48"/>
      <c r="G18" s="48"/>
      <c r="H18" s="48"/>
    </row>
    <row r="19" spans="1:8" x14ac:dyDescent="0.25">
      <c r="A19" t="s">
        <v>478</v>
      </c>
      <c r="B19" s="165">
        <v>7827</v>
      </c>
      <c r="C19" s="165">
        <v>6831</v>
      </c>
      <c r="D19" s="165">
        <v>5796</v>
      </c>
      <c r="E19" s="48"/>
      <c r="F19" s="48"/>
      <c r="G19" s="48"/>
      <c r="H19" s="48"/>
    </row>
    <row r="20" spans="1:8" x14ac:dyDescent="0.25">
      <c r="A20" t="s">
        <v>479</v>
      </c>
      <c r="B20" s="165">
        <v>7760</v>
      </c>
      <c r="C20" s="165">
        <v>7594</v>
      </c>
      <c r="D20" s="165">
        <v>7900</v>
      </c>
      <c r="E20" s="48"/>
      <c r="F20" s="48"/>
      <c r="G20" s="48"/>
      <c r="H20" s="48"/>
    </row>
    <row r="21" spans="1:8" x14ac:dyDescent="0.25">
      <c r="A21" t="s">
        <v>480</v>
      </c>
      <c r="B21" s="165">
        <v>7404</v>
      </c>
      <c r="C21" s="165">
        <v>6648</v>
      </c>
      <c r="D21" s="165">
        <v>6417</v>
      </c>
      <c r="E21" s="48"/>
      <c r="F21" s="48"/>
      <c r="G21" s="48"/>
      <c r="H21" s="48"/>
    </row>
    <row r="22" spans="1:8" x14ac:dyDescent="0.25">
      <c r="A22" t="s">
        <v>481</v>
      </c>
      <c r="B22" s="165">
        <v>72</v>
      </c>
      <c r="C22" s="165">
        <v>45</v>
      </c>
      <c r="D22" s="165">
        <v>119</v>
      </c>
      <c r="E22" s="48"/>
      <c r="F22" s="48"/>
      <c r="G22" s="48"/>
      <c r="H22" s="48"/>
    </row>
    <row r="23" spans="1:8" x14ac:dyDescent="0.25">
      <c r="A23" t="s">
        <v>455</v>
      </c>
      <c r="B23" s="109">
        <f>'MSFT - Income Statement FY'!B7</f>
        <v>281724</v>
      </c>
      <c r="C23" s="109">
        <f>'MSFT - Income Statement FY'!C7</f>
        <v>245122</v>
      </c>
      <c r="D23" s="109">
        <f>'MSFT - Income Statement FY'!D7</f>
        <v>211915</v>
      </c>
      <c r="E23" s="109">
        <f>'MSFT - Income Statement FY'!E7</f>
        <v>198270</v>
      </c>
      <c r="F23" s="109">
        <f>'MSFT - Income Statement FY'!F7</f>
        <v>168088</v>
      </c>
      <c r="G23" s="109">
        <f>'MSFT - Income Statement FY'!G7</f>
        <v>143015</v>
      </c>
      <c r="H23" s="109">
        <f>'MSFT - Income Statement FY'!H7</f>
        <v>125843</v>
      </c>
    </row>
    <row r="24" spans="1:8" x14ac:dyDescent="0.25">
      <c r="A24" t="s">
        <v>456</v>
      </c>
      <c r="B24" s="119">
        <f t="shared" ref="B24:H24" si="0">IF(COUNT(B13:B22)=0,"",SUM(B13:B22)-B23)</f>
        <v>0</v>
      </c>
      <c r="C24" s="119">
        <f t="shared" si="0"/>
        <v>0</v>
      </c>
      <c r="D24" s="119">
        <f t="shared" si="0"/>
        <v>0</v>
      </c>
      <c r="E24" s="119" t="str">
        <f t="shared" si="0"/>
        <v/>
      </c>
      <c r="F24" s="119" t="str">
        <f t="shared" si="0"/>
        <v/>
      </c>
      <c r="G24" s="119" t="str">
        <f t="shared" si="0"/>
        <v/>
      </c>
      <c r="H24" s="119" t="str">
        <f t="shared" si="0"/>
        <v/>
      </c>
    </row>
    <row r="26" spans="1:8" x14ac:dyDescent="0.25">
      <c r="A26" s="24" t="s">
        <v>457</v>
      </c>
      <c r="B26" s="24"/>
      <c r="C26" s="24"/>
      <c r="D26" s="24"/>
      <c r="E26" s="24"/>
      <c r="F26" s="24"/>
      <c r="G26" s="24"/>
      <c r="H26" s="24"/>
    </row>
    <row r="27" spans="1:8" x14ac:dyDescent="0.25">
      <c r="A27" t="s">
        <v>472</v>
      </c>
      <c r="B27" s="134">
        <f t="shared" ref="B27:H27" si="1">IF(B13="","",B13/B23)</f>
        <v>0.34940225184932772</v>
      </c>
      <c r="C27" s="134">
        <f t="shared" si="1"/>
        <v>0.32566640285245713</v>
      </c>
      <c r="D27" s="134">
        <f t="shared" si="1"/>
        <v>0.30675978576315976</v>
      </c>
      <c r="E27" s="134" t="str">
        <f t="shared" si="1"/>
        <v/>
      </c>
      <c r="F27" s="134" t="str">
        <f t="shared" si="1"/>
        <v/>
      </c>
      <c r="G27" s="134" t="str">
        <f t="shared" si="1"/>
        <v/>
      </c>
      <c r="H27" s="134" t="str">
        <f t="shared" si="1"/>
        <v/>
      </c>
    </row>
    <row r="28" spans="1:8" x14ac:dyDescent="0.25">
      <c r="A28" t="s">
        <v>473</v>
      </c>
      <c r="B28" s="134">
        <f t="shared" ref="B28:H28" si="2">IF(B14="","",B14/B23)</f>
        <v>0.31153540344450598</v>
      </c>
      <c r="C28" s="134">
        <f t="shared" si="2"/>
        <v>0.31400282308401528</v>
      </c>
      <c r="D28" s="134">
        <f t="shared" si="2"/>
        <v>0.31592383738763186</v>
      </c>
      <c r="E28" s="134" t="str">
        <f t="shared" si="2"/>
        <v/>
      </c>
      <c r="F28" s="134" t="str">
        <f t="shared" si="2"/>
        <v/>
      </c>
      <c r="G28" s="134" t="str">
        <f t="shared" si="2"/>
        <v/>
      </c>
      <c r="H28" s="134" t="str">
        <f t="shared" si="2"/>
        <v/>
      </c>
    </row>
    <row r="29" spans="1:8" x14ac:dyDescent="0.25">
      <c r="A29" t="s">
        <v>474</v>
      </c>
      <c r="B29" s="134">
        <f t="shared" ref="B29:H29" si="3">IF(B15="","",B15/B23)</f>
        <v>8.3255242719825082E-2</v>
      </c>
      <c r="C29" s="134">
        <f t="shared" si="3"/>
        <v>8.7723664134594204E-2</v>
      </c>
      <c r="D29" s="134">
        <f t="shared" si="3"/>
        <v>7.2982091876459904E-2</v>
      </c>
      <c r="E29" s="134" t="str">
        <f t="shared" si="3"/>
        <v/>
      </c>
      <c r="F29" s="134" t="str">
        <f t="shared" si="3"/>
        <v/>
      </c>
      <c r="G29" s="134" t="str">
        <f t="shared" si="3"/>
        <v/>
      </c>
      <c r="H29" s="134" t="str">
        <f t="shared" si="3"/>
        <v/>
      </c>
    </row>
    <row r="30" spans="1:8" x14ac:dyDescent="0.25">
      <c r="A30" t="s">
        <v>475</v>
      </c>
      <c r="B30" s="134">
        <f t="shared" ref="B30:H30" si="4">IF(B16="","",B16/B23)</f>
        <v>6.3225000354957331E-2</v>
      </c>
      <c r="C30" s="134">
        <f t="shared" si="4"/>
        <v>6.6791230489307366E-2</v>
      </c>
      <c r="D30" s="134">
        <f t="shared" si="4"/>
        <v>7.073118939197319E-2</v>
      </c>
      <c r="E30" s="134" t="str">
        <f t="shared" si="4"/>
        <v/>
      </c>
      <c r="F30" s="134" t="str">
        <f t="shared" si="4"/>
        <v/>
      </c>
      <c r="G30" s="134" t="str">
        <f t="shared" si="4"/>
        <v/>
      </c>
      <c r="H30" s="134" t="str">
        <f t="shared" si="4"/>
        <v/>
      </c>
    </row>
    <row r="31" spans="1:8" x14ac:dyDescent="0.25">
      <c r="A31" t="s">
        <v>476</v>
      </c>
      <c r="B31" s="134">
        <f t="shared" ref="B31:H31" si="5">IF(B17="","",B17/B23)</f>
        <v>6.1457312830997715E-2</v>
      </c>
      <c r="C31" s="134">
        <f t="shared" si="5"/>
        <v>6.9459289659842854E-2</v>
      </c>
      <c r="D31" s="134">
        <f t="shared" si="5"/>
        <v>8.0914517613193973E-2</v>
      </c>
      <c r="E31" s="134" t="str">
        <f t="shared" si="5"/>
        <v/>
      </c>
      <c r="F31" s="134" t="str">
        <f t="shared" si="5"/>
        <v/>
      </c>
      <c r="G31" s="134" t="str">
        <f t="shared" si="5"/>
        <v/>
      </c>
      <c r="H31" s="134" t="str">
        <f t="shared" si="5"/>
        <v/>
      </c>
    </row>
    <row r="32" spans="1:8" x14ac:dyDescent="0.25">
      <c r="A32" t="s">
        <v>477</v>
      </c>
      <c r="B32" s="134">
        <f t="shared" ref="B32:H32" si="6">IF(B18="","",B18/B23)</f>
        <v>4.9260978830344596E-2</v>
      </c>
      <c r="C32" s="134">
        <f t="shared" si="6"/>
        <v>5.0203572098791623E-2</v>
      </c>
      <c r="D32" s="134">
        <f t="shared" si="6"/>
        <v>5.7216336738786774E-2</v>
      </c>
      <c r="E32" s="134" t="str">
        <f t="shared" si="6"/>
        <v/>
      </c>
      <c r="F32" s="134" t="str">
        <f t="shared" si="6"/>
        <v/>
      </c>
      <c r="G32" s="134" t="str">
        <f t="shared" si="6"/>
        <v/>
      </c>
      <c r="H32" s="134" t="str">
        <f t="shared" si="6"/>
        <v/>
      </c>
    </row>
    <row r="33" spans="1:8" x14ac:dyDescent="0.25">
      <c r="A33" t="s">
        <v>478</v>
      </c>
      <c r="B33" s="134">
        <f t="shared" ref="B33:H33" si="7">IF(B19="","",B19/B23)</f>
        <v>2.7782510542232824E-2</v>
      </c>
      <c r="C33" s="134">
        <f t="shared" si="7"/>
        <v>2.7867755648207832E-2</v>
      </c>
      <c r="D33" s="134">
        <f t="shared" si="7"/>
        <v>2.7350588679423353E-2</v>
      </c>
      <c r="E33" s="134" t="str">
        <f t="shared" si="7"/>
        <v/>
      </c>
      <c r="F33" s="134" t="str">
        <f t="shared" si="7"/>
        <v/>
      </c>
      <c r="G33" s="134" t="str">
        <f t="shared" si="7"/>
        <v/>
      </c>
      <c r="H33" s="134" t="str">
        <f t="shared" si="7"/>
        <v/>
      </c>
    </row>
    <row r="34" spans="1:8" x14ac:dyDescent="0.25">
      <c r="A34" t="s">
        <v>479</v>
      </c>
      <c r="B34" s="134">
        <f t="shared" ref="B34:H34" si="8">IF(B20="","",B20/B23)</f>
        <v>2.7544689128366769E-2</v>
      </c>
      <c r="C34" s="134">
        <f t="shared" si="8"/>
        <v>3.0980491347165903E-2</v>
      </c>
      <c r="D34" s="134">
        <f t="shared" si="8"/>
        <v>3.7279097751456949E-2</v>
      </c>
      <c r="E34" s="134" t="str">
        <f t="shared" si="8"/>
        <v/>
      </c>
      <c r="F34" s="134" t="str">
        <f t="shared" si="8"/>
        <v/>
      </c>
      <c r="G34" s="134" t="str">
        <f t="shared" si="8"/>
        <v/>
      </c>
      <c r="H34" s="134" t="str">
        <f t="shared" si="8"/>
        <v/>
      </c>
    </row>
    <row r="35" spans="1:8" x14ac:dyDescent="0.25">
      <c r="A35" t="s">
        <v>480</v>
      </c>
      <c r="B35" s="134">
        <f t="shared" ref="B35:H35" si="9">IF(B21="","",B21/B23)</f>
        <v>2.6281041018869532E-2</v>
      </c>
      <c r="C35" s="134">
        <f t="shared" si="9"/>
        <v>2.7121188632599276E-2</v>
      </c>
      <c r="D35" s="134">
        <f t="shared" si="9"/>
        <v>3.0281008895075855E-2</v>
      </c>
      <c r="E35" s="134" t="str">
        <f t="shared" si="9"/>
        <v/>
      </c>
      <c r="F35" s="134" t="str">
        <f t="shared" si="9"/>
        <v/>
      </c>
      <c r="G35" s="134" t="str">
        <f t="shared" si="9"/>
        <v/>
      </c>
      <c r="H35" s="134" t="str">
        <f t="shared" si="9"/>
        <v/>
      </c>
    </row>
    <row r="36" spans="1:8" x14ac:dyDescent="0.25">
      <c r="A36" t="s">
        <v>481</v>
      </c>
      <c r="B36" s="134">
        <f t="shared" ref="B36:H36" si="10">IF(B22="","",B22/B23)</f>
        <v>2.5556928057247517E-4</v>
      </c>
      <c r="C36" s="134">
        <f t="shared" si="10"/>
        <v>1.8358205301849691E-4</v>
      </c>
      <c r="D36" s="134">
        <f t="shared" si="10"/>
        <v>5.6154590283840223E-4</v>
      </c>
      <c r="E36" s="134" t="str">
        <f t="shared" si="10"/>
        <v/>
      </c>
      <c r="F36" s="134" t="str">
        <f t="shared" si="10"/>
        <v/>
      </c>
      <c r="G36" s="134" t="str">
        <f t="shared" si="10"/>
        <v/>
      </c>
      <c r="H36" s="134" t="str">
        <f t="shared" si="10"/>
        <v/>
      </c>
    </row>
    <row r="38" spans="1:8" x14ac:dyDescent="0.25">
      <c r="A38" s="24" t="s">
        <v>461</v>
      </c>
      <c r="B38" s="24"/>
      <c r="C38" s="24"/>
      <c r="D38" s="24"/>
      <c r="E38" s="24"/>
      <c r="F38" s="24"/>
      <c r="G38" s="24"/>
      <c r="H38" s="24"/>
    </row>
    <row r="39" spans="1:8" x14ac:dyDescent="0.25">
      <c r="A39" t="s">
        <v>449</v>
      </c>
      <c r="B39" s="164">
        <f>EDATE('MSFT - Income Statement FY'!B5,12)</f>
        <v>46203</v>
      </c>
      <c r="C39" s="166">
        <f>EDATE(B39,12)</f>
        <v>46568</v>
      </c>
      <c r="D39" s="166">
        <f>EDATE(C39,12)</f>
        <v>46934</v>
      </c>
      <c r="E39" s="166">
        <f>EDATE(D39,12)</f>
        <v>47299</v>
      </c>
      <c r="F39" s="166">
        <f>EDATE(E39,12)</f>
        <v>47664</v>
      </c>
    </row>
    <row r="40" spans="1:8" x14ac:dyDescent="0.25">
      <c r="A40" t="s">
        <v>472</v>
      </c>
      <c r="B40" s="119">
        <f>$B$13*(1+B$53)</f>
        <v>109969.12112500001</v>
      </c>
      <c r="C40" s="119">
        <f t="shared" ref="C40:F49" si="11">B40*(1+C$53)</f>
        <v>121961.25378368127</v>
      </c>
      <c r="D40" s="119">
        <f t="shared" si="11"/>
        <v>134270.19332179931</v>
      </c>
      <c r="E40" s="119">
        <f t="shared" si="11"/>
        <v>146730.46726206227</v>
      </c>
      <c r="F40" s="119">
        <f t="shared" si="11"/>
        <v>159154.8695774774</v>
      </c>
    </row>
    <row r="41" spans="1:8" x14ac:dyDescent="0.25">
      <c r="A41" t="s">
        <v>473</v>
      </c>
      <c r="B41" s="119">
        <f>$B$14*(1+B$53)</f>
        <v>98051.098225000009</v>
      </c>
      <c r="C41" s="119">
        <f t="shared" si="11"/>
        <v>108743.57048643626</v>
      </c>
      <c r="D41" s="119">
        <f t="shared" si="11"/>
        <v>119718.51533777984</v>
      </c>
      <c r="E41" s="119">
        <f t="shared" si="11"/>
        <v>130828.39356112581</v>
      </c>
      <c r="F41" s="119">
        <f t="shared" si="11"/>
        <v>141906.28778591414</v>
      </c>
    </row>
    <row r="42" spans="1:8" x14ac:dyDescent="0.25">
      <c r="A42" t="s">
        <v>474</v>
      </c>
      <c r="B42" s="119">
        <f>$B$15*(1+B$53)</f>
        <v>26203.339625000001</v>
      </c>
      <c r="C42" s="119">
        <f t="shared" si="11"/>
        <v>29060.813811106254</v>
      </c>
      <c r="D42" s="119">
        <f t="shared" si="11"/>
        <v>31993.776444992152</v>
      </c>
      <c r="E42" s="119">
        <f t="shared" si="11"/>
        <v>34962.798899087422</v>
      </c>
      <c r="F42" s="119">
        <f t="shared" si="11"/>
        <v>37923.273895867649</v>
      </c>
    </row>
    <row r="43" spans="1:8" x14ac:dyDescent="0.25">
      <c r="A43" t="s">
        <v>475</v>
      </c>
      <c r="B43" s="119">
        <f>$B$16*(1+B$53)</f>
        <v>19899.1211</v>
      </c>
      <c r="C43" s="119">
        <f t="shared" si="11"/>
        <v>22069.120255955004</v>
      </c>
      <c r="D43" s="119">
        <f t="shared" si="11"/>
        <v>24296.446217787263</v>
      </c>
      <c r="E43" s="119">
        <f t="shared" si="11"/>
        <v>26551.156426797919</v>
      </c>
      <c r="F43" s="119">
        <f t="shared" si="11"/>
        <v>28799.375597237035</v>
      </c>
    </row>
    <row r="44" spans="1:8" x14ac:dyDescent="0.25">
      <c r="A44" t="s">
        <v>476</v>
      </c>
      <c r="B44" s="119">
        <f>$B$17*(1+B$53)</f>
        <v>19342.767950000001</v>
      </c>
      <c r="C44" s="119">
        <f t="shared" si="11"/>
        <v>21452.096794947502</v>
      </c>
      <c r="D44" s="119">
        <f t="shared" si="11"/>
        <v>23617.149663977576</v>
      </c>
      <c r="E44" s="119">
        <f t="shared" si="11"/>
        <v>25808.821152794695</v>
      </c>
      <c r="F44" s="119">
        <f t="shared" si="11"/>
        <v>27994.183083907588</v>
      </c>
    </row>
    <row r="45" spans="1:8" x14ac:dyDescent="0.25">
      <c r="A45" t="s">
        <v>477</v>
      </c>
      <c r="B45" s="119">
        <f>$B$18*(1+B$53)</f>
        <v>15504.15465</v>
      </c>
      <c r="C45" s="119">
        <f t="shared" si="11"/>
        <v>17194.882714582502</v>
      </c>
      <c r="D45" s="119">
        <f t="shared" si="11"/>
        <v>18930.276252551739</v>
      </c>
      <c r="E45" s="119">
        <f t="shared" si="11"/>
        <v>20687.005888788539</v>
      </c>
      <c r="F45" s="119">
        <f t="shared" si="11"/>
        <v>22438.678112421709</v>
      </c>
    </row>
    <row r="46" spans="1:8" x14ac:dyDescent="0.25">
      <c r="A46" t="s">
        <v>478</v>
      </c>
      <c r="B46" s="119">
        <f>$B$19*(1+B$53)</f>
        <v>8744.1287250000005</v>
      </c>
      <c r="C46" s="119">
        <f t="shared" si="11"/>
        <v>9697.6759624612514</v>
      </c>
      <c r="D46" s="119">
        <f t="shared" si="11"/>
        <v>10676.413908972652</v>
      </c>
      <c r="E46" s="119">
        <f t="shared" si="11"/>
        <v>11667.185119725315</v>
      </c>
      <c r="F46" s="119">
        <f t="shared" si="11"/>
        <v>12655.104019738055</v>
      </c>
    </row>
    <row r="47" spans="1:8" x14ac:dyDescent="0.25">
      <c r="A47" t="s">
        <v>479</v>
      </c>
      <c r="B47" s="119">
        <f>$B$20*(1+B$53)</f>
        <v>8669.2780000000002</v>
      </c>
      <c r="C47" s="119">
        <f t="shared" si="11"/>
        <v>9614.6627659000005</v>
      </c>
      <c r="D47" s="119">
        <f t="shared" si="11"/>
        <v>10585.022605548458</v>
      </c>
      <c r="E47" s="119">
        <f t="shared" si="11"/>
        <v>11567.312703343356</v>
      </c>
      <c r="F47" s="119">
        <f t="shared" si="11"/>
        <v>12546.774906498955</v>
      </c>
    </row>
    <row r="48" spans="1:8" x14ac:dyDescent="0.25">
      <c r="A48" t="s">
        <v>480</v>
      </c>
      <c r="B48" s="119">
        <f>$B$21*(1+B$53)</f>
        <v>8271.5637000000006</v>
      </c>
      <c r="C48" s="119">
        <f t="shared" si="11"/>
        <v>9173.5777214850023</v>
      </c>
      <c r="D48" s="119">
        <f t="shared" si="11"/>
        <v>10099.421053025875</v>
      </c>
      <c r="E48" s="119">
        <f t="shared" si="11"/>
        <v>11036.647326746677</v>
      </c>
      <c r="F48" s="119">
        <f t="shared" si="11"/>
        <v>11971.175439138953</v>
      </c>
    </row>
    <row r="49" spans="1:6" x14ac:dyDescent="0.25">
      <c r="A49" t="s">
        <v>481</v>
      </c>
      <c r="B49" s="119">
        <f>$B$22*(1+B$53)</f>
        <v>80.436599999999999</v>
      </c>
      <c r="C49" s="119">
        <f t="shared" si="11"/>
        <v>89.208211230000003</v>
      </c>
      <c r="D49" s="119">
        <f t="shared" si="11"/>
        <v>98.211549948387741</v>
      </c>
      <c r="E49" s="119">
        <f t="shared" si="11"/>
        <v>107.32558178359812</v>
      </c>
      <c r="F49" s="119">
        <f t="shared" si="11"/>
        <v>116.4133754211243</v>
      </c>
    </row>
    <row r="50" spans="1:6" x14ac:dyDescent="0.25">
      <c r="A50" t="s">
        <v>462</v>
      </c>
      <c r="B50" s="119">
        <f>SUM(B40:B49)</f>
        <v>314735.0097</v>
      </c>
      <c r="C50" s="119">
        <f>SUM(C40:C49)</f>
        <v>349056.86250778509</v>
      </c>
      <c r="D50" s="119">
        <f>SUM(D40:D49)</f>
        <v>384285.42635638325</v>
      </c>
      <c r="E50" s="119">
        <f>SUM(E40:E49)</f>
        <v>419947.11392225558</v>
      </c>
      <c r="F50" s="119">
        <f>SUM(F40:F49)</f>
        <v>455506.13579362258</v>
      </c>
    </row>
    <row r="51" spans="1:6" x14ac:dyDescent="0.25">
      <c r="A51" t="s">
        <v>463</v>
      </c>
      <c r="B51" s="134">
        <f>B50/$B$23-1</f>
        <v>0.11717500000000003</v>
      </c>
      <c r="C51" s="134">
        <f>C50/B50-1</f>
        <v>0.10905000000000031</v>
      </c>
      <c r="D51" s="134">
        <f>D50/C50-1</f>
        <v>0.10092499999999993</v>
      </c>
      <c r="E51" s="134">
        <f>E50/D50-1</f>
        <v>9.2799999999999994E-2</v>
      </c>
      <c r="F51" s="134">
        <f>F50/E50-1</f>
        <v>8.4675000000000056E-2</v>
      </c>
    </row>
    <row r="53" spans="1:6" x14ac:dyDescent="0.25">
      <c r="A53" s="9" t="s">
        <v>547</v>
      </c>
      <c r="B53" s="134">
        <f>B54+$B$4</f>
        <v>0.11717500000000002</v>
      </c>
      <c r="C53" s="134">
        <f>C54+$B$4</f>
        <v>0.10905000000000001</v>
      </c>
      <c r="D53" s="134">
        <f>D54+$B$4</f>
        <v>0.100925</v>
      </c>
      <c r="E53" s="134">
        <f>E54+$B$4</f>
        <v>9.2800000000000007E-2</v>
      </c>
      <c r="F53" s="134">
        <f>F54+$B$4</f>
        <v>8.4675E-2</v>
      </c>
    </row>
    <row r="54" spans="1:6" x14ac:dyDescent="0.25">
      <c r="A54" s="33" t="s">
        <v>548</v>
      </c>
      <c r="B54" s="134">
        <f>$B$8+($B$7-$B$8)*MIN(1/$B$10,1)</f>
        <v>9.1875000000000012E-2</v>
      </c>
      <c r="C54" s="134">
        <f>$B$8+($B$7-$B$8)*MIN(2/$B$10,1)</f>
        <v>8.3750000000000005E-2</v>
      </c>
      <c r="D54" s="134">
        <f>$B$8+($B$7-$B$8)*MIN(3/$B$10,1)</f>
        <v>7.5624999999999998E-2</v>
      </c>
      <c r="E54" s="134">
        <f>$B$8+($B$7-$B$8)*MIN(4/$B$10,1)</f>
        <v>6.7500000000000004E-2</v>
      </c>
      <c r="F54" s="134">
        <f>$B$8+($B$7-$B$8)*MIN(5/$B$10,1)</f>
        <v>5.9375000000000004E-2</v>
      </c>
    </row>
  </sheetData>
  <pageMargins left="0.7" right="0.7" top="0.75" bottom="0.75" header="0.3" footer="0.3"/>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442373-4814-4800-B6C8-1CD13285EC56}">
  <sheetPr>
    <tabColor rgb="FFD9C2E9"/>
  </sheetPr>
  <dimension ref="A1:H45"/>
  <sheetViews>
    <sheetView zoomScale="85" zoomScaleNormal="85" workbookViewId="0">
      <selection activeCell="K109" sqref="K109"/>
    </sheetView>
  </sheetViews>
  <sheetFormatPr defaultRowHeight="15" x14ac:dyDescent="0.25"/>
  <cols>
    <col min="1" max="1" width="61.140625" bestFit="1" customWidth="1"/>
    <col min="2" max="8" width="10.5703125" bestFit="1" customWidth="1"/>
  </cols>
  <sheetData>
    <row r="1" spans="1:8" ht="15.75" x14ac:dyDescent="0.25">
      <c r="A1" s="15" t="s">
        <v>482</v>
      </c>
    </row>
    <row r="3" spans="1:8" x14ac:dyDescent="0.25">
      <c r="A3" s="24" t="s">
        <v>443</v>
      </c>
      <c r="B3" s="24"/>
      <c r="C3" s="24"/>
      <c r="D3" s="24"/>
      <c r="E3" s="24"/>
      <c r="F3" s="24"/>
      <c r="G3" s="24"/>
      <c r="H3" s="24"/>
    </row>
    <row r="4" spans="1:8" x14ac:dyDescent="0.25">
      <c r="A4" t="s">
        <v>444</v>
      </c>
      <c r="B4" s="79">
        <f>WACC!B4-WACC!B14</f>
        <v>2.5300000000000003E-2</v>
      </c>
    </row>
    <row r="5" spans="1:8" x14ac:dyDescent="0.25">
      <c r="A5" t="s">
        <v>465</v>
      </c>
      <c r="B5" s="79">
        <f>('GOOGL - Income Statement FY'!B7/'GOOGL - Income Statement FY'!H7)^(1/6)-1</f>
        <v>0.16412459463471452</v>
      </c>
    </row>
    <row r="6" spans="1:8" x14ac:dyDescent="0.25">
      <c r="A6" t="s">
        <v>446</v>
      </c>
      <c r="B6" s="111">
        <f>B5-B4</f>
        <v>0.13882459463471453</v>
      </c>
    </row>
    <row r="7" spans="1:8" x14ac:dyDescent="0.25">
      <c r="A7" t="s">
        <v>447</v>
      </c>
      <c r="B7" s="25">
        <v>3.5000000000000003E-2</v>
      </c>
    </row>
    <row r="8" spans="1:8" x14ac:dyDescent="0.25">
      <c r="A8" t="s">
        <v>549</v>
      </c>
      <c r="B8" s="72">
        <f>'GOOGL DCF'!$E$6</f>
        <v>0.1</v>
      </c>
    </row>
    <row r="9" spans="1:8" x14ac:dyDescent="0.25">
      <c r="A9" s="33" t="s">
        <v>550</v>
      </c>
      <c r="B9" s="121">
        <f>B44</f>
        <v>0.11717500000000002</v>
      </c>
    </row>
    <row r="10" spans="1:8" x14ac:dyDescent="0.25">
      <c r="A10" t="s">
        <v>546</v>
      </c>
      <c r="B10" s="50">
        <v>8</v>
      </c>
    </row>
    <row r="11" spans="1:8" x14ac:dyDescent="0.25">
      <c r="A11" s="24" t="s">
        <v>448</v>
      </c>
      <c r="B11" s="24"/>
      <c r="C11" s="24"/>
      <c r="D11" s="24"/>
      <c r="E11" s="24"/>
      <c r="F11" s="24"/>
      <c r="G11" s="24"/>
      <c r="H11" s="24"/>
    </row>
    <row r="12" spans="1:8" x14ac:dyDescent="0.25">
      <c r="A12" t="s">
        <v>449</v>
      </c>
      <c r="B12" s="164">
        <f>'GOOGL - Income Statement FY'!B5</f>
        <v>46022</v>
      </c>
      <c r="C12" s="164">
        <f>'GOOGL - Income Statement FY'!C5</f>
        <v>45657</v>
      </c>
      <c r="D12" s="164">
        <f>'GOOGL - Income Statement FY'!D5</f>
        <v>45291</v>
      </c>
      <c r="E12" s="164">
        <f>'GOOGL - Income Statement FY'!E5</f>
        <v>44926</v>
      </c>
      <c r="F12" s="164">
        <f>'GOOGL - Income Statement FY'!F5</f>
        <v>44561</v>
      </c>
      <c r="G12" s="164">
        <f>'GOOGL - Income Statement FY'!G5</f>
        <v>44196</v>
      </c>
      <c r="H12" s="164">
        <f>'GOOGL - Income Statement FY'!H5</f>
        <v>43830</v>
      </c>
    </row>
    <row r="13" spans="1:8" x14ac:dyDescent="0.25">
      <c r="A13" t="s">
        <v>483</v>
      </c>
      <c r="B13" s="165">
        <v>224532</v>
      </c>
      <c r="C13" s="165">
        <v>198084</v>
      </c>
      <c r="D13" s="48"/>
      <c r="E13" s="48"/>
      <c r="F13" s="48"/>
      <c r="G13" s="48"/>
      <c r="H13" s="48"/>
    </row>
    <row r="14" spans="1:8" x14ac:dyDescent="0.25">
      <c r="A14" t="s">
        <v>484</v>
      </c>
      <c r="B14" s="165">
        <v>40367</v>
      </c>
      <c r="C14" s="165">
        <v>36147</v>
      </c>
      <c r="D14" s="48"/>
      <c r="E14" s="48"/>
      <c r="F14" s="48"/>
      <c r="G14" s="48"/>
      <c r="H14" s="48"/>
    </row>
    <row r="15" spans="1:8" x14ac:dyDescent="0.25">
      <c r="A15" t="s">
        <v>485</v>
      </c>
      <c r="B15" s="165">
        <v>29792</v>
      </c>
      <c r="C15" s="165">
        <v>30359</v>
      </c>
      <c r="D15" s="48"/>
      <c r="E15" s="48"/>
      <c r="F15" s="48"/>
      <c r="G15" s="48"/>
      <c r="H15" s="48"/>
    </row>
    <row r="16" spans="1:8" x14ac:dyDescent="0.25">
      <c r="A16" t="s">
        <v>486</v>
      </c>
      <c r="B16" s="165">
        <v>48030</v>
      </c>
      <c r="C16" s="165">
        <v>40340</v>
      </c>
      <c r="D16" s="48"/>
      <c r="E16" s="48"/>
      <c r="F16" s="48"/>
      <c r="G16" s="48"/>
      <c r="H16" s="48"/>
    </row>
    <row r="17" spans="1:8" x14ac:dyDescent="0.25">
      <c r="A17" t="s">
        <v>487</v>
      </c>
      <c r="B17" s="165">
        <v>58705</v>
      </c>
      <c r="C17" s="165">
        <v>43229</v>
      </c>
      <c r="D17" s="48"/>
      <c r="E17" s="48"/>
      <c r="F17" s="48"/>
      <c r="G17" s="48"/>
      <c r="H17" s="48"/>
    </row>
    <row r="18" spans="1:8" x14ac:dyDescent="0.25">
      <c r="A18" t="s">
        <v>488</v>
      </c>
      <c r="B18" s="165">
        <v>1537</v>
      </c>
      <c r="C18" s="165">
        <v>1648</v>
      </c>
      <c r="D18" s="48"/>
      <c r="E18" s="48"/>
      <c r="F18" s="48"/>
      <c r="G18" s="48"/>
      <c r="H18" s="48"/>
    </row>
    <row r="19" spans="1:8" x14ac:dyDescent="0.25">
      <c r="A19" t="s">
        <v>489</v>
      </c>
      <c r="B19" s="165">
        <v>-127</v>
      </c>
      <c r="C19" s="165">
        <v>211</v>
      </c>
      <c r="D19" s="48"/>
      <c r="E19" s="48"/>
      <c r="F19" s="48"/>
      <c r="G19" s="48"/>
      <c r="H19" s="48"/>
    </row>
    <row r="20" spans="1:8" x14ac:dyDescent="0.25">
      <c r="A20" t="s">
        <v>455</v>
      </c>
      <c r="B20" s="109">
        <f>'GOOGL - Income Statement FY'!B7</f>
        <v>402836</v>
      </c>
      <c r="C20" s="109">
        <f>'GOOGL - Income Statement FY'!C7</f>
        <v>350018</v>
      </c>
      <c r="D20" s="109">
        <f>'GOOGL - Income Statement FY'!D7</f>
        <v>307394</v>
      </c>
      <c r="E20" s="109">
        <f>'GOOGL - Income Statement FY'!E7</f>
        <v>282836</v>
      </c>
      <c r="F20" s="109">
        <f>'GOOGL - Income Statement FY'!F7</f>
        <v>257637</v>
      </c>
      <c r="G20" s="109">
        <f>'GOOGL - Income Statement FY'!G7</f>
        <v>182527</v>
      </c>
      <c r="H20" s="109">
        <f>'GOOGL - Income Statement FY'!H7</f>
        <v>161857</v>
      </c>
    </row>
    <row r="21" spans="1:8" x14ac:dyDescent="0.25">
      <c r="A21" t="s">
        <v>456</v>
      </c>
      <c r="B21" s="119">
        <f t="shared" ref="B21:H21" si="0">IF(COUNT(B13:B19)=0,"",SUM(B13:B19)-B20)</f>
        <v>0</v>
      </c>
      <c r="C21" s="119">
        <f t="shared" si="0"/>
        <v>0</v>
      </c>
      <c r="D21" s="119" t="str">
        <f t="shared" si="0"/>
        <v/>
      </c>
      <c r="E21" s="119" t="str">
        <f t="shared" si="0"/>
        <v/>
      </c>
      <c r="F21" s="119" t="str">
        <f t="shared" si="0"/>
        <v/>
      </c>
      <c r="G21" s="119" t="str">
        <f t="shared" si="0"/>
        <v/>
      </c>
      <c r="H21" s="119" t="str">
        <f t="shared" si="0"/>
        <v/>
      </c>
    </row>
    <row r="23" spans="1:8" x14ac:dyDescent="0.25">
      <c r="A23" s="24" t="s">
        <v>457</v>
      </c>
      <c r="B23" s="24"/>
      <c r="C23" s="24"/>
      <c r="D23" s="24"/>
      <c r="E23" s="24"/>
      <c r="F23" s="24"/>
      <c r="G23" s="24"/>
      <c r="H23" s="24"/>
    </row>
    <row r="24" spans="1:8" x14ac:dyDescent="0.25">
      <c r="A24" t="s">
        <v>483</v>
      </c>
      <c r="B24" s="134">
        <f t="shared" ref="B24:H24" si="1">IF(B13="","",B13/B20)</f>
        <v>0.55737818864252453</v>
      </c>
      <c r="C24" s="134">
        <f t="shared" si="1"/>
        <v>0.56592518099069189</v>
      </c>
      <c r="D24" s="134" t="str">
        <f t="shared" si="1"/>
        <v/>
      </c>
      <c r="E24" s="134" t="str">
        <f t="shared" si="1"/>
        <v/>
      </c>
      <c r="F24" s="134" t="str">
        <f t="shared" si="1"/>
        <v/>
      </c>
      <c r="G24" s="134" t="str">
        <f t="shared" si="1"/>
        <v/>
      </c>
      <c r="H24" s="134" t="str">
        <f t="shared" si="1"/>
        <v/>
      </c>
    </row>
    <row r="25" spans="1:8" x14ac:dyDescent="0.25">
      <c r="A25" t="s">
        <v>484</v>
      </c>
      <c r="B25" s="134">
        <f t="shared" ref="B25:H25" si="2">IF(B14="","",B14/B20)</f>
        <v>0.10020703214211242</v>
      </c>
      <c r="C25" s="134">
        <f t="shared" si="2"/>
        <v>0.10327183173436795</v>
      </c>
      <c r="D25" s="134" t="str">
        <f t="shared" si="2"/>
        <v/>
      </c>
      <c r="E25" s="134" t="str">
        <f t="shared" si="2"/>
        <v/>
      </c>
      <c r="F25" s="134" t="str">
        <f t="shared" si="2"/>
        <v/>
      </c>
      <c r="G25" s="134" t="str">
        <f t="shared" si="2"/>
        <v/>
      </c>
      <c r="H25" s="134" t="str">
        <f t="shared" si="2"/>
        <v/>
      </c>
    </row>
    <row r="26" spans="1:8" x14ac:dyDescent="0.25">
      <c r="A26" t="s">
        <v>485</v>
      </c>
      <c r="B26" s="134">
        <f t="shared" ref="B26:H26" si="3">IF(B15="","",B15/B20)</f>
        <v>7.3955654410231456E-2</v>
      </c>
      <c r="C26" s="134">
        <f t="shared" si="3"/>
        <v>8.673553931512093E-2</v>
      </c>
      <c r="D26" s="134" t="str">
        <f t="shared" si="3"/>
        <v/>
      </c>
      <c r="E26" s="134" t="str">
        <f t="shared" si="3"/>
        <v/>
      </c>
      <c r="F26" s="134" t="str">
        <f t="shared" si="3"/>
        <v/>
      </c>
      <c r="G26" s="134" t="str">
        <f t="shared" si="3"/>
        <v/>
      </c>
      <c r="H26" s="134" t="str">
        <f t="shared" si="3"/>
        <v/>
      </c>
    </row>
    <row r="27" spans="1:8" x14ac:dyDescent="0.25">
      <c r="A27" t="s">
        <v>486</v>
      </c>
      <c r="B27" s="134">
        <f t="shared" ref="B27:H27" si="4">IF(B16="","",B16/B20)</f>
        <v>0.11922966169855723</v>
      </c>
      <c r="C27" s="134">
        <f t="shared" si="4"/>
        <v>0.11525121565176648</v>
      </c>
      <c r="D27" s="134" t="str">
        <f t="shared" si="4"/>
        <v/>
      </c>
      <c r="E27" s="134" t="str">
        <f t="shared" si="4"/>
        <v/>
      </c>
      <c r="F27" s="134" t="str">
        <f t="shared" si="4"/>
        <v/>
      </c>
      <c r="G27" s="134" t="str">
        <f t="shared" si="4"/>
        <v/>
      </c>
      <c r="H27" s="134" t="str">
        <f t="shared" si="4"/>
        <v/>
      </c>
    </row>
    <row r="28" spans="1:8" x14ac:dyDescent="0.25">
      <c r="A28" t="s">
        <v>487</v>
      </c>
      <c r="B28" s="134">
        <f t="shared" ref="B28:H28" si="5">IF(B17="","",B17/B20)</f>
        <v>0.14572927940899025</v>
      </c>
      <c r="C28" s="134">
        <f t="shared" si="5"/>
        <v>0.12350507688176036</v>
      </c>
      <c r="D28" s="134" t="str">
        <f t="shared" si="5"/>
        <v/>
      </c>
      <c r="E28" s="134" t="str">
        <f t="shared" si="5"/>
        <v/>
      </c>
      <c r="F28" s="134" t="str">
        <f t="shared" si="5"/>
        <v/>
      </c>
      <c r="G28" s="134" t="str">
        <f t="shared" si="5"/>
        <v/>
      </c>
      <c r="H28" s="134" t="str">
        <f t="shared" si="5"/>
        <v/>
      </c>
    </row>
    <row r="29" spans="1:8" x14ac:dyDescent="0.25">
      <c r="A29" t="s">
        <v>488</v>
      </c>
      <c r="B29" s="134">
        <f t="shared" ref="B29:H29" si="6">IF(B18="","",B18/B20)</f>
        <v>3.8154484703452523E-3</v>
      </c>
      <c r="C29" s="134">
        <f t="shared" si="6"/>
        <v>4.7083292859224383E-3</v>
      </c>
      <c r="D29" s="134" t="str">
        <f t="shared" si="6"/>
        <v/>
      </c>
      <c r="E29" s="134" t="str">
        <f t="shared" si="6"/>
        <v/>
      </c>
      <c r="F29" s="134" t="str">
        <f t="shared" si="6"/>
        <v/>
      </c>
      <c r="G29" s="134" t="str">
        <f t="shared" si="6"/>
        <v/>
      </c>
      <c r="H29" s="134" t="str">
        <f t="shared" si="6"/>
        <v/>
      </c>
    </row>
    <row r="30" spans="1:8" x14ac:dyDescent="0.25">
      <c r="A30" t="s">
        <v>489</v>
      </c>
      <c r="B30" s="134">
        <f t="shared" ref="B30:H30" si="7">IF(B19="","",B19/B20)</f>
        <v>-3.1526477276112364E-4</v>
      </c>
      <c r="C30" s="134">
        <f t="shared" si="7"/>
        <v>6.0282614036992379E-4</v>
      </c>
      <c r="D30" s="134" t="str">
        <f t="shared" si="7"/>
        <v/>
      </c>
      <c r="E30" s="134" t="str">
        <f t="shared" si="7"/>
        <v/>
      </c>
      <c r="F30" s="134" t="str">
        <f t="shared" si="7"/>
        <v/>
      </c>
      <c r="G30" s="134" t="str">
        <f t="shared" si="7"/>
        <v/>
      </c>
      <c r="H30" s="134" t="str">
        <f t="shared" si="7"/>
        <v/>
      </c>
    </row>
    <row r="32" spans="1:8" x14ac:dyDescent="0.25">
      <c r="A32" s="24" t="s">
        <v>461</v>
      </c>
      <c r="B32" s="24"/>
      <c r="C32" s="24"/>
      <c r="D32" s="24"/>
      <c r="E32" s="24"/>
      <c r="F32" s="24"/>
      <c r="G32" s="24"/>
      <c r="H32" s="24"/>
    </row>
    <row r="33" spans="1:6" x14ac:dyDescent="0.25">
      <c r="A33" t="s">
        <v>449</v>
      </c>
      <c r="B33" s="164">
        <f>EDATE('GOOGL - Income Statement FY'!B5,12)</f>
        <v>46387</v>
      </c>
      <c r="C33" s="166">
        <f>EDATE(B33,12)</f>
        <v>46752</v>
      </c>
      <c r="D33" s="166">
        <f>EDATE(C33,12)</f>
        <v>47118</v>
      </c>
      <c r="E33" s="166">
        <f>EDATE(D33,12)</f>
        <v>47483</v>
      </c>
      <c r="F33" s="166">
        <f>EDATE(E33,12)</f>
        <v>47848</v>
      </c>
    </row>
    <row r="34" spans="1:6" x14ac:dyDescent="0.25">
      <c r="A34" t="s">
        <v>483</v>
      </c>
      <c r="B34" s="119">
        <f>$B$13*(1+B$44)</f>
        <v>250841.53710000002</v>
      </c>
      <c r="C34" s="119">
        <f t="shared" ref="C34:F40" si="8">B34*(1+C$44)</f>
        <v>278195.80672075506</v>
      </c>
      <c r="D34" s="119">
        <f t="shared" si="8"/>
        <v>306272.71851404727</v>
      </c>
      <c r="E34" s="119">
        <f t="shared" si="8"/>
        <v>334694.82679215085</v>
      </c>
      <c r="F34" s="119">
        <f t="shared" si="8"/>
        <v>363035.11125077622</v>
      </c>
    </row>
    <row r="35" spans="1:6" x14ac:dyDescent="0.25">
      <c r="A35" t="s">
        <v>484</v>
      </c>
      <c r="B35" s="119">
        <f>$B$14*(1+B$44)</f>
        <v>45097.003225</v>
      </c>
      <c r="C35" s="119">
        <f t="shared" si="8"/>
        <v>50014.831426686258</v>
      </c>
      <c r="D35" s="119">
        <f t="shared" si="8"/>
        <v>55062.578288424564</v>
      </c>
      <c r="E35" s="119">
        <f t="shared" si="8"/>
        <v>60172.385553590364</v>
      </c>
      <c r="F35" s="119">
        <f t="shared" si="8"/>
        <v>65267.482300340635</v>
      </c>
    </row>
    <row r="36" spans="1:6" x14ac:dyDescent="0.25">
      <c r="A36" t="s">
        <v>485</v>
      </c>
      <c r="B36" s="119">
        <f>$B$15*(1+B$44)</f>
        <v>33282.8776</v>
      </c>
      <c r="C36" s="119">
        <f t="shared" si="8"/>
        <v>36912.375402280006</v>
      </c>
      <c r="D36" s="119">
        <f t="shared" si="8"/>
        <v>40637.75688975511</v>
      </c>
      <c r="E36" s="119">
        <f t="shared" si="8"/>
        <v>44408.940729124384</v>
      </c>
      <c r="F36" s="119">
        <f t="shared" si="8"/>
        <v>48169.267785362994</v>
      </c>
    </row>
    <row r="37" spans="1:6" x14ac:dyDescent="0.25">
      <c r="A37" t="s">
        <v>486</v>
      </c>
      <c r="B37" s="119">
        <f>$B$16*(1+B$44)</f>
        <v>53657.915249999998</v>
      </c>
      <c r="C37" s="119">
        <f t="shared" si="8"/>
        <v>59509.3109080125</v>
      </c>
      <c r="D37" s="119">
        <f t="shared" si="8"/>
        <v>65515.288111403657</v>
      </c>
      <c r="E37" s="119">
        <f t="shared" si="8"/>
        <v>71595.106848141921</v>
      </c>
      <c r="F37" s="119">
        <f t="shared" si="8"/>
        <v>77657.422520508335</v>
      </c>
    </row>
    <row r="38" spans="1:6" x14ac:dyDescent="0.25">
      <c r="A38" t="s">
        <v>487</v>
      </c>
      <c r="B38" s="119">
        <f>$B$17*(1+B$44)</f>
        <v>65583.758375000005</v>
      </c>
      <c r="C38" s="119">
        <f t="shared" si="8"/>
        <v>72735.667225793761</v>
      </c>
      <c r="D38" s="119">
        <f t="shared" si="8"/>
        <v>80076.514440556988</v>
      </c>
      <c r="E38" s="119">
        <f t="shared" si="8"/>
        <v>87507.614980640676</v>
      </c>
      <c r="F38" s="119">
        <f t="shared" si="8"/>
        <v>94917.322279126427</v>
      </c>
    </row>
    <row r="39" spans="1:6" x14ac:dyDescent="0.25">
      <c r="A39" t="s">
        <v>488</v>
      </c>
      <c r="B39" s="119">
        <f>$B$18*(1+B$44)</f>
        <v>1717.0979750000001</v>
      </c>
      <c r="C39" s="119">
        <f t="shared" si="8"/>
        <v>1904.3475091737503</v>
      </c>
      <c r="D39" s="119">
        <f t="shared" si="8"/>
        <v>2096.543781537111</v>
      </c>
      <c r="E39" s="119">
        <f t="shared" si="8"/>
        <v>2291.1030444637549</v>
      </c>
      <c r="F39" s="119">
        <f t="shared" si="8"/>
        <v>2485.1021947537233</v>
      </c>
    </row>
    <row r="40" spans="1:6" x14ac:dyDescent="0.25">
      <c r="A40" t="s">
        <v>489</v>
      </c>
      <c r="B40" s="119">
        <f>$B$19*(1+B$44)</f>
        <v>-141.881225</v>
      </c>
      <c r="C40" s="119">
        <f t="shared" si="8"/>
        <v>-157.35337258625</v>
      </c>
      <c r="D40" s="119">
        <f t="shared" si="8"/>
        <v>-173.23426171451729</v>
      </c>
      <c r="E40" s="119">
        <f t="shared" si="8"/>
        <v>-189.3104012016245</v>
      </c>
      <c r="F40" s="119">
        <f t="shared" si="8"/>
        <v>-205.34025942337206</v>
      </c>
    </row>
    <row r="41" spans="1:6" x14ac:dyDescent="0.25">
      <c r="A41" t="s">
        <v>462</v>
      </c>
      <c r="B41" s="119">
        <f>SUM(B34:B40)</f>
        <v>450038.30829999998</v>
      </c>
      <c r="C41" s="119">
        <f>SUM(C34:C40)</f>
        <v>499114.98582011508</v>
      </c>
      <c r="D41" s="119">
        <f>SUM(D34:D40)</f>
        <v>549488.16576401016</v>
      </c>
      <c r="E41" s="119">
        <f>SUM(E34:E40)</f>
        <v>600480.66754691035</v>
      </c>
      <c r="F41" s="119">
        <f>SUM(F34:F40)</f>
        <v>651326.36807144491</v>
      </c>
    </row>
    <row r="42" spans="1:6" x14ac:dyDescent="0.25">
      <c r="A42" t="s">
        <v>463</v>
      </c>
      <c r="B42" s="134">
        <f>B41/$B$20-1</f>
        <v>0.11717500000000003</v>
      </c>
      <c r="C42" s="134">
        <f>C41/B41-1</f>
        <v>0.10905000000000031</v>
      </c>
      <c r="D42" s="134">
        <f>D41/C41-1</f>
        <v>0.10092499999999993</v>
      </c>
      <c r="E42" s="134">
        <f>E41/D41-1</f>
        <v>9.2799999999999994E-2</v>
      </c>
      <c r="F42" s="134">
        <f>F41/E41-1</f>
        <v>8.4674999999999834E-2</v>
      </c>
    </row>
    <row r="44" spans="1:6" x14ac:dyDescent="0.25">
      <c r="A44" s="9" t="s">
        <v>547</v>
      </c>
      <c r="B44" s="134">
        <f>B45+$B$4</f>
        <v>0.11717500000000002</v>
      </c>
      <c r="C44" s="134">
        <f>C45+$B$4</f>
        <v>0.10905000000000001</v>
      </c>
      <c r="D44" s="134">
        <f>D45+$B$4</f>
        <v>0.100925</v>
      </c>
      <c r="E44" s="134">
        <f>E45+$B$4</f>
        <v>9.2800000000000007E-2</v>
      </c>
      <c r="F44" s="134">
        <f>F45+$B$4</f>
        <v>8.4675E-2</v>
      </c>
    </row>
    <row r="45" spans="1:6" x14ac:dyDescent="0.25">
      <c r="A45" s="33" t="s">
        <v>548</v>
      </c>
      <c r="B45" s="134">
        <f>$B$8+($B$7-$B$8)*MIN(1/$B$10,1)</f>
        <v>9.1875000000000012E-2</v>
      </c>
      <c r="C45" s="134">
        <f>$B$8+($B$7-$B$8)*MIN(2/$B$10,1)</f>
        <v>8.3750000000000005E-2</v>
      </c>
      <c r="D45" s="134">
        <f>$B$8+($B$7-$B$8)*MIN(3/$B$10,1)</f>
        <v>7.5624999999999998E-2</v>
      </c>
      <c r="E45" s="134">
        <f>$B$8+($B$7-$B$8)*MIN(4/$B$10,1)</f>
        <v>6.7500000000000004E-2</v>
      </c>
      <c r="F45" s="134">
        <f>$B$8+($B$7-$B$8)*MIN(5/$B$10,1)</f>
        <v>5.9375000000000004E-2</v>
      </c>
    </row>
  </sheetData>
  <pageMargins left="0.7" right="0.7" top="0.75" bottom="0.75" header="0.3" footer="0.3"/>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137CE8-CD30-4FDF-BFE4-CDC61D73EAA0}">
  <sheetPr>
    <tabColor rgb="FFD9C2E9"/>
  </sheetPr>
  <dimension ref="A1:H45"/>
  <sheetViews>
    <sheetView workbookViewId="0">
      <selection activeCell="C11" sqref="A1:XFD1048576"/>
    </sheetView>
  </sheetViews>
  <sheetFormatPr defaultRowHeight="15" x14ac:dyDescent="0.25"/>
  <cols>
    <col min="1" max="1" width="61.140625" bestFit="1" customWidth="1"/>
    <col min="2" max="8" width="10.42578125" bestFit="1" customWidth="1"/>
  </cols>
  <sheetData>
    <row r="1" spans="1:8" ht="15.75" x14ac:dyDescent="0.25">
      <c r="A1" s="15" t="s">
        <v>490</v>
      </c>
    </row>
    <row r="3" spans="1:8" x14ac:dyDescent="0.25">
      <c r="A3" s="24" t="s">
        <v>443</v>
      </c>
      <c r="B3" s="24"/>
      <c r="C3" s="24"/>
      <c r="D3" s="24"/>
      <c r="E3" s="24"/>
      <c r="F3" s="24"/>
      <c r="G3" s="24"/>
      <c r="H3" s="24"/>
    </row>
    <row r="4" spans="1:8" x14ac:dyDescent="0.25">
      <c r="A4" t="s">
        <v>444</v>
      </c>
      <c r="B4" s="79">
        <f>WACC!B4-WACC!B14</f>
        <v>2.5300000000000003E-2</v>
      </c>
    </row>
    <row r="5" spans="1:8" x14ac:dyDescent="0.25">
      <c r="A5" t="s">
        <v>465</v>
      </c>
      <c r="B5" s="79">
        <f>('AMZN - Income Statement FY'!B7/'AMZN - Income Statement FY'!H7)^(1/6)-1</f>
        <v>0.16927778536755556</v>
      </c>
    </row>
    <row r="6" spans="1:8" x14ac:dyDescent="0.25">
      <c r="A6" t="s">
        <v>446</v>
      </c>
      <c r="B6" s="111">
        <f>B5-B4</f>
        <v>0.14397778536755557</v>
      </c>
    </row>
    <row r="7" spans="1:8" x14ac:dyDescent="0.25">
      <c r="A7" t="s">
        <v>447</v>
      </c>
      <c r="B7" s="25">
        <v>3.5000000000000003E-2</v>
      </c>
    </row>
    <row r="8" spans="1:8" x14ac:dyDescent="0.25">
      <c r="A8" t="s">
        <v>549</v>
      </c>
      <c r="B8" s="72">
        <f>'AMZN DCF'!$E$6</f>
        <v>0.1</v>
      </c>
    </row>
    <row r="9" spans="1:8" x14ac:dyDescent="0.25">
      <c r="A9" s="33" t="s">
        <v>550</v>
      </c>
      <c r="B9" s="121">
        <f>B44</f>
        <v>0.11717500000000002</v>
      </c>
    </row>
    <row r="10" spans="1:8" x14ac:dyDescent="0.25">
      <c r="A10" t="s">
        <v>546</v>
      </c>
      <c r="B10" s="50">
        <v>8</v>
      </c>
    </row>
    <row r="11" spans="1:8" x14ac:dyDescent="0.25">
      <c r="A11" s="24" t="s">
        <v>448</v>
      </c>
      <c r="B11" s="24"/>
      <c r="C11" s="24"/>
      <c r="D11" s="24"/>
      <c r="E11" s="24"/>
      <c r="F11" s="24"/>
      <c r="G11" s="24"/>
      <c r="H11" s="24"/>
    </row>
    <row r="12" spans="1:8" x14ac:dyDescent="0.25">
      <c r="A12" t="s">
        <v>449</v>
      </c>
      <c r="B12" s="164">
        <f>'AMZN - Income Statement FY'!B5</f>
        <v>46022</v>
      </c>
      <c r="C12" s="164">
        <f>'AMZN - Income Statement FY'!C5</f>
        <v>45657</v>
      </c>
      <c r="D12" s="164">
        <f>'AMZN - Income Statement FY'!D5</f>
        <v>45291</v>
      </c>
      <c r="E12" s="164">
        <f>'AMZN - Income Statement FY'!E5</f>
        <v>44926</v>
      </c>
      <c r="F12" s="164">
        <f>'AMZN - Income Statement FY'!F5</f>
        <v>44561</v>
      </c>
      <c r="G12" s="164">
        <f>'AMZN - Income Statement FY'!G5</f>
        <v>44196</v>
      </c>
      <c r="H12" s="164">
        <f>'AMZN - Income Statement FY'!H5</f>
        <v>43830</v>
      </c>
    </row>
    <row r="13" spans="1:8" x14ac:dyDescent="0.25">
      <c r="A13" t="s">
        <v>491</v>
      </c>
      <c r="B13" s="165">
        <v>269287</v>
      </c>
      <c r="C13" s="165">
        <v>247029</v>
      </c>
      <c r="D13" s="165">
        <v>231872</v>
      </c>
      <c r="E13" s="48"/>
      <c r="F13" s="48"/>
      <c r="G13" s="48"/>
      <c r="H13" s="48"/>
    </row>
    <row r="14" spans="1:8" x14ac:dyDescent="0.25">
      <c r="A14" t="s">
        <v>492</v>
      </c>
      <c r="B14" s="165">
        <v>22561</v>
      </c>
      <c r="C14" s="165">
        <v>21215</v>
      </c>
      <c r="D14" s="165">
        <v>20030</v>
      </c>
      <c r="E14" s="48"/>
      <c r="F14" s="48"/>
      <c r="G14" s="48"/>
      <c r="H14" s="48"/>
    </row>
    <row r="15" spans="1:8" x14ac:dyDescent="0.25">
      <c r="A15" t="s">
        <v>493</v>
      </c>
      <c r="B15" s="165">
        <v>172162</v>
      </c>
      <c r="C15" s="165">
        <v>156146</v>
      </c>
      <c r="D15" s="165">
        <v>140053</v>
      </c>
      <c r="E15" s="48"/>
      <c r="F15" s="48"/>
      <c r="G15" s="48"/>
      <c r="H15" s="48"/>
    </row>
    <row r="16" spans="1:8" x14ac:dyDescent="0.25">
      <c r="A16" t="s">
        <v>494</v>
      </c>
      <c r="B16" s="165">
        <v>68635</v>
      </c>
      <c r="C16" s="165">
        <v>56214</v>
      </c>
      <c r="D16" s="165">
        <v>46906</v>
      </c>
      <c r="E16" s="48"/>
      <c r="F16" s="48"/>
      <c r="G16" s="48"/>
      <c r="H16" s="48"/>
    </row>
    <row r="17" spans="1:8" x14ac:dyDescent="0.25">
      <c r="A17" t="s">
        <v>495</v>
      </c>
      <c r="B17" s="165">
        <v>49619</v>
      </c>
      <c r="C17" s="165">
        <v>44374</v>
      </c>
      <c r="D17" s="165">
        <v>40209</v>
      </c>
      <c r="E17" s="48"/>
      <c r="F17" s="48"/>
      <c r="G17" s="48"/>
      <c r="H17" s="48"/>
    </row>
    <row r="18" spans="1:8" x14ac:dyDescent="0.25">
      <c r="A18" t="s">
        <v>496</v>
      </c>
      <c r="B18" s="165">
        <v>128725</v>
      </c>
      <c r="C18" s="165">
        <v>107556</v>
      </c>
      <c r="D18" s="165">
        <v>90757</v>
      </c>
      <c r="E18" s="48"/>
      <c r="F18" s="48"/>
      <c r="G18" s="48"/>
      <c r="H18" s="48"/>
    </row>
    <row r="19" spans="1:8" x14ac:dyDescent="0.25">
      <c r="A19" t="s">
        <v>481</v>
      </c>
      <c r="B19" s="165">
        <v>5935</v>
      </c>
      <c r="C19" s="165">
        <v>5425</v>
      </c>
      <c r="D19" s="165">
        <v>4958</v>
      </c>
      <c r="E19" s="48"/>
      <c r="F19" s="48"/>
      <c r="G19" s="48"/>
      <c r="H19" s="48"/>
    </row>
    <row r="20" spans="1:8" x14ac:dyDescent="0.25">
      <c r="A20" t="s">
        <v>455</v>
      </c>
      <c r="B20" s="109">
        <f>'AMZN - Income Statement FY'!B7</f>
        <v>716924</v>
      </c>
      <c r="C20" s="109">
        <f>'AMZN - Income Statement FY'!C7</f>
        <v>637959</v>
      </c>
      <c r="D20" s="109">
        <f>'AMZN - Income Statement FY'!D7</f>
        <v>574785</v>
      </c>
      <c r="E20" s="109">
        <f>'AMZN - Income Statement FY'!E7</f>
        <v>513983</v>
      </c>
      <c r="F20" s="109">
        <f>'AMZN - Income Statement FY'!F7</f>
        <v>469822</v>
      </c>
      <c r="G20" s="109">
        <f>'AMZN - Income Statement FY'!G7</f>
        <v>386064</v>
      </c>
      <c r="H20" s="109">
        <f>'AMZN - Income Statement FY'!H7</f>
        <v>280522</v>
      </c>
    </row>
    <row r="21" spans="1:8" x14ac:dyDescent="0.25">
      <c r="A21" t="s">
        <v>456</v>
      </c>
      <c r="B21" s="119">
        <f t="shared" ref="B21:H21" si="0">IF(COUNT(B13:B19)=0,"",SUM(B13:B19)-B20)</f>
        <v>0</v>
      </c>
      <c r="C21" s="119">
        <f t="shared" si="0"/>
        <v>0</v>
      </c>
      <c r="D21" s="119">
        <f t="shared" si="0"/>
        <v>0</v>
      </c>
      <c r="E21" s="119" t="str">
        <f t="shared" si="0"/>
        <v/>
      </c>
      <c r="F21" s="119" t="str">
        <f t="shared" si="0"/>
        <v/>
      </c>
      <c r="G21" s="119" t="str">
        <f t="shared" si="0"/>
        <v/>
      </c>
      <c r="H21" s="119" t="str">
        <f t="shared" si="0"/>
        <v/>
      </c>
    </row>
    <row r="23" spans="1:8" x14ac:dyDescent="0.25">
      <c r="A23" s="24" t="s">
        <v>457</v>
      </c>
      <c r="B23" s="24"/>
      <c r="C23" s="24"/>
      <c r="D23" s="24"/>
      <c r="E23" s="24"/>
      <c r="F23" s="24"/>
      <c r="G23" s="24"/>
      <c r="H23" s="24"/>
    </row>
    <row r="24" spans="1:8" x14ac:dyDescent="0.25">
      <c r="A24" t="s">
        <v>491</v>
      </c>
      <c r="B24" s="134">
        <f t="shared" ref="B24:H24" si="1">IF(B13="","",B13/B20)</f>
        <v>0.37561443053935983</v>
      </c>
      <c r="C24" s="134">
        <f t="shared" si="1"/>
        <v>0.38721767386305389</v>
      </c>
      <c r="D24" s="134">
        <f t="shared" si="1"/>
        <v>0.40340649112276766</v>
      </c>
      <c r="E24" s="134" t="str">
        <f t="shared" si="1"/>
        <v/>
      </c>
      <c r="F24" s="134" t="str">
        <f t="shared" si="1"/>
        <v/>
      </c>
      <c r="G24" s="134" t="str">
        <f t="shared" si="1"/>
        <v/>
      </c>
      <c r="H24" s="134" t="str">
        <f t="shared" si="1"/>
        <v/>
      </c>
    </row>
    <row r="25" spans="1:8" x14ac:dyDescent="0.25">
      <c r="A25" t="s">
        <v>492</v>
      </c>
      <c r="B25" s="134">
        <f t="shared" ref="B25:H25" si="2">IF(B14="","",B14/B20)</f>
        <v>3.1469165490344862E-2</v>
      </c>
      <c r="C25" s="134">
        <f t="shared" si="2"/>
        <v>3.3254488141087439E-2</v>
      </c>
      <c r="D25" s="134">
        <f t="shared" si="2"/>
        <v>3.4847812660386057E-2</v>
      </c>
      <c r="E25" s="134" t="str">
        <f t="shared" si="2"/>
        <v/>
      </c>
      <c r="F25" s="134" t="str">
        <f t="shared" si="2"/>
        <v/>
      </c>
      <c r="G25" s="134" t="str">
        <f t="shared" si="2"/>
        <v/>
      </c>
      <c r="H25" s="134" t="str">
        <f t="shared" si="2"/>
        <v/>
      </c>
    </row>
    <row r="26" spans="1:8" x14ac:dyDescent="0.25">
      <c r="A26" t="s">
        <v>493</v>
      </c>
      <c r="B26" s="134">
        <f t="shared" ref="B26:H26" si="3">IF(B15="","",B15/B20)</f>
        <v>0.24013981956246408</v>
      </c>
      <c r="C26" s="134">
        <f t="shared" si="3"/>
        <v>0.24475867571427004</v>
      </c>
      <c r="D26" s="134">
        <f t="shared" si="3"/>
        <v>0.24366154301173482</v>
      </c>
      <c r="E26" s="134" t="str">
        <f t="shared" si="3"/>
        <v/>
      </c>
      <c r="F26" s="134" t="str">
        <f t="shared" si="3"/>
        <v/>
      </c>
      <c r="G26" s="134" t="str">
        <f t="shared" si="3"/>
        <v/>
      </c>
      <c r="H26" s="134" t="str">
        <f t="shared" si="3"/>
        <v/>
      </c>
    </row>
    <row r="27" spans="1:8" x14ac:dyDescent="0.25">
      <c r="A27" t="s">
        <v>494</v>
      </c>
      <c r="B27" s="134">
        <f t="shared" ref="B27:H27" si="4">IF(B16="","",B16/B20)</f>
        <v>9.5735391757006322E-2</v>
      </c>
      <c r="C27" s="134">
        <f t="shared" si="4"/>
        <v>8.811538045548381E-2</v>
      </c>
      <c r="D27" s="134">
        <f t="shared" si="4"/>
        <v>8.1606165783727827E-2</v>
      </c>
      <c r="E27" s="134" t="str">
        <f t="shared" si="4"/>
        <v/>
      </c>
      <c r="F27" s="134" t="str">
        <f t="shared" si="4"/>
        <v/>
      </c>
      <c r="G27" s="134" t="str">
        <f t="shared" si="4"/>
        <v/>
      </c>
      <c r="H27" s="134" t="str">
        <f t="shared" si="4"/>
        <v/>
      </c>
    </row>
    <row r="28" spans="1:8" x14ac:dyDescent="0.25">
      <c r="A28" t="s">
        <v>495</v>
      </c>
      <c r="B28" s="134">
        <f t="shared" ref="B28:H28" si="5">IF(B17="","",B17/B20)</f>
        <v>6.9210962389318814E-2</v>
      </c>
      <c r="C28" s="134">
        <f t="shared" si="5"/>
        <v>6.9556194050087852E-2</v>
      </c>
      <c r="D28" s="134">
        <f t="shared" si="5"/>
        <v>6.9954852684047081E-2</v>
      </c>
      <c r="E28" s="134" t="str">
        <f t="shared" si="5"/>
        <v/>
      </c>
      <c r="F28" s="134" t="str">
        <f t="shared" si="5"/>
        <v/>
      </c>
      <c r="G28" s="134" t="str">
        <f t="shared" si="5"/>
        <v/>
      </c>
      <c r="H28" s="134" t="str">
        <f t="shared" si="5"/>
        <v/>
      </c>
    </row>
    <row r="29" spans="1:8" x14ac:dyDescent="0.25">
      <c r="A29" t="s">
        <v>496</v>
      </c>
      <c r="B29" s="134">
        <f t="shared" ref="B29:H29" si="6">IF(B18="","",B18/B20)</f>
        <v>0.17955180744402474</v>
      </c>
      <c r="C29" s="134">
        <f t="shared" si="6"/>
        <v>0.16859390650496348</v>
      </c>
      <c r="D29" s="134">
        <f t="shared" si="6"/>
        <v>0.15789730072983812</v>
      </c>
      <c r="E29" s="134" t="str">
        <f t="shared" si="6"/>
        <v/>
      </c>
      <c r="F29" s="134" t="str">
        <f t="shared" si="6"/>
        <v/>
      </c>
      <c r="G29" s="134" t="str">
        <f t="shared" si="6"/>
        <v/>
      </c>
      <c r="H29" s="134" t="str">
        <f t="shared" si="6"/>
        <v/>
      </c>
    </row>
    <row r="30" spans="1:8" x14ac:dyDescent="0.25">
      <c r="A30" t="s">
        <v>481</v>
      </c>
      <c r="B30" s="134">
        <f t="shared" ref="B30:H30" si="7">IF(B19="","",B19/B20)</f>
        <v>8.2784228174813505E-3</v>
      </c>
      <c r="C30" s="134">
        <f t="shared" si="7"/>
        <v>8.5036812710534686E-3</v>
      </c>
      <c r="D30" s="134">
        <f t="shared" si="7"/>
        <v>8.6258340074984556E-3</v>
      </c>
      <c r="E30" s="134" t="str">
        <f t="shared" si="7"/>
        <v/>
      </c>
      <c r="F30" s="134" t="str">
        <f t="shared" si="7"/>
        <v/>
      </c>
      <c r="G30" s="134" t="str">
        <f t="shared" si="7"/>
        <v/>
      </c>
      <c r="H30" s="134" t="str">
        <f t="shared" si="7"/>
        <v/>
      </c>
    </row>
    <row r="32" spans="1:8" x14ac:dyDescent="0.25">
      <c r="A32" s="24" t="s">
        <v>461</v>
      </c>
      <c r="B32" s="24"/>
      <c r="C32" s="24"/>
      <c r="D32" s="24"/>
      <c r="E32" s="24"/>
      <c r="F32" s="24"/>
      <c r="G32" s="24"/>
      <c r="H32" s="24"/>
    </row>
    <row r="33" spans="1:6" x14ac:dyDescent="0.25">
      <c r="A33" t="s">
        <v>449</v>
      </c>
      <c r="B33" s="164">
        <f>EDATE('AMZN - Income Statement FY'!B5,12)</f>
        <v>46387</v>
      </c>
      <c r="C33" s="166">
        <f>EDATE(B33,12)</f>
        <v>46752</v>
      </c>
      <c r="D33" s="166">
        <f>EDATE(C33,12)</f>
        <v>47118</v>
      </c>
      <c r="E33" s="166">
        <f>EDATE(D33,12)</f>
        <v>47483</v>
      </c>
      <c r="F33" s="166">
        <f>EDATE(E33,12)</f>
        <v>47848</v>
      </c>
    </row>
    <row r="34" spans="1:6" x14ac:dyDescent="0.25">
      <c r="A34" t="s">
        <v>491</v>
      </c>
      <c r="B34" s="119">
        <f>$B$13*(1+B$44)</f>
        <v>300840.70422499999</v>
      </c>
      <c r="C34" s="119">
        <f t="shared" ref="C34:F40" si="8">B34*(1+C$44)</f>
        <v>333647.38302073628</v>
      </c>
      <c r="D34" s="119">
        <f t="shared" si="8"/>
        <v>367320.74515210406</v>
      </c>
      <c r="E34" s="119">
        <f t="shared" si="8"/>
        <v>401408.11030221934</v>
      </c>
      <c r="F34" s="119">
        <f t="shared" si="8"/>
        <v>435397.34204205981</v>
      </c>
    </row>
    <row r="35" spans="1:6" x14ac:dyDescent="0.25">
      <c r="A35" t="s">
        <v>492</v>
      </c>
      <c r="B35" s="119">
        <f>$B$14*(1+B$44)</f>
        <v>25204.585175</v>
      </c>
      <c r="C35" s="119">
        <f t="shared" si="8"/>
        <v>27953.145188333754</v>
      </c>
      <c r="D35" s="119">
        <f t="shared" si="8"/>
        <v>30774.316366466337</v>
      </c>
      <c r="E35" s="119">
        <f t="shared" si="8"/>
        <v>33630.172925274412</v>
      </c>
      <c r="F35" s="119">
        <f t="shared" si="8"/>
        <v>36477.807817722023</v>
      </c>
    </row>
    <row r="36" spans="1:6" x14ac:dyDescent="0.25">
      <c r="A36" t="s">
        <v>493</v>
      </c>
      <c r="B36" s="119">
        <f>$B$15*(1+B$44)</f>
        <v>192335.08235000001</v>
      </c>
      <c r="C36" s="119">
        <f t="shared" si="8"/>
        <v>213309.22308026752</v>
      </c>
      <c r="D36" s="119">
        <f t="shared" si="8"/>
        <v>234837.45641964351</v>
      </c>
      <c r="E36" s="119">
        <f t="shared" si="8"/>
        <v>256630.37237538642</v>
      </c>
      <c r="F36" s="119">
        <f t="shared" si="8"/>
        <v>278360.54915627226</v>
      </c>
    </row>
    <row r="37" spans="1:6" x14ac:dyDescent="0.25">
      <c r="A37" t="s">
        <v>494</v>
      </c>
      <c r="B37" s="119">
        <f>$B$16*(1+B$44)</f>
        <v>76677.306125000003</v>
      </c>
      <c r="C37" s="119">
        <f t="shared" si="8"/>
        <v>85038.966357931262</v>
      </c>
      <c r="D37" s="119">
        <f t="shared" si="8"/>
        <v>93621.524037605472</v>
      </c>
      <c r="E37" s="119">
        <f t="shared" si="8"/>
        <v>102309.60146829525</v>
      </c>
      <c r="F37" s="119">
        <f t="shared" si="8"/>
        <v>110972.66697262316</v>
      </c>
    </row>
    <row r="38" spans="1:6" x14ac:dyDescent="0.25">
      <c r="A38" t="s">
        <v>495</v>
      </c>
      <c r="B38" s="119">
        <f>$B$17*(1+B$44)</f>
        <v>55433.106325000001</v>
      </c>
      <c r="C38" s="119">
        <f t="shared" si="8"/>
        <v>61478.086569741259</v>
      </c>
      <c r="D38" s="119">
        <f t="shared" si="8"/>
        <v>67682.762456792392</v>
      </c>
      <c r="E38" s="119">
        <f t="shared" si="8"/>
        <v>73963.722812782726</v>
      </c>
      <c r="F38" s="119">
        <f t="shared" si="8"/>
        <v>80226.601041955102</v>
      </c>
    </row>
    <row r="39" spans="1:6" x14ac:dyDescent="0.25">
      <c r="A39" t="s">
        <v>496</v>
      </c>
      <c r="B39" s="119">
        <f>$B$18*(1+B$44)</f>
        <v>143808.35187499999</v>
      </c>
      <c r="C39" s="119">
        <f t="shared" si="8"/>
        <v>159490.65264696875</v>
      </c>
      <c r="D39" s="119">
        <f t="shared" si="8"/>
        <v>175587.24676536405</v>
      </c>
      <c r="E39" s="119">
        <f t="shared" si="8"/>
        <v>191881.74326518984</v>
      </c>
      <c r="F39" s="119">
        <f t="shared" si="8"/>
        <v>208129.3298761698</v>
      </c>
    </row>
    <row r="40" spans="1:6" x14ac:dyDescent="0.25">
      <c r="A40" t="s">
        <v>481</v>
      </c>
      <c r="B40" s="119">
        <f>$B$19*(1+B$44)</f>
        <v>6630.4336250000006</v>
      </c>
      <c r="C40" s="119">
        <f t="shared" si="8"/>
        <v>7353.4824118062515</v>
      </c>
      <c r="D40" s="119">
        <f t="shared" si="8"/>
        <v>8095.6326242177965</v>
      </c>
      <c r="E40" s="119">
        <f t="shared" si="8"/>
        <v>8846.9073317452076</v>
      </c>
      <c r="F40" s="119">
        <f t="shared" si="8"/>
        <v>9596.0192100607328</v>
      </c>
    </row>
    <row r="41" spans="1:6" x14ac:dyDescent="0.25">
      <c r="A41" t="s">
        <v>462</v>
      </c>
      <c r="B41" s="119">
        <f>SUM(B34:B40)</f>
        <v>800929.56969999999</v>
      </c>
      <c r="C41" s="119">
        <f>SUM(C34:C40)</f>
        <v>888270.939275785</v>
      </c>
      <c r="D41" s="119">
        <f>SUM(D34:D40)</f>
        <v>977919.68382219365</v>
      </c>
      <c r="E41" s="119">
        <f>SUM(E34:E40)</f>
        <v>1068670.6304808932</v>
      </c>
      <c r="F41" s="119">
        <f>SUM(F34:F40)</f>
        <v>1159160.3161168632</v>
      </c>
    </row>
    <row r="42" spans="1:6" x14ac:dyDescent="0.25">
      <c r="A42" t="s">
        <v>463</v>
      </c>
      <c r="B42" s="134">
        <f>B41/$B$20-1</f>
        <v>0.11717500000000003</v>
      </c>
      <c r="C42" s="134">
        <f>C41/B41-1</f>
        <v>0.10905000000000009</v>
      </c>
      <c r="D42" s="134">
        <f>D41/C41-1</f>
        <v>0.10092500000000015</v>
      </c>
      <c r="E42" s="134">
        <f>E41/D41-1</f>
        <v>9.2799999999999994E-2</v>
      </c>
      <c r="F42" s="134">
        <f>F41/E41-1</f>
        <v>8.4675000000000278E-2</v>
      </c>
    </row>
    <row r="44" spans="1:6" x14ac:dyDescent="0.25">
      <c r="A44" s="9" t="s">
        <v>547</v>
      </c>
      <c r="B44" s="134">
        <f>B45+$B$4</f>
        <v>0.11717500000000002</v>
      </c>
      <c r="C44" s="134">
        <f>C45+$B$4</f>
        <v>0.10905000000000001</v>
      </c>
      <c r="D44" s="134">
        <f>D45+$B$4</f>
        <v>0.100925</v>
      </c>
      <c r="E44" s="134">
        <f>E45+$B$4</f>
        <v>9.2800000000000007E-2</v>
      </c>
      <c r="F44" s="134">
        <f>F45+$B$4</f>
        <v>8.4675E-2</v>
      </c>
    </row>
    <row r="45" spans="1:6" x14ac:dyDescent="0.25">
      <c r="A45" s="33" t="s">
        <v>548</v>
      </c>
      <c r="B45" s="134">
        <f>$B$8+($B$7-$B$8)*MIN(1/$B$10,1)</f>
        <v>9.1875000000000012E-2</v>
      </c>
      <c r="C45" s="134">
        <f>$B$8+($B$7-$B$8)*MIN(2/$B$10,1)</f>
        <v>8.3750000000000005E-2</v>
      </c>
      <c r="D45" s="134">
        <f>$B$8+($B$7-$B$8)*MIN(3/$B$10,1)</f>
        <v>7.5624999999999998E-2</v>
      </c>
      <c r="E45" s="134">
        <f>$B$8+($B$7-$B$8)*MIN(4/$B$10,1)</f>
        <v>6.7500000000000004E-2</v>
      </c>
      <c r="F45" s="134">
        <f>$B$8+($B$7-$B$8)*MIN(5/$B$10,1)</f>
        <v>5.9375000000000004E-2</v>
      </c>
    </row>
  </sheetData>
  <pageMargins left="0.7" right="0.7" top="0.75" bottom="0.75" header="0.3" footer="0.3"/>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F45CAB-0E07-4F93-9962-79C14940469D}">
  <sheetPr>
    <tabColor rgb="FFD9C2E9"/>
  </sheetPr>
  <dimension ref="A1:H30"/>
  <sheetViews>
    <sheetView workbookViewId="0">
      <selection sqref="A1:XFD1048576"/>
    </sheetView>
  </sheetViews>
  <sheetFormatPr defaultRowHeight="15" x14ac:dyDescent="0.25"/>
  <cols>
    <col min="1" max="1" width="61.140625" bestFit="1" customWidth="1"/>
    <col min="2" max="6" width="10.140625" bestFit="1" customWidth="1"/>
    <col min="7" max="8" width="9.42578125" bestFit="1" customWidth="1"/>
  </cols>
  <sheetData>
    <row r="1" spans="1:8" ht="15.75" x14ac:dyDescent="0.25">
      <c r="A1" s="15" t="s">
        <v>497</v>
      </c>
    </row>
    <row r="3" spans="1:8" x14ac:dyDescent="0.25">
      <c r="A3" s="24" t="s">
        <v>443</v>
      </c>
      <c r="B3" s="24"/>
      <c r="C3" s="24"/>
      <c r="D3" s="24"/>
      <c r="E3" s="24"/>
      <c r="F3" s="24"/>
      <c r="G3" s="24"/>
      <c r="H3" s="24"/>
    </row>
    <row r="4" spans="1:8" x14ac:dyDescent="0.25">
      <c r="A4" t="s">
        <v>444</v>
      </c>
      <c r="B4" s="79">
        <f>WACC!B4-WACC!B14</f>
        <v>2.5300000000000003E-2</v>
      </c>
    </row>
    <row r="5" spans="1:8" x14ac:dyDescent="0.25">
      <c r="A5" t="s">
        <v>465</v>
      </c>
      <c r="B5" s="79">
        <f>('NVDA - Income Statement FY'!B7/'NVDA - Income Statement FY'!H7)^(1/6)-1</f>
        <v>0.64448909321955838</v>
      </c>
    </row>
    <row r="6" spans="1:8" x14ac:dyDescent="0.25">
      <c r="A6" t="s">
        <v>446</v>
      </c>
      <c r="B6" s="111">
        <f>B5-B4</f>
        <v>0.6191890932195584</v>
      </c>
    </row>
    <row r="7" spans="1:8" x14ac:dyDescent="0.25">
      <c r="A7" t="s">
        <v>447</v>
      </c>
      <c r="B7" s="25">
        <v>3.5000000000000003E-2</v>
      </c>
    </row>
    <row r="8" spans="1:8" x14ac:dyDescent="0.25">
      <c r="A8" t="s">
        <v>549</v>
      </c>
      <c r="B8" s="72">
        <f>'NVDA DCF'!$E$6</f>
        <v>0.25</v>
      </c>
    </row>
    <row r="9" spans="1:8" x14ac:dyDescent="0.25">
      <c r="A9" s="33" t="s">
        <v>550</v>
      </c>
      <c r="B9" s="121">
        <f>B29</f>
        <v>0.24842500000000001</v>
      </c>
    </row>
    <row r="10" spans="1:8" x14ac:dyDescent="0.25">
      <c r="A10" t="s">
        <v>546</v>
      </c>
      <c r="B10" s="50">
        <v>8</v>
      </c>
    </row>
    <row r="11" spans="1:8" x14ac:dyDescent="0.25">
      <c r="A11" s="24" t="s">
        <v>448</v>
      </c>
      <c r="B11" s="24"/>
      <c r="C11" s="24"/>
      <c r="D11" s="24"/>
      <c r="E11" s="24"/>
      <c r="F11" s="24"/>
      <c r="G11" s="24"/>
      <c r="H11" s="24"/>
    </row>
    <row r="12" spans="1:8" x14ac:dyDescent="0.25">
      <c r="A12" t="s">
        <v>449</v>
      </c>
      <c r="B12" s="164">
        <f>'NVDA - Income Statement FY'!B5</f>
        <v>46047</v>
      </c>
      <c r="C12" s="164">
        <f>'NVDA - Income Statement FY'!C5</f>
        <v>45683</v>
      </c>
      <c r="D12" s="164">
        <f>'NVDA - Income Statement FY'!D5</f>
        <v>45319</v>
      </c>
      <c r="E12" s="164">
        <f>'NVDA - Income Statement FY'!E5</f>
        <v>44955</v>
      </c>
      <c r="F12" s="164">
        <f>'NVDA - Income Statement FY'!F5</f>
        <v>44591</v>
      </c>
      <c r="G12" s="164">
        <f>'NVDA - Income Statement FY'!G5</f>
        <v>44227</v>
      </c>
      <c r="H12" s="164">
        <f>'NVDA - Income Statement FY'!H5</f>
        <v>43856</v>
      </c>
    </row>
    <row r="13" spans="1:8" x14ac:dyDescent="0.25">
      <c r="A13" t="s">
        <v>498</v>
      </c>
      <c r="B13" s="165">
        <v>193479</v>
      </c>
      <c r="C13" s="165">
        <v>116193</v>
      </c>
      <c r="D13" s="48"/>
      <c r="E13" s="48"/>
      <c r="F13" s="48"/>
      <c r="G13" s="48"/>
      <c r="H13" s="48"/>
    </row>
    <row r="14" spans="1:8" x14ac:dyDescent="0.25">
      <c r="A14" t="s">
        <v>499</v>
      </c>
      <c r="B14" s="165">
        <v>22459</v>
      </c>
      <c r="C14" s="165">
        <v>14304</v>
      </c>
      <c r="D14" s="48"/>
      <c r="E14" s="48"/>
      <c r="F14" s="48"/>
      <c r="G14" s="48"/>
      <c r="H14" s="48"/>
    </row>
    <row r="15" spans="1:8" x14ac:dyDescent="0.25">
      <c r="A15" t="s">
        <v>455</v>
      </c>
      <c r="B15" s="109">
        <f>'NVDA - Income Statement FY'!B7</f>
        <v>215938</v>
      </c>
      <c r="C15" s="109">
        <f>'NVDA - Income Statement FY'!C7</f>
        <v>130497</v>
      </c>
      <c r="D15" s="109">
        <f>'NVDA - Income Statement FY'!D7</f>
        <v>60922</v>
      </c>
      <c r="E15" s="109">
        <f>'NVDA - Income Statement FY'!E7</f>
        <v>26974</v>
      </c>
      <c r="F15" s="109">
        <f>'NVDA - Income Statement FY'!F7</f>
        <v>26914</v>
      </c>
      <c r="G15" s="109">
        <f>'NVDA - Income Statement FY'!G7</f>
        <v>16675</v>
      </c>
      <c r="H15" s="109">
        <f>'NVDA - Income Statement FY'!H7</f>
        <v>10918</v>
      </c>
    </row>
    <row r="16" spans="1:8" x14ac:dyDescent="0.25">
      <c r="A16" t="s">
        <v>456</v>
      </c>
      <c r="B16" s="119">
        <f t="shared" ref="B16:H16" si="0">IF(COUNT(B13:B14)=0,"",SUM(B13:B14)-B15)</f>
        <v>0</v>
      </c>
      <c r="C16" s="119">
        <f t="shared" si="0"/>
        <v>0</v>
      </c>
      <c r="D16" s="119" t="str">
        <f t="shared" si="0"/>
        <v/>
      </c>
      <c r="E16" s="119" t="str">
        <f t="shared" si="0"/>
        <v/>
      </c>
      <c r="F16" s="119" t="str">
        <f t="shared" si="0"/>
        <v/>
      </c>
      <c r="G16" s="119" t="str">
        <f t="shared" si="0"/>
        <v/>
      </c>
      <c r="H16" s="119" t="str">
        <f t="shared" si="0"/>
        <v/>
      </c>
    </row>
    <row r="18" spans="1:8" x14ac:dyDescent="0.25">
      <c r="A18" s="24" t="s">
        <v>457</v>
      </c>
      <c r="B18" s="24"/>
      <c r="C18" s="24"/>
      <c r="D18" s="24"/>
      <c r="E18" s="24"/>
      <c r="F18" s="24"/>
      <c r="G18" s="24"/>
      <c r="H18" s="24"/>
    </row>
    <row r="19" spans="1:8" x14ac:dyDescent="0.25">
      <c r="A19" t="s">
        <v>498</v>
      </c>
      <c r="B19" s="134">
        <f t="shared" ref="B19:H19" si="1">IF(B13="","",B13/B15)</f>
        <v>0.89599329437153252</v>
      </c>
      <c r="C19" s="134">
        <f t="shared" si="1"/>
        <v>0.89038828478815601</v>
      </c>
      <c r="D19" s="134" t="str">
        <f t="shared" si="1"/>
        <v/>
      </c>
      <c r="E19" s="134" t="str">
        <f t="shared" si="1"/>
        <v/>
      </c>
      <c r="F19" s="134" t="str">
        <f t="shared" si="1"/>
        <v/>
      </c>
      <c r="G19" s="134" t="str">
        <f t="shared" si="1"/>
        <v/>
      </c>
      <c r="H19" s="134" t="str">
        <f t="shared" si="1"/>
        <v/>
      </c>
    </row>
    <row r="20" spans="1:8" x14ac:dyDescent="0.25">
      <c r="A20" t="s">
        <v>499</v>
      </c>
      <c r="B20" s="134">
        <f t="shared" ref="B20:H20" si="2">IF(B14="","",B14/B15)</f>
        <v>0.10400670562846744</v>
      </c>
      <c r="C20" s="134">
        <f t="shared" si="2"/>
        <v>0.10961171521184394</v>
      </c>
      <c r="D20" s="134" t="str">
        <f t="shared" si="2"/>
        <v/>
      </c>
      <c r="E20" s="134" t="str">
        <f t="shared" si="2"/>
        <v/>
      </c>
      <c r="F20" s="134" t="str">
        <f t="shared" si="2"/>
        <v/>
      </c>
      <c r="G20" s="134" t="str">
        <f t="shared" si="2"/>
        <v/>
      </c>
      <c r="H20" s="134" t="str">
        <f t="shared" si="2"/>
        <v/>
      </c>
    </row>
    <row r="22" spans="1:8" x14ac:dyDescent="0.25">
      <c r="A22" s="24" t="s">
        <v>461</v>
      </c>
      <c r="B22" s="24"/>
      <c r="C22" s="24"/>
      <c r="D22" s="24"/>
      <c r="E22" s="24"/>
      <c r="F22" s="24"/>
      <c r="G22" s="24"/>
      <c r="H22" s="24"/>
    </row>
    <row r="23" spans="1:8" x14ac:dyDescent="0.25">
      <c r="A23" t="s">
        <v>449</v>
      </c>
      <c r="B23" s="164">
        <f>EDATE('NVDA - Income Statement FY'!B5,12)</f>
        <v>46412</v>
      </c>
      <c r="C23" s="166">
        <f>EDATE(B23,12)</f>
        <v>46777</v>
      </c>
      <c r="D23" s="166">
        <f>EDATE(C23,12)</f>
        <v>47143</v>
      </c>
      <c r="E23" s="166">
        <f>EDATE(D23,12)</f>
        <v>47508</v>
      </c>
      <c r="F23" s="166">
        <f>EDATE(E23,12)</f>
        <v>47873</v>
      </c>
    </row>
    <row r="24" spans="1:8" x14ac:dyDescent="0.25">
      <c r="A24" t="s">
        <v>498</v>
      </c>
      <c r="B24" s="119">
        <f>$B$13*(1+B$29)</f>
        <v>241544.02057500003</v>
      </c>
      <c r="C24" s="119">
        <f t="shared" ref="C24:F25" si="3">B24*(1+C$29)</f>
        <v>295058.0983333913</v>
      </c>
      <c r="D24" s="119">
        <f t="shared" si="3"/>
        <v>352498.53362644423</v>
      </c>
      <c r="E24" s="119">
        <f t="shared" si="3"/>
        <v>411647.78756896156</v>
      </c>
      <c r="F24" s="119">
        <f t="shared" si="3"/>
        <v>469659.25203211745</v>
      </c>
    </row>
    <row r="25" spans="1:8" x14ac:dyDescent="0.25">
      <c r="A25" t="s">
        <v>499</v>
      </c>
      <c r="B25" s="119">
        <f>$B$14*(1+B$29)</f>
        <v>28038.377075000004</v>
      </c>
      <c r="C25" s="119">
        <f t="shared" si="3"/>
        <v>34250.279515966256</v>
      </c>
      <c r="D25" s="119">
        <f t="shared" si="3"/>
        <v>40917.952680736984</v>
      </c>
      <c r="E25" s="119">
        <f t="shared" si="3"/>
        <v>47783.985140564648</v>
      </c>
      <c r="F25" s="119">
        <f t="shared" si="3"/>
        <v>54517.943246498719</v>
      </c>
    </row>
    <row r="26" spans="1:8" x14ac:dyDescent="0.25">
      <c r="A26" t="s">
        <v>462</v>
      </c>
      <c r="B26" s="119">
        <f>SUM(B24:B25)</f>
        <v>269582.39765000006</v>
      </c>
      <c r="C26" s="119">
        <f>SUM(C24:C25)</f>
        <v>329308.37784935755</v>
      </c>
      <c r="D26" s="119">
        <f>SUM(D24:D25)</f>
        <v>393416.48630718119</v>
      </c>
      <c r="E26" s="119">
        <f>SUM(E24:E25)</f>
        <v>459431.77270952624</v>
      </c>
      <c r="F26" s="119">
        <f>SUM(F24:F25)</f>
        <v>524177.19527861616</v>
      </c>
    </row>
    <row r="27" spans="1:8" x14ac:dyDescent="0.25">
      <c r="A27" t="s">
        <v>463</v>
      </c>
      <c r="B27" s="134">
        <f>B26/$B$15-1</f>
        <v>0.24842500000000034</v>
      </c>
      <c r="C27" s="134">
        <f>C26/B26-1</f>
        <v>0.22154999999999991</v>
      </c>
      <c r="D27" s="134">
        <f>D26/C26-1</f>
        <v>0.19467499999999993</v>
      </c>
      <c r="E27" s="134">
        <f>E26/D26-1</f>
        <v>0.16780000000000017</v>
      </c>
      <c r="F27" s="134">
        <f>F26/E26-1</f>
        <v>0.14092499999999974</v>
      </c>
    </row>
    <row r="29" spans="1:8" x14ac:dyDescent="0.25">
      <c r="A29" s="9" t="s">
        <v>547</v>
      </c>
      <c r="B29" s="134">
        <f>B30+$B$4</f>
        <v>0.24842500000000001</v>
      </c>
      <c r="C29" s="134">
        <f>C30+$B$4</f>
        <v>0.22155000000000002</v>
      </c>
      <c r="D29" s="134">
        <f>D30+$B$4</f>
        <v>0.19467499999999999</v>
      </c>
      <c r="E29" s="134">
        <f>E30+$B$4</f>
        <v>0.1678</v>
      </c>
      <c r="F29" s="134">
        <f>F30+$B$4</f>
        <v>0.14092500000000002</v>
      </c>
    </row>
    <row r="30" spans="1:8" x14ac:dyDescent="0.25">
      <c r="A30" s="33" t="s">
        <v>548</v>
      </c>
      <c r="B30" s="134">
        <f>$B$8+($B$7-$B$8)*MIN(1/$B$10,1)</f>
        <v>0.22312499999999999</v>
      </c>
      <c r="C30" s="134">
        <f>$B$8+($B$7-$B$8)*MIN(2/$B$10,1)</f>
        <v>0.19625000000000001</v>
      </c>
      <c r="D30" s="134">
        <f>$B$8+($B$7-$B$8)*MIN(3/$B$10,1)</f>
        <v>0.169375</v>
      </c>
      <c r="E30" s="134">
        <f>$B$8+($B$7-$B$8)*MIN(4/$B$10,1)</f>
        <v>0.14250000000000002</v>
      </c>
      <c r="F30" s="134">
        <f>$B$8+($B$7-$B$8)*MIN(5/$B$10,1)</f>
        <v>0.11562500000000001</v>
      </c>
    </row>
  </sheetData>
  <pageMargins left="0.7" right="0.7" top="0.75" bottom="0.75" header="0.3" footer="0.3"/>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159124-7293-4F3A-BE30-4B0BD2F12370}">
  <sheetPr>
    <tabColor rgb="FFD9C2E9"/>
  </sheetPr>
  <dimension ref="A1:H30"/>
  <sheetViews>
    <sheetView workbookViewId="0">
      <selection activeCell="G30" sqref="G30"/>
    </sheetView>
  </sheetViews>
  <sheetFormatPr defaultRowHeight="15" x14ac:dyDescent="0.25"/>
  <cols>
    <col min="1" max="1" width="61.140625" bestFit="1" customWidth="1"/>
    <col min="2" max="8" width="10.42578125" bestFit="1" customWidth="1"/>
  </cols>
  <sheetData>
    <row r="1" spans="1:8" ht="15.75" x14ac:dyDescent="0.25">
      <c r="A1" s="15" t="s">
        <v>500</v>
      </c>
    </row>
    <row r="3" spans="1:8" x14ac:dyDescent="0.25">
      <c r="A3" s="24" t="s">
        <v>443</v>
      </c>
      <c r="B3" s="24"/>
      <c r="C3" s="24"/>
      <c r="D3" s="24"/>
      <c r="E3" s="24"/>
      <c r="F3" s="24"/>
      <c r="G3" s="24"/>
      <c r="H3" s="24"/>
    </row>
    <row r="4" spans="1:8" x14ac:dyDescent="0.25">
      <c r="A4" t="s">
        <v>444</v>
      </c>
      <c r="B4" s="79">
        <f>WACC!B4-WACC!B14</f>
        <v>2.5300000000000003E-2</v>
      </c>
    </row>
    <row r="5" spans="1:8" x14ac:dyDescent="0.25">
      <c r="A5" t="s">
        <v>465</v>
      </c>
      <c r="B5" s="79">
        <f>('META - Income Statement FY'!B7/'META - Income Statement FY'!H7)^(1/6)-1</f>
        <v>0.19020088054258433</v>
      </c>
    </row>
    <row r="6" spans="1:8" x14ac:dyDescent="0.25">
      <c r="A6" t="s">
        <v>446</v>
      </c>
      <c r="B6" s="111">
        <f>B5-B4</f>
        <v>0.16490088054258434</v>
      </c>
    </row>
    <row r="7" spans="1:8" x14ac:dyDescent="0.25">
      <c r="A7" t="s">
        <v>447</v>
      </c>
      <c r="B7" s="25">
        <v>3.5000000000000003E-2</v>
      </c>
    </row>
    <row r="8" spans="1:8" x14ac:dyDescent="0.25">
      <c r="A8" t="s">
        <v>549</v>
      </c>
      <c r="B8" s="72">
        <f>'META DCF'!$E$6</f>
        <v>0.12</v>
      </c>
    </row>
    <row r="9" spans="1:8" x14ac:dyDescent="0.25">
      <c r="A9" s="33" t="s">
        <v>550</v>
      </c>
      <c r="B9" s="121">
        <f>B29</f>
        <v>0.13467499999999999</v>
      </c>
    </row>
    <row r="10" spans="1:8" x14ac:dyDescent="0.25">
      <c r="A10" t="s">
        <v>546</v>
      </c>
      <c r="B10" s="50">
        <v>8</v>
      </c>
    </row>
    <row r="11" spans="1:8" x14ac:dyDescent="0.25">
      <c r="A11" s="24" t="s">
        <v>448</v>
      </c>
      <c r="B11" s="24"/>
      <c r="C11" s="24"/>
      <c r="D11" s="24"/>
      <c r="E11" s="24"/>
      <c r="F11" s="24"/>
      <c r="G11" s="24"/>
      <c r="H11" s="24"/>
    </row>
    <row r="12" spans="1:8" x14ac:dyDescent="0.25">
      <c r="A12" t="s">
        <v>449</v>
      </c>
      <c r="B12" s="164">
        <f>'META - Income Statement FY'!B5</f>
        <v>46022</v>
      </c>
      <c r="C12" s="164">
        <f>'META - Income Statement FY'!C5</f>
        <v>45657</v>
      </c>
      <c r="D12" s="164">
        <f>'META - Income Statement FY'!D5</f>
        <v>45291</v>
      </c>
      <c r="E12" s="164">
        <f>'META - Income Statement FY'!E5</f>
        <v>44926</v>
      </c>
      <c r="F12" s="164">
        <f>'META - Income Statement FY'!F5</f>
        <v>44561</v>
      </c>
      <c r="G12" s="164">
        <f>'META - Income Statement FY'!G5</f>
        <v>44196</v>
      </c>
      <c r="H12" s="164">
        <f>'META - Income Statement FY'!H5</f>
        <v>43830</v>
      </c>
    </row>
    <row r="13" spans="1:8" x14ac:dyDescent="0.25">
      <c r="A13" t="s">
        <v>501</v>
      </c>
      <c r="B13" s="165">
        <v>198759</v>
      </c>
      <c r="C13" s="165">
        <v>162355</v>
      </c>
      <c r="D13" s="48"/>
      <c r="E13" s="48"/>
      <c r="F13" s="48"/>
      <c r="G13" s="48"/>
      <c r="H13" s="48"/>
    </row>
    <row r="14" spans="1:8" x14ac:dyDescent="0.25">
      <c r="A14" t="s">
        <v>502</v>
      </c>
      <c r="B14" s="165">
        <v>2207</v>
      </c>
      <c r="C14" s="165">
        <v>2146</v>
      </c>
      <c r="D14" s="48"/>
      <c r="E14" s="48"/>
      <c r="F14" s="48"/>
      <c r="G14" s="48"/>
      <c r="H14" s="48"/>
    </row>
    <row r="15" spans="1:8" x14ac:dyDescent="0.25">
      <c r="A15" t="s">
        <v>455</v>
      </c>
      <c r="B15" s="109">
        <f>'META - Income Statement FY'!B7</f>
        <v>200966</v>
      </c>
      <c r="C15" s="109">
        <f>'META - Income Statement FY'!C7</f>
        <v>164501</v>
      </c>
      <c r="D15" s="109">
        <f>'META - Income Statement FY'!D7</f>
        <v>134902</v>
      </c>
      <c r="E15" s="109">
        <f>'META - Income Statement FY'!E7</f>
        <v>116609</v>
      </c>
      <c r="F15" s="109">
        <f>'META - Income Statement FY'!F7</f>
        <v>117929</v>
      </c>
      <c r="G15" s="109">
        <f>'META - Income Statement FY'!G7</f>
        <v>85965</v>
      </c>
      <c r="H15" s="109">
        <f>'META - Income Statement FY'!H7</f>
        <v>70697</v>
      </c>
    </row>
    <row r="16" spans="1:8" x14ac:dyDescent="0.25">
      <c r="A16" t="s">
        <v>456</v>
      </c>
      <c r="B16" s="119">
        <f t="shared" ref="B16:H16" si="0">IF(COUNT(B13:B14)=0,"",SUM(B13:B14)-B15)</f>
        <v>0</v>
      </c>
      <c r="C16" s="119">
        <f t="shared" si="0"/>
        <v>0</v>
      </c>
      <c r="D16" s="119" t="str">
        <f t="shared" si="0"/>
        <v/>
      </c>
      <c r="E16" s="119" t="str">
        <f t="shared" si="0"/>
        <v/>
      </c>
      <c r="F16" s="119" t="str">
        <f t="shared" si="0"/>
        <v/>
      </c>
      <c r="G16" s="119" t="str">
        <f t="shared" si="0"/>
        <v/>
      </c>
      <c r="H16" s="119" t="str">
        <f t="shared" si="0"/>
        <v/>
      </c>
    </row>
    <row r="18" spans="1:8" x14ac:dyDescent="0.25">
      <c r="A18" s="24" t="s">
        <v>457</v>
      </c>
      <c r="B18" s="24"/>
      <c r="C18" s="24"/>
      <c r="D18" s="24"/>
      <c r="E18" s="24"/>
      <c r="F18" s="24"/>
      <c r="G18" s="24"/>
      <c r="H18" s="24"/>
    </row>
    <row r="19" spans="1:8" x14ac:dyDescent="0.25">
      <c r="A19" t="s">
        <v>501</v>
      </c>
      <c r="B19" s="134">
        <f t="shared" ref="B19:H19" si="1">IF(B13="","",B13/B15)</f>
        <v>0.98901804285301986</v>
      </c>
      <c r="C19" s="134">
        <f t="shared" si="1"/>
        <v>0.98695448659886564</v>
      </c>
      <c r="D19" s="134" t="str">
        <f t="shared" si="1"/>
        <v/>
      </c>
      <c r="E19" s="134" t="str">
        <f t="shared" si="1"/>
        <v/>
      </c>
      <c r="F19" s="134" t="str">
        <f t="shared" si="1"/>
        <v/>
      </c>
      <c r="G19" s="134" t="str">
        <f t="shared" si="1"/>
        <v/>
      </c>
      <c r="H19" s="134" t="str">
        <f t="shared" si="1"/>
        <v/>
      </c>
    </row>
    <row r="20" spans="1:8" x14ac:dyDescent="0.25">
      <c r="A20" t="s">
        <v>502</v>
      </c>
      <c r="B20" s="134">
        <f t="shared" ref="B20:H20" si="2">IF(B14="","",B14/B15)</f>
        <v>1.0981957146980087E-2</v>
      </c>
      <c r="C20" s="134">
        <f t="shared" si="2"/>
        <v>1.3045513401134339E-2</v>
      </c>
      <c r="D20" s="134" t="str">
        <f t="shared" si="2"/>
        <v/>
      </c>
      <c r="E20" s="134" t="str">
        <f t="shared" si="2"/>
        <v/>
      </c>
      <c r="F20" s="134" t="str">
        <f t="shared" si="2"/>
        <v/>
      </c>
      <c r="G20" s="134" t="str">
        <f t="shared" si="2"/>
        <v/>
      </c>
      <c r="H20" s="134" t="str">
        <f t="shared" si="2"/>
        <v/>
      </c>
    </row>
    <row r="22" spans="1:8" x14ac:dyDescent="0.25">
      <c r="A22" s="24" t="s">
        <v>461</v>
      </c>
      <c r="B22" s="24"/>
      <c r="C22" s="24"/>
      <c r="D22" s="24"/>
      <c r="E22" s="24"/>
      <c r="F22" s="24"/>
      <c r="G22" s="24"/>
      <c r="H22" s="24"/>
    </row>
    <row r="23" spans="1:8" x14ac:dyDescent="0.25">
      <c r="A23" t="s">
        <v>449</v>
      </c>
      <c r="B23" s="164">
        <f>EDATE('META - Income Statement FY'!B5,12)</f>
        <v>46387</v>
      </c>
      <c r="C23" s="166">
        <f>EDATE(B23,12)</f>
        <v>46752</v>
      </c>
      <c r="D23" s="166">
        <f>EDATE(C23,12)</f>
        <v>47118</v>
      </c>
      <c r="E23" s="166">
        <f>EDATE(D23,12)</f>
        <v>47483</v>
      </c>
      <c r="F23" s="166">
        <f>EDATE(E23,12)</f>
        <v>47848</v>
      </c>
    </row>
    <row r="24" spans="1:8" x14ac:dyDescent="0.25">
      <c r="A24" t="s">
        <v>501</v>
      </c>
      <c r="B24" s="119">
        <f>$B$13*(1+B$29)</f>
        <v>225526.86832500002</v>
      </c>
      <c r="C24" s="119">
        <f t="shared" ref="C24:F25" si="3">B24*(1+C$29)</f>
        <v>253503.47634071627</v>
      </c>
      <c r="D24" s="119">
        <f t="shared" si="3"/>
        <v>282257.10814466199</v>
      </c>
      <c r="E24" s="119">
        <f t="shared" si="3"/>
        <v>311273.13886193326</v>
      </c>
      <c r="F24" s="119">
        <f t="shared" si="3"/>
        <v>339964.74043653201</v>
      </c>
    </row>
    <row r="25" spans="1:8" x14ac:dyDescent="0.25">
      <c r="A25" t="s">
        <v>502</v>
      </c>
      <c r="B25" s="119">
        <f>$B$14*(1+B$29)</f>
        <v>2504.2277250000002</v>
      </c>
      <c r="C25" s="119">
        <f t="shared" si="3"/>
        <v>2814.87717428625</v>
      </c>
      <c r="D25" s="119">
        <f t="shared" si="3"/>
        <v>3134.1546177796677</v>
      </c>
      <c r="E25" s="119">
        <f t="shared" si="3"/>
        <v>3456.3457124874176</v>
      </c>
      <c r="F25" s="119">
        <f t="shared" si="3"/>
        <v>3774.9343785359456</v>
      </c>
    </row>
    <row r="26" spans="1:8" x14ac:dyDescent="0.25">
      <c r="A26" t="s">
        <v>462</v>
      </c>
      <c r="B26" s="119">
        <f>SUM(B24:B25)</f>
        <v>228031.09605000002</v>
      </c>
      <c r="C26" s="119">
        <f>SUM(C24:C25)</f>
        <v>256318.35351500253</v>
      </c>
      <c r="D26" s="119">
        <f>SUM(D24:D25)</f>
        <v>285391.26276244165</v>
      </c>
      <c r="E26" s="119">
        <f>SUM(E24:E25)</f>
        <v>314729.48457442067</v>
      </c>
      <c r="F26" s="119">
        <f>SUM(F24:F25)</f>
        <v>343739.67481506796</v>
      </c>
    </row>
    <row r="27" spans="1:8" x14ac:dyDescent="0.25">
      <c r="A27" t="s">
        <v>463</v>
      </c>
      <c r="B27" s="134">
        <f>B26/$B$15-1</f>
        <v>0.1346750000000001</v>
      </c>
      <c r="C27" s="134">
        <f>C26/B26-1</f>
        <v>0.12404999999999999</v>
      </c>
      <c r="D27" s="134">
        <f>D26/C26-1</f>
        <v>0.11342499999999989</v>
      </c>
      <c r="E27" s="134">
        <f>E26/D26-1</f>
        <v>0.1028</v>
      </c>
      <c r="F27" s="134">
        <f>F26/E26-1</f>
        <v>9.2175000000000118E-2</v>
      </c>
    </row>
    <row r="29" spans="1:8" x14ac:dyDescent="0.25">
      <c r="A29" s="9" t="s">
        <v>547</v>
      </c>
      <c r="B29" s="134">
        <f>B30+$B$4</f>
        <v>0.13467499999999999</v>
      </c>
      <c r="C29" s="134">
        <f>C30+$B$4</f>
        <v>0.12405000000000001</v>
      </c>
      <c r="D29" s="134">
        <f>D30+$B$4</f>
        <v>0.113425</v>
      </c>
      <c r="E29" s="134">
        <f>E30+$B$4</f>
        <v>0.1028</v>
      </c>
      <c r="F29" s="134">
        <f>F30+$B$4</f>
        <v>9.2175000000000007E-2</v>
      </c>
    </row>
    <row r="30" spans="1:8" x14ac:dyDescent="0.25">
      <c r="A30" s="33" t="s">
        <v>548</v>
      </c>
      <c r="B30" s="134">
        <f>$B$8+($B$7-$B$8)*MIN(1/$B$10,1)</f>
        <v>0.109375</v>
      </c>
      <c r="C30" s="134">
        <f>$B$8+($B$7-$B$8)*MIN(2/$B$10,1)</f>
        <v>9.8750000000000004E-2</v>
      </c>
      <c r="D30" s="134">
        <f>$B$8+($B$7-$B$8)*MIN(3/$B$10,1)</f>
        <v>8.8124999999999995E-2</v>
      </c>
      <c r="E30" s="134">
        <f>$B$8+($B$7-$B$8)*MIN(4/$B$10,1)</f>
        <v>7.7499999999999999E-2</v>
      </c>
      <c r="F30" s="134">
        <f>$B$8+($B$7-$B$8)*MIN(5/$B$10,1)</f>
        <v>6.6875000000000004E-2</v>
      </c>
    </row>
  </sheetData>
  <pageMargins left="0.7" right="0.7" top="0.75" bottom="0.75" header="0.3" footer="0.3"/>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D6B988-EAFE-4375-8975-C55D34217F85}">
  <sheetPr>
    <tabColor rgb="FFD9C2E9"/>
  </sheetPr>
  <dimension ref="A1:H43"/>
  <sheetViews>
    <sheetView workbookViewId="0">
      <selection activeCell="B12" sqref="B12"/>
    </sheetView>
  </sheetViews>
  <sheetFormatPr defaultRowHeight="15" x14ac:dyDescent="0.25"/>
  <cols>
    <col min="1" max="1" width="61.140625" bestFit="1" customWidth="1"/>
    <col min="2" max="8" width="10.42578125" bestFit="1" customWidth="1"/>
  </cols>
  <sheetData>
    <row r="1" spans="1:8" ht="15.75" x14ac:dyDescent="0.25">
      <c r="A1" s="15" t="s">
        <v>442</v>
      </c>
    </row>
    <row r="3" spans="1:8" x14ac:dyDescent="0.25">
      <c r="A3" s="24" t="s">
        <v>443</v>
      </c>
      <c r="B3" s="24"/>
      <c r="C3" s="24"/>
      <c r="D3" s="24"/>
      <c r="E3" s="24"/>
      <c r="F3" s="24"/>
      <c r="G3" s="24"/>
      <c r="H3" s="24"/>
    </row>
    <row r="4" spans="1:8" x14ac:dyDescent="0.25">
      <c r="A4" t="s">
        <v>444</v>
      </c>
      <c r="B4" s="79">
        <f>WACC!B4-WACC!B14</f>
        <v>2.5300000000000003E-2</v>
      </c>
    </row>
    <row r="5" spans="1:8" x14ac:dyDescent="0.25">
      <c r="A5" t="s">
        <v>445</v>
      </c>
      <c r="B5" s="79">
        <f>('TSLA - Income Statement FY'!B7/'TSLA - Income Statement FY'!H7)^(1/6)-1</f>
        <v>0.25236497131143509</v>
      </c>
    </row>
    <row r="6" spans="1:8" x14ac:dyDescent="0.25">
      <c r="A6" t="s">
        <v>446</v>
      </c>
      <c r="B6" s="111">
        <f>B5-B4</f>
        <v>0.2270649713114351</v>
      </c>
    </row>
    <row r="7" spans="1:8" x14ac:dyDescent="0.25">
      <c r="A7" t="s">
        <v>447</v>
      </c>
      <c r="B7" s="25">
        <v>3.5000000000000003E-2</v>
      </c>
    </row>
    <row r="8" spans="1:8" x14ac:dyDescent="0.25">
      <c r="A8" t="s">
        <v>549</v>
      </c>
      <c r="B8" s="72">
        <f>'TSLA DCF'!$E$6</f>
        <v>0.04</v>
      </c>
    </row>
    <row r="9" spans="1:8" x14ac:dyDescent="0.25">
      <c r="A9" s="33" t="s">
        <v>550</v>
      </c>
      <c r="B9" s="121">
        <f>B42</f>
        <v>6.467500000000001E-2</v>
      </c>
    </row>
    <row r="10" spans="1:8" x14ac:dyDescent="0.25">
      <c r="A10" t="s">
        <v>546</v>
      </c>
      <c r="B10" s="50">
        <v>8</v>
      </c>
    </row>
    <row r="11" spans="1:8" x14ac:dyDescent="0.25">
      <c r="A11" s="24" t="s">
        <v>448</v>
      </c>
      <c r="B11" s="24"/>
      <c r="C11" s="24"/>
      <c r="D11" s="24"/>
      <c r="E11" s="24"/>
      <c r="F11" s="24"/>
      <c r="G11" s="24"/>
      <c r="H11" s="24"/>
    </row>
    <row r="12" spans="1:8" x14ac:dyDescent="0.25">
      <c r="A12" t="s">
        <v>449</v>
      </c>
      <c r="B12" s="164">
        <f>'TSLA - Income Statement FY'!B5</f>
        <v>46022</v>
      </c>
      <c r="C12" s="164">
        <f>'TSLA - Income Statement FY'!C5</f>
        <v>45657</v>
      </c>
      <c r="D12" s="164">
        <f>'TSLA - Income Statement FY'!D5</f>
        <v>45291</v>
      </c>
      <c r="E12" s="164">
        <f>'TSLA - Income Statement FY'!E5</f>
        <v>44926</v>
      </c>
      <c r="F12" s="164">
        <f>'TSLA - Income Statement FY'!F5</f>
        <v>44561</v>
      </c>
      <c r="G12" s="164">
        <f>'TSLA - Income Statement FY'!G5</f>
        <v>44196</v>
      </c>
      <c r="H12" s="164">
        <f>'TSLA - Income Statement FY'!H5</f>
        <v>43830</v>
      </c>
    </row>
    <row r="13" spans="1:8" x14ac:dyDescent="0.25">
      <c r="A13" t="s">
        <v>450</v>
      </c>
      <c r="B13" s="165">
        <v>65821</v>
      </c>
      <c r="C13" s="165">
        <v>72480</v>
      </c>
      <c r="D13" s="165">
        <v>78509</v>
      </c>
      <c r="E13" s="48"/>
      <c r="F13" s="48"/>
      <c r="G13" s="48"/>
      <c r="H13" s="48"/>
    </row>
    <row r="14" spans="1:8" x14ac:dyDescent="0.25">
      <c r="A14" t="s">
        <v>451</v>
      </c>
      <c r="B14" s="165">
        <v>1993</v>
      </c>
      <c r="C14" s="165">
        <v>2763</v>
      </c>
      <c r="D14" s="165">
        <v>1790</v>
      </c>
      <c r="E14" s="48"/>
      <c r="F14" s="48"/>
      <c r="G14" s="48"/>
      <c r="H14" s="48"/>
    </row>
    <row r="15" spans="1:8" x14ac:dyDescent="0.25">
      <c r="A15" t="s">
        <v>452</v>
      </c>
      <c r="B15" s="165">
        <v>1712</v>
      </c>
      <c r="C15" s="165">
        <v>1827</v>
      </c>
      <c r="D15" s="165">
        <v>2120</v>
      </c>
      <c r="E15" s="48"/>
      <c r="F15" s="48"/>
      <c r="G15" s="48"/>
      <c r="H15" s="48"/>
    </row>
    <row r="16" spans="1:8" x14ac:dyDescent="0.25">
      <c r="A16" t="s">
        <v>453</v>
      </c>
      <c r="B16" s="165">
        <v>12530</v>
      </c>
      <c r="C16" s="165">
        <v>10534</v>
      </c>
      <c r="D16" s="165">
        <v>8319</v>
      </c>
      <c r="E16" s="48"/>
      <c r="F16" s="48"/>
      <c r="G16" s="48"/>
      <c r="H16" s="48"/>
    </row>
    <row r="17" spans="1:8" x14ac:dyDescent="0.25">
      <c r="A17" t="s">
        <v>454</v>
      </c>
      <c r="B17" s="165">
        <v>12771</v>
      </c>
      <c r="C17" s="165">
        <v>10086</v>
      </c>
      <c r="D17" s="165">
        <v>6035</v>
      </c>
      <c r="E17" s="48"/>
      <c r="F17" s="48"/>
      <c r="G17" s="48"/>
      <c r="H17" s="48"/>
    </row>
    <row r="18" spans="1:8" x14ac:dyDescent="0.25">
      <c r="A18" t="s">
        <v>455</v>
      </c>
      <c r="B18" s="109">
        <f>'TSLA - Income Statement FY'!B7</f>
        <v>94827</v>
      </c>
      <c r="C18" s="109">
        <f>'TSLA - Income Statement FY'!C7</f>
        <v>97690</v>
      </c>
      <c r="D18" s="109">
        <f>'TSLA - Income Statement FY'!D7</f>
        <v>96773</v>
      </c>
      <c r="E18" s="109">
        <f>'TSLA - Income Statement FY'!E7</f>
        <v>81462</v>
      </c>
      <c r="F18" s="109">
        <f>'TSLA - Income Statement FY'!F7</f>
        <v>53823</v>
      </c>
      <c r="G18" s="109">
        <f>'TSLA - Income Statement FY'!G7</f>
        <v>31536</v>
      </c>
      <c r="H18" s="109">
        <f>'TSLA - Income Statement FY'!H7</f>
        <v>24578</v>
      </c>
    </row>
    <row r="19" spans="1:8" x14ac:dyDescent="0.25">
      <c r="A19" t="s">
        <v>456</v>
      </c>
      <c r="B19" s="119">
        <f t="shared" ref="B19:H19" si="0">IF(COUNT(B13:B17)=0,"",SUM(B13:B17)-B18)</f>
        <v>0</v>
      </c>
      <c r="C19" s="119">
        <f t="shared" si="0"/>
        <v>0</v>
      </c>
      <c r="D19" s="119">
        <f t="shared" si="0"/>
        <v>0</v>
      </c>
      <c r="E19" s="119" t="str">
        <f t="shared" si="0"/>
        <v/>
      </c>
      <c r="F19" s="119" t="str">
        <f t="shared" si="0"/>
        <v/>
      </c>
      <c r="G19" s="119" t="str">
        <f t="shared" si="0"/>
        <v/>
      </c>
      <c r="H19" s="119" t="str">
        <f t="shared" si="0"/>
        <v/>
      </c>
    </row>
    <row r="21" spans="1:8" x14ac:dyDescent="0.25">
      <c r="A21" s="24" t="s">
        <v>457</v>
      </c>
      <c r="B21" s="24"/>
      <c r="C21" s="24"/>
      <c r="D21" s="24"/>
      <c r="E21" s="24"/>
      <c r="F21" s="24"/>
      <c r="G21" s="24"/>
      <c r="H21" s="24"/>
    </row>
    <row r="22" spans="1:8" x14ac:dyDescent="0.25">
      <c r="A22" t="s">
        <v>450</v>
      </c>
      <c r="B22" s="134">
        <f t="shared" ref="B22:H22" si="1">IF(B13="","",B13/B18)</f>
        <v>0.69411665453931892</v>
      </c>
      <c r="C22" s="134">
        <f t="shared" si="1"/>
        <v>0.74193878595557372</v>
      </c>
      <c r="D22" s="134">
        <f t="shared" si="1"/>
        <v>0.8112696723259587</v>
      </c>
      <c r="E22" s="134" t="str">
        <f t="shared" si="1"/>
        <v/>
      </c>
      <c r="F22" s="134" t="str">
        <f t="shared" si="1"/>
        <v/>
      </c>
      <c r="G22" s="134" t="str">
        <f t="shared" si="1"/>
        <v/>
      </c>
      <c r="H22" s="134" t="str">
        <f t="shared" si="1"/>
        <v/>
      </c>
    </row>
    <row r="23" spans="1:8" x14ac:dyDescent="0.25">
      <c r="A23" t="s">
        <v>451</v>
      </c>
      <c r="B23" s="134">
        <f t="shared" ref="B23:H23" si="2">IF(B14="","",B14/B18)</f>
        <v>2.1017220833728791E-2</v>
      </c>
      <c r="C23" s="134">
        <f t="shared" si="2"/>
        <v>2.8283345275872659E-2</v>
      </c>
      <c r="D23" s="134">
        <f t="shared" si="2"/>
        <v>1.8496894795035804E-2</v>
      </c>
      <c r="E23" s="134" t="str">
        <f t="shared" si="2"/>
        <v/>
      </c>
      <c r="F23" s="134" t="str">
        <f t="shared" si="2"/>
        <v/>
      </c>
      <c r="G23" s="134" t="str">
        <f t="shared" si="2"/>
        <v/>
      </c>
      <c r="H23" s="134" t="str">
        <f t="shared" si="2"/>
        <v/>
      </c>
    </row>
    <row r="24" spans="1:8" x14ac:dyDescent="0.25">
      <c r="A24" t="s">
        <v>452</v>
      </c>
      <c r="B24" s="134">
        <f t="shared" ref="B24:H24" si="3">IF(B15="","",B15/B18)</f>
        <v>1.8053929787929596E-2</v>
      </c>
      <c r="C24" s="134">
        <f t="shared" si="3"/>
        <v>1.870201658306889E-2</v>
      </c>
      <c r="D24" s="134">
        <f t="shared" si="3"/>
        <v>2.1906936852221177E-2</v>
      </c>
      <c r="E24" s="134" t="str">
        <f t="shared" si="3"/>
        <v/>
      </c>
      <c r="F24" s="134" t="str">
        <f t="shared" si="3"/>
        <v/>
      </c>
      <c r="G24" s="134" t="str">
        <f t="shared" si="3"/>
        <v/>
      </c>
      <c r="H24" s="134" t="str">
        <f t="shared" si="3"/>
        <v/>
      </c>
    </row>
    <row r="25" spans="1:8" x14ac:dyDescent="0.25">
      <c r="A25" t="s">
        <v>453</v>
      </c>
      <c r="B25" s="134">
        <f t="shared" ref="B25:H25" si="4">IF(B16="","",B16/B18)</f>
        <v>0.13213536229133052</v>
      </c>
      <c r="C25" s="134">
        <f t="shared" si="4"/>
        <v>0.10783089364315693</v>
      </c>
      <c r="D25" s="134">
        <f t="shared" si="4"/>
        <v>8.5964060223409425E-2</v>
      </c>
      <c r="E25" s="134" t="str">
        <f t="shared" si="4"/>
        <v/>
      </c>
      <c r="F25" s="134" t="str">
        <f t="shared" si="4"/>
        <v/>
      </c>
      <c r="G25" s="134" t="str">
        <f t="shared" si="4"/>
        <v/>
      </c>
      <c r="H25" s="134" t="str">
        <f t="shared" si="4"/>
        <v/>
      </c>
    </row>
    <row r="26" spans="1:8" x14ac:dyDescent="0.25">
      <c r="A26" t="s">
        <v>454</v>
      </c>
      <c r="B26" s="134">
        <f t="shared" ref="B26:H26" si="5">IF(B17="","",B17/B18)</f>
        <v>0.13467683254769211</v>
      </c>
      <c r="C26" s="134">
        <f t="shared" si="5"/>
        <v>0.10324495854232778</v>
      </c>
      <c r="D26" s="134">
        <f t="shared" si="5"/>
        <v>6.2362435803374909E-2</v>
      </c>
      <c r="E26" s="134" t="str">
        <f t="shared" si="5"/>
        <v/>
      </c>
      <c r="F26" s="134" t="str">
        <f t="shared" si="5"/>
        <v/>
      </c>
      <c r="G26" s="134" t="str">
        <f t="shared" si="5"/>
        <v/>
      </c>
      <c r="H26" s="134" t="str">
        <f t="shared" si="5"/>
        <v/>
      </c>
    </row>
    <row r="28" spans="1:8" x14ac:dyDescent="0.25">
      <c r="A28" s="24" t="s">
        <v>458</v>
      </c>
      <c r="B28" s="24"/>
      <c r="C28" s="24"/>
      <c r="D28" s="24"/>
      <c r="E28" s="24"/>
      <c r="F28" s="24"/>
      <c r="G28" s="24"/>
      <c r="H28" s="24"/>
    </row>
    <row r="29" spans="1:8" x14ac:dyDescent="0.25">
      <c r="A29" t="s">
        <v>459</v>
      </c>
    </row>
    <row r="30" spans="1:8" x14ac:dyDescent="0.25">
      <c r="A30" t="s">
        <v>460</v>
      </c>
    </row>
    <row r="32" spans="1:8" x14ac:dyDescent="0.25">
      <c r="A32" s="24" t="s">
        <v>461</v>
      </c>
      <c r="B32" s="24"/>
      <c r="C32" s="24"/>
      <c r="D32" s="24"/>
      <c r="E32" s="24"/>
      <c r="F32" s="24"/>
      <c r="G32" s="24"/>
      <c r="H32" s="24"/>
    </row>
    <row r="33" spans="1:6" x14ac:dyDescent="0.25">
      <c r="A33" t="s">
        <v>449</v>
      </c>
      <c r="B33" s="164">
        <f>EDATE('TSLA - Income Statement FY'!B5,12)</f>
        <v>46387</v>
      </c>
      <c r="C33" s="166">
        <f>EDATE(B33,12)</f>
        <v>46752</v>
      </c>
      <c r="D33" s="166">
        <f>EDATE(C33,12)</f>
        <v>47118</v>
      </c>
      <c r="E33" s="166">
        <f>EDATE(D33,12)</f>
        <v>47483</v>
      </c>
      <c r="F33" s="166">
        <f>EDATE(E33,12)</f>
        <v>47848</v>
      </c>
    </row>
    <row r="34" spans="1:6" x14ac:dyDescent="0.25">
      <c r="A34" t="s">
        <v>450</v>
      </c>
      <c r="B34" s="119">
        <f>$B$13*(1+B$42)</f>
        <v>70077.973175000006</v>
      </c>
      <c r="C34" s="119">
        <f t="shared" ref="C34:F38" si="6">B34*(1+C$42)</f>
        <v>74566.467356858746</v>
      </c>
      <c r="D34" s="119">
        <f t="shared" si="6"/>
        <v>79295.845548967511</v>
      </c>
      <c r="E34" s="119">
        <f t="shared" si="6"/>
        <v>84275.624649442674</v>
      </c>
      <c r="F34" s="119">
        <f t="shared" si="6"/>
        <v>89515.461612021783</v>
      </c>
    </row>
    <row r="35" spans="1:6" x14ac:dyDescent="0.25">
      <c r="A35" t="s">
        <v>451</v>
      </c>
      <c r="B35" s="119">
        <f>$B$14*(1+B$42)</f>
        <v>2121.8972750000003</v>
      </c>
      <c r="C35" s="119">
        <f t="shared" si="6"/>
        <v>2257.80479546375</v>
      </c>
      <c r="D35" s="119">
        <f t="shared" si="6"/>
        <v>2401.0060646160387</v>
      </c>
      <c r="E35" s="119">
        <f t="shared" si="6"/>
        <v>2551.7892454739258</v>
      </c>
      <c r="F35" s="119">
        <f t="shared" si="6"/>
        <v>2710.4467418112672</v>
      </c>
    </row>
    <row r="36" spans="1:6" x14ac:dyDescent="0.25">
      <c r="A36" t="s">
        <v>452</v>
      </c>
      <c r="B36" s="119">
        <f>$B$15*(1+B$42)</f>
        <v>1822.7236</v>
      </c>
      <c r="C36" s="119">
        <f t="shared" si="6"/>
        <v>1939.4690465799999</v>
      </c>
      <c r="D36" s="119">
        <f t="shared" si="6"/>
        <v>2062.4798708593366</v>
      </c>
      <c r="E36" s="119">
        <f t="shared" si="6"/>
        <v>2192.0036067493029</v>
      </c>
      <c r="F36" s="119">
        <f t="shared" si="6"/>
        <v>2328.291430998941</v>
      </c>
    </row>
    <row r="37" spans="1:6" x14ac:dyDescent="0.25">
      <c r="A37" t="s">
        <v>453</v>
      </c>
      <c r="B37" s="119">
        <f>$B$16*(1+B$42)</f>
        <v>13340.37775</v>
      </c>
      <c r="C37" s="119">
        <f t="shared" si="6"/>
        <v>14194.828944887498</v>
      </c>
      <c r="D37" s="119">
        <f t="shared" si="6"/>
        <v>15095.135970716989</v>
      </c>
      <c r="E37" s="119">
        <f t="shared" si="6"/>
        <v>16043.110509678016</v>
      </c>
      <c r="F37" s="119">
        <f t="shared" si="6"/>
        <v>17040.59090561725</v>
      </c>
    </row>
    <row r="38" spans="1:6" x14ac:dyDescent="0.25">
      <c r="A38" t="s">
        <v>454</v>
      </c>
      <c r="B38" s="119">
        <f>$B$17*(1+B$42)</f>
        <v>13596.964425</v>
      </c>
      <c r="C38" s="119">
        <f t="shared" si="6"/>
        <v>14467.84999642125</v>
      </c>
      <c r="D38" s="119">
        <f t="shared" si="6"/>
        <v>15385.473382444268</v>
      </c>
      <c r="E38" s="119">
        <f t="shared" si="6"/>
        <v>16351.681110861768</v>
      </c>
      <c r="F38" s="119">
        <f t="shared" si="6"/>
        <v>17368.3468839296</v>
      </c>
    </row>
    <row r="39" spans="1:6" x14ac:dyDescent="0.25">
      <c r="A39" t="s">
        <v>462</v>
      </c>
      <c r="B39" s="119">
        <f>SUM(B34:B38)</f>
        <v>100959.936225</v>
      </c>
      <c r="C39" s="119">
        <f>SUM(C34:C38)</f>
        <v>107426.42014021124</v>
      </c>
      <c r="D39" s="119">
        <f>SUM(D34:D38)</f>
        <v>114239.94083760414</v>
      </c>
      <c r="E39" s="119">
        <f>SUM(E34:E38)</f>
        <v>121414.20912220568</v>
      </c>
      <c r="F39" s="119">
        <f>SUM(F34:F38)</f>
        <v>128963.13757437884</v>
      </c>
    </row>
    <row r="40" spans="1:6" x14ac:dyDescent="0.25">
      <c r="A40" t="s">
        <v>463</v>
      </c>
      <c r="B40" s="134">
        <f>B39/$B$18-1</f>
        <v>6.4675000000000038E-2</v>
      </c>
      <c r="C40" s="134">
        <f>C39/B39-1</f>
        <v>6.404999999999994E-2</v>
      </c>
      <c r="D40" s="134">
        <f>D39/C39-1</f>
        <v>6.3425000000000065E-2</v>
      </c>
      <c r="E40" s="134">
        <f>E39/D39-1</f>
        <v>6.2799999999999967E-2</v>
      </c>
      <c r="F40" s="134">
        <f>F39/E39-1</f>
        <v>6.2175000000000091E-2</v>
      </c>
    </row>
    <row r="42" spans="1:6" x14ac:dyDescent="0.25">
      <c r="A42" s="9" t="s">
        <v>547</v>
      </c>
      <c r="B42" s="134">
        <f>B43+$B$4</f>
        <v>6.467500000000001E-2</v>
      </c>
      <c r="C42" s="134">
        <f>C43+$B$4</f>
        <v>6.4049999999999996E-2</v>
      </c>
      <c r="D42" s="134">
        <f>D43+$B$4</f>
        <v>6.3425000000000009E-2</v>
      </c>
      <c r="E42" s="134">
        <f>E43+$B$4</f>
        <v>6.2800000000000009E-2</v>
      </c>
      <c r="F42" s="134">
        <f>F43+$B$4</f>
        <v>6.2175000000000008E-2</v>
      </c>
    </row>
    <row r="43" spans="1:6" x14ac:dyDescent="0.25">
      <c r="A43" s="33" t="s">
        <v>548</v>
      </c>
      <c r="B43" s="134">
        <f>$B$8+($B$7-$B$8)*MIN(1/$B$10,1)</f>
        <v>3.9375E-2</v>
      </c>
      <c r="C43" s="134">
        <f>$B$8+($B$7-$B$8)*MIN(2/$B$10,1)</f>
        <v>3.875E-2</v>
      </c>
      <c r="D43" s="134">
        <f>$B$8+($B$7-$B$8)*MIN(3/$B$10,1)</f>
        <v>3.8124999999999999E-2</v>
      </c>
      <c r="E43" s="134">
        <f>$B$8+($B$7-$B$8)*MIN(4/$B$10,1)</f>
        <v>3.7500000000000006E-2</v>
      </c>
      <c r="F43" s="134">
        <f>$B$8+($B$7-$B$8)*MIN(5/$B$10,1)</f>
        <v>3.6875000000000005E-2</v>
      </c>
    </row>
  </sheetData>
  <pageMargins left="0.7" right="0.7" top="0.75" bottom="0.75" header="0.3" footer="0.3"/>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6095CC-BAB1-4BE8-B208-6CF91C561349}">
  <sheetPr>
    <tabColor rgb="FF305496"/>
  </sheetPr>
  <dimension ref="A1"/>
  <sheetViews>
    <sheetView workbookViewId="0"/>
  </sheetViews>
  <sheetFormatPr defaultRowHeight="15" x14ac:dyDescent="0.25"/>
  <sheetData>
    <row r="1" spans="1:1" ht="18.75" x14ac:dyDescent="0.3">
      <c r="A1" s="46" t="s">
        <v>503</v>
      </c>
    </row>
  </sheetData>
  <pageMargins left="0.7" right="0.7" top="0.75" bottom="0.75" header="0.3" footer="0.3"/>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7F5845-822C-49A3-B256-5FCC8012E350}">
  <sheetPr>
    <tabColor rgb="FFB4C6E7"/>
  </sheetPr>
  <dimension ref="A1:K118"/>
  <sheetViews>
    <sheetView topLeftCell="A24" workbookViewId="0">
      <selection activeCell="F64" sqref="F64"/>
    </sheetView>
  </sheetViews>
  <sheetFormatPr defaultRowHeight="15" x14ac:dyDescent="0.25"/>
  <cols>
    <col min="1" max="1" width="53.85546875" bestFit="1" customWidth="1"/>
    <col min="2" max="3" width="10.140625" bestFit="1" customWidth="1"/>
    <col min="4" max="4" width="11.5703125" bestFit="1" customWidth="1"/>
    <col min="5" max="5" width="14.5703125" bestFit="1" customWidth="1"/>
    <col min="6" max="6" width="10.140625" bestFit="1" customWidth="1"/>
    <col min="7" max="8" width="9.42578125" bestFit="1" customWidth="1"/>
  </cols>
  <sheetData>
    <row r="1" spans="1:8" ht="15.75" x14ac:dyDescent="0.25">
      <c r="A1" s="15" t="s">
        <v>504</v>
      </c>
    </row>
    <row r="2" spans="1:8" x14ac:dyDescent="0.25">
      <c r="A2" t="s">
        <v>337</v>
      </c>
      <c r="B2" s="76">
        <f>'Valuation Dashboard'!$B$12</f>
        <v>0.21</v>
      </c>
    </row>
    <row r="3" spans="1:8" x14ac:dyDescent="0.25">
      <c r="A3" t="s">
        <v>551</v>
      </c>
      <c r="B3" s="50">
        <v>10</v>
      </c>
    </row>
    <row r="4" spans="1:8" x14ac:dyDescent="0.25">
      <c r="A4" s="24" t="s">
        <v>505</v>
      </c>
      <c r="B4" s="24"/>
      <c r="C4" s="24"/>
      <c r="D4" s="24"/>
      <c r="E4" s="24"/>
      <c r="F4" s="24"/>
      <c r="G4" s="24"/>
      <c r="H4" s="24"/>
    </row>
    <row r="5" spans="1:8" x14ac:dyDescent="0.25">
      <c r="A5" s="9" t="s">
        <v>506</v>
      </c>
      <c r="B5" s="167">
        <f>'AAPL - Income Statement FY'!B5</f>
        <v>45927</v>
      </c>
      <c r="C5" s="167">
        <f>'AAPL - Income Statement FY'!C5</f>
        <v>45563</v>
      </c>
      <c r="D5" s="167">
        <f>'AAPL - Income Statement FY'!D5</f>
        <v>45199</v>
      </c>
      <c r="E5" s="167">
        <f>'AAPL - Income Statement FY'!E5</f>
        <v>44828</v>
      </c>
      <c r="F5" s="167">
        <f>'AAPL - Income Statement FY'!F5</f>
        <v>44464</v>
      </c>
      <c r="G5" s="167">
        <f>'AAPL - Income Statement FY'!G5</f>
        <v>44100</v>
      </c>
      <c r="H5" s="167">
        <f>'AAPL - Income Statement FY'!H5</f>
        <v>43736</v>
      </c>
    </row>
    <row r="6" spans="1:8" x14ac:dyDescent="0.25">
      <c r="A6" t="s">
        <v>507</v>
      </c>
      <c r="B6" s="113">
        <f>IFERROR('AAPL - Income Statement FY'!B9/'AAPL - Income Statement FY'!B7,"")</f>
        <v>0.53094835892839554</v>
      </c>
      <c r="C6" s="113">
        <f>IFERROR('AAPL - Income Statement FY'!C9/'AAPL - Income Statement FY'!C7,"")</f>
        <v>0.53793650184766073</v>
      </c>
      <c r="D6" s="113">
        <f>IFERROR('AAPL - Income Statement FY'!D9/'AAPL - Income Statement FY'!D7,"")</f>
        <v>0.55868870422792438</v>
      </c>
      <c r="E6" s="113">
        <f>IFERROR('AAPL - Income Statement FY'!E9/'AAPL - Income Statement FY'!E7,"")</f>
        <v>0.56690369438639909</v>
      </c>
      <c r="F6" s="113">
        <f>IFERROR('AAPL - Income Statement FY'!F9/'AAPL - Income Statement FY'!F7,"")</f>
        <v>0.58220640374832222</v>
      </c>
      <c r="G6" s="113">
        <f>IFERROR('AAPL - Income Statement FY'!G9/'AAPL - Income Statement FY'!G7,"")</f>
        <v>0.61766752272189129</v>
      </c>
      <c r="H6" s="113">
        <f>IFERROR('AAPL - Income Statement FY'!H9/'AAPL - Income Statement FY'!H7,"")</f>
        <v>0.62182231890965278</v>
      </c>
    </row>
    <row r="7" spans="1:8" x14ac:dyDescent="0.25">
      <c r="A7" t="s">
        <v>318</v>
      </c>
      <c r="B7" s="113">
        <f>IFERROR('AAPL - Income Statement FY'!B13/'AAPL - Income Statement FY'!B7,"")</f>
        <v>8.3020753987038676E-2</v>
      </c>
      <c r="C7" s="113">
        <f>IFERROR('AAPL - Income Statement FY'!C13/'AAPL - Income Statement FY'!C7,"")</f>
        <v>8.0222997941360744E-2</v>
      </c>
      <c r="D7" s="113">
        <f>IFERROR('AAPL - Income Statement FY'!D13/'AAPL - Income Statement FY'!D7,"")</f>
        <v>7.8048971392045086E-2</v>
      </c>
      <c r="E7" s="113">
        <f>IFERROR('AAPL - Income Statement FY'!E13/'AAPL - Income Statement FY'!E7,"")</f>
        <v>6.657148363798665E-2</v>
      </c>
      <c r="F7" s="113">
        <f>IFERROR('AAPL - Income Statement FY'!F13/'AAPL - Income Statement FY'!F7,"")</f>
        <v>5.9904269074427925E-2</v>
      </c>
      <c r="G7" s="113">
        <f>IFERROR('AAPL - Income Statement FY'!G13/'AAPL - Income Statement FY'!G7,"")</f>
        <v>6.8309564140393061E-2</v>
      </c>
      <c r="H7" s="113">
        <f>IFERROR('AAPL - Income Statement FY'!H13/'AAPL - Income Statement FY'!H7,"")</f>
        <v>6.233136285716482E-2</v>
      </c>
    </row>
    <row r="8" spans="1:8" x14ac:dyDescent="0.25">
      <c r="A8" t="s">
        <v>319</v>
      </c>
      <c r="B8" s="113">
        <f>IFERROR('AAPL - Income Statement FY'!B14/'AAPL - Income Statement FY'!B7,"")</f>
        <v>6.6322889458647019E-2</v>
      </c>
      <c r="C8" s="113">
        <f>IFERROR('AAPL - Income Statement FY'!C14/'AAPL - Income Statement FY'!C7,"")</f>
        <v>6.6738271510222866E-2</v>
      </c>
      <c r="D8" s="113">
        <f>IFERROR('AAPL - Income Statement FY'!D14/'AAPL - Income Statement FY'!D7,"")</f>
        <v>6.5048201729783317E-2</v>
      </c>
      <c r="E8" s="113">
        <f>IFERROR('AAPL - Income Statement FY'!E14/'AAPL - Income Statement FY'!E7,"")</f>
        <v>6.3637378020328261E-2</v>
      </c>
      <c r="F8" s="113">
        <f>IFERROR('AAPL - Income Statement FY'!F14/'AAPL - Income Statement FY'!F7,"")</f>
        <v>6.006555190163388E-2</v>
      </c>
      <c r="G8" s="113">
        <f>IFERROR('AAPL - Income Statement FY'!G14/'AAPL - Income Statement FY'!G7,"")</f>
        <v>7.2549769593646979E-2</v>
      </c>
      <c r="H8" s="113">
        <f>IFERROR('AAPL - Income Statement FY'!H14/'AAPL - Income Statement FY'!H7,"")</f>
        <v>7.0126146348213125E-2</v>
      </c>
    </row>
    <row r="9" spans="1:8" x14ac:dyDescent="0.25">
      <c r="A9" t="s">
        <v>508</v>
      </c>
      <c r="B9" s="113">
        <f>IFERROR('AAPL - Income Statement FY'!B17/'AAPL - Income Statement FY'!B7,"")</f>
        <v>0</v>
      </c>
      <c r="C9" s="113">
        <f>IFERROR('AAPL - Income Statement FY'!C17/'AAPL - Income Statement FY'!C7,"")</f>
        <v>0</v>
      </c>
      <c r="D9" s="113">
        <f>IFERROR('AAPL - Income Statement FY'!D17/'AAPL - Income Statement FY'!D7,"")</f>
        <v>0</v>
      </c>
      <c r="E9" s="113">
        <f>IFERROR('AAPL - Income Statement FY'!E17/'AAPL - Income Statement FY'!E7,"")</f>
        <v>0</v>
      </c>
      <c r="F9" s="113">
        <f>IFERROR('AAPL - Income Statement FY'!F17/'AAPL - Income Statement FY'!F7,"")</f>
        <v>0</v>
      </c>
      <c r="G9" s="113">
        <f>IFERROR('AAPL - Income Statement FY'!G17/'AAPL - Income Statement FY'!G7,"")</f>
        <v>0</v>
      </c>
      <c r="H9" s="113">
        <f>IFERROR('AAPL - Income Statement FY'!H17/'AAPL - Income Statement FY'!H7,"")</f>
        <v>0</v>
      </c>
    </row>
    <row r="10" spans="1:8" x14ac:dyDescent="0.25">
      <c r="A10" t="s">
        <v>509</v>
      </c>
      <c r="B10" s="113">
        <f>IFERROR('AAPL - Cash Flow FY'!B8/'AAPL - Balance Sheet FY'!B15,"")</f>
        <v>0.23473933459084159</v>
      </c>
      <c r="C10" s="113">
        <f>IFERROR('AAPL - Cash Flow FY'!C8/'AAPL - Balance Sheet FY'!C15,"")</f>
        <v>0.25054728546409805</v>
      </c>
      <c r="D10" s="113">
        <f>IFERROR('AAPL - Cash Flow FY'!D8/'AAPL - Balance Sheet FY'!D15,"")</f>
        <v>0.21183978225687802</v>
      </c>
      <c r="E10" s="113">
        <f>IFERROR('AAPL - Cash Flow FY'!E8/'AAPL - Balance Sheet FY'!E15,"")</f>
        <v>0.21136787604218221</v>
      </c>
      <c r="F10" s="113">
        <f>IFERROR('AAPL - Cash Flow FY'!F8/'AAPL - Balance Sheet FY'!F15,"")</f>
        <v>0.22783532214751551</v>
      </c>
      <c r="G10" s="113">
        <f>IFERROR('AAPL - Cash Flow FY'!G8/'AAPL - Balance Sheet FY'!G15,"")</f>
        <v>0.24386800776424916</v>
      </c>
      <c r="H10" s="113">
        <f>IFERROR('AAPL - Cash Flow FY'!H8/'AAPL - Balance Sheet FY'!H15,"")</f>
        <v>0.33567874150569854</v>
      </c>
    </row>
    <row r="11" spans="1:8" x14ac:dyDescent="0.25">
      <c r="A11" t="s">
        <v>510</v>
      </c>
      <c r="B11" s="113">
        <f>IF('AAPL - Balance Sheet FY'!B51=0,"",'AAPL - Income Statement FY'!B23/'AAPL - Balance Sheet FY'!B51)</f>
        <v>0</v>
      </c>
      <c r="C11" s="113">
        <f>IF('AAPL - Balance Sheet FY'!C51=0,"",'AAPL - Income Statement FY'!C23/'AAPL - Balance Sheet FY'!C51)</f>
        <v>0</v>
      </c>
      <c r="D11" s="113">
        <f>IF('AAPL - Balance Sheet FY'!D51=0,"",'AAPL - Income Statement FY'!D23/'AAPL - Balance Sheet FY'!D51)</f>
        <v>3.1735657225853302E-2</v>
      </c>
      <c r="E11" s="113">
        <f>IF('AAPL - Balance Sheet FY'!E51=0,"",'AAPL - Income Statement FY'!E23/'AAPL - Balance Sheet FY'!E51)</f>
        <v>2.2124094202898549E-2</v>
      </c>
      <c r="F11" s="113">
        <f>IF('AAPL - Balance Sheet FY'!F51=0,"",'AAPL - Income Statement FY'!F23/'AAPL - Balance Sheet FY'!F51)</f>
        <v>1.9374166800955158E-2</v>
      </c>
      <c r="G11" s="113">
        <f>IF('AAPL - Balance Sheet FY'!G51=0,"",'AAPL - Income Statement FY'!G23/'AAPL - Balance Sheet FY'!G51)</f>
        <v>2.3495641080161597E-2</v>
      </c>
      <c r="H11" s="113">
        <f>IF('AAPL - Balance Sheet FY'!H51=0,"",'AAPL - Income Statement FY'!H23/'AAPL - Balance Sheet FY'!H51)</f>
        <v>3.3096707914148475E-2</v>
      </c>
    </row>
    <row r="12" spans="1:8" x14ac:dyDescent="0.25">
      <c r="A12" t="s">
        <v>511</v>
      </c>
      <c r="B12" s="113">
        <f>IFERROR('AAPL - Income Statement FY'!B25/'AAPL - Income Statement FY'!B7,"")</f>
        <v>0.31970799762591884</v>
      </c>
      <c r="C12" s="113">
        <f>IFERROR('AAPL - Income Statement FY'!C25/'AAPL - Income Statement FY'!C7,"")</f>
        <v>0.31510222870075566</v>
      </c>
      <c r="D12" s="113">
        <f>IFERROR('AAPL - Income Statement FY'!D25/'AAPL - Income Statement FY'!D7,"")</f>
        <v>0.29821412265024722</v>
      </c>
      <c r="E12" s="113">
        <f>IFERROR('AAPL - Income Statement FY'!E25/'AAPL - Income Statement FY'!E7,"")</f>
        <v>0.30288744395528594</v>
      </c>
      <c r="F12" s="113">
        <f>IFERROR('AAPL - Income Statement FY'!F25/'AAPL - Income Statement FY'!F7,"")</f>
        <v>0.29782377527561593</v>
      </c>
      <c r="G12" s="113">
        <f>IFERROR('AAPL - Income Statement FY'!G25/'AAPL - Income Statement FY'!G7,"")</f>
        <v>0.24147314354406862</v>
      </c>
      <c r="H12" s="113">
        <f>IFERROR('AAPL - Income Statement FY'!H25/'AAPL - Income Statement FY'!H7,"")</f>
        <v>0.24572017188496928</v>
      </c>
    </row>
    <row r="14" spans="1:8" x14ac:dyDescent="0.25">
      <c r="A14" s="24" t="s">
        <v>512</v>
      </c>
      <c r="B14" s="24"/>
      <c r="C14" s="24"/>
      <c r="D14" s="24"/>
      <c r="E14" s="24"/>
      <c r="F14" s="24"/>
      <c r="G14" s="24"/>
      <c r="H14" s="24"/>
    </row>
    <row r="15" spans="1:8" x14ac:dyDescent="0.25">
      <c r="A15" s="9" t="s">
        <v>506</v>
      </c>
      <c r="B15" s="9" t="s">
        <v>523</v>
      </c>
      <c r="C15" s="9" t="s">
        <v>524</v>
      </c>
      <c r="D15" s="9" t="s">
        <v>525</v>
      </c>
      <c r="E15" s="9" t="s">
        <v>1466</v>
      </c>
      <c r="F15" s="9" t="s">
        <v>1462</v>
      </c>
    </row>
    <row r="16" spans="1:8" x14ac:dyDescent="0.25">
      <c r="A16" t="s">
        <v>507</v>
      </c>
      <c r="B16" s="134">
        <f t="shared" ref="B16:B21" si="0">IFERROR(AVERAGE(B6:D6),"")</f>
        <v>0.54252452166799359</v>
      </c>
      <c r="C16" s="134">
        <f t="shared" ref="C16:C21" si="1">IFERROR(AVERAGE(B6:H6),"")</f>
        <v>0.57373907211003505</v>
      </c>
      <c r="D16" s="134">
        <f t="shared" ref="D16:D21" si="2">IFERROR(MEDIAN(B6:H6),"")</f>
        <v>0.56690369438639909</v>
      </c>
      <c r="E16" s="113">
        <f>CHOOSE('Valuation Dashboard'!$B$148,B16,C16,D16,F16)</f>
        <v>0.54252452166799359</v>
      </c>
      <c r="F16" s="123">
        <v>0.54252452166799403</v>
      </c>
    </row>
    <row r="17" spans="1:8" x14ac:dyDescent="0.25">
      <c r="A17" t="s">
        <v>318</v>
      </c>
      <c r="B17" s="134">
        <f t="shared" si="0"/>
        <v>8.0430907773481497E-2</v>
      </c>
      <c r="C17" s="134">
        <f t="shared" si="1"/>
        <v>7.1201343290059574E-2</v>
      </c>
      <c r="D17" s="134">
        <f t="shared" si="2"/>
        <v>6.8309564140393061E-2</v>
      </c>
      <c r="E17" s="113">
        <f>CHOOSE('Valuation Dashboard'!$B$148,B17,C17,D17,F17)</f>
        <v>8.0430907773481497E-2</v>
      </c>
      <c r="F17" s="123">
        <v>8.0430907773481497E-2</v>
      </c>
    </row>
    <row r="18" spans="1:8" x14ac:dyDescent="0.25">
      <c r="A18" t="s">
        <v>319</v>
      </c>
      <c r="B18" s="134">
        <f t="shared" si="0"/>
        <v>6.6036454232884401E-2</v>
      </c>
      <c r="C18" s="134">
        <f t="shared" si="1"/>
        <v>6.6355458366067918E-2</v>
      </c>
      <c r="D18" s="134">
        <f t="shared" si="2"/>
        <v>6.6322889458647019E-2</v>
      </c>
      <c r="E18" s="113">
        <f>CHOOSE('Valuation Dashboard'!$B$148,B18,C18,D18,F18)</f>
        <v>6.6036454232884401E-2</v>
      </c>
      <c r="F18" s="123">
        <v>6.6036454232884401E-2</v>
      </c>
    </row>
    <row r="19" spans="1:8" x14ac:dyDescent="0.25">
      <c r="A19" t="s">
        <v>508</v>
      </c>
      <c r="B19" s="134">
        <f t="shared" si="0"/>
        <v>0</v>
      </c>
      <c r="C19" s="134">
        <f t="shared" si="1"/>
        <v>0</v>
      </c>
      <c r="D19" s="134">
        <f t="shared" si="2"/>
        <v>0</v>
      </c>
      <c r="E19" s="113">
        <f>CHOOSE('Valuation Dashboard'!$B$148,B19,C19,D19,F19)</f>
        <v>0</v>
      </c>
      <c r="F19" s="123">
        <v>0</v>
      </c>
    </row>
    <row r="20" spans="1:8" x14ac:dyDescent="0.25">
      <c r="A20" t="s">
        <v>509</v>
      </c>
      <c r="B20" s="134">
        <f t="shared" si="0"/>
        <v>0.23237546743727255</v>
      </c>
      <c r="C20" s="134">
        <f t="shared" si="1"/>
        <v>0.24512519282449471</v>
      </c>
      <c r="D20" s="134">
        <f t="shared" si="2"/>
        <v>0.23473933459084159</v>
      </c>
      <c r="E20" s="113">
        <f>CHOOSE('Valuation Dashboard'!$B$148,B20,C20,D20,F20)</f>
        <v>0.23237546743727255</v>
      </c>
      <c r="F20" s="123">
        <v>0.232375467437273</v>
      </c>
    </row>
    <row r="21" spans="1:8" x14ac:dyDescent="0.25">
      <c r="A21" t="s">
        <v>510</v>
      </c>
      <c r="B21" s="134">
        <f t="shared" si="0"/>
        <v>1.0578552408617768E-2</v>
      </c>
      <c r="C21" s="134">
        <f t="shared" si="1"/>
        <v>1.8546609603431012E-2</v>
      </c>
      <c r="D21" s="134">
        <f t="shared" si="2"/>
        <v>2.2124094202898549E-2</v>
      </c>
      <c r="E21" s="113">
        <f>CHOOSE('Valuation Dashboard'!$B$148,B21,C21,D21,F21)</f>
        <v>1.0578552408617768E-2</v>
      </c>
      <c r="F21" s="123">
        <v>1.0578552408617801E-2</v>
      </c>
    </row>
    <row r="23" spans="1:8" x14ac:dyDescent="0.25">
      <c r="A23" s="24" t="s">
        <v>513</v>
      </c>
      <c r="B23" s="24"/>
      <c r="C23" s="24"/>
      <c r="D23" s="24"/>
      <c r="E23" s="24"/>
      <c r="F23" s="24"/>
      <c r="G23" s="24"/>
      <c r="H23" s="24"/>
    </row>
    <row r="24" spans="1:8" x14ac:dyDescent="0.25">
      <c r="A24" s="9" t="s">
        <v>514</v>
      </c>
      <c r="B24" s="167">
        <f>EDATE('AAPL - Income Statement FY'!B5,12)</f>
        <v>46292</v>
      </c>
      <c r="C24" s="168">
        <f>EDATE(B24,12)</f>
        <v>46657</v>
      </c>
      <c r="D24" s="168">
        <f>EDATE(C24,12)</f>
        <v>47023</v>
      </c>
      <c r="E24" s="168">
        <f>EDATE(D24,12)</f>
        <v>47388</v>
      </c>
      <c r="F24" s="168">
        <f>EDATE(E24,12)</f>
        <v>47753</v>
      </c>
    </row>
    <row r="25" spans="1:8" x14ac:dyDescent="0.25">
      <c r="A25" t="s">
        <v>515</v>
      </c>
      <c r="B25" s="109">
        <f>'AAPL Rev Drivers &amp; Forecast'!B35</f>
        <v>443076.21267500002</v>
      </c>
      <c r="C25" s="109">
        <f>'AAPL Rev Drivers &amp; Forecast'!C35</f>
        <v>471455.24409683381</v>
      </c>
      <c r="D25" s="109">
        <f>'AAPL Rev Drivers &amp; Forecast'!D35</f>
        <v>501357.29295367544</v>
      </c>
      <c r="E25" s="109">
        <f>'AAPL Rev Drivers &amp; Forecast'!E35</f>
        <v>532842.53095116629</v>
      </c>
      <c r="F25" s="109">
        <f>'AAPL Rev Drivers &amp; Forecast'!F35</f>
        <v>565972.01531305513</v>
      </c>
    </row>
    <row r="26" spans="1:8" x14ac:dyDescent="0.25">
      <c r="A26" t="s">
        <v>516</v>
      </c>
      <c r="B26" s="119">
        <f>B25*B77</f>
        <v>235763.5002343971</v>
      </c>
      <c r="C26" s="119">
        <f>C25*C77</f>
        <v>251409.91668742045</v>
      </c>
      <c r="D26" s="119">
        <f>D25*D77</f>
        <v>267935.97001471161</v>
      </c>
      <c r="E26" s="119">
        <f>E25*E77</f>
        <v>285379.17611692252</v>
      </c>
      <c r="F26" s="119">
        <f>F25*F77</f>
        <v>303777.80480752449</v>
      </c>
    </row>
    <row r="27" spans="1:8" x14ac:dyDescent="0.25">
      <c r="A27" s="9" t="s">
        <v>517</v>
      </c>
      <c r="B27" s="147">
        <f>B25-B26</f>
        <v>207312.71244060292</v>
      </c>
      <c r="C27" s="147">
        <f>C25-C26</f>
        <v>220045.32740941335</v>
      </c>
      <c r="D27" s="147">
        <f>D25-D26</f>
        <v>233421.32293896383</v>
      </c>
      <c r="E27" s="147">
        <f>E25-E26</f>
        <v>247463.35483424377</v>
      </c>
      <c r="F27" s="147">
        <f>F25-F26</f>
        <v>262194.21050553065</v>
      </c>
    </row>
    <row r="28" spans="1:8" x14ac:dyDescent="0.25">
      <c r="A28" t="s">
        <v>518</v>
      </c>
      <c r="B28" s="119">
        <f>B25*B78</f>
        <v>36669.771324828645</v>
      </c>
      <c r="C28" s="119">
        <f>C25*C78</f>
        <v>38896.370520305332</v>
      </c>
      <c r="D28" s="119">
        <f>D25*D78</f>
        <v>41233.528991876163</v>
      </c>
      <c r="E28" s="119">
        <f>E25*E78</f>
        <v>43684.996591445379</v>
      </c>
      <c r="F28" s="119">
        <f>F25*F78</f>
        <v>46254.533206434717</v>
      </c>
    </row>
    <row r="29" spans="1:8" x14ac:dyDescent="0.25">
      <c r="A29" t="s">
        <v>519</v>
      </c>
      <c r="B29" s="119">
        <f>B25*B79</f>
        <v>29373.403411499239</v>
      </c>
      <c r="C29" s="119">
        <f>C25*C79</f>
        <v>31241.265761077786</v>
      </c>
      <c r="D29" s="119">
        <f>D25*D79</f>
        <v>33208.382403034651</v>
      </c>
      <c r="E29" s="119">
        <f>E25*E79</f>
        <v>35278.606330880335</v>
      </c>
      <c r="F29" s="119">
        <f>F25*F79</f>
        <v>37455.842247304667</v>
      </c>
    </row>
    <row r="30" spans="1:8" x14ac:dyDescent="0.25">
      <c r="A30" t="s">
        <v>520</v>
      </c>
      <c r="B30" s="119">
        <f>B25*B80</f>
        <v>0</v>
      </c>
      <c r="C30" s="119">
        <f>C25*C80</f>
        <v>0</v>
      </c>
      <c r="D30" s="119">
        <f>D25*D80</f>
        <v>0</v>
      </c>
      <c r="E30" s="119">
        <f>E25*E80</f>
        <v>0</v>
      </c>
      <c r="F30" s="119">
        <f>F25*F80</f>
        <v>0</v>
      </c>
    </row>
    <row r="31" spans="1:8" x14ac:dyDescent="0.25">
      <c r="A31" s="9" t="s">
        <v>521</v>
      </c>
      <c r="B31" s="147">
        <f>SUM(B28:B30)</f>
        <v>66043.174736327885</v>
      </c>
      <c r="C31" s="147">
        <f>SUM(C28:C30)</f>
        <v>70137.636281383122</v>
      </c>
      <c r="D31" s="147">
        <f>SUM(D28:D30)</f>
        <v>74441.911394910814</v>
      </c>
      <c r="E31" s="147">
        <f>SUM(E28:E30)</f>
        <v>78963.602922325721</v>
      </c>
      <c r="F31" s="147">
        <f>SUM(F28:F30)</f>
        <v>83710.375453739383</v>
      </c>
    </row>
    <row r="32" spans="1:8" x14ac:dyDescent="0.25">
      <c r="A32" s="9" t="s">
        <v>522</v>
      </c>
      <c r="B32" s="147">
        <f>B27-B31+B25*IF('Valuation Dashboard'!$B$151="Yes",'AAPL - Reconciliation FY'!$B$152,0)</f>
        <v>141766.18729827504</v>
      </c>
      <c r="C32" s="147">
        <f>C27-C31+C25*IF('Valuation Dashboard'!$B$151="Yes",'AAPL - Reconciliation FY'!$B$152,0)</f>
        <v>150436.15112852593</v>
      </c>
      <c r="D32" s="147">
        <f>D27-D31+D25*IF('Valuation Dashboard'!$B$151="Yes",'AAPL - Reconciliation FY'!$B$152,0)</f>
        <v>159541.38912008013</v>
      </c>
      <c r="E32" s="147">
        <f>E27-E31+E25*IF('Valuation Dashboard'!$B$151="Yes",'AAPL - Reconciliation FY'!$B$152,0)</f>
        <v>169097.02167971971</v>
      </c>
      <c r="F32" s="147">
        <f>F27-F31+F25*IF('Valuation Dashboard'!$B$151="Yes",'AAPL - Reconciliation FY'!$B$152,0)</f>
        <v>179118.24006740598</v>
      </c>
    </row>
    <row r="33" spans="1:8" x14ac:dyDescent="0.25">
      <c r="A33" t="s">
        <v>320</v>
      </c>
      <c r="B33" s="134">
        <f>B32/B25</f>
        <v>0.31995892183510577</v>
      </c>
      <c r="C33" s="134">
        <f>C32/C25</f>
        <v>0.3190889337050779</v>
      </c>
      <c r="D33" s="134">
        <f>D32/D25</f>
        <v>0.31821894557505015</v>
      </c>
      <c r="E33" s="134">
        <f>E32/E25</f>
        <v>0.31734895744502239</v>
      </c>
      <c r="F33" s="134">
        <f>F32/F25</f>
        <v>0.31647896931499453</v>
      </c>
    </row>
    <row r="35" spans="1:8" x14ac:dyDescent="0.25">
      <c r="A35" t="s">
        <v>545</v>
      </c>
      <c r="B35" s="119">
        <f>B61</f>
        <v>53340.474326362302</v>
      </c>
      <c r="C35" s="119">
        <f>C61</f>
        <v>57058.54772043413</v>
      </c>
      <c r="D35" s="119">
        <f>D61</f>
        <v>60998.232118725195</v>
      </c>
      <c r="E35" s="119">
        <f>E61</f>
        <v>65169.809954276585</v>
      </c>
      <c r="F35" s="119">
        <f>F61</f>
        <v>69583.826511456122</v>
      </c>
    </row>
    <row r="36" spans="1:8" x14ac:dyDescent="0.25">
      <c r="A36" t="s">
        <v>266</v>
      </c>
      <c r="B36" s="119">
        <f>B35*B81</f>
        <v>12508.498470608569</v>
      </c>
      <c r="C36" s="119">
        <f>C35*C81</f>
        <v>13366.909759257152</v>
      </c>
      <c r="D36" s="119">
        <f>D35*D81</f>
        <v>14275.426903567883</v>
      </c>
      <c r="E36" s="119">
        <f>E35*E81</f>
        <v>15236.29671481639</v>
      </c>
      <c r="F36" s="119">
        <f>F35*F81</f>
        <v>16251.817672628735</v>
      </c>
    </row>
    <row r="37" spans="1:8" x14ac:dyDescent="0.25">
      <c r="A37" s="9" t="s">
        <v>406</v>
      </c>
      <c r="B37" s="147">
        <f>B32+B36</f>
        <v>154274.68576888362</v>
      </c>
      <c r="C37" s="147">
        <f>C32+C36</f>
        <v>163803.0608877831</v>
      </c>
      <c r="D37" s="147">
        <f>D32+D36</f>
        <v>173816.81602364802</v>
      </c>
      <c r="E37" s="147">
        <f>E32+E36</f>
        <v>184333.31839453609</v>
      </c>
      <c r="F37" s="147">
        <f>F32+F36</f>
        <v>195370.05774003471</v>
      </c>
    </row>
    <row r="39" spans="1:8" x14ac:dyDescent="0.25">
      <c r="A39" t="s">
        <v>261</v>
      </c>
      <c r="B39" s="119">
        <f>B32*$B$2</f>
        <v>29770.899332637757</v>
      </c>
      <c r="C39" s="119">
        <f>C32*$B$2</f>
        <v>31591.591736990445</v>
      </c>
      <c r="D39" s="119">
        <f>D32*$B$2</f>
        <v>33503.691715216824</v>
      </c>
      <c r="E39" s="119">
        <f>E32*$B$2</f>
        <v>35510.374552741137</v>
      </c>
      <c r="F39" s="119">
        <f>F32*$B$2</f>
        <v>37614.830414155251</v>
      </c>
    </row>
    <row r="40" spans="1:8" x14ac:dyDescent="0.25">
      <c r="A40" s="9" t="s">
        <v>259</v>
      </c>
      <c r="B40" s="147">
        <f>B32-B39</f>
        <v>111995.28796563728</v>
      </c>
      <c r="C40" s="147">
        <f>C32-C39</f>
        <v>118844.55939153548</v>
      </c>
      <c r="D40" s="147">
        <f>D32-D39</f>
        <v>126037.69740486331</v>
      </c>
      <c r="E40" s="147">
        <f>E32-E39</f>
        <v>133586.64712697855</v>
      </c>
      <c r="F40" s="147">
        <f>F32-F39</f>
        <v>141503.40965325071</v>
      </c>
    </row>
    <row r="41" spans="1:8" x14ac:dyDescent="0.25">
      <c r="A41" t="s">
        <v>278</v>
      </c>
      <c r="B41" s="134">
        <f>B40/B25</f>
        <v>0.25276754824973358</v>
      </c>
      <c r="C41" s="134">
        <f>C40/C25</f>
        <v>0.25208025762701153</v>
      </c>
      <c r="D41" s="134">
        <f>D40/D25</f>
        <v>0.25139296700428965</v>
      </c>
      <c r="E41" s="134">
        <f>E40/E25</f>
        <v>0.25070567638156765</v>
      </c>
      <c r="F41" s="134">
        <f>F40/F25</f>
        <v>0.25001838575884566</v>
      </c>
    </row>
    <row r="43" spans="1:8" x14ac:dyDescent="0.25">
      <c r="A43" s="24" t="s">
        <v>532</v>
      </c>
      <c r="B43" s="24"/>
      <c r="C43" s="24"/>
      <c r="D43" s="24"/>
      <c r="E43" s="24"/>
      <c r="F43" s="24"/>
      <c r="G43" s="24"/>
      <c r="H43" s="24"/>
    </row>
    <row r="44" spans="1:8" x14ac:dyDescent="0.25">
      <c r="A44" s="9" t="s">
        <v>506</v>
      </c>
      <c r="B44" s="167">
        <f>'AAPL - Income Statement FY'!B5</f>
        <v>45927</v>
      </c>
      <c r="C44" s="167">
        <f>'AAPL - Income Statement FY'!C5</f>
        <v>45563</v>
      </c>
      <c r="D44" s="167">
        <f>'AAPL - Income Statement FY'!D5</f>
        <v>45199</v>
      </c>
      <c r="E44" s="167">
        <f>'AAPL - Income Statement FY'!E5</f>
        <v>44828</v>
      </c>
      <c r="F44" s="167">
        <f>'AAPL - Income Statement FY'!F5</f>
        <v>44464</v>
      </c>
      <c r="G44" s="167">
        <f>'AAPL - Income Statement FY'!G5</f>
        <v>44100</v>
      </c>
      <c r="H44" s="167">
        <f>'AAPL - Income Statement FY'!H5</f>
        <v>43736</v>
      </c>
    </row>
    <row r="45" spans="1:8" x14ac:dyDescent="0.25">
      <c r="A45" t="s">
        <v>533</v>
      </c>
      <c r="B45" s="113">
        <f>IFERROR('AAPL - Reconciliation FY'!B22/'AAPL - Income Statement FY'!B7,"")</f>
        <v>-9.4878616689214032E-2</v>
      </c>
      <c r="C45" s="113">
        <f>IFERROR('AAPL - Reconciliation FY'!C22/'AAPL - Income Statement FY'!C7,"")</f>
        <v>-0.14477553160203052</v>
      </c>
      <c r="D45" s="113">
        <f>IFERROR('AAPL - Reconciliation FY'!D22/'AAPL - Income Statement FY'!D7,"")</f>
        <v>-9.5684151479969226E-2</v>
      </c>
      <c r="E45" s="113">
        <f>IFERROR('AAPL - Reconciliation FY'!E22/'AAPL - Income Statement FY'!E7,"")</f>
        <v>-8.7638818445558014E-2</v>
      </c>
      <c r="F45" s="113">
        <f>IFERROR('AAPL - Reconciliation FY'!F22/'AAPL - Income Statement FY'!F7,"")</f>
        <v>-7.4623814639560221E-2</v>
      </c>
      <c r="G45" s="113">
        <f>IFERROR('AAPL - Reconciliation FY'!G22/'AAPL - Income Statement FY'!G7,"")</f>
        <v>-0.11089630803416935</v>
      </c>
      <c r="H45" s="113">
        <f>IFERROR('AAPL - Reconciliation FY'!H22/'AAPL - Income Statement FY'!H7,"")</f>
        <v>-8.4606916909452864E-2</v>
      </c>
    </row>
    <row r="46" spans="1:8" x14ac:dyDescent="0.25">
      <c r="A46" t="s">
        <v>534</v>
      </c>
      <c r="B46" s="113">
        <f>IFERROR('AAPL - Reconciliation FY'!B24/'AAPL - Income Statement FY'!B7,"")</f>
        <v>0.11974692486801983</v>
      </c>
      <c r="C46" s="113">
        <f>IFERROR('AAPL - Reconciliation FY'!C24/'AAPL - Income Statement FY'!C7,"")</f>
        <v>0.11681818763026328</v>
      </c>
      <c r="D46" s="113">
        <f>IFERROR('AAPL - Reconciliation FY'!D24/'AAPL - Income Statement FY'!D7,"")</f>
        <v>0.14186832252762305</v>
      </c>
      <c r="E46" s="113">
        <f>IFERROR('AAPL - Reconciliation FY'!E24/'AAPL - Income Statement FY'!E7,"")</f>
        <v>0.13322411799314277</v>
      </c>
      <c r="F46" s="113">
        <f>IFERROR('AAPL - Reconciliation FY'!F24/'AAPL - Income Statement FY'!F7,"")</f>
        <v>0.13538736581405456</v>
      </c>
      <c r="G46" s="113">
        <f>IFERROR('AAPL - Reconciliation FY'!G24/'AAPL - Income Statement FY'!G7,"")</f>
        <v>0.16514944538549806</v>
      </c>
      <c r="H46" s="113">
        <f>IFERROR('AAPL - Reconciliation FY'!H24/'AAPL - Income Statement FY'!H7,"")</f>
        <v>0.14366539315996218</v>
      </c>
    </row>
    <row r="47" spans="1:8" x14ac:dyDescent="0.25">
      <c r="A47" t="s">
        <v>535</v>
      </c>
      <c r="B47" s="113">
        <f>IFERROR(('AAPL - Reconciliation FY'!B25+'AAPL - Reconciliation FY'!B26)/'AAPL - Income Statement FY'!B7,"")</f>
        <v>0</v>
      </c>
      <c r="C47" s="113">
        <f>IFERROR(('AAPL - Reconciliation FY'!C25+'AAPL - Reconciliation FY'!C26)/'AAPL - Income Statement FY'!C7,"")</f>
        <v>0</v>
      </c>
      <c r="D47" s="113">
        <f>IFERROR(('AAPL - Reconciliation FY'!D25+'AAPL - Reconciliation FY'!D26)/'AAPL - Income Statement FY'!D7,"")</f>
        <v>0</v>
      </c>
      <c r="E47" s="113">
        <f>IFERROR(('AAPL - Reconciliation FY'!E25+'AAPL - Reconciliation FY'!E26)/'AAPL - Income Statement FY'!E7,"")</f>
        <v>0</v>
      </c>
      <c r="F47" s="113">
        <f>IFERROR(('AAPL - Reconciliation FY'!F25+'AAPL - Reconciliation FY'!F26)/'AAPL - Income Statement FY'!F7,"")</f>
        <v>0</v>
      </c>
      <c r="G47" s="113">
        <f>IFERROR(('AAPL - Reconciliation FY'!G25+'AAPL - Reconciliation FY'!G26)/'AAPL - Income Statement FY'!G7,"")</f>
        <v>0</v>
      </c>
      <c r="H47" s="113">
        <f>IFERROR(('AAPL - Reconciliation FY'!H25+'AAPL - Reconciliation FY'!H26)/'AAPL - Income Statement FY'!H7,"")</f>
        <v>0</v>
      </c>
    </row>
    <row r="48" spans="1:8" x14ac:dyDescent="0.25">
      <c r="A48" t="s">
        <v>536</v>
      </c>
      <c r="B48" s="113">
        <f>IFERROR(('AAPL - Reconciliation FY'!B27+'AAPL - Reconciliation FY'!B28+'AAPL - Reconciliation FY'!B29+'AAPL - Reconciliation FY'!B30)/'AAPL - Income Statement FY'!B7,"")</f>
        <v>0.1071868819999952</v>
      </c>
      <c r="C48" s="113">
        <f>IFERROR(('AAPL - Reconciliation FY'!C27+'AAPL - Reconciliation FY'!C28+'AAPL - Reconciliation FY'!C29+'AAPL - Reconciliation FY'!C30)/'AAPL - Income Statement FY'!C7,"")</f>
        <v>7.9386755661257941E-2</v>
      </c>
      <c r="D48" s="113">
        <f>IFERROR(('AAPL - Reconciliation FY'!D27+'AAPL - Reconciliation FY'!D28+'AAPL - Reconciliation FY'!D29+'AAPL - Reconciliation FY'!D30)/'AAPL - Income Statement FY'!D7,"")</f>
        <v>2.330119884681112E-2</v>
      </c>
      <c r="E48" s="113">
        <f>IFERROR(('AAPL - Reconciliation FY'!E27+'AAPL - Reconciliation FY'!E28+'AAPL - Reconciliation FY'!E29+'AAPL - Reconciliation FY'!E30)/'AAPL - Income Statement FY'!E7,"")</f>
        <v>2.5106003124302609E-3</v>
      </c>
      <c r="F48" s="113">
        <f>IFERROR(('AAPL - Reconciliation FY'!F27+'AAPL - Reconciliation FY'!F28+'AAPL - Reconciliation FY'!F29+'AAPL - Reconciliation FY'!F30)/'AAPL - Income Statement FY'!F7,"")</f>
        <v>1.636610655054303E-2</v>
      </c>
      <c r="G48" s="113">
        <f>IFERROR(('AAPL - Reconciliation FY'!G27+'AAPL - Reconciliation FY'!G28+'AAPL - Reconciliation FY'!G29+'AAPL - Reconciliation FY'!G30)/'AAPL - Income Statement FY'!G7,"")</f>
        <v>-1.3747882629364515E-2</v>
      </c>
      <c r="H48" s="113">
        <f>IFERROR(('AAPL - Reconciliation FY'!H27+'AAPL - Reconciliation FY'!H28+'AAPL - Reconciliation FY'!H29+'AAPL - Reconciliation FY'!H30)/'AAPL - Income Statement FY'!H7,"")</f>
        <v>-6.7358767593994784E-2</v>
      </c>
    </row>
    <row r="49" spans="1:8" x14ac:dyDescent="0.25">
      <c r="A49" t="s">
        <v>537</v>
      </c>
      <c r="B49" s="113">
        <f>IFERROR('AAPL - Reconciliation FY'!B32/'AAPL - Income Statement FY'!B7,"")</f>
        <v>0.13205519017880099</v>
      </c>
      <c r="C49" s="113">
        <f>IFERROR('AAPL - Reconciliation FY'!C32/'AAPL - Income Statement FY'!C7,"")</f>
        <v>5.1429411689490702E-2</v>
      </c>
      <c r="D49" s="113">
        <f>IFERROR('AAPL - Reconciliation FY'!D32/'AAPL - Income Statement FY'!D7,"")</f>
        <v>6.9485369894464952E-2</v>
      </c>
      <c r="E49" s="113">
        <f>IFERROR('AAPL - Reconciliation FY'!E32/'AAPL - Income Statement FY'!E7,"")</f>
        <v>4.8095899860015008E-2</v>
      </c>
      <c r="F49" s="113">
        <f>IFERROR('AAPL - Reconciliation FY'!F32/'AAPL - Income Statement FY'!F7,"")</f>
        <v>7.7129657725037368E-2</v>
      </c>
      <c r="G49" s="113">
        <f>IFERROR('AAPL - Reconciliation FY'!G32/'AAPL - Income Statement FY'!G7,"")</f>
        <v>4.0505254721964201E-2</v>
      </c>
      <c r="H49" s="113">
        <f>IFERROR('AAPL - Reconciliation FY'!H32/'AAPL - Income Statement FY'!H7,"")</f>
        <v>-8.300291343485474E-3</v>
      </c>
    </row>
    <row r="51" spans="1:8" x14ac:dyDescent="0.25">
      <c r="A51" s="24" t="s">
        <v>512</v>
      </c>
      <c r="B51" s="24"/>
      <c r="C51" s="24"/>
      <c r="D51" s="24"/>
      <c r="E51" s="24"/>
      <c r="F51" s="24"/>
      <c r="G51" s="24"/>
      <c r="H51" s="24"/>
    </row>
    <row r="52" spans="1:8" x14ac:dyDescent="0.25">
      <c r="A52" s="9" t="s">
        <v>506</v>
      </c>
      <c r="B52" s="9" t="s">
        <v>523</v>
      </c>
      <c r="C52" s="9" t="s">
        <v>524</v>
      </c>
      <c r="D52" s="9" t="s">
        <v>525</v>
      </c>
      <c r="E52" s="9" t="s">
        <v>1466</v>
      </c>
      <c r="F52" s="9" t="s">
        <v>1462</v>
      </c>
    </row>
    <row r="53" spans="1:8" x14ac:dyDescent="0.25">
      <c r="A53" t="s">
        <v>533</v>
      </c>
      <c r="B53" s="134">
        <f>IFERROR(AVERAGE(B45:D45),"")</f>
        <v>-0.11177943325707125</v>
      </c>
      <c r="C53" s="134">
        <f>IFERROR(AVERAGE(B45:H45),"")</f>
        <v>-9.9014879685707755E-2</v>
      </c>
      <c r="D53" s="134">
        <f>IFERROR(MEDIAN(B45:H45),"")</f>
        <v>-9.4878616689214032E-2</v>
      </c>
      <c r="E53" s="113">
        <f>CHOOSE('Valuation Dashboard'!$B$148,B53,C53,D53,F53)</f>
        <v>-0.11177943325707125</v>
      </c>
      <c r="F53" s="123">
        <v>-0.111779433257071</v>
      </c>
    </row>
    <row r="54" spans="1:8" x14ac:dyDescent="0.25">
      <c r="A54" t="s">
        <v>534</v>
      </c>
      <c r="B54" s="134">
        <f>IFERROR(AVERAGE(B46:D46),"")</f>
        <v>0.12614447834196871</v>
      </c>
      <c r="C54" s="134">
        <f>IFERROR(AVERAGE(B46:H46),"")</f>
        <v>0.13655139391122337</v>
      </c>
      <c r="D54" s="134">
        <f>IFERROR(MEDIAN(B46:H46),"")</f>
        <v>0.13538736581405456</v>
      </c>
      <c r="E54" s="113">
        <f>CHOOSE('Valuation Dashboard'!$B$148,B54,C54,D54,F54)</f>
        <v>0.12614447834196871</v>
      </c>
      <c r="F54" s="123">
        <v>0.12614447834196901</v>
      </c>
    </row>
    <row r="55" spans="1:8" x14ac:dyDescent="0.25">
      <c r="A55" t="s">
        <v>535</v>
      </c>
      <c r="B55" s="134">
        <f>IFERROR(AVERAGE(B47:D47),"")</f>
        <v>0</v>
      </c>
      <c r="C55" s="134">
        <f>IFERROR(AVERAGE(B47:H47),"")</f>
        <v>0</v>
      </c>
      <c r="D55" s="134">
        <f>IFERROR(MEDIAN(B47:H47),"")</f>
        <v>0</v>
      </c>
      <c r="E55" s="113">
        <f>CHOOSE('Valuation Dashboard'!$B$148,B55,C55,D55,F55)</f>
        <v>0</v>
      </c>
      <c r="F55" s="123">
        <v>0</v>
      </c>
    </row>
    <row r="56" spans="1:8" x14ac:dyDescent="0.25">
      <c r="A56" t="s">
        <v>536</v>
      </c>
      <c r="B56" s="134">
        <f>IFERROR(AVERAGE(B48:D48),"")</f>
        <v>6.9958278836021418E-2</v>
      </c>
      <c r="C56" s="134">
        <f>IFERROR(AVERAGE(B48:H48),"")</f>
        <v>2.1092127592525458E-2</v>
      </c>
      <c r="D56" s="134">
        <f>IFERROR(MEDIAN(B48:H48),"")</f>
        <v>1.636610655054303E-2</v>
      </c>
      <c r="E56" s="113">
        <f>CHOOSE('Valuation Dashboard'!$B$148,B56,C56,D56,F56)</f>
        <v>6.9958278836021418E-2</v>
      </c>
      <c r="F56" s="123">
        <v>6.9958278836021404E-2</v>
      </c>
    </row>
    <row r="58" spans="1:8" x14ac:dyDescent="0.25">
      <c r="A58" s="24" t="s">
        <v>538</v>
      </c>
      <c r="B58" s="24"/>
      <c r="C58" s="24"/>
      <c r="D58" s="24"/>
      <c r="E58" s="24"/>
      <c r="F58" s="24"/>
      <c r="G58" s="24"/>
      <c r="H58" s="24"/>
    </row>
    <row r="59" spans="1:8" x14ac:dyDescent="0.25">
      <c r="A59" s="9" t="s">
        <v>514</v>
      </c>
      <c r="B59" s="168">
        <f>B24</f>
        <v>46292</v>
      </c>
      <c r="C59" s="168">
        <f>C24</f>
        <v>46657</v>
      </c>
      <c r="D59" s="168">
        <f>D24</f>
        <v>47023</v>
      </c>
      <c r="E59" s="168">
        <f>E24</f>
        <v>47388</v>
      </c>
      <c r="F59" s="168">
        <f>F24</f>
        <v>47753</v>
      </c>
    </row>
    <row r="60" spans="1:8" x14ac:dyDescent="0.25">
      <c r="A60" t="s">
        <v>235</v>
      </c>
      <c r="B60" s="119">
        <f>B25*B82</f>
        <v>-42787.293126100107</v>
      </c>
      <c r="C60" s="119">
        <f>C25*C82</f>
        <v>-46324.617110870313</v>
      </c>
      <c r="D60" s="119">
        <f>D25*D82</f>
        <v>-50110.090715444021</v>
      </c>
      <c r="E60" s="119">
        <f>E25*E82</f>
        <v>-54157.551799889749</v>
      </c>
      <c r="F60" s="119">
        <f>F25*F82</f>
        <v>-58481.33650438254</v>
      </c>
    </row>
    <row r="61" spans="1:8" x14ac:dyDescent="0.25">
      <c r="A61" t="s">
        <v>236</v>
      </c>
      <c r="B61" s="119">
        <f>B25*B83</f>
        <v>53340.474326362302</v>
      </c>
      <c r="C61" s="119">
        <f>C25*C83</f>
        <v>57058.54772043413</v>
      </c>
      <c r="D61" s="119">
        <f>D25*D83</f>
        <v>60998.232118725195</v>
      </c>
      <c r="E61" s="119">
        <f>E25*E83</f>
        <v>65169.809954276585</v>
      </c>
      <c r="F61" s="119">
        <f>F25*F83</f>
        <v>69583.826511456122</v>
      </c>
    </row>
    <row r="62" spans="1:8" x14ac:dyDescent="0.25">
      <c r="A62" t="s">
        <v>539</v>
      </c>
      <c r="B62" s="119">
        <f>B25*B84</f>
        <v>0</v>
      </c>
      <c r="C62" s="119">
        <f>C25*C84</f>
        <v>0</v>
      </c>
      <c r="D62" s="119">
        <f>D25*D84</f>
        <v>0</v>
      </c>
      <c r="E62" s="119">
        <f>E25*E84</f>
        <v>0</v>
      </c>
      <c r="F62" s="119">
        <f>F25*F84</f>
        <v>0</v>
      </c>
    </row>
    <row r="63" spans="1:8" x14ac:dyDescent="0.25">
      <c r="A63" t="s">
        <v>540</v>
      </c>
      <c r="B63" s="119">
        <f>B25*B85</f>
        <v>45842.4468756926</v>
      </c>
      <c r="C63" s="119">
        <f>C25*C85</f>
        <v>47023.493578875175</v>
      </c>
      <c r="D63" s="119">
        <f>D25*D85</f>
        <v>48139.475488841672</v>
      </c>
      <c r="E63" s="119">
        <f>E25*E85</f>
        <v>49178.936236174093</v>
      </c>
      <c r="F63" s="119">
        <f>F25*F85</f>
        <v>50129.601840657808</v>
      </c>
    </row>
    <row r="64" spans="1:8" x14ac:dyDescent="0.25">
      <c r="A64" s="9" t="s">
        <v>541</v>
      </c>
      <c r="B64" s="147">
        <f>SUM(B60:B63)</f>
        <v>56395.628075954795</v>
      </c>
      <c r="C64" s="147">
        <f>SUM(C60:C63)</f>
        <v>57757.424188438992</v>
      </c>
      <c r="D64" s="147">
        <f>SUM(D60:D63)</f>
        <v>59027.616892122845</v>
      </c>
      <c r="E64" s="147">
        <f>SUM(E60:E63)</f>
        <v>60191.19439056093</v>
      </c>
      <c r="F64" s="147">
        <f>SUM(F60:F63)</f>
        <v>61232.09184773139</v>
      </c>
    </row>
    <row r="66" spans="1:8" x14ac:dyDescent="0.25">
      <c r="A66" s="24" t="s">
        <v>542</v>
      </c>
      <c r="B66" s="24"/>
      <c r="C66" s="24"/>
      <c r="D66" s="24"/>
      <c r="E66" s="24"/>
      <c r="F66" s="24"/>
      <c r="G66" s="24"/>
      <c r="H66" s="24"/>
    </row>
    <row r="67" spans="1:8" x14ac:dyDescent="0.25">
      <c r="A67" t="s">
        <v>259</v>
      </c>
      <c r="B67" s="119">
        <f>B40</f>
        <v>111995.28796563728</v>
      </c>
      <c r="C67" s="119">
        <f>C40</f>
        <v>118844.55939153548</v>
      </c>
      <c r="D67" s="119">
        <f>D40</f>
        <v>126037.69740486331</v>
      </c>
      <c r="E67" s="119">
        <f>E40</f>
        <v>133586.64712697855</v>
      </c>
      <c r="F67" s="119">
        <f>F40</f>
        <v>141503.40965325071</v>
      </c>
    </row>
    <row r="68" spans="1:8" x14ac:dyDescent="0.25">
      <c r="A68" t="s">
        <v>266</v>
      </c>
      <c r="B68" s="119">
        <f>B36</f>
        <v>12508.498470608569</v>
      </c>
      <c r="C68" s="119">
        <f>C36</f>
        <v>13366.909759257152</v>
      </c>
      <c r="D68" s="119">
        <f>D36</f>
        <v>14275.426903567883</v>
      </c>
      <c r="E68" s="119">
        <f>E36</f>
        <v>15236.29671481639</v>
      </c>
      <c r="F68" s="119">
        <f>F36</f>
        <v>16251.817672628735</v>
      </c>
    </row>
    <row r="69" spans="1:8" x14ac:dyDescent="0.25">
      <c r="A69" s="9" t="s">
        <v>267</v>
      </c>
      <c r="B69" s="147">
        <f>B67+B68</f>
        <v>124503.78643624585</v>
      </c>
      <c r="C69" s="147">
        <f>C67+C68</f>
        <v>132211.46915079263</v>
      </c>
      <c r="D69" s="147">
        <f>D67+D68</f>
        <v>140313.1243084312</v>
      </c>
      <c r="E69" s="147">
        <f>E67+E68</f>
        <v>148822.94384179494</v>
      </c>
      <c r="F69" s="147">
        <f>F67+F68</f>
        <v>157755.22732587944</v>
      </c>
    </row>
    <row r="70" spans="1:8" x14ac:dyDescent="0.25">
      <c r="A70" t="s">
        <v>543</v>
      </c>
      <c r="B70" s="109">
        <f>-(B60-'AAPL - Reconciliation FY'!$B$22)</f>
        <v>3302.5131261001079</v>
      </c>
      <c r="C70" s="119">
        <f>-(C60-B60)</f>
        <v>3537.3239847702062</v>
      </c>
      <c r="D70" s="119">
        <f>-(D60-C60)</f>
        <v>3785.4736045737081</v>
      </c>
      <c r="E70" s="119">
        <f>-(E60-D60)</f>
        <v>4047.4610844457275</v>
      </c>
      <c r="F70" s="119">
        <f>-(F60-E60)</f>
        <v>4323.7847044927912</v>
      </c>
    </row>
    <row r="71" spans="1:8" x14ac:dyDescent="0.25">
      <c r="A71" t="s">
        <v>269</v>
      </c>
      <c r="B71" s="109">
        <f>-((B61-'AAPL - Reconciliation FY'!$B$24)+B68)</f>
        <v>-16014.972796970871</v>
      </c>
      <c r="C71" s="119">
        <f>-((C61-B61)+C68)</f>
        <v>-17084.98315332898</v>
      </c>
      <c r="D71" s="119">
        <f>-((D61-C61)+D68)</f>
        <v>-18215.111301858946</v>
      </c>
      <c r="E71" s="119">
        <f>-((E61-D61)+E68)</f>
        <v>-19407.874550367778</v>
      </c>
      <c r="F71" s="119">
        <f>-((F61-E61)+F68)</f>
        <v>-20665.834229808272</v>
      </c>
    </row>
    <row r="72" spans="1:8" x14ac:dyDescent="0.25">
      <c r="A72" t="s">
        <v>544</v>
      </c>
      <c r="B72" s="109">
        <f>-((B62+B63)-('AAPL - Reconciliation FY'!$B$25+'AAPL - Reconciliation FY'!$B$26+'AAPL - Reconciliation FY'!$B$27+'AAPL - Reconciliation FY'!$B$28+'AAPL - Reconciliation FY'!$B$29+'AAPL - Reconciliation FY'!$B$30))</f>
        <v>-1235.4468756925999</v>
      </c>
      <c r="C72" s="119">
        <f>-((C62+C63)-(B62+B63))</f>
        <v>-1181.0467031825756</v>
      </c>
      <c r="D72" s="119">
        <f>-((D62+D63)-(C62+C63))</f>
        <v>-1115.9819099664965</v>
      </c>
      <c r="E72" s="119">
        <f>-((E62+E63)-(D62+D63))</f>
        <v>-1039.4607473324213</v>
      </c>
      <c r="F72" s="119">
        <f>-((F62+F63)-(E62+E63))</f>
        <v>-950.66560448371456</v>
      </c>
    </row>
    <row r="73" spans="1:8" x14ac:dyDescent="0.25">
      <c r="A73" s="9" t="s">
        <v>270</v>
      </c>
      <c r="B73" s="147">
        <f>B69+B70+B71+B72</f>
        <v>110555.87988968249</v>
      </c>
      <c r="C73" s="147">
        <f>C69+C70+C71+C72</f>
        <v>117482.76327905129</v>
      </c>
      <c r="D73" s="147">
        <f>D69+D70+D71+D72</f>
        <v>124767.50470117948</v>
      </c>
      <c r="E73" s="147">
        <f>E69+E70+E71+E72</f>
        <v>132423.06962854048</v>
      </c>
      <c r="F73" s="147">
        <f>F69+F70+F71+F72</f>
        <v>140462.51219608024</v>
      </c>
    </row>
    <row r="75" spans="1:8" x14ac:dyDescent="0.25">
      <c r="A75" s="24" t="s">
        <v>552</v>
      </c>
      <c r="B75" s="24"/>
      <c r="C75" s="24"/>
      <c r="D75" s="24"/>
      <c r="E75" s="24"/>
      <c r="F75" s="24"/>
      <c r="G75" s="24"/>
      <c r="H75" s="24"/>
    </row>
    <row r="76" spans="1:8" x14ac:dyDescent="0.25">
      <c r="A76" s="9" t="s">
        <v>506</v>
      </c>
      <c r="B76" s="168">
        <f>B24</f>
        <v>46292</v>
      </c>
      <c r="C76" s="168">
        <f>C24</f>
        <v>46657</v>
      </c>
      <c r="D76" s="168">
        <f>D24</f>
        <v>47023</v>
      </c>
      <c r="E76" s="168">
        <f>E24</f>
        <v>47388</v>
      </c>
      <c r="F76" s="168">
        <f>F24</f>
        <v>47753</v>
      </c>
    </row>
    <row r="77" spans="1:8" x14ac:dyDescent="0.25">
      <c r="A77" t="s">
        <v>507</v>
      </c>
      <c r="B77" s="134">
        <f>$B$6+($E$16-$B$6)*MIN(1/$B$3,1)</f>
        <v>0.53210597520235536</v>
      </c>
      <c r="C77" s="134">
        <f>$B$6+($E$16-$B$6)*MIN(2/$B$3,1)</f>
        <v>0.53326359147631519</v>
      </c>
      <c r="D77" s="134">
        <f>$B$6+($E$16-$B$6)*MIN(3/$B$3,1)</f>
        <v>0.53442120775027491</v>
      </c>
      <c r="E77" s="134">
        <f>$B$6+($E$16-$B$6)*MIN(4/$B$3,1)</f>
        <v>0.53557882402423473</v>
      </c>
      <c r="F77" s="134">
        <f>$B$6+($E$16-$B$6)*MIN(5/$B$3,1)</f>
        <v>0.53673644029819456</v>
      </c>
    </row>
    <row r="78" spans="1:8" x14ac:dyDescent="0.25">
      <c r="A78" t="s">
        <v>318</v>
      </c>
      <c r="B78" s="134">
        <f>$B$7+($E$17-$B$7)*MIN(1/$B$3,1)</f>
        <v>8.2761769365682955E-2</v>
      </c>
      <c r="C78" s="134">
        <f>$B$7+($E$17-$B$7)*MIN(2/$B$3,1)</f>
        <v>8.2502784744327234E-2</v>
      </c>
      <c r="D78" s="134">
        <f>$B$7+($E$17-$B$7)*MIN(3/$B$3,1)</f>
        <v>8.2243800122971528E-2</v>
      </c>
      <c r="E78" s="134">
        <f>$B$7+($E$17-$B$7)*MIN(4/$B$3,1)</f>
        <v>8.1984815501615807E-2</v>
      </c>
      <c r="F78" s="134">
        <f>$B$7+($E$17-$B$7)*MIN(5/$B$3,1)</f>
        <v>8.1725830880260086E-2</v>
      </c>
    </row>
    <row r="79" spans="1:8" x14ac:dyDescent="0.25">
      <c r="A79" t="s">
        <v>319</v>
      </c>
      <c r="B79" s="134">
        <f>$B$8+($E$18-$B$8)*MIN(1/$B$3,1)</f>
        <v>6.629424593607075E-2</v>
      </c>
      <c r="C79" s="134">
        <f>$B$8+($E$18-$B$8)*MIN(2/$B$3,1)</f>
        <v>6.6265602413494495E-2</v>
      </c>
      <c r="D79" s="134">
        <f>$B$8+($E$18-$B$8)*MIN(3/$B$3,1)</f>
        <v>6.6236958890918241E-2</v>
      </c>
      <c r="E79" s="134">
        <f>$B$8+($E$18-$B$8)*MIN(4/$B$3,1)</f>
        <v>6.6208315368341972E-2</v>
      </c>
      <c r="F79" s="134">
        <f>$B$8+($E$18-$B$8)*MIN(5/$B$3,1)</f>
        <v>6.6179671845765703E-2</v>
      </c>
    </row>
    <row r="80" spans="1:8" x14ac:dyDescent="0.25">
      <c r="A80" t="s">
        <v>508</v>
      </c>
      <c r="B80" s="134">
        <f>$B$9+($E$19-$B$9)*MIN(1/$B$3,1)</f>
        <v>0</v>
      </c>
      <c r="C80" s="134">
        <f>$B$9+($E$19-$B$9)*MIN(2/$B$3,1)</f>
        <v>0</v>
      </c>
      <c r="D80" s="134">
        <f>$B$9+($E$19-$B$9)*MIN(3/$B$3,1)</f>
        <v>0</v>
      </c>
      <c r="E80" s="134">
        <f>$B$9+($E$19-$B$9)*MIN(4/$B$3,1)</f>
        <v>0</v>
      </c>
      <c r="F80" s="134">
        <f>$B$9+($E$19-$B$9)*MIN(5/$B$3,1)</f>
        <v>0</v>
      </c>
    </row>
    <row r="81" spans="1:8" x14ac:dyDescent="0.25">
      <c r="A81" t="s">
        <v>509</v>
      </c>
      <c r="B81" s="134">
        <f>$B$10+($E$20-$B$10)*MIN(1/$B$3,1)</f>
        <v>0.2345029478754847</v>
      </c>
      <c r="C81" s="134">
        <f>$B$10+($E$20-$B$10)*MIN(2/$B$3,1)</f>
        <v>0.23426656116012778</v>
      </c>
      <c r="D81" s="134">
        <f>$B$10+($E$20-$B$10)*MIN(3/$B$3,1)</f>
        <v>0.23403017444477087</v>
      </c>
      <c r="E81" s="134">
        <f>$B$10+($E$20-$B$10)*MIN(4/$B$3,1)</f>
        <v>0.23379378772941398</v>
      </c>
      <c r="F81" s="134">
        <f>$B$10+($E$20-$B$10)*MIN(5/$B$3,1)</f>
        <v>0.23355740101405709</v>
      </c>
    </row>
    <row r="82" spans="1:8" x14ac:dyDescent="0.25">
      <c r="A82" t="s">
        <v>533</v>
      </c>
      <c r="B82" s="134">
        <f>$B$45+($E$53-$B$45)*MIN(1/$B$3,1)</f>
        <v>-9.6568698345999751E-2</v>
      </c>
      <c r="C82" s="134">
        <f>$B$45+($E$53-$B$45)*MIN(2/$B$3,1)</f>
        <v>-9.825878000278547E-2</v>
      </c>
      <c r="D82" s="134">
        <f>$B$45+($E$53-$B$45)*MIN(3/$B$3,1)</f>
        <v>-9.9948861659571203E-2</v>
      </c>
      <c r="E82" s="134">
        <f>$B$45+($E$53-$B$45)*MIN(4/$B$3,1)</f>
        <v>-0.10163894331635692</v>
      </c>
      <c r="F82" s="134">
        <f>$B$45+($E$53-$B$45)*MIN(5/$B$3,1)</f>
        <v>-0.10332902497314264</v>
      </c>
    </row>
    <row r="83" spans="1:8" x14ac:dyDescent="0.25">
      <c r="A83" t="s">
        <v>534</v>
      </c>
      <c r="B83" s="134">
        <f>$B$46+($E$54-$B$46)*MIN(1/$B$3,1)</f>
        <v>0.12038668021541471</v>
      </c>
      <c r="C83" s="134">
        <f>$B$46+($E$54-$B$46)*MIN(2/$B$3,1)</f>
        <v>0.12102643556280961</v>
      </c>
      <c r="D83" s="134">
        <f>$B$46+($E$54-$B$46)*MIN(3/$B$3,1)</f>
        <v>0.12166619091020449</v>
      </c>
      <c r="E83" s="134">
        <f>$B$46+($E$54-$B$46)*MIN(4/$B$3,1)</f>
        <v>0.12230594625759938</v>
      </c>
      <c r="F83" s="134">
        <f>$B$46+($E$54-$B$46)*MIN(5/$B$3,1)</f>
        <v>0.12294570160499427</v>
      </c>
    </row>
    <row r="84" spans="1:8" x14ac:dyDescent="0.25">
      <c r="A84" t="s">
        <v>535</v>
      </c>
      <c r="B84" s="134">
        <f>$B$47+($E$55-$B$47)*MIN(1/$B$3,1)</f>
        <v>0</v>
      </c>
      <c r="C84" s="134">
        <f>$B$47+($E$55-$B$47)*MIN(2/$B$3,1)</f>
        <v>0</v>
      </c>
      <c r="D84" s="134">
        <f>$B$47+($E$55-$B$47)*MIN(3/$B$3,1)</f>
        <v>0</v>
      </c>
      <c r="E84" s="134">
        <f>$B$47+($E$55-$B$47)*MIN(4/$B$3,1)</f>
        <v>0</v>
      </c>
      <c r="F84" s="134">
        <f>$B$47+($E$55-$B$47)*MIN(5/$B$3,1)</f>
        <v>0</v>
      </c>
    </row>
    <row r="85" spans="1:8" x14ac:dyDescent="0.25">
      <c r="A85" t="s">
        <v>536</v>
      </c>
      <c r="B85" s="134">
        <f>$B$48+($E$56-$B$48)*MIN(1/$B$3,1)</f>
        <v>0.10346402168359782</v>
      </c>
      <c r="C85" s="134">
        <f>$B$48+($E$56-$B$48)*MIN(2/$B$3,1)</f>
        <v>9.9741161367200445E-2</v>
      </c>
      <c r="D85" s="134">
        <f>$B$48+($E$56-$B$48)*MIN(3/$B$3,1)</f>
        <v>9.6018301050803057E-2</v>
      </c>
      <c r="E85" s="134">
        <f>$B$48+($E$56-$B$48)*MIN(4/$B$3,1)</f>
        <v>9.2295440734405682E-2</v>
      </c>
      <c r="F85" s="134">
        <f>$B$48+($E$56-$B$48)*MIN(5/$B$3,1)</f>
        <v>8.8572580418008307E-2</v>
      </c>
    </row>
    <row r="87" spans="1:8" x14ac:dyDescent="0.25">
      <c r="A87" s="24" t="s">
        <v>553</v>
      </c>
      <c r="B87" s="24"/>
      <c r="C87" s="24"/>
      <c r="D87" s="24"/>
      <c r="E87" s="24"/>
      <c r="F87" s="24"/>
      <c r="G87" s="24"/>
      <c r="H87" s="24"/>
    </row>
    <row r="88" spans="1:8" x14ac:dyDescent="0.25">
      <c r="A88" s="9" t="s">
        <v>514</v>
      </c>
      <c r="B88" s="168">
        <f>B24</f>
        <v>46292</v>
      </c>
      <c r="C88" s="168">
        <f>C24</f>
        <v>46657</v>
      </c>
      <c r="D88" s="168">
        <f>D24</f>
        <v>47023</v>
      </c>
      <c r="E88" s="168">
        <f>E24</f>
        <v>47388</v>
      </c>
      <c r="F88" s="168">
        <f>F24</f>
        <v>47753</v>
      </c>
    </row>
    <row r="89" spans="1:8" x14ac:dyDescent="0.25">
      <c r="A89" t="s">
        <v>541</v>
      </c>
      <c r="B89" s="119">
        <f>B64</f>
        <v>56395.628075954795</v>
      </c>
      <c r="C89" s="119">
        <f>C64</f>
        <v>57757.424188438992</v>
      </c>
      <c r="D89" s="119">
        <f>D64</f>
        <v>59027.616892122845</v>
      </c>
      <c r="E89" s="119">
        <f>E64</f>
        <v>60191.19439056093</v>
      </c>
      <c r="F89" s="119">
        <f>F64</f>
        <v>61232.09184773139</v>
      </c>
    </row>
    <row r="90" spans="1:8" x14ac:dyDescent="0.25">
      <c r="A90" t="s">
        <v>554</v>
      </c>
      <c r="B90" s="109">
        <f>'AAPL - Reconciliation FY'!$B$40</f>
        <v>144873.78</v>
      </c>
      <c r="C90" s="109">
        <f>'AAPL - Reconciliation FY'!$B$40</f>
        <v>144873.78</v>
      </c>
      <c r="D90" s="109">
        <f>'AAPL - Reconciliation FY'!$B$40</f>
        <v>144873.78</v>
      </c>
      <c r="E90" s="109">
        <f>'AAPL - Reconciliation FY'!$B$40</f>
        <v>144873.78</v>
      </c>
      <c r="F90" s="109">
        <f>'AAPL - Reconciliation FY'!$B$40</f>
        <v>144873.78</v>
      </c>
    </row>
    <row r="91" spans="1:8" x14ac:dyDescent="0.25">
      <c r="A91" s="9" t="s">
        <v>555</v>
      </c>
      <c r="B91" s="147">
        <f>B89+B90</f>
        <v>201269.40807595479</v>
      </c>
      <c r="C91" s="147">
        <f>C89+C90</f>
        <v>202631.20418843901</v>
      </c>
      <c r="D91" s="147">
        <f>D89+D90</f>
        <v>203901.39689212284</v>
      </c>
      <c r="E91" s="147">
        <f>E89+E90</f>
        <v>205064.97439056094</v>
      </c>
      <c r="F91" s="147">
        <f>F89+F90</f>
        <v>206105.87184773138</v>
      </c>
    </row>
    <row r="92" spans="1:8" x14ac:dyDescent="0.25">
      <c r="A92" t="s">
        <v>565</v>
      </c>
      <c r="B92" s="109">
        <f>'AAPL - Reconciliation FY'!$B$47+'AAPL - Reconciliation FY'!$B$49</f>
        <v>112377</v>
      </c>
      <c r="C92" s="109">
        <f>'AAPL - Reconciliation FY'!$B$47+'AAPL - Reconciliation FY'!$B$49</f>
        <v>112377</v>
      </c>
      <c r="D92" s="109">
        <f>'AAPL - Reconciliation FY'!$B$47+'AAPL - Reconciliation FY'!$B$49</f>
        <v>112377</v>
      </c>
      <c r="E92" s="109">
        <f>'AAPL - Reconciliation FY'!$B$47+'AAPL - Reconciliation FY'!$B$49</f>
        <v>112377</v>
      </c>
      <c r="F92" s="109">
        <f>'AAPL - Reconciliation FY'!$B$47+'AAPL - Reconciliation FY'!$B$49</f>
        <v>112377</v>
      </c>
    </row>
    <row r="93" spans="1:8" x14ac:dyDescent="0.25">
      <c r="A93" t="s">
        <v>556</v>
      </c>
      <c r="B93" s="119">
        <f>B91-B92</f>
        <v>88892.408075954794</v>
      </c>
      <c r="C93" s="119">
        <f>C91-C92</f>
        <v>90254.204188439006</v>
      </c>
      <c r="D93" s="119">
        <f>D91-D92</f>
        <v>91524.396892122837</v>
      </c>
      <c r="E93" s="119">
        <f>E91-E92</f>
        <v>92687.974390560936</v>
      </c>
      <c r="F93" s="119">
        <f>F91-F92</f>
        <v>93728.871847731381</v>
      </c>
    </row>
    <row r="94" spans="1:8" x14ac:dyDescent="0.25">
      <c r="A94" t="s">
        <v>557</v>
      </c>
      <c r="B94" s="119">
        <f>B91-(B92+B93)</f>
        <v>0</v>
      </c>
      <c r="C94" s="119">
        <f>C91-(C92+C93)</f>
        <v>0</v>
      </c>
      <c r="D94" s="119">
        <f>D91-(D92+D93)</f>
        <v>0</v>
      </c>
      <c r="E94" s="119">
        <f>E91-(E92+E93)</f>
        <v>0</v>
      </c>
      <c r="F94" s="119">
        <f>F91-(F92+F93)</f>
        <v>0</v>
      </c>
    </row>
    <row r="96" spans="1:8" x14ac:dyDescent="0.25">
      <c r="A96" s="24" t="s">
        <v>558</v>
      </c>
      <c r="B96" s="24"/>
      <c r="C96" s="24"/>
      <c r="D96" s="24"/>
      <c r="E96" s="24"/>
      <c r="F96" s="24"/>
      <c r="G96" s="24"/>
      <c r="H96" s="24"/>
    </row>
    <row r="97" spans="1:11" x14ac:dyDescent="0.25">
      <c r="A97" s="9" t="s">
        <v>559</v>
      </c>
      <c r="B97" s="168">
        <f>B24</f>
        <v>46292</v>
      </c>
      <c r="C97" s="168">
        <f>C24</f>
        <v>46657</v>
      </c>
      <c r="D97" s="168">
        <f>D24</f>
        <v>47023</v>
      </c>
      <c r="E97" s="168">
        <f>E24</f>
        <v>47388</v>
      </c>
      <c r="F97" s="168">
        <f>F24</f>
        <v>47753</v>
      </c>
    </row>
    <row r="98" spans="1:11" x14ac:dyDescent="0.25">
      <c r="A98" t="s">
        <v>259</v>
      </c>
      <c r="B98" s="119">
        <f>B40</f>
        <v>111995.28796563728</v>
      </c>
      <c r="C98" s="119">
        <f>C40</f>
        <v>118844.55939153548</v>
      </c>
      <c r="D98" s="119">
        <f>D40</f>
        <v>126037.69740486331</v>
      </c>
      <c r="E98" s="119">
        <f>E40</f>
        <v>133586.64712697855</v>
      </c>
      <c r="F98" s="119">
        <f>F40</f>
        <v>141503.40965325071</v>
      </c>
    </row>
    <row r="99" spans="1:11" x14ac:dyDescent="0.25">
      <c r="A99" t="s">
        <v>560</v>
      </c>
      <c r="B99" s="109">
        <f>AVERAGE(B64,'AAPL - Reconciliation FY'!$B$32)</f>
        <v>55675.924037977398</v>
      </c>
      <c r="C99" s="119">
        <f>AVERAGE(C64,B64)</f>
        <v>57076.526132196894</v>
      </c>
      <c r="D99" s="119">
        <f>AVERAGE(D64,C64)</f>
        <v>58392.520540280922</v>
      </c>
      <c r="E99" s="119">
        <f>AVERAGE(E64,D64)</f>
        <v>59609.405641341888</v>
      </c>
      <c r="F99" s="119">
        <f>AVERAGE(F64,E64)</f>
        <v>60711.64311914616</v>
      </c>
    </row>
    <row r="100" spans="1:11" x14ac:dyDescent="0.25">
      <c r="A100" s="9" t="s">
        <v>561</v>
      </c>
      <c r="B100" s="137">
        <f>B98/B99</f>
        <v>2.0115568785035984</v>
      </c>
      <c r="C100" s="137">
        <f>C98/C99</f>
        <v>2.082196788155529</v>
      </c>
      <c r="D100" s="137">
        <f>D98/D99</f>
        <v>2.1584561899142325</v>
      </c>
      <c r="E100" s="137">
        <f>E98/E99</f>
        <v>2.2410330331213708</v>
      </c>
      <c r="F100" s="137">
        <f>F98/F99</f>
        <v>2.3307458402262529</v>
      </c>
    </row>
    <row r="101" spans="1:11" x14ac:dyDescent="0.25">
      <c r="A101" t="s">
        <v>311</v>
      </c>
      <c r="B101" s="109">
        <f>B64-'AAPL - Reconciliation FY'!$B$32</f>
        <v>1439.4080759547942</v>
      </c>
      <c r="C101" s="119">
        <f>C64-B64</f>
        <v>1361.7961124841968</v>
      </c>
      <c r="D101" s="119">
        <f>D64-C64</f>
        <v>1270.1927036838533</v>
      </c>
      <c r="E101" s="119">
        <f>E64-D64</f>
        <v>1163.5774984380841</v>
      </c>
      <c r="F101" s="119">
        <f>F64-E64</f>
        <v>1040.8974571704603</v>
      </c>
    </row>
    <row r="102" spans="1:11" x14ac:dyDescent="0.25">
      <c r="A102" t="s">
        <v>312</v>
      </c>
      <c r="B102" s="113">
        <f>IFERROR((B98-'AAPL - Reconciliation FY'!$B$56)/B101,"")</f>
        <v>4.7837636044036875</v>
      </c>
      <c r="C102" s="134">
        <f>IFERROR((C98-B98)/C101,"")</f>
        <v>5.0295865607985313</v>
      </c>
      <c r="D102" s="134">
        <f>IFERROR((D98-C98)/D101,"")</f>
        <v>5.6630289187349767</v>
      </c>
      <c r="E102" s="134">
        <f>IFERROR((E98-D98)/E101,"")</f>
        <v>6.4877068628849335</v>
      </c>
      <c r="F102" s="134">
        <f>IFERROR((F98-E98)/F101,"")</f>
        <v>7.6057083930177045</v>
      </c>
    </row>
    <row r="103" spans="1:11" x14ac:dyDescent="0.25">
      <c r="A103" t="s">
        <v>562</v>
      </c>
      <c r="B103" s="134">
        <f>IFERROR(B101/B98,"")</f>
        <v>1.2852398543735497E-2</v>
      </c>
      <c r="C103" s="134">
        <f>IFERROR(C101/C98,"")</f>
        <v>1.1458632346792886E-2</v>
      </c>
      <c r="D103" s="134">
        <f>IFERROR(D101/D98,"")</f>
        <v>1.0077879315770819E-2</v>
      </c>
      <c r="E103" s="134">
        <f>IFERROR(E101/E98,"")</f>
        <v>8.7102829771007351E-3</v>
      </c>
      <c r="F103" s="134">
        <f>IFERROR(F101/F98,"")</f>
        <v>7.3559885215567881E-3</v>
      </c>
    </row>
    <row r="104" spans="1:11" x14ac:dyDescent="0.25">
      <c r="A104" s="9" t="s">
        <v>563</v>
      </c>
      <c r="B104" s="137">
        <f>IFERROR(B102*B103,"")</f>
        <v>6.1482836382812822E-2</v>
      </c>
      <c r="C104" s="137">
        <f>IFERROR(C102*C103,"")</f>
        <v>5.7632183256560832E-2</v>
      </c>
      <c r="D104" s="137">
        <f>IFERROR(D102*D103,"")</f>
        <v>5.7071322004731209E-2</v>
      </c>
      <c r="E104" s="137">
        <f>IFERROR(E102*E103,"")</f>
        <v>5.6509762648206251E-2</v>
      </c>
      <c r="F104" s="137">
        <f>IFERROR(F102*F103,"")</f>
        <v>5.5947503637346359E-2</v>
      </c>
    </row>
    <row r="105" spans="1:11" x14ac:dyDescent="0.25">
      <c r="A105" t="s">
        <v>564</v>
      </c>
      <c r="B105" s="113">
        <f>IFERROR(B25/'AAPL - Income Statement FY'!$B$7-1,"")</f>
        <v>6.4675000000000038E-2</v>
      </c>
      <c r="C105" s="134">
        <f>IFERROR(C25/B25-1,"")</f>
        <v>6.4050000000000162E-2</v>
      </c>
      <c r="D105" s="134">
        <f>IFERROR(D25/C25-1,"")</f>
        <v>6.3424999999999843E-2</v>
      </c>
      <c r="E105" s="134">
        <f>IFERROR(E25/D25-1,"")</f>
        <v>6.2799999999999967E-2</v>
      </c>
      <c r="F105" s="134">
        <f>IFERROR(F25/E25-1,"")</f>
        <v>6.2175000000000091E-2</v>
      </c>
    </row>
    <row r="107" spans="1:11" x14ac:dyDescent="0.25">
      <c r="A107" s="24" t="s">
        <v>600</v>
      </c>
      <c r="B107" s="24"/>
      <c r="C107" s="24"/>
      <c r="D107" s="24"/>
      <c r="E107" s="24"/>
      <c r="F107" s="24"/>
      <c r="G107" s="24"/>
      <c r="H107" s="24"/>
      <c r="I107" s="24"/>
      <c r="J107" s="24"/>
      <c r="K107" s="24"/>
    </row>
    <row r="108" spans="1:11" x14ac:dyDescent="0.25">
      <c r="A108" t="s">
        <v>601</v>
      </c>
      <c r="B108" s="146">
        <f>F33</f>
        <v>0.31647896931499453</v>
      </c>
    </row>
    <row r="109" spans="1:11" x14ac:dyDescent="0.25">
      <c r="A109" t="s">
        <v>602</v>
      </c>
      <c r="B109" s="169">
        <f>F25/F64</f>
        <v>9.2430619016002797</v>
      </c>
    </row>
    <row r="110" spans="1:11" x14ac:dyDescent="0.25">
      <c r="A110" s="9" t="s">
        <v>573</v>
      </c>
      <c r="B110" s="168">
        <f>EDATE(F24,12)</f>
        <v>48118</v>
      </c>
      <c r="C110" s="168">
        <f t="shared" ref="C110:K110" si="3">EDATE(B110,12)</f>
        <v>48484</v>
      </c>
      <c r="D110" s="168">
        <f t="shared" si="3"/>
        <v>48849</v>
      </c>
      <c r="E110" s="168">
        <f t="shared" si="3"/>
        <v>49214</v>
      </c>
      <c r="F110" s="168">
        <f t="shared" si="3"/>
        <v>49579</v>
      </c>
      <c r="G110" s="168">
        <f t="shared" si="3"/>
        <v>49945</v>
      </c>
      <c r="H110" s="168">
        <f t="shared" si="3"/>
        <v>50310</v>
      </c>
      <c r="I110" s="168">
        <f t="shared" si="3"/>
        <v>50675</v>
      </c>
      <c r="J110" s="168">
        <f t="shared" si="3"/>
        <v>51040</v>
      </c>
      <c r="K110" s="168">
        <f t="shared" si="3"/>
        <v>51406</v>
      </c>
    </row>
    <row r="111" spans="1:11" x14ac:dyDescent="0.25">
      <c r="A111" t="s">
        <v>603</v>
      </c>
      <c r="B111" s="113">
        <f>('AAPL Rev Drivers &amp; Forecast'!$B$8+('AAPL Rev Drivers &amp; Forecast'!$B$7-'AAPL Rev Drivers &amp; Forecast'!$B$8)*MIN(6/'AAPL Rev Drivers &amp; Forecast'!$B$10,1))+'AAPL Rev Drivers &amp; Forecast'!$B$4</f>
        <v>6.1550000000000007E-2</v>
      </c>
      <c r="C111" s="113">
        <f>('AAPL Rev Drivers &amp; Forecast'!$B$8+('AAPL Rev Drivers &amp; Forecast'!$B$7-'AAPL Rev Drivers &amp; Forecast'!$B$8)*MIN(7/'AAPL Rev Drivers &amp; Forecast'!$B$10,1))+'AAPL Rev Drivers &amp; Forecast'!$B$4</f>
        <v>6.0925000000000007E-2</v>
      </c>
      <c r="D111" s="113">
        <f>('AAPL Rev Drivers &amp; Forecast'!$B$8+('AAPL Rev Drivers &amp; Forecast'!$B$7-'AAPL Rev Drivers &amp; Forecast'!$B$8)*MIN(8/'AAPL Rev Drivers &amp; Forecast'!$B$10,1))+'AAPL Rev Drivers &amp; Forecast'!$B$4</f>
        <v>6.0300000000000006E-2</v>
      </c>
      <c r="E111" s="113">
        <f>('AAPL Rev Drivers &amp; Forecast'!$B$8+('AAPL Rev Drivers &amp; Forecast'!$B$7-'AAPL Rev Drivers &amp; Forecast'!$B$8)*MIN(9/'AAPL Rev Drivers &amp; Forecast'!$B$10,1))+'AAPL Rev Drivers &amp; Forecast'!$B$4</f>
        <v>6.0300000000000006E-2</v>
      </c>
      <c r="F111" s="113">
        <f>('AAPL Rev Drivers &amp; Forecast'!$B$8+('AAPL Rev Drivers &amp; Forecast'!$B$7-'AAPL Rev Drivers &amp; Forecast'!$B$8)*MIN(10/'AAPL Rev Drivers &amp; Forecast'!$B$10,1))+'AAPL Rev Drivers &amp; Forecast'!$B$4</f>
        <v>6.0300000000000006E-2</v>
      </c>
      <c r="G111" s="113">
        <f>('AAPL Rev Drivers &amp; Forecast'!$B$8+('AAPL Rev Drivers &amp; Forecast'!$B$7-'AAPL Rev Drivers &amp; Forecast'!$B$8)*MIN(11/'AAPL Rev Drivers &amp; Forecast'!$B$10,1))+'AAPL Rev Drivers &amp; Forecast'!$B$4</f>
        <v>6.0300000000000006E-2</v>
      </c>
      <c r="H111" s="113">
        <f>('AAPL Rev Drivers &amp; Forecast'!$B$8+('AAPL Rev Drivers &amp; Forecast'!$B$7-'AAPL Rev Drivers &amp; Forecast'!$B$8)*MIN(12/'AAPL Rev Drivers &amp; Forecast'!$B$10,1))+'AAPL Rev Drivers &amp; Forecast'!$B$4</f>
        <v>6.0300000000000006E-2</v>
      </c>
      <c r="I111" s="113">
        <f>('AAPL Rev Drivers &amp; Forecast'!$B$8+('AAPL Rev Drivers &amp; Forecast'!$B$7-'AAPL Rev Drivers &amp; Forecast'!$B$8)*MIN(13/'AAPL Rev Drivers &amp; Forecast'!$B$10,1))+'AAPL Rev Drivers &amp; Forecast'!$B$4</f>
        <v>6.0300000000000006E-2</v>
      </c>
      <c r="J111" s="113">
        <f>('AAPL Rev Drivers &amp; Forecast'!$B$8+('AAPL Rev Drivers &amp; Forecast'!$B$7-'AAPL Rev Drivers &amp; Forecast'!$B$8)*MIN(14/'AAPL Rev Drivers &amp; Forecast'!$B$10,1))+'AAPL Rev Drivers &amp; Forecast'!$B$4</f>
        <v>6.0300000000000006E-2</v>
      </c>
      <c r="K111" s="113">
        <f>('AAPL Rev Drivers &amp; Forecast'!$B$8+('AAPL Rev Drivers &amp; Forecast'!$B$7-'AAPL Rev Drivers &amp; Forecast'!$B$8)*MIN(15/'AAPL Rev Drivers &amp; Forecast'!$B$10,1))+'AAPL Rev Drivers &amp; Forecast'!$B$4</f>
        <v>6.0300000000000006E-2</v>
      </c>
    </row>
    <row r="112" spans="1:11" x14ac:dyDescent="0.25">
      <c r="A112" t="s">
        <v>31</v>
      </c>
      <c r="B112" s="119">
        <f>F25*(1+B111)</f>
        <v>600807.59285557363</v>
      </c>
      <c r="C112" s="119">
        <f t="shared" ref="C112:K112" si="4">B112*(1+C111)</f>
        <v>637411.79545029951</v>
      </c>
      <c r="D112" s="119">
        <f t="shared" si="4"/>
        <v>675847.72671595262</v>
      </c>
      <c r="E112" s="119">
        <f t="shared" si="4"/>
        <v>716601.34463692456</v>
      </c>
      <c r="F112" s="119">
        <f t="shared" si="4"/>
        <v>759812.40571853111</v>
      </c>
      <c r="G112" s="119">
        <f t="shared" si="4"/>
        <v>805629.09378335858</v>
      </c>
      <c r="H112" s="119">
        <f t="shared" si="4"/>
        <v>854208.52813849517</v>
      </c>
      <c r="I112" s="119">
        <f t="shared" si="4"/>
        <v>905717.3023852465</v>
      </c>
      <c r="J112" s="119">
        <f t="shared" si="4"/>
        <v>960332.05571907689</v>
      </c>
      <c r="K112" s="119">
        <f t="shared" si="4"/>
        <v>1018240.0786789373</v>
      </c>
    </row>
    <row r="113" spans="1:11" x14ac:dyDescent="0.25">
      <c r="A113" t="s">
        <v>320</v>
      </c>
      <c r="B113" s="134">
        <f>$B$108+IF('Valuation Dashboard'!$B$151="Yes",'AAPL - Reconciliation FY'!$B$152,0)</f>
        <v>0.31759988165420938</v>
      </c>
      <c r="C113" s="134">
        <f>$B$108+IF('Valuation Dashboard'!$B$151="Yes",'AAPL - Reconciliation FY'!$B$152,0)</f>
        <v>0.31759988165420938</v>
      </c>
      <c r="D113" s="134">
        <f>$B$108+IF('Valuation Dashboard'!$B$151="Yes",'AAPL - Reconciliation FY'!$B$152,0)</f>
        <v>0.31759988165420938</v>
      </c>
      <c r="E113" s="134">
        <f>$B$108+IF('Valuation Dashboard'!$B$151="Yes",'AAPL - Reconciliation FY'!$B$152,0)</f>
        <v>0.31759988165420938</v>
      </c>
      <c r="F113" s="134">
        <f>$B$108+IF('Valuation Dashboard'!$B$151="Yes",'AAPL - Reconciliation FY'!$B$152,0)</f>
        <v>0.31759988165420938</v>
      </c>
      <c r="G113" s="134">
        <f>$B$108+IF('Valuation Dashboard'!$B$151="Yes",'AAPL - Reconciliation FY'!$B$152,0)</f>
        <v>0.31759988165420938</v>
      </c>
      <c r="H113" s="134">
        <f>$B$108+IF('Valuation Dashboard'!$B$151="Yes",'AAPL - Reconciliation FY'!$B$152,0)</f>
        <v>0.31759988165420938</v>
      </c>
      <c r="I113" s="134">
        <f>$B$108+IF('Valuation Dashboard'!$B$151="Yes",'AAPL - Reconciliation FY'!$B$152,0)</f>
        <v>0.31759988165420938</v>
      </c>
      <c r="J113" s="134">
        <f>$B$108+IF('Valuation Dashboard'!$B$151="Yes",'AAPL - Reconciliation FY'!$B$152,0)</f>
        <v>0.31759988165420938</v>
      </c>
      <c r="K113" s="134">
        <f>$B$108+IF('Valuation Dashboard'!$B$151="Yes",'AAPL - Reconciliation FY'!$B$152,0)</f>
        <v>0.31759988165420938</v>
      </c>
    </row>
    <row r="114" spans="1:11" x14ac:dyDescent="0.25">
      <c r="A114" t="s">
        <v>522</v>
      </c>
      <c r="B114" s="119">
        <f t="shared" ref="B114:K114" si="5">B112*B113</f>
        <v>190816.42038788059</v>
      </c>
      <c r="C114" s="119">
        <f t="shared" si="5"/>
        <v>202441.91080001224</v>
      </c>
      <c r="D114" s="119">
        <f t="shared" si="5"/>
        <v>214649.15802125301</v>
      </c>
      <c r="E114" s="119">
        <f t="shared" si="5"/>
        <v>227592.50224993457</v>
      </c>
      <c r="F114" s="119">
        <f t="shared" si="5"/>
        <v>241316.33013560562</v>
      </c>
      <c r="G114" s="119">
        <f t="shared" si="5"/>
        <v>255867.70484278264</v>
      </c>
      <c r="H114" s="119">
        <f t="shared" si="5"/>
        <v>271296.52744480246</v>
      </c>
      <c r="I114" s="119">
        <f t="shared" si="5"/>
        <v>287655.70804972405</v>
      </c>
      <c r="J114" s="119">
        <f t="shared" si="5"/>
        <v>305001.34724512242</v>
      </c>
      <c r="K114" s="119">
        <f t="shared" si="5"/>
        <v>323392.92848400335</v>
      </c>
    </row>
    <row r="115" spans="1:11" x14ac:dyDescent="0.25">
      <c r="A115" t="s">
        <v>259</v>
      </c>
      <c r="B115" s="119">
        <f t="shared" ref="B115:K115" si="6">B114*(1-$B$2)</f>
        <v>150744.97210642567</v>
      </c>
      <c r="C115" s="119">
        <f t="shared" si="6"/>
        <v>159929.10953200966</v>
      </c>
      <c r="D115" s="119">
        <f t="shared" si="6"/>
        <v>169572.83483678987</v>
      </c>
      <c r="E115" s="119">
        <f t="shared" si="6"/>
        <v>179798.07677744832</v>
      </c>
      <c r="F115" s="119">
        <f t="shared" si="6"/>
        <v>190639.90080712843</v>
      </c>
      <c r="G115" s="119">
        <f t="shared" si="6"/>
        <v>202135.48682579829</v>
      </c>
      <c r="H115" s="119">
        <f t="shared" si="6"/>
        <v>214324.25668139395</v>
      </c>
      <c r="I115" s="119">
        <f t="shared" si="6"/>
        <v>227248.009359282</v>
      </c>
      <c r="J115" s="119">
        <f t="shared" si="6"/>
        <v>240951.06432364671</v>
      </c>
      <c r="K115" s="119">
        <f t="shared" si="6"/>
        <v>255480.41350236264</v>
      </c>
    </row>
    <row r="116" spans="1:11" x14ac:dyDescent="0.25">
      <c r="A116" t="s">
        <v>541</v>
      </c>
      <c r="B116" s="119">
        <f t="shared" ref="B116:K116" si="7">B112/$B$109</f>
        <v>65000.927100959256</v>
      </c>
      <c r="C116" s="119">
        <f t="shared" si="7"/>
        <v>68961.108584585207</v>
      </c>
      <c r="D116" s="119">
        <f t="shared" si="7"/>
        <v>73119.463432235701</v>
      </c>
      <c r="E116" s="119">
        <f t="shared" si="7"/>
        <v>77528.567077199506</v>
      </c>
      <c r="F116" s="119">
        <f t="shared" si="7"/>
        <v>82203.539671954641</v>
      </c>
      <c r="G116" s="119">
        <f t="shared" si="7"/>
        <v>87160.413114173512</v>
      </c>
      <c r="H116" s="119">
        <f t="shared" si="7"/>
        <v>92416.18602495818</v>
      </c>
      <c r="I116" s="119">
        <f t="shared" si="7"/>
        <v>97988.882042263169</v>
      </c>
      <c r="J116" s="119">
        <f t="shared" si="7"/>
        <v>103897.61162941164</v>
      </c>
      <c r="K116" s="119">
        <f t="shared" si="7"/>
        <v>110162.63761066517</v>
      </c>
    </row>
    <row r="117" spans="1:11" x14ac:dyDescent="0.25">
      <c r="A117" t="s">
        <v>604</v>
      </c>
      <c r="B117" s="119">
        <f>B116-F64</f>
        <v>3768.8352532278659</v>
      </c>
      <c r="C117" s="119">
        <f t="shared" ref="C117:K117" si="8">C116-B116</f>
        <v>3960.1814836259509</v>
      </c>
      <c r="D117" s="119">
        <f t="shared" si="8"/>
        <v>4158.3548476504948</v>
      </c>
      <c r="E117" s="119">
        <f t="shared" si="8"/>
        <v>4409.103644963805</v>
      </c>
      <c r="F117" s="119">
        <f t="shared" si="8"/>
        <v>4674.9725947551342</v>
      </c>
      <c r="G117" s="119">
        <f t="shared" si="8"/>
        <v>4956.8734422188718</v>
      </c>
      <c r="H117" s="119">
        <f t="shared" si="8"/>
        <v>5255.7729107846681</v>
      </c>
      <c r="I117" s="119">
        <f t="shared" si="8"/>
        <v>5572.6960173049883</v>
      </c>
      <c r="J117" s="119">
        <f t="shared" si="8"/>
        <v>5908.7295871484675</v>
      </c>
      <c r="K117" s="119">
        <f t="shared" si="8"/>
        <v>6265.0259812535369</v>
      </c>
    </row>
    <row r="118" spans="1:11" x14ac:dyDescent="0.25">
      <c r="A118" s="9" t="s">
        <v>270</v>
      </c>
      <c r="B118" s="147">
        <f t="shared" ref="B118:K118" si="9">B115-B117</f>
        <v>146976.13685319782</v>
      </c>
      <c r="C118" s="147">
        <f t="shared" si="9"/>
        <v>155968.92804838371</v>
      </c>
      <c r="D118" s="147">
        <f t="shared" si="9"/>
        <v>165414.47998913936</v>
      </c>
      <c r="E118" s="147">
        <f t="shared" si="9"/>
        <v>175388.97313248453</v>
      </c>
      <c r="F118" s="147">
        <f t="shared" si="9"/>
        <v>185964.92821237328</v>
      </c>
      <c r="G118" s="147">
        <f t="shared" si="9"/>
        <v>197178.61338357942</v>
      </c>
      <c r="H118" s="147">
        <f t="shared" si="9"/>
        <v>209068.48377060928</v>
      </c>
      <c r="I118" s="147">
        <f t="shared" si="9"/>
        <v>221675.31334197702</v>
      </c>
      <c r="J118" s="147">
        <f t="shared" si="9"/>
        <v>235042.33473649825</v>
      </c>
      <c r="K118" s="147">
        <f t="shared" si="9"/>
        <v>249215.38752110911</v>
      </c>
    </row>
  </sheetData>
  <pageMargins left="0.7" right="0.7" top="0.75" bottom="0.75" header="0.3" footer="0.3"/>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A2009F-581B-4E26-90C3-E260BB4C2561}">
  <sheetPr>
    <tabColor rgb="FFB4C6E7"/>
  </sheetPr>
  <dimension ref="A1:K118"/>
  <sheetViews>
    <sheetView workbookViewId="0">
      <selection activeCell="A48" sqref="A48"/>
    </sheetView>
  </sheetViews>
  <sheetFormatPr defaultRowHeight="15" x14ac:dyDescent="0.25"/>
  <cols>
    <col min="1" max="1" width="53.85546875" bestFit="1" customWidth="1"/>
    <col min="2" max="3" width="10.140625" bestFit="1" customWidth="1"/>
    <col min="4" max="4" width="11.5703125" bestFit="1" customWidth="1"/>
    <col min="5" max="5" width="14.5703125" bestFit="1" customWidth="1"/>
    <col min="6" max="6" width="10.140625" bestFit="1" customWidth="1"/>
    <col min="7" max="8" width="9.42578125" bestFit="1" customWidth="1"/>
  </cols>
  <sheetData>
    <row r="1" spans="1:8" ht="15.75" x14ac:dyDescent="0.25">
      <c r="A1" s="15" t="s">
        <v>526</v>
      </c>
    </row>
    <row r="2" spans="1:8" x14ac:dyDescent="0.25">
      <c r="A2" t="s">
        <v>337</v>
      </c>
      <c r="B2" s="76">
        <f>'Valuation Dashboard'!$B$12</f>
        <v>0.21</v>
      </c>
    </row>
    <row r="3" spans="1:8" x14ac:dyDescent="0.25">
      <c r="A3" t="s">
        <v>551</v>
      </c>
      <c r="B3" s="50">
        <v>10</v>
      </c>
    </row>
    <row r="4" spans="1:8" x14ac:dyDescent="0.25">
      <c r="A4" s="24" t="s">
        <v>505</v>
      </c>
      <c r="B4" s="24"/>
      <c r="C4" s="24"/>
      <c r="D4" s="24"/>
      <c r="E4" s="24"/>
      <c r="F4" s="24"/>
      <c r="G4" s="24"/>
      <c r="H4" s="24"/>
    </row>
    <row r="5" spans="1:8" x14ac:dyDescent="0.25">
      <c r="A5" s="9" t="s">
        <v>506</v>
      </c>
      <c r="B5" s="167">
        <f>'MSFT - Income Statement FY'!B5</f>
        <v>45838</v>
      </c>
      <c r="C5" s="167">
        <f>'MSFT - Income Statement FY'!C5</f>
        <v>45473</v>
      </c>
      <c r="D5" s="167">
        <f>'MSFT - Income Statement FY'!D5</f>
        <v>45107</v>
      </c>
      <c r="E5" s="167">
        <f>'MSFT - Income Statement FY'!E5</f>
        <v>44742</v>
      </c>
      <c r="F5" s="167">
        <f>'MSFT - Income Statement FY'!F5</f>
        <v>44377</v>
      </c>
      <c r="G5" s="167">
        <f>'MSFT - Income Statement FY'!G5</f>
        <v>44012</v>
      </c>
      <c r="H5" s="167">
        <f>'MSFT - Income Statement FY'!H5</f>
        <v>43646</v>
      </c>
    </row>
    <row r="6" spans="1:8" x14ac:dyDescent="0.25">
      <c r="A6" t="s">
        <v>507</v>
      </c>
      <c r="B6" s="113">
        <f>IFERROR('MSFT - Income Statement FY'!B9/'MSFT - Income Statement FY'!B7,"")</f>
        <v>0.31176257613834818</v>
      </c>
      <c r="C6" s="113">
        <f>IFERROR('MSFT - Income Statement FY'!C9/'MSFT - Income Statement FY'!C7,"")</f>
        <v>0.30235556172028621</v>
      </c>
      <c r="D6" s="113">
        <f>IFERROR('MSFT - Income Statement FY'!D9/'MSFT - Income Statement FY'!D7,"")</f>
        <v>0.31079914116508978</v>
      </c>
      <c r="E6" s="113">
        <f>IFERROR('MSFT - Income Statement FY'!E9/'MSFT - Income Statement FY'!E7,"")</f>
        <v>0.31598325515710901</v>
      </c>
      <c r="F6" s="113">
        <f>IFERROR('MSFT - Income Statement FY'!F9/'MSFT - Income Statement FY'!F7,"")</f>
        <v>0.31074199228975297</v>
      </c>
      <c r="G6" s="113">
        <f>IFERROR('MSFT - Income Statement FY'!G9/'MSFT - Income Statement FY'!G7,"")</f>
        <v>0.32218998007202043</v>
      </c>
      <c r="H6" s="113">
        <f>IFERROR('MSFT - Income Statement FY'!H9/'MSFT - Income Statement FY'!H7,"")</f>
        <v>0.34098042799361111</v>
      </c>
    </row>
    <row r="7" spans="1:8" x14ac:dyDescent="0.25">
      <c r="A7" t="s">
        <v>318</v>
      </c>
      <c r="B7" s="113">
        <f>IFERROR('MSFT - Income Statement FY'!B13/'MSFT - Income Statement FY'!B7,"")</f>
        <v>0.11531853871164686</v>
      </c>
      <c r="C7" s="113">
        <f>IFERROR('MSFT - Income Statement FY'!C13/'MSFT - Income Statement FY'!C7,"")</f>
        <v>0.12038903076835208</v>
      </c>
      <c r="D7" s="113">
        <f>IFERROR('MSFT - Income Statement FY'!D13/'MSFT - Income Statement FY'!D7,"")</f>
        <v>0.12832975485454073</v>
      </c>
      <c r="E7" s="113">
        <f>IFERROR('MSFT - Income Statement FY'!E13/'MSFT - Income Statement FY'!E7,"")</f>
        <v>0.12362939426035205</v>
      </c>
      <c r="F7" s="113">
        <f>IFERROR('MSFT - Income Statement FY'!F13/'MSFT - Income Statement FY'!F7,"")</f>
        <v>0.12324496692208843</v>
      </c>
      <c r="G7" s="113">
        <f>IFERROR('MSFT - Income Statement FY'!G13/'MSFT - Income Statement FY'!G7,"")</f>
        <v>0.1347341187987274</v>
      </c>
      <c r="H7" s="113">
        <f>IFERROR('MSFT - Income Statement FY'!H13/'MSFT - Income Statement FY'!H7,"")</f>
        <v>0.13410360528595155</v>
      </c>
    </row>
    <row r="8" spans="1:8" x14ac:dyDescent="0.25">
      <c r="A8" t="s">
        <v>319</v>
      </c>
      <c r="B8" s="113">
        <f>IFERROR('MSFT - Income Statement FY'!B14/'MSFT - Income Statement FY'!B7,"")</f>
        <v>0.11669932274140649</v>
      </c>
      <c r="C8" s="113">
        <f>IFERROR('MSFT - Income Statement FY'!C14/'MSFT - Income Statement FY'!C7,"")</f>
        <v>0.13081241177862452</v>
      </c>
      <c r="D8" s="113">
        <f>IFERROR('MSFT - Income Statement FY'!D14/'MSFT - Income Statement FY'!D7,"")</f>
        <v>0.14314229761932851</v>
      </c>
      <c r="E8" s="113">
        <f>IFERROR('MSFT - Income Statement FY'!E14/'MSFT - Income Statement FY'!E7,"")</f>
        <v>0.13983456902204064</v>
      </c>
      <c r="F8" s="113">
        <f>IFERROR('MSFT - Income Statement FY'!F14/'MSFT - Income Statement FY'!F7,"")</f>
        <v>0.15006425205844556</v>
      </c>
      <c r="G8" s="113">
        <f>IFERROR('MSFT - Income Statement FY'!G14/'MSFT - Income Statement FY'!G7,"")</f>
        <v>0.17277208684403733</v>
      </c>
      <c r="H8" s="113">
        <f>IFERROR('MSFT - Income Statement FY'!H14/'MSFT - Income Statement FY'!H7,"")</f>
        <v>0.18354616466549589</v>
      </c>
    </row>
    <row r="9" spans="1:8" x14ac:dyDescent="0.25">
      <c r="A9" t="s">
        <v>508</v>
      </c>
      <c r="B9" s="113">
        <f>IFERROR('MSFT - Income Statement FY'!B17/'MSFT - Income Statement FY'!B7,"")</f>
        <v>0</v>
      </c>
      <c r="C9" s="113">
        <f>IFERROR('MSFT - Income Statement FY'!C17/'MSFT - Income Statement FY'!C7,"")</f>
        <v>0</v>
      </c>
      <c r="D9" s="113">
        <f>IFERROR('MSFT - Income Statement FY'!D17/'MSFT - Income Statement FY'!D7,"")</f>
        <v>0</v>
      </c>
      <c r="E9" s="113">
        <f>IFERROR('MSFT - Income Statement FY'!E17/'MSFT - Income Statement FY'!E7,"")</f>
        <v>0</v>
      </c>
      <c r="F9" s="113">
        <f>IFERROR('MSFT - Income Statement FY'!F17/'MSFT - Income Statement FY'!F7,"")</f>
        <v>0</v>
      </c>
      <c r="G9" s="113">
        <f>IFERROR('MSFT - Income Statement FY'!G17/'MSFT - Income Statement FY'!G7,"")</f>
        <v>0</v>
      </c>
      <c r="H9" s="113">
        <f>IFERROR('MSFT - Income Statement FY'!H17/'MSFT - Income Statement FY'!H7,"")</f>
        <v>0</v>
      </c>
    </row>
    <row r="10" spans="1:8" x14ac:dyDescent="0.25">
      <c r="A10" t="s">
        <v>509</v>
      </c>
      <c r="B10" s="113">
        <f>IFERROR('MSFT - Cash Flow FY'!B8/'MSFT - Balance Sheet FY'!B15,"")</f>
        <v>0.16662763580301124</v>
      </c>
      <c r="C10" s="113">
        <f>IFERROR('MSFT - Cash Flow FY'!C8/'MSFT - Balance Sheet FY'!C15,"")</f>
        <v>0.16436931654755846</v>
      </c>
      <c r="D10" s="113">
        <f>IFERROR('MSFT - Cash Flow FY'!D8/'MSFT - Balance Sheet FY'!D15,"")</f>
        <v>0.14492738469903074</v>
      </c>
      <c r="E10" s="113">
        <f>IFERROR('MSFT - Cash Flow FY'!E8/'MSFT - Balance Sheet FY'!E15,"")</f>
        <v>0.19436006344256565</v>
      </c>
      <c r="F10" s="113">
        <f>IFERROR('MSFT - Cash Flow FY'!F8/'MSFT - Balance Sheet FY'!F15,"")</f>
        <v>0.19569622372938122</v>
      </c>
      <c r="G10" s="113">
        <f>IFERROR('MSFT - Cash Flow FY'!G8/'MSFT - Balance Sheet FY'!G15,"")</f>
        <v>0.28982356005526488</v>
      </c>
      <c r="H10" s="113">
        <f>IFERROR('MSFT - Cash Flow FY'!H8/'MSFT - Balance Sheet FY'!H15,"")</f>
        <v>0.32025660004934614</v>
      </c>
    </row>
    <row r="11" spans="1:8" x14ac:dyDescent="0.25">
      <c r="A11" t="s">
        <v>510</v>
      </c>
      <c r="B11" s="113">
        <f>IF('MSFT - Balance Sheet FY'!B51=0,"",'MSFT - Income Statement FY'!B23/'MSFT - Balance Sheet FY'!B51)</f>
        <v>0</v>
      </c>
      <c r="C11" s="113">
        <f>IF('MSFT - Balance Sheet FY'!C51=0,"",'MSFT - Income Statement FY'!C23/'MSFT - Balance Sheet FY'!C51)</f>
        <v>0</v>
      </c>
      <c r="D11" s="113">
        <f>IF('MSFT - Balance Sheet FY'!D51=0,"",'MSFT - Income Statement FY'!D23/'MSFT - Balance Sheet FY'!D51)</f>
        <v>0</v>
      </c>
      <c r="E11" s="113">
        <f>IF('MSFT - Balance Sheet FY'!E51=0,"",'MSFT - Income Statement FY'!E23/'MSFT - Balance Sheet FY'!E51)</f>
        <v>0</v>
      </c>
      <c r="F11" s="113">
        <f>IF('MSFT - Balance Sheet FY'!F51=0,"",'MSFT - Income Statement FY'!F23/'MSFT - Balance Sheet FY'!F51)</f>
        <v>0</v>
      </c>
      <c r="G11" s="113">
        <f>IF('MSFT - Balance Sheet FY'!G51=0,"",'MSFT - Income Statement FY'!G23/'MSFT - Balance Sheet FY'!G51)</f>
        <v>0</v>
      </c>
      <c r="H11" s="113">
        <f>IF('MSFT - Balance Sheet FY'!H51=0,"",'MSFT - Income Statement FY'!H23/'MSFT - Balance Sheet FY'!H51)</f>
        <v>0</v>
      </c>
    </row>
    <row r="12" spans="1:8" x14ac:dyDescent="0.25">
      <c r="A12" t="s">
        <v>511</v>
      </c>
      <c r="B12" s="113">
        <f>IFERROR('MSFT - Income Statement FY'!B25/'MSFT - Income Statement FY'!B7,"")</f>
        <v>0.45621956240859851</v>
      </c>
      <c r="C12" s="113">
        <f>IFERROR('MSFT - Income Statement FY'!C25/'MSFT - Income Statement FY'!C7,"")</f>
        <v>0.44644299573273716</v>
      </c>
      <c r="D12" s="113">
        <f>IFERROR('MSFT - Income Statement FY'!D25/'MSFT - Income Statement FY'!D7,"")</f>
        <v>0.41772880636104098</v>
      </c>
      <c r="E12" s="113">
        <f>IFERROR('MSFT - Income Statement FY'!E25/'MSFT - Income Statement FY'!E7,"")</f>
        <v>0.4205527815604983</v>
      </c>
      <c r="F12" s="113">
        <f>IFERROR('MSFT - Income Statement FY'!F25/'MSFT - Income Statement FY'!F7,"")</f>
        <v>0.41594878872971303</v>
      </c>
      <c r="G12" s="113">
        <f>IFERROR('MSFT - Income Statement FY'!G25/'MSFT - Income Statement FY'!G7,"")</f>
        <v>0.37030381428521486</v>
      </c>
      <c r="H12" s="113">
        <f>IFERROR('MSFT - Income Statement FY'!H25/'MSFT - Income Statement FY'!H7,"")</f>
        <v>0.3413698020549415</v>
      </c>
    </row>
    <row r="14" spans="1:8" x14ac:dyDescent="0.25">
      <c r="A14" s="24" t="s">
        <v>512</v>
      </c>
      <c r="B14" s="24"/>
      <c r="C14" s="24"/>
      <c r="D14" s="24"/>
      <c r="E14" s="24"/>
      <c r="F14" s="24"/>
      <c r="G14" s="24"/>
      <c r="H14" s="24"/>
    </row>
    <row r="15" spans="1:8" x14ac:dyDescent="0.25">
      <c r="A15" s="9" t="s">
        <v>506</v>
      </c>
      <c r="B15" s="9" t="s">
        <v>523</v>
      </c>
      <c r="C15" s="9" t="s">
        <v>524</v>
      </c>
      <c r="D15" s="9" t="s">
        <v>525</v>
      </c>
      <c r="E15" s="9" t="s">
        <v>1466</v>
      </c>
      <c r="F15" s="9" t="s">
        <v>1462</v>
      </c>
    </row>
    <row r="16" spans="1:8" x14ac:dyDescent="0.25">
      <c r="A16" t="s">
        <v>507</v>
      </c>
      <c r="B16" s="134">
        <f t="shared" ref="B16:B21" si="0">IFERROR(AVERAGE(B6:D6),"")</f>
        <v>0.30830575967457474</v>
      </c>
      <c r="C16" s="134">
        <f t="shared" ref="C16:C21" si="1">IFERROR(AVERAGE(B6:H6),"")</f>
        <v>0.31640184779088826</v>
      </c>
      <c r="D16" s="134">
        <f t="shared" ref="D16:D21" si="2">IFERROR(MEDIAN(B6:H6),"")</f>
        <v>0.31176257613834818</v>
      </c>
      <c r="E16" s="113">
        <f>CHOOSE('Valuation Dashboard'!$B$148,B16,C16,D16,F16)</f>
        <v>0.30830575967457474</v>
      </c>
      <c r="F16" s="123">
        <v>0.30830575967457502</v>
      </c>
    </row>
    <row r="17" spans="1:8" x14ac:dyDescent="0.25">
      <c r="A17" t="s">
        <v>318</v>
      </c>
      <c r="B17" s="134">
        <f t="shared" si="0"/>
        <v>0.12134577477817989</v>
      </c>
      <c r="C17" s="134">
        <f t="shared" si="1"/>
        <v>0.12567848708595131</v>
      </c>
      <c r="D17" s="134">
        <f t="shared" si="2"/>
        <v>0.12362939426035205</v>
      </c>
      <c r="E17" s="113">
        <f>CHOOSE('Valuation Dashboard'!$B$148,B17,C17,D17,F17)</f>
        <v>0.12134577477817989</v>
      </c>
      <c r="F17" s="123">
        <v>0.12134577477818</v>
      </c>
    </row>
    <row r="18" spans="1:8" x14ac:dyDescent="0.25">
      <c r="A18" t="s">
        <v>319</v>
      </c>
      <c r="B18" s="134">
        <f t="shared" si="0"/>
        <v>0.13021801071311984</v>
      </c>
      <c r="C18" s="134">
        <f t="shared" si="1"/>
        <v>0.14812444353276844</v>
      </c>
      <c r="D18" s="134">
        <f t="shared" si="2"/>
        <v>0.14314229761932851</v>
      </c>
      <c r="E18" s="113">
        <f>CHOOSE('Valuation Dashboard'!$B$148,B18,C18,D18,F18)</f>
        <v>0.13021801071311984</v>
      </c>
      <c r="F18" s="123">
        <v>0.13021801071312</v>
      </c>
    </row>
    <row r="19" spans="1:8" x14ac:dyDescent="0.25">
      <c r="A19" t="s">
        <v>508</v>
      </c>
      <c r="B19" s="134">
        <f t="shared" si="0"/>
        <v>0</v>
      </c>
      <c r="C19" s="134">
        <f t="shared" si="1"/>
        <v>0</v>
      </c>
      <c r="D19" s="134">
        <f t="shared" si="2"/>
        <v>0</v>
      </c>
      <c r="E19" s="113">
        <f>CHOOSE('Valuation Dashboard'!$B$148,B19,C19,D19,F19)</f>
        <v>0</v>
      </c>
      <c r="F19" s="123">
        <v>0</v>
      </c>
    </row>
    <row r="20" spans="1:8" x14ac:dyDescent="0.25">
      <c r="A20" t="s">
        <v>509</v>
      </c>
      <c r="B20" s="134">
        <f t="shared" si="0"/>
        <v>0.15864144568320016</v>
      </c>
      <c r="C20" s="134">
        <f t="shared" si="1"/>
        <v>0.21086582633230835</v>
      </c>
      <c r="D20" s="134">
        <f t="shared" si="2"/>
        <v>0.19436006344256565</v>
      </c>
      <c r="E20" s="113">
        <f>CHOOSE('Valuation Dashboard'!$B$148,B20,C20,D20,F20)</f>
        <v>0.15864144568320016</v>
      </c>
      <c r="F20" s="123">
        <v>0.15864144568319999</v>
      </c>
    </row>
    <row r="21" spans="1:8" x14ac:dyDescent="0.25">
      <c r="A21" t="s">
        <v>510</v>
      </c>
      <c r="B21" s="134">
        <f t="shared" si="0"/>
        <v>0</v>
      </c>
      <c r="C21" s="134">
        <f t="shared" si="1"/>
        <v>0</v>
      </c>
      <c r="D21" s="134">
        <f t="shared" si="2"/>
        <v>0</v>
      </c>
      <c r="E21" s="113">
        <f>CHOOSE('Valuation Dashboard'!$B$148,B21,C21,D21,F21)</f>
        <v>0</v>
      </c>
      <c r="F21" s="123">
        <v>0</v>
      </c>
    </row>
    <row r="23" spans="1:8" x14ac:dyDescent="0.25">
      <c r="A23" s="24" t="s">
        <v>513</v>
      </c>
      <c r="B23" s="24"/>
      <c r="C23" s="24"/>
      <c r="D23" s="24"/>
      <c r="E23" s="24"/>
      <c r="F23" s="24"/>
      <c r="G23" s="24"/>
      <c r="H23" s="24"/>
    </row>
    <row r="24" spans="1:8" x14ac:dyDescent="0.25">
      <c r="A24" s="9" t="s">
        <v>514</v>
      </c>
      <c r="B24" s="167">
        <f>EDATE('MSFT - Income Statement FY'!B5,12)</f>
        <v>46203</v>
      </c>
      <c r="C24" s="168">
        <f>EDATE(B24,12)</f>
        <v>46568</v>
      </c>
      <c r="D24" s="168">
        <f>EDATE(C24,12)</f>
        <v>46934</v>
      </c>
      <c r="E24" s="168">
        <f>EDATE(D24,12)</f>
        <v>47299</v>
      </c>
      <c r="F24" s="168">
        <f>EDATE(E24,12)</f>
        <v>47664</v>
      </c>
    </row>
    <row r="25" spans="1:8" x14ac:dyDescent="0.25">
      <c r="A25" t="s">
        <v>515</v>
      </c>
      <c r="B25" s="109">
        <f>'MSFT Rev Drivers &amp; Forecast'!B50</f>
        <v>314735.0097</v>
      </c>
      <c r="C25" s="109">
        <f>'MSFT Rev Drivers &amp; Forecast'!C50</f>
        <v>349056.86250778509</v>
      </c>
      <c r="D25" s="109">
        <f>'MSFT Rev Drivers &amp; Forecast'!D50</f>
        <v>384285.42635638325</v>
      </c>
      <c r="E25" s="109">
        <f>'MSFT Rev Drivers &amp; Forecast'!E50</f>
        <v>419947.11392225558</v>
      </c>
      <c r="F25" s="109">
        <f>'MSFT Rev Drivers &amp; Forecast'!F50</f>
        <v>455506.13579362258</v>
      </c>
    </row>
    <row r="26" spans="1:8" x14ac:dyDescent="0.25">
      <c r="A26" t="s">
        <v>516</v>
      </c>
      <c r="B26" s="119">
        <f>B25*B77</f>
        <v>98013.799308674323</v>
      </c>
      <c r="C26" s="119">
        <f>C25*C77</f>
        <v>108581.54157237428</v>
      </c>
      <c r="D26" s="119">
        <f>D25*D77</f>
        <v>119407.29323670444</v>
      </c>
      <c r="E26" s="119">
        <f>E25*E77</f>
        <v>130343.12203933854</v>
      </c>
      <c r="F26" s="119">
        <f>F25*F77</f>
        <v>141222.46578706341</v>
      </c>
    </row>
    <row r="27" spans="1:8" x14ac:dyDescent="0.25">
      <c r="A27" s="9" t="s">
        <v>517</v>
      </c>
      <c r="B27" s="147">
        <f>B25-B26</f>
        <v>216721.21039132567</v>
      </c>
      <c r="C27" s="147">
        <f>C25-C26</f>
        <v>240475.3209354108</v>
      </c>
      <c r="D27" s="147">
        <f>D25-D26</f>
        <v>264878.13311967882</v>
      </c>
      <c r="E27" s="147">
        <f>E25-E26</f>
        <v>289603.99188291701</v>
      </c>
      <c r="F27" s="147">
        <f>F25-F26</f>
        <v>314283.67000655917</v>
      </c>
    </row>
    <row r="28" spans="1:8" x14ac:dyDescent="0.25">
      <c r="A28" t="s">
        <v>518</v>
      </c>
      <c r="B28" s="119">
        <f>B25*B78</f>
        <v>36484.479620186445</v>
      </c>
      <c r="C28" s="119">
        <f>C25*C78</f>
        <v>40673.496933865572</v>
      </c>
      <c r="D28" s="119">
        <f>D25*D78</f>
        <v>45010.087510073761</v>
      </c>
      <c r="E28" s="119">
        <f>E25*E78</f>
        <v>49440.135670115473</v>
      </c>
      <c r="F28" s="119">
        <f>F25*F78</f>
        <v>53901.023459000746</v>
      </c>
    </row>
    <row r="29" spans="1:8" x14ac:dyDescent="0.25">
      <c r="A29" t="s">
        <v>519</v>
      </c>
      <c r="B29" s="119">
        <f>B25*B79</f>
        <v>37154.842913990848</v>
      </c>
      <c r="C29" s="119">
        <f>C25*C79</f>
        <v>41678.457614624363</v>
      </c>
      <c r="D29" s="119">
        <f>D25*D79</f>
        <v>46404.359426479197</v>
      </c>
      <c r="E29" s="119">
        <f>E25*E79</f>
        <v>51278.39738103011</v>
      </c>
      <c r="F29" s="119">
        <f>F25*F79</f>
        <v>56236.180211168328</v>
      </c>
    </row>
    <row r="30" spans="1:8" x14ac:dyDescent="0.25">
      <c r="A30" t="s">
        <v>520</v>
      </c>
      <c r="B30" s="119">
        <f>B25*B80</f>
        <v>0</v>
      </c>
      <c r="C30" s="119">
        <f>C25*C80</f>
        <v>0</v>
      </c>
      <c r="D30" s="119">
        <f>D25*D80</f>
        <v>0</v>
      </c>
      <c r="E30" s="119">
        <f>E25*E80</f>
        <v>0</v>
      </c>
      <c r="F30" s="119">
        <f>F25*F80</f>
        <v>0</v>
      </c>
    </row>
    <row r="31" spans="1:8" x14ac:dyDescent="0.25">
      <c r="A31" s="9" t="s">
        <v>521</v>
      </c>
      <c r="B31" s="147">
        <f>SUM(B28:B30)</f>
        <v>73639.322534177292</v>
      </c>
      <c r="C31" s="147">
        <f>SUM(C28:C30)</f>
        <v>82351.954548489943</v>
      </c>
      <c r="D31" s="147">
        <f>SUM(D28:D30)</f>
        <v>91414.446936552966</v>
      </c>
      <c r="E31" s="147">
        <f>SUM(E28:E30)</f>
        <v>100718.53305114558</v>
      </c>
      <c r="F31" s="147">
        <f>SUM(F28:F30)</f>
        <v>110137.20367016908</v>
      </c>
    </row>
    <row r="32" spans="1:8" x14ac:dyDescent="0.25">
      <c r="A32" s="9" t="s">
        <v>522</v>
      </c>
      <c r="B32" s="147">
        <f>B27-B31+B25*IF('Valuation Dashboard'!$B$151="Yes",'MSFT - Reconciliation FY'!$B$152,0)</f>
        <v>145781.15581927338</v>
      </c>
      <c r="C32" s="147">
        <f>C27-C31+C25*IF('Valuation Dashboard'!$B$151="Yes",'MSFT - Reconciliation FY'!$B$152,0)</f>
        <v>161116.98952031558</v>
      </c>
      <c r="D32" s="147">
        <f>D27-D31+D25*IF('Valuation Dashboard'!$B$151="Yes",'MSFT - Reconciliation FY'!$B$152,0)</f>
        <v>176759.44073125845</v>
      </c>
      <c r="E32" s="147">
        <f>E27-E31+E25*IF('Valuation Dashboard'!$B$151="Yes",'MSFT - Reconciliation FY'!$B$152,0)</f>
        <v>192487.05940197074</v>
      </c>
      <c r="F32" s="147">
        <f>F27-F31+F25*IF('Valuation Dashboard'!$B$151="Yes",'MSFT - Reconciliation FY'!$B$152,0)</f>
        <v>208053.03243487101</v>
      </c>
    </row>
    <row r="33" spans="1:8" x14ac:dyDescent="0.25">
      <c r="A33" t="s">
        <v>320</v>
      </c>
      <c r="B33" s="134">
        <f>B32/B25</f>
        <v>0.46318697102756212</v>
      </c>
      <c r="C33" s="134">
        <f>C32/C25</f>
        <v>0.46157806027011472</v>
      </c>
      <c r="D33" s="134">
        <f>D32/D25</f>
        <v>0.4599691495126676</v>
      </c>
      <c r="E33" s="134">
        <f>E32/E25</f>
        <v>0.45836023875522025</v>
      </c>
      <c r="F33" s="134">
        <f>F32/F25</f>
        <v>0.45675132799777296</v>
      </c>
    </row>
    <row r="35" spans="1:8" x14ac:dyDescent="0.25">
      <c r="A35" t="s">
        <v>545</v>
      </c>
      <c r="B35" s="119">
        <f>B61</f>
        <v>224255.47940381287</v>
      </c>
      <c r="C35" s="119">
        <f>C61</f>
        <v>243467.60354659491</v>
      </c>
      <c r="D35" s="119">
        <f>D61</f>
        <v>262267.49224401603</v>
      </c>
      <c r="E35" s="119">
        <f>E61</f>
        <v>280298.18738486164</v>
      </c>
      <c r="F35" s="119">
        <f>F61</f>
        <v>297190.60138207214</v>
      </c>
    </row>
    <row r="36" spans="1:8" x14ac:dyDescent="0.25">
      <c r="A36" t="s">
        <v>266</v>
      </c>
      <c r="B36" s="119">
        <f>B35*B81</f>
        <v>37188.065659535394</v>
      </c>
      <c r="C36" s="119">
        <f>C35*C81</f>
        <v>40179.555459606359</v>
      </c>
      <c r="D36" s="119">
        <f>D35*D81</f>
        <v>43072.656764012936</v>
      </c>
      <c r="E36" s="119">
        <f>E35*E81</f>
        <v>45810.018437931343</v>
      </c>
      <c r="F36" s="119">
        <f>F35*F81</f>
        <v>48333.456968940693</v>
      </c>
    </row>
    <row r="37" spans="1:8" x14ac:dyDescent="0.25">
      <c r="A37" s="9" t="s">
        <v>406</v>
      </c>
      <c r="B37" s="147">
        <f>B32+B36</f>
        <v>182969.22147880879</v>
      </c>
      <c r="C37" s="147">
        <f>C32+C36</f>
        <v>201296.54497992195</v>
      </c>
      <c r="D37" s="147">
        <f>D32+D36</f>
        <v>219832.09749527139</v>
      </c>
      <c r="E37" s="147">
        <f>E32+E36</f>
        <v>238297.07783990208</v>
      </c>
      <c r="F37" s="147">
        <f>F32+F36</f>
        <v>256386.48940381169</v>
      </c>
    </row>
    <row r="39" spans="1:8" x14ac:dyDescent="0.25">
      <c r="A39" t="s">
        <v>261</v>
      </c>
      <c r="B39" s="119">
        <f>B32*$B$2</f>
        <v>30614.042722047408</v>
      </c>
      <c r="C39" s="119">
        <f>C32*$B$2</f>
        <v>33834.567799266268</v>
      </c>
      <c r="D39" s="119">
        <f>D32*$B$2</f>
        <v>37119.482553564274</v>
      </c>
      <c r="E39" s="119">
        <f>E32*$B$2</f>
        <v>40422.282474413856</v>
      </c>
      <c r="F39" s="119">
        <f>F32*$B$2</f>
        <v>43691.136811322911</v>
      </c>
    </row>
    <row r="40" spans="1:8" x14ac:dyDescent="0.25">
      <c r="A40" s="9" t="s">
        <v>259</v>
      </c>
      <c r="B40" s="147">
        <f>B32-B39</f>
        <v>115167.11309722597</v>
      </c>
      <c r="C40" s="147">
        <f>C32-C39</f>
        <v>127282.42172104931</v>
      </c>
      <c r="D40" s="147">
        <f>D32-D39</f>
        <v>139639.95817769418</v>
      </c>
      <c r="E40" s="147">
        <f>E32-E39</f>
        <v>152064.77692755687</v>
      </c>
      <c r="F40" s="147">
        <f>F32-F39</f>
        <v>164361.8956235481</v>
      </c>
    </row>
    <row r="41" spans="1:8" x14ac:dyDescent="0.25">
      <c r="A41" t="s">
        <v>278</v>
      </c>
      <c r="B41" s="134">
        <f>B40/B25</f>
        <v>0.36591770711177407</v>
      </c>
      <c r="C41" s="134">
        <f>C40/C25</f>
        <v>0.36464666761339065</v>
      </c>
      <c r="D41" s="134">
        <f>D40/D25</f>
        <v>0.3633756281150074</v>
      </c>
      <c r="E41" s="134">
        <f>E40/E25</f>
        <v>0.36210458861662398</v>
      </c>
      <c r="F41" s="134">
        <f>F40/F25</f>
        <v>0.36083354911824062</v>
      </c>
    </row>
    <row r="43" spans="1:8" x14ac:dyDescent="0.25">
      <c r="A43" s="24" t="s">
        <v>532</v>
      </c>
      <c r="B43" s="24"/>
      <c r="C43" s="24"/>
      <c r="D43" s="24"/>
      <c r="E43" s="24"/>
      <c r="F43" s="24"/>
      <c r="G43" s="24"/>
      <c r="H43" s="24"/>
    </row>
    <row r="44" spans="1:8" x14ac:dyDescent="0.25">
      <c r="A44" s="9" t="s">
        <v>506</v>
      </c>
      <c r="B44" s="167">
        <f>'MSFT - Income Statement FY'!B5</f>
        <v>45838</v>
      </c>
      <c r="C44" s="167">
        <f>'MSFT - Income Statement FY'!C5</f>
        <v>45473</v>
      </c>
      <c r="D44" s="167">
        <f>'MSFT - Income Statement FY'!D5</f>
        <v>45107</v>
      </c>
      <c r="E44" s="167">
        <f>'MSFT - Income Statement FY'!E5</f>
        <v>44742</v>
      </c>
      <c r="F44" s="167">
        <f>'MSFT - Income Statement FY'!F5</f>
        <v>44377</v>
      </c>
      <c r="G44" s="167">
        <f>'MSFT - Income Statement FY'!G5</f>
        <v>44012</v>
      </c>
      <c r="H44" s="167">
        <f>'MSFT - Income Statement FY'!H5</f>
        <v>43646</v>
      </c>
    </row>
    <row r="45" spans="1:8" x14ac:dyDescent="0.25">
      <c r="A45" t="s">
        <v>533</v>
      </c>
      <c r="B45" s="113">
        <f>IFERROR('MSFT - Reconciliation FY'!B22/'MSFT - Income Statement FY'!B7,"")</f>
        <v>-9.7338245942837687E-2</v>
      </c>
      <c r="C45" s="113">
        <f>IFERROR('MSFT - Reconciliation FY'!C22/'MSFT - Income Statement FY'!C7,"")</f>
        <v>-8.6983461296823619E-2</v>
      </c>
      <c r="D45" s="113">
        <f>IFERROR('MSFT - Reconciliation FY'!D22/'MSFT - Income Statement FY'!D7,"")</f>
        <v>-8.5235589741169793E-2</v>
      </c>
      <c r="E45" s="113">
        <f>IFERROR('MSFT - Reconciliation FY'!E22/'MSFT - Income Statement FY'!E7,"")</f>
        <v>-0.10164220507388917</v>
      </c>
      <c r="F45" s="113">
        <f>IFERROR('MSFT - Reconciliation FY'!F22/'MSFT - Income Statement FY'!F7,"")</f>
        <v>-0.12135452858026746</v>
      </c>
      <c r="G45" s="113">
        <f>IFERROR('MSFT - Reconciliation FY'!G22/'MSFT - Income Statement FY'!G7,"")</f>
        <v>-0.1269566129426983</v>
      </c>
      <c r="H45" s="113">
        <f>IFERROR('MSFT - Reconciliation FY'!H22/'MSFT - Income Statement FY'!H7,"")</f>
        <v>-0.15617984313787814</v>
      </c>
    </row>
    <row r="46" spans="1:8" x14ac:dyDescent="0.25">
      <c r="A46" t="s">
        <v>534</v>
      </c>
      <c r="B46" s="113">
        <f>IFERROR('MSFT - Reconciliation FY'!B24/'MSFT - Income Statement FY'!B7,"")</f>
        <v>0.72754184946969369</v>
      </c>
      <c r="C46" s="113">
        <f>IFERROR('MSFT - Reconciliation FY'!C24/'MSFT - Income Statement FY'!C7,"")</f>
        <v>0.5531572033518003</v>
      </c>
      <c r="D46" s="113">
        <f>IFERROR('MSFT - Reconciliation FY'!D24/'MSFT - Income Statement FY'!D7,"")</f>
        <v>0.45131774532241703</v>
      </c>
      <c r="E46" s="113">
        <f>IFERROR('MSFT - Reconciliation FY'!E24/'MSFT - Income Statement FY'!E7,"")</f>
        <v>0.37523578957986586</v>
      </c>
      <c r="F46" s="113">
        <f>IFERROR('MSFT - Reconciliation FY'!F24/'MSFT - Income Statement FY'!F7,"")</f>
        <v>0.35526033982199801</v>
      </c>
      <c r="G46" s="113">
        <f>IFERROR('MSFT - Reconciliation FY'!G24/'MSFT - Income Statement FY'!G7,"")</f>
        <v>0.30871586896479392</v>
      </c>
      <c r="H46" s="113">
        <f>IFERROR('MSFT - Reconciliation FY'!H24/'MSFT - Income Statement FY'!H7,"")</f>
        <v>0.28986117622752161</v>
      </c>
    </row>
    <row r="47" spans="1:8" x14ac:dyDescent="0.25">
      <c r="A47" t="s">
        <v>535</v>
      </c>
      <c r="B47" s="113">
        <f>IFERROR(('MSFT - Reconciliation FY'!B25+'MSFT - Reconciliation FY'!B26)/'MSFT - Income Statement FY'!B7,"")</f>
        <v>0.50444051624994679</v>
      </c>
      <c r="C47" s="113">
        <f>IFERROR(('MSFT - Reconciliation FY'!C25+'MSFT - Reconciliation FY'!C26)/'MSFT - Income Statement FY'!C7,"")</f>
        <v>0.598954806178148</v>
      </c>
      <c r="D47" s="113">
        <f>IFERROR(('MSFT - Reconciliation FY'!D25+'MSFT - Reconciliation FY'!D26)/'MSFT - Income Statement FY'!D7,"")</f>
        <v>0.36454238727791805</v>
      </c>
      <c r="E47" s="113">
        <f>IFERROR(('MSFT - Reconciliation FY'!E25+'MSFT - Reconciliation FY'!E26)/'MSFT - Income Statement FY'!E7,"")</f>
        <v>0.39754879709487062</v>
      </c>
      <c r="F47" s="113">
        <f>IFERROR(('MSFT - Reconciliation FY'!F25+'MSFT - Reconciliation FY'!F26)/'MSFT - Income Statement FY'!F7,"")</f>
        <v>0.34214816048736374</v>
      </c>
      <c r="G47" s="113">
        <f>IFERROR(('MSFT - Reconciliation FY'!G25+'MSFT - Reconciliation FY'!G26)/'MSFT - Income Statement FY'!G7,"")</f>
        <v>0.35233367129322102</v>
      </c>
      <c r="H47" s="113">
        <f>IFERROR(('MSFT - Reconciliation FY'!H25+'MSFT - Reconciliation FY'!H26)/'MSFT - Income Statement FY'!H7,"")</f>
        <v>0.39554047503635481</v>
      </c>
    </row>
    <row r="48" spans="1:8" x14ac:dyDescent="0.25">
      <c r="A48" t="s">
        <v>536</v>
      </c>
      <c r="B48" s="113">
        <f>IFERROR(('MSFT - Reconciliation FY'!B27+'MSFT - Reconciliation FY'!B28+'MSFT - Reconciliation FY'!B29+'MSFT - Reconciliation FY'!B30)/'MSFT - Income Statement FY'!B7,"")</f>
        <v>0.11241853729181753</v>
      </c>
      <c r="C48" s="113">
        <f>IFERROR(('MSFT - Reconciliation FY'!C27+'MSFT - Reconciliation FY'!C28+'MSFT - Reconciliation FY'!C29+'MSFT - Reconciliation FY'!C30)/'MSFT - Income Statement FY'!C7,"")</f>
        <v>8.1600182766132789E-2</v>
      </c>
      <c r="D48" s="113">
        <f>IFERROR(('MSFT - Reconciliation FY'!D27+'MSFT - Reconciliation FY'!D28+'MSFT - Reconciliation FY'!D29+'MSFT - Reconciliation FY'!D30)/'MSFT - Income Statement FY'!D7,"")</f>
        <v>6.5738621617157822E-2</v>
      </c>
      <c r="E48" s="113">
        <f>IFERROR(('MSFT - Reconciliation FY'!E27+'MSFT - Reconciliation FY'!E28+'MSFT - Reconciliation FY'!E29+'MSFT - Reconciliation FY'!E30)/'MSFT - Income Statement FY'!E7,"")</f>
        <v>2.1142885963585011E-2</v>
      </c>
      <c r="F48" s="113">
        <f>IFERROR(('MSFT - Reconciliation FY'!F27+'MSFT - Reconciliation FY'!F28+'MSFT - Reconciliation FY'!F29+'MSFT - Reconciliation FY'!F30)/'MSFT - Income Statement FY'!F7,"")</f>
        <v>-3.282804245395269E-2</v>
      </c>
      <c r="G48" s="113">
        <f>IFERROR(('MSFT - Reconciliation FY'!G27+'MSFT - Reconciliation FY'!G28+'MSFT - Reconciliation FY'!G29+'MSFT - Reconciliation FY'!G30)/'MSFT - Income Statement FY'!G7,"")</f>
        <v>-8.8109638849071775E-2</v>
      </c>
      <c r="H48" s="113">
        <f>IFERROR(('MSFT - Reconciliation FY'!H27+'MSFT - Reconciliation FY'!H28+'MSFT - Reconciliation FY'!H29+'MSFT - Reconciliation FY'!H30)/'MSFT - Income Statement FY'!H7,"")</f>
        <v>-0.15776801252354125</v>
      </c>
    </row>
    <row r="49" spans="1:8" x14ac:dyDescent="0.25">
      <c r="A49" t="s">
        <v>537</v>
      </c>
      <c r="B49" s="113">
        <f>IFERROR('MSFT - Reconciliation FY'!B32/'MSFT - Income Statement FY'!B7,"")</f>
        <v>1.2470626570686203</v>
      </c>
      <c r="C49" s="113">
        <f>IFERROR('MSFT - Reconciliation FY'!C32/'MSFT - Income Statement FY'!C7,"")</f>
        <v>1.1467287309992575</v>
      </c>
      <c r="D49" s="113">
        <f>IFERROR('MSFT - Reconciliation FY'!D32/'MSFT - Income Statement FY'!D7,"")</f>
        <v>0.79636316447632305</v>
      </c>
      <c r="E49" s="113">
        <f>IFERROR('MSFT - Reconciliation FY'!E32/'MSFT - Income Statement FY'!E7,"")</f>
        <v>0.69228526756443232</v>
      </c>
      <c r="F49" s="113">
        <f>IFERROR('MSFT - Reconciliation FY'!F32/'MSFT - Income Statement FY'!F7,"")</f>
        <v>0.54322592927514168</v>
      </c>
      <c r="G49" s="113">
        <f>IFERROR('MSFT - Reconciliation FY'!G32/'MSFT - Income Statement FY'!G7,"")</f>
        <v>0.4459832884662448</v>
      </c>
      <c r="H49" s="113">
        <f>IFERROR('MSFT - Reconciliation FY'!H32/'MSFT - Income Statement FY'!H7,"")</f>
        <v>0.37145379560245706</v>
      </c>
    </row>
    <row r="51" spans="1:8" x14ac:dyDescent="0.25">
      <c r="A51" s="24" t="s">
        <v>512</v>
      </c>
      <c r="B51" s="24"/>
      <c r="C51" s="24"/>
      <c r="D51" s="24"/>
      <c r="E51" s="24"/>
      <c r="F51" s="24"/>
      <c r="G51" s="24"/>
      <c r="H51" s="24"/>
    </row>
    <row r="52" spans="1:8" x14ac:dyDescent="0.25">
      <c r="A52" s="9" t="s">
        <v>506</v>
      </c>
      <c r="B52" s="9" t="s">
        <v>523</v>
      </c>
      <c r="C52" s="9" t="s">
        <v>524</v>
      </c>
      <c r="D52" s="9" t="s">
        <v>525</v>
      </c>
      <c r="E52" s="9" t="s">
        <v>1466</v>
      </c>
      <c r="F52" s="9" t="s">
        <v>1462</v>
      </c>
    </row>
    <row r="53" spans="1:8" x14ac:dyDescent="0.25">
      <c r="A53" t="s">
        <v>533</v>
      </c>
      <c r="B53" s="134">
        <f>IFERROR(AVERAGE(B45:D45),"")</f>
        <v>-8.985243232694369E-2</v>
      </c>
      <c r="C53" s="134">
        <f>IFERROR(AVERAGE(B45:H45),"")</f>
        <v>-0.11081292667365203</v>
      </c>
      <c r="D53" s="134">
        <f>IFERROR(MEDIAN(B45:H45),"")</f>
        <v>-0.10164220507388917</v>
      </c>
      <c r="E53" s="113">
        <f>CHOOSE('Valuation Dashboard'!$B$148,B53,C53,D53,F53)</f>
        <v>-8.985243232694369E-2</v>
      </c>
      <c r="F53" s="123">
        <v>-8.9852432326943704E-2</v>
      </c>
    </row>
    <row r="54" spans="1:8" x14ac:dyDescent="0.25">
      <c r="A54" t="s">
        <v>534</v>
      </c>
      <c r="B54" s="134">
        <f>IFERROR(AVERAGE(B46:D46),"")</f>
        <v>0.5773389327146371</v>
      </c>
      <c r="C54" s="134">
        <f>IFERROR(AVERAGE(B46:H46),"")</f>
        <v>0.43729856753401292</v>
      </c>
      <c r="D54" s="134">
        <f>IFERROR(MEDIAN(B46:H46),"")</f>
        <v>0.37523578957986586</v>
      </c>
      <c r="E54" s="113">
        <f>CHOOSE('Valuation Dashboard'!$B$148,B54,C54,D54,F54)</f>
        <v>0.5773389327146371</v>
      </c>
      <c r="F54" s="123">
        <v>0.57733893271463699</v>
      </c>
    </row>
    <row r="55" spans="1:8" x14ac:dyDescent="0.25">
      <c r="A55" t="s">
        <v>535</v>
      </c>
      <c r="B55" s="134">
        <f>IFERROR(AVERAGE(B47:D47),"")</f>
        <v>0.48931256990200428</v>
      </c>
      <c r="C55" s="134">
        <f>IFERROR(AVERAGE(B47:H47),"")</f>
        <v>0.42221554480254614</v>
      </c>
      <c r="D55" s="134">
        <f>IFERROR(MEDIAN(B47:H47),"")</f>
        <v>0.39554047503635481</v>
      </c>
      <c r="E55" s="113">
        <f>CHOOSE('Valuation Dashboard'!$B$148,B55,C55,D55,F55)</f>
        <v>0.48931256990200428</v>
      </c>
      <c r="F55" s="123">
        <v>0.489312569902004</v>
      </c>
    </row>
    <row r="56" spans="1:8" x14ac:dyDescent="0.25">
      <c r="A56" t="s">
        <v>536</v>
      </c>
      <c r="B56" s="134">
        <f>IFERROR(AVERAGE(B48:D48),"")</f>
        <v>8.6585780558369366E-2</v>
      </c>
      <c r="C56" s="134">
        <f>IFERROR(AVERAGE(B48:H48),"")</f>
        <v>3.1350483030391307E-4</v>
      </c>
      <c r="D56" s="134">
        <f>IFERROR(MEDIAN(B48:H48),"")</f>
        <v>2.1142885963585011E-2</v>
      </c>
      <c r="E56" s="113">
        <f>CHOOSE('Valuation Dashboard'!$B$148,B56,C56,D56,F56)</f>
        <v>8.6585780558369366E-2</v>
      </c>
      <c r="F56" s="123">
        <v>8.6585780558369393E-2</v>
      </c>
    </row>
    <row r="58" spans="1:8" x14ac:dyDescent="0.25">
      <c r="A58" s="24" t="s">
        <v>538</v>
      </c>
      <c r="B58" s="24"/>
      <c r="C58" s="24"/>
      <c r="D58" s="24"/>
      <c r="E58" s="24"/>
      <c r="F58" s="24"/>
      <c r="G58" s="24"/>
      <c r="H58" s="24"/>
    </row>
    <row r="59" spans="1:8" x14ac:dyDescent="0.25">
      <c r="A59" s="9" t="s">
        <v>514</v>
      </c>
      <c r="B59" s="168">
        <f>B24</f>
        <v>46203</v>
      </c>
      <c r="C59" s="168">
        <f>C24</f>
        <v>46568</v>
      </c>
      <c r="D59" s="168">
        <f>D24</f>
        <v>46934</v>
      </c>
      <c r="E59" s="168">
        <f>E24</f>
        <v>47299</v>
      </c>
      <c r="F59" s="168">
        <f>F24</f>
        <v>47664</v>
      </c>
    </row>
    <row r="60" spans="1:8" x14ac:dyDescent="0.25">
      <c r="A60" t="s">
        <v>235</v>
      </c>
      <c r="B60" s="119">
        <f>B25*B82</f>
        <v>-30400.149018898926</v>
      </c>
      <c r="C60" s="119">
        <f>C25*C82</f>
        <v>-33453.987808001657</v>
      </c>
      <c r="D60" s="119">
        <f>D25*D82</f>
        <v>-36542.662619823401</v>
      </c>
      <c r="E60" s="119">
        <f>E25*E82</f>
        <v>-39619.457128607544</v>
      </c>
      <c r="F60" s="119">
        <f>F25*F82</f>
        <v>-42633.251257627671</v>
      </c>
    </row>
    <row r="61" spans="1:8" x14ac:dyDescent="0.25">
      <c r="A61" t="s">
        <v>236</v>
      </c>
      <c r="B61" s="119">
        <f>B25*B83</f>
        <v>224255.47940381287</v>
      </c>
      <c r="C61" s="119">
        <f>C25*C83</f>
        <v>243467.60354659491</v>
      </c>
      <c r="D61" s="119">
        <f>D25*D83</f>
        <v>262267.49224401603</v>
      </c>
      <c r="E61" s="119">
        <f>E25*E83</f>
        <v>280298.18738486164</v>
      </c>
      <c r="F61" s="119">
        <f>F25*F83</f>
        <v>297190.60138207214</v>
      </c>
    </row>
    <row r="62" spans="1:8" x14ac:dyDescent="0.25">
      <c r="A62" t="s">
        <v>539</v>
      </c>
      <c r="B62" s="119">
        <f>B25*B84</f>
        <v>158288.96134094393</v>
      </c>
      <c r="C62" s="119">
        <f>C25*C84</f>
        <v>175022.32122633402</v>
      </c>
      <c r="D62" s="119">
        <f>D25*D84</f>
        <v>192105.1040648802</v>
      </c>
      <c r="E62" s="119">
        <f>E25*E84</f>
        <v>209297.16398126213</v>
      </c>
      <c r="F62" s="119">
        <f>F25*F84</f>
        <v>226330.31410303107</v>
      </c>
    </row>
    <row r="63" spans="1:8" x14ac:dyDescent="0.25">
      <c r="A63" t="s">
        <v>540</v>
      </c>
      <c r="B63" s="119">
        <f>B25*B85</f>
        <v>34569.002130892048</v>
      </c>
      <c r="C63" s="119">
        <f>C25*C85</f>
        <v>37437.041711735408</v>
      </c>
      <c r="D63" s="119">
        <f>D25*D85</f>
        <v>40222.65995296491</v>
      </c>
      <c r="E63" s="119">
        <f>E25*E85</f>
        <v>42870.483633113327</v>
      </c>
      <c r="F63" s="119">
        <f>F25*F85</f>
        <v>45323.843915092235</v>
      </c>
    </row>
    <row r="64" spans="1:8" x14ac:dyDescent="0.25">
      <c r="A64" s="9" t="s">
        <v>541</v>
      </c>
      <c r="B64" s="147">
        <f>SUM(B60:B63)</f>
        <v>386713.29385674995</v>
      </c>
      <c r="C64" s="147">
        <f>SUM(C60:C63)</f>
        <v>422472.97867666266</v>
      </c>
      <c r="D64" s="147">
        <f>SUM(D60:D63)</f>
        <v>458052.59364203777</v>
      </c>
      <c r="E64" s="147">
        <f>SUM(E60:E63)</f>
        <v>492846.37787062954</v>
      </c>
      <c r="F64" s="147">
        <f>SUM(F60:F63)</f>
        <v>526211.50814256771</v>
      </c>
    </row>
    <row r="66" spans="1:8" x14ac:dyDescent="0.25">
      <c r="A66" s="24" t="s">
        <v>542</v>
      </c>
      <c r="B66" s="24"/>
      <c r="C66" s="24"/>
      <c r="D66" s="24"/>
      <c r="E66" s="24"/>
      <c r="F66" s="24"/>
      <c r="G66" s="24"/>
      <c r="H66" s="24"/>
    </row>
    <row r="67" spans="1:8" x14ac:dyDescent="0.25">
      <c r="A67" t="s">
        <v>259</v>
      </c>
      <c r="B67" s="119">
        <f>B40</f>
        <v>115167.11309722597</v>
      </c>
      <c r="C67" s="119">
        <f>C40</f>
        <v>127282.42172104931</v>
      </c>
      <c r="D67" s="119">
        <f>D40</f>
        <v>139639.95817769418</v>
      </c>
      <c r="E67" s="119">
        <f>E40</f>
        <v>152064.77692755687</v>
      </c>
      <c r="F67" s="119">
        <f>F40</f>
        <v>164361.8956235481</v>
      </c>
    </row>
    <row r="68" spans="1:8" x14ac:dyDescent="0.25">
      <c r="A68" t="s">
        <v>266</v>
      </c>
      <c r="B68" s="119">
        <f>B36</f>
        <v>37188.065659535394</v>
      </c>
      <c r="C68" s="119">
        <f>C36</f>
        <v>40179.555459606359</v>
      </c>
      <c r="D68" s="119">
        <f>D36</f>
        <v>43072.656764012936</v>
      </c>
      <c r="E68" s="119">
        <f>E36</f>
        <v>45810.018437931343</v>
      </c>
      <c r="F68" s="119">
        <f>F36</f>
        <v>48333.456968940693</v>
      </c>
    </row>
    <row r="69" spans="1:8" x14ac:dyDescent="0.25">
      <c r="A69" s="9" t="s">
        <v>267</v>
      </c>
      <c r="B69" s="147">
        <f>B67+B68</f>
        <v>152355.17875676136</v>
      </c>
      <c r="C69" s="147">
        <f>C67+C68</f>
        <v>167461.97718065567</v>
      </c>
      <c r="D69" s="147">
        <f>D67+D68</f>
        <v>182712.61494170711</v>
      </c>
      <c r="E69" s="147">
        <f>E67+E68</f>
        <v>197874.79536548821</v>
      </c>
      <c r="F69" s="147">
        <f>F67+F68</f>
        <v>212695.35259248881</v>
      </c>
    </row>
    <row r="70" spans="1:8" x14ac:dyDescent="0.25">
      <c r="A70" t="s">
        <v>543</v>
      </c>
      <c r="B70" s="109">
        <f>-(B60-'MSFT - Reconciliation FY'!$B$22)</f>
        <v>2977.6290188989224</v>
      </c>
      <c r="C70" s="119">
        <f>-(C60-B60)</f>
        <v>3053.8387891027305</v>
      </c>
      <c r="D70" s="119">
        <f>-(D60-C60)</f>
        <v>3088.6748118217438</v>
      </c>
      <c r="E70" s="119">
        <f>-(E60-D60)</f>
        <v>3076.7945087841435</v>
      </c>
      <c r="F70" s="119">
        <f>-(F60-E60)</f>
        <v>3013.794129020127</v>
      </c>
    </row>
    <row r="71" spans="1:8" x14ac:dyDescent="0.25">
      <c r="A71" t="s">
        <v>269</v>
      </c>
      <c r="B71" s="109">
        <f>-((B61-'MSFT - Reconciliation FY'!$B$24)+B68)</f>
        <v>-56477.545063348269</v>
      </c>
      <c r="C71" s="119">
        <f>-((C61-B61)+C68)</f>
        <v>-59391.679602388394</v>
      </c>
      <c r="D71" s="119">
        <f>-((D61-C61)+D68)</f>
        <v>-61872.545461434056</v>
      </c>
      <c r="E71" s="119">
        <f>-((E61-D61)+E68)</f>
        <v>-63840.713578776951</v>
      </c>
      <c r="F71" s="119">
        <f>-((F61-E61)+F68)</f>
        <v>-65225.870966151197</v>
      </c>
    </row>
    <row r="72" spans="1:8" x14ac:dyDescent="0.25">
      <c r="A72" t="s">
        <v>544</v>
      </c>
      <c r="B72" s="109">
        <f>-((B62+B63)-('MSFT - Reconciliation FY'!$B$25+'MSFT - Reconciliation FY'!$B$26+'MSFT - Reconciliation FY'!$B$27+'MSFT - Reconciliation FY'!$B$28+'MSFT - Reconciliation FY'!$B$29+'MSFT - Reconciliation FY'!$B$30))</f>
        <v>-19073.963471835974</v>
      </c>
      <c r="C72" s="119">
        <f>-((C62+C63)-(B62+B63))</f>
        <v>-19601.399466233474</v>
      </c>
      <c r="D72" s="119">
        <f>-((D62+D63)-(C62+C63))</f>
        <v>-19868.401079775649</v>
      </c>
      <c r="E72" s="119">
        <f>-((E62+E63)-(D62+D63))</f>
        <v>-19839.883596530359</v>
      </c>
      <c r="F72" s="119">
        <f>-((F62+F63)-(E62+E63))</f>
        <v>-19486.510403747845</v>
      </c>
    </row>
    <row r="73" spans="1:8" x14ac:dyDescent="0.25">
      <c r="A73" s="9" t="s">
        <v>270</v>
      </c>
      <c r="B73" s="147">
        <f>B69+B70+B71+B72</f>
        <v>79781.299240476059</v>
      </c>
      <c r="C73" s="147">
        <f>C69+C70+C71+C72</f>
        <v>91522.736901136537</v>
      </c>
      <c r="D73" s="147">
        <f>D69+D70+D71+D72</f>
        <v>104060.34321231916</v>
      </c>
      <c r="E73" s="147">
        <f>E69+E70+E71+E72</f>
        <v>117270.99269896504</v>
      </c>
      <c r="F73" s="147">
        <f>F69+F70+F71+F72</f>
        <v>130996.76535160991</v>
      </c>
    </row>
    <row r="75" spans="1:8" x14ac:dyDescent="0.25">
      <c r="A75" s="24" t="s">
        <v>552</v>
      </c>
      <c r="B75" s="24"/>
      <c r="C75" s="24"/>
      <c r="D75" s="24"/>
      <c r="E75" s="24"/>
      <c r="F75" s="24"/>
      <c r="G75" s="24"/>
      <c r="H75" s="24"/>
    </row>
    <row r="76" spans="1:8" x14ac:dyDescent="0.25">
      <c r="A76" s="9" t="s">
        <v>506</v>
      </c>
      <c r="B76" s="168">
        <f>B24</f>
        <v>46203</v>
      </c>
      <c r="C76" s="168">
        <f>C24</f>
        <v>46568</v>
      </c>
      <c r="D76" s="168">
        <f>D24</f>
        <v>46934</v>
      </c>
      <c r="E76" s="168">
        <f>E24</f>
        <v>47299</v>
      </c>
      <c r="F76" s="168">
        <f>F24</f>
        <v>47664</v>
      </c>
    </row>
    <row r="77" spans="1:8" x14ac:dyDescent="0.25">
      <c r="A77" t="s">
        <v>507</v>
      </c>
      <c r="B77" s="134">
        <f>$B$6+($E$16-$B$6)*MIN(1/$B$3,1)</f>
        <v>0.31141689449197085</v>
      </c>
      <c r="C77" s="134">
        <f>$B$6+($E$16-$B$6)*MIN(2/$B$3,1)</f>
        <v>0.31107121284559347</v>
      </c>
      <c r="D77" s="134">
        <f>$B$6+($E$16-$B$6)*MIN(3/$B$3,1)</f>
        <v>0.31072553119921614</v>
      </c>
      <c r="E77" s="134">
        <f>$B$6+($E$16-$B$6)*MIN(4/$B$3,1)</f>
        <v>0.31037984955283882</v>
      </c>
      <c r="F77" s="134">
        <f>$B$6+($E$16-$B$6)*MIN(5/$B$3,1)</f>
        <v>0.31003416790646143</v>
      </c>
    </row>
    <row r="78" spans="1:8" x14ac:dyDescent="0.25">
      <c r="A78" t="s">
        <v>318</v>
      </c>
      <c r="B78" s="134">
        <f>$B$7+($E$17-$B$7)*MIN(1/$B$3,1)</f>
        <v>0.11592126231830016</v>
      </c>
      <c r="C78" s="134">
        <f>$B$7+($E$17-$B$7)*MIN(2/$B$3,1)</f>
        <v>0.11652398592495347</v>
      </c>
      <c r="D78" s="134">
        <f>$B$7+($E$17-$B$7)*MIN(3/$B$3,1)</f>
        <v>0.11712670953160677</v>
      </c>
      <c r="E78" s="134">
        <f>$B$7+($E$17-$B$7)*MIN(4/$B$3,1)</f>
        <v>0.11772943313826008</v>
      </c>
      <c r="F78" s="134">
        <f>$B$7+($E$17-$B$7)*MIN(5/$B$3,1)</f>
        <v>0.11833215674491337</v>
      </c>
    </row>
    <row r="79" spans="1:8" x14ac:dyDescent="0.25">
      <c r="A79" t="s">
        <v>319</v>
      </c>
      <c r="B79" s="134">
        <f>$B$8+($E$18-$B$8)*MIN(1/$B$3,1)</f>
        <v>0.11805119153857782</v>
      </c>
      <c r="C79" s="134">
        <f>$B$8+($E$18-$B$8)*MIN(2/$B$3,1)</f>
        <v>0.11940306033574916</v>
      </c>
      <c r="D79" s="134">
        <f>$B$8+($E$18-$B$8)*MIN(3/$B$3,1)</f>
        <v>0.12075492913292049</v>
      </c>
      <c r="E79" s="134">
        <f>$B$8+($E$18-$B$8)*MIN(4/$B$3,1)</f>
        <v>0.12210679793009183</v>
      </c>
      <c r="F79" s="134">
        <f>$B$8+($E$18-$B$8)*MIN(5/$B$3,1)</f>
        <v>0.12345866672726316</v>
      </c>
    </row>
    <row r="80" spans="1:8" x14ac:dyDescent="0.25">
      <c r="A80" t="s">
        <v>508</v>
      </c>
      <c r="B80" s="134">
        <f>$B$9+($E$19-$B$9)*MIN(1/$B$3,1)</f>
        <v>0</v>
      </c>
      <c r="C80" s="134">
        <f>$B$9+($E$19-$B$9)*MIN(2/$B$3,1)</f>
        <v>0</v>
      </c>
      <c r="D80" s="134">
        <f>$B$9+($E$19-$B$9)*MIN(3/$B$3,1)</f>
        <v>0</v>
      </c>
      <c r="E80" s="134">
        <f>$B$9+($E$19-$B$9)*MIN(4/$B$3,1)</f>
        <v>0</v>
      </c>
      <c r="F80" s="134">
        <f>$B$9+($E$19-$B$9)*MIN(5/$B$3,1)</f>
        <v>0</v>
      </c>
    </row>
    <row r="81" spans="1:8" x14ac:dyDescent="0.25">
      <c r="A81" t="s">
        <v>509</v>
      </c>
      <c r="B81" s="134">
        <f>$B$10+($E$20-$B$10)*MIN(1/$B$3,1)</f>
        <v>0.16582901679103013</v>
      </c>
      <c r="C81" s="134">
        <f>$B$10+($E$20-$B$10)*MIN(2/$B$3,1)</f>
        <v>0.16503039777904902</v>
      </c>
      <c r="D81" s="134">
        <f>$B$10+($E$20-$B$10)*MIN(3/$B$3,1)</f>
        <v>0.1642317787670679</v>
      </c>
      <c r="E81" s="134">
        <f>$B$10+($E$20-$B$10)*MIN(4/$B$3,1)</f>
        <v>0.16343315975508679</v>
      </c>
      <c r="F81" s="134">
        <f>$B$10+($E$20-$B$10)*MIN(5/$B$3,1)</f>
        <v>0.16263454074310568</v>
      </c>
    </row>
    <row r="82" spans="1:8" x14ac:dyDescent="0.25">
      <c r="A82" t="s">
        <v>533</v>
      </c>
      <c r="B82" s="134">
        <f>$B$45+($E$53-$B$45)*MIN(1/$B$3,1)</f>
        <v>-9.6589664581248291E-2</v>
      </c>
      <c r="C82" s="134">
        <f>$B$45+($E$53-$B$45)*MIN(2/$B$3,1)</f>
        <v>-9.5841083219658882E-2</v>
      </c>
      <c r="D82" s="134">
        <f>$B$45+($E$53-$B$45)*MIN(3/$B$3,1)</f>
        <v>-9.5092501858069486E-2</v>
      </c>
      <c r="E82" s="134">
        <f>$B$45+($E$53-$B$45)*MIN(4/$B$3,1)</f>
        <v>-9.4343920496480091E-2</v>
      </c>
      <c r="F82" s="134">
        <f>$B$45+($E$53-$B$45)*MIN(5/$B$3,1)</f>
        <v>-9.3595339134890682E-2</v>
      </c>
    </row>
    <row r="83" spans="1:8" x14ac:dyDescent="0.25">
      <c r="A83" t="s">
        <v>534</v>
      </c>
      <c r="B83" s="134">
        <f>$B$46+($E$54-$B$46)*MIN(1/$B$3,1)</f>
        <v>0.71252155779418802</v>
      </c>
      <c r="C83" s="134">
        <f>$B$46+($E$54-$B$46)*MIN(2/$B$3,1)</f>
        <v>0.69750126611868235</v>
      </c>
      <c r="D83" s="134">
        <f>$B$46+($E$54-$B$46)*MIN(3/$B$3,1)</f>
        <v>0.68248097444317668</v>
      </c>
      <c r="E83" s="134">
        <f>$B$46+($E$54-$B$46)*MIN(4/$B$3,1)</f>
        <v>0.66746068276767101</v>
      </c>
      <c r="F83" s="134">
        <f>$B$46+($E$54-$B$46)*MIN(5/$B$3,1)</f>
        <v>0.65244039109216545</v>
      </c>
    </row>
    <row r="84" spans="1:8" x14ac:dyDescent="0.25">
      <c r="A84" t="s">
        <v>535</v>
      </c>
      <c r="B84" s="134">
        <f>$B$47+($E$55-$B$47)*MIN(1/$B$3,1)</f>
        <v>0.50292772161515253</v>
      </c>
      <c r="C84" s="134">
        <f>$B$47+($E$55-$B$47)*MIN(2/$B$3,1)</f>
        <v>0.50141492698035828</v>
      </c>
      <c r="D84" s="134">
        <f>$B$47+($E$55-$B$47)*MIN(3/$B$3,1)</f>
        <v>0.49990213234556402</v>
      </c>
      <c r="E84" s="134">
        <f>$B$47+($E$55-$B$47)*MIN(4/$B$3,1)</f>
        <v>0.49838933771076976</v>
      </c>
      <c r="F84" s="134">
        <f>$B$47+($E$55-$B$47)*MIN(5/$B$3,1)</f>
        <v>0.49687654307597551</v>
      </c>
    </row>
    <row r="85" spans="1:8" x14ac:dyDescent="0.25">
      <c r="A85" t="s">
        <v>536</v>
      </c>
      <c r="B85" s="134">
        <f>$B$48+($E$56-$B$48)*MIN(1/$B$3,1)</f>
        <v>0.10983526161847271</v>
      </c>
      <c r="C85" s="134">
        <f>$B$48+($E$56-$B$48)*MIN(2/$B$3,1)</f>
        <v>0.1072519859451279</v>
      </c>
      <c r="D85" s="134">
        <f>$B$48+($E$56-$B$48)*MIN(3/$B$3,1)</f>
        <v>0.10466871027178308</v>
      </c>
      <c r="E85" s="134">
        <f>$B$48+($E$56-$B$48)*MIN(4/$B$3,1)</f>
        <v>0.10208543459843826</v>
      </c>
      <c r="F85" s="134">
        <f>$B$48+($E$56-$B$48)*MIN(5/$B$3,1)</f>
        <v>9.9502158925093454E-2</v>
      </c>
    </row>
    <row r="87" spans="1:8" x14ac:dyDescent="0.25">
      <c r="A87" s="24" t="s">
        <v>553</v>
      </c>
      <c r="B87" s="24"/>
      <c r="C87" s="24"/>
      <c r="D87" s="24"/>
      <c r="E87" s="24"/>
      <c r="F87" s="24"/>
      <c r="G87" s="24"/>
      <c r="H87" s="24"/>
    </row>
    <row r="88" spans="1:8" x14ac:dyDescent="0.25">
      <c r="A88" s="9" t="s">
        <v>514</v>
      </c>
      <c r="B88" s="168">
        <f>B24</f>
        <v>46203</v>
      </c>
      <c r="C88" s="168">
        <f>C24</f>
        <v>46568</v>
      </c>
      <c r="D88" s="168">
        <f>D24</f>
        <v>46934</v>
      </c>
      <c r="E88" s="168">
        <f>E24</f>
        <v>47299</v>
      </c>
      <c r="F88" s="168">
        <f>F24</f>
        <v>47664</v>
      </c>
    </row>
    <row r="89" spans="1:8" x14ac:dyDescent="0.25">
      <c r="A89" t="s">
        <v>541</v>
      </c>
      <c r="B89" s="119">
        <f>B64</f>
        <v>386713.29385674995</v>
      </c>
      <c r="C89" s="119">
        <f>C64</f>
        <v>422472.97867666266</v>
      </c>
      <c r="D89" s="119">
        <f>D64</f>
        <v>458052.59364203777</v>
      </c>
      <c r="E89" s="119">
        <f>E64</f>
        <v>492846.37787062954</v>
      </c>
      <c r="F89" s="119">
        <f>F64</f>
        <v>526211.50814256771</v>
      </c>
    </row>
    <row r="90" spans="1:8" x14ac:dyDescent="0.25">
      <c r="A90" t="s">
        <v>554</v>
      </c>
      <c r="B90" s="109">
        <f>'MSFT - Reconciliation FY'!$B$40</f>
        <v>104335.52</v>
      </c>
      <c r="C90" s="109">
        <f>'MSFT - Reconciliation FY'!$B$40</f>
        <v>104335.52</v>
      </c>
      <c r="D90" s="109">
        <f>'MSFT - Reconciliation FY'!$B$40</f>
        <v>104335.52</v>
      </c>
      <c r="E90" s="109">
        <f>'MSFT - Reconciliation FY'!$B$40</f>
        <v>104335.52</v>
      </c>
      <c r="F90" s="109">
        <f>'MSFT - Reconciliation FY'!$B$40</f>
        <v>104335.52</v>
      </c>
    </row>
    <row r="91" spans="1:8" x14ac:dyDescent="0.25">
      <c r="A91" s="9" t="s">
        <v>555</v>
      </c>
      <c r="B91" s="147">
        <f>B89+B90</f>
        <v>491048.81385674997</v>
      </c>
      <c r="C91" s="147">
        <f>C89+C90</f>
        <v>526808.49867666268</v>
      </c>
      <c r="D91" s="147">
        <f>D89+D90</f>
        <v>562388.11364203773</v>
      </c>
      <c r="E91" s="147">
        <f>E89+E90</f>
        <v>597181.89787062956</v>
      </c>
      <c r="F91" s="147">
        <f>F89+F90</f>
        <v>630547.02814256772</v>
      </c>
    </row>
    <row r="92" spans="1:8" x14ac:dyDescent="0.25">
      <c r="A92" t="s">
        <v>565</v>
      </c>
      <c r="B92" s="109">
        <f>'MSFT - Reconciliation FY'!$B$47+'MSFT - Reconciliation FY'!$B$49</f>
        <v>43151</v>
      </c>
      <c r="C92" s="109">
        <f>'MSFT - Reconciliation FY'!$B$47+'MSFT - Reconciliation FY'!$B$49</f>
        <v>43151</v>
      </c>
      <c r="D92" s="109">
        <f>'MSFT - Reconciliation FY'!$B$47+'MSFT - Reconciliation FY'!$B$49</f>
        <v>43151</v>
      </c>
      <c r="E92" s="109">
        <f>'MSFT - Reconciliation FY'!$B$47+'MSFT - Reconciliation FY'!$B$49</f>
        <v>43151</v>
      </c>
      <c r="F92" s="109">
        <f>'MSFT - Reconciliation FY'!$B$47+'MSFT - Reconciliation FY'!$B$49</f>
        <v>43151</v>
      </c>
    </row>
    <row r="93" spans="1:8" x14ac:dyDescent="0.25">
      <c r="A93" t="s">
        <v>556</v>
      </c>
      <c r="B93" s="119">
        <f>B91-B92</f>
        <v>447897.81385674997</v>
      </c>
      <c r="C93" s="119">
        <f>C91-C92</f>
        <v>483657.49867666268</v>
      </c>
      <c r="D93" s="119">
        <f>D91-D92</f>
        <v>519237.11364203773</v>
      </c>
      <c r="E93" s="119">
        <f>E91-E92</f>
        <v>554030.89787062956</v>
      </c>
      <c r="F93" s="119">
        <f>F91-F92</f>
        <v>587396.02814256772</v>
      </c>
    </row>
    <row r="94" spans="1:8" x14ac:dyDescent="0.25">
      <c r="A94" t="s">
        <v>557</v>
      </c>
      <c r="B94" s="119">
        <f>B91-(B92+B93)</f>
        <v>0</v>
      </c>
      <c r="C94" s="119">
        <f>C91-(C92+C93)</f>
        <v>0</v>
      </c>
      <c r="D94" s="119">
        <f>D91-(D92+D93)</f>
        <v>0</v>
      </c>
      <c r="E94" s="119">
        <f>E91-(E92+E93)</f>
        <v>0</v>
      </c>
      <c r="F94" s="119">
        <f>F91-(F92+F93)</f>
        <v>0</v>
      </c>
    </row>
    <row r="96" spans="1:8" x14ac:dyDescent="0.25">
      <c r="A96" s="24" t="s">
        <v>558</v>
      </c>
      <c r="B96" s="24"/>
      <c r="C96" s="24"/>
      <c r="D96" s="24"/>
      <c r="E96" s="24"/>
      <c r="F96" s="24"/>
      <c r="G96" s="24"/>
      <c r="H96" s="24"/>
    </row>
    <row r="97" spans="1:11" x14ac:dyDescent="0.25">
      <c r="A97" s="9" t="s">
        <v>559</v>
      </c>
      <c r="B97" s="168">
        <f>B24</f>
        <v>46203</v>
      </c>
      <c r="C97" s="168">
        <f>C24</f>
        <v>46568</v>
      </c>
      <c r="D97" s="168">
        <f>D24</f>
        <v>46934</v>
      </c>
      <c r="E97" s="168">
        <f>E24</f>
        <v>47299</v>
      </c>
      <c r="F97" s="168">
        <f>F24</f>
        <v>47664</v>
      </c>
    </row>
    <row r="98" spans="1:11" x14ac:dyDescent="0.25">
      <c r="A98" t="s">
        <v>259</v>
      </c>
      <c r="B98" s="119">
        <f>B40</f>
        <v>115167.11309722597</v>
      </c>
      <c r="C98" s="119">
        <f>C40</f>
        <v>127282.42172104931</v>
      </c>
      <c r="D98" s="119">
        <f>D40</f>
        <v>139639.95817769418</v>
      </c>
      <c r="E98" s="119">
        <f>E40</f>
        <v>152064.77692755687</v>
      </c>
      <c r="F98" s="119">
        <f>F40</f>
        <v>164361.8956235481</v>
      </c>
    </row>
    <row r="99" spans="1:11" x14ac:dyDescent="0.25">
      <c r="A99" t="s">
        <v>560</v>
      </c>
      <c r="B99" s="109">
        <f>AVERAGE(B64,'MSFT - Reconciliation FY'!$B$32)</f>
        <v>369020.386928375</v>
      </c>
      <c r="C99" s="119">
        <f>AVERAGE(C64,B64)</f>
        <v>404593.13626670628</v>
      </c>
      <c r="D99" s="119">
        <f>AVERAGE(D64,C64)</f>
        <v>440262.78615935019</v>
      </c>
      <c r="E99" s="119">
        <f>AVERAGE(E64,D64)</f>
        <v>475449.48575633368</v>
      </c>
      <c r="F99" s="119">
        <f>AVERAGE(F64,E64)</f>
        <v>509528.94300659862</v>
      </c>
    </row>
    <row r="100" spans="1:11" x14ac:dyDescent="0.25">
      <c r="A100" s="9" t="s">
        <v>561</v>
      </c>
      <c r="B100" s="137">
        <f>B98/B99</f>
        <v>0.31208875492176896</v>
      </c>
      <c r="C100" s="137">
        <f>C98/C99</f>
        <v>0.31459362582252315</v>
      </c>
      <c r="D100" s="137">
        <f>D98/D99</f>
        <v>0.31717411184317634</v>
      </c>
      <c r="E100" s="137">
        <f>E98/E99</f>
        <v>0.31983371837211233</v>
      </c>
      <c r="F100" s="137">
        <f>F98/F99</f>
        <v>0.32257617134306643</v>
      </c>
    </row>
    <row r="101" spans="1:11" x14ac:dyDescent="0.25">
      <c r="A101" t="s">
        <v>311</v>
      </c>
      <c r="B101" s="109">
        <f>B64-'MSFT - Reconciliation FY'!$B$32</f>
        <v>35385.81385674997</v>
      </c>
      <c r="C101" s="119">
        <f>C64-B64</f>
        <v>35759.684819912713</v>
      </c>
      <c r="D101" s="119">
        <f>D64-C64</f>
        <v>35579.614965375105</v>
      </c>
      <c r="E101" s="119">
        <f>E64-D64</f>
        <v>34793.784228591772</v>
      </c>
      <c r="F101" s="119">
        <f>F64-E64</f>
        <v>33365.130271938164</v>
      </c>
    </row>
    <row r="102" spans="1:11" x14ac:dyDescent="0.25">
      <c r="A102" t="s">
        <v>312</v>
      </c>
      <c r="B102" s="113">
        <f>IFERROR((B98-'MSFT - Reconciliation FY'!$B$56)/B101,"")</f>
        <v>0.385182411019381</v>
      </c>
      <c r="C102" s="134">
        <f>IFERROR((C98-B98)/C101,"")</f>
        <v>0.33879796997195433</v>
      </c>
      <c r="D102" s="134">
        <f>IFERROR((D98-C98)/D101,"")</f>
        <v>0.34732069103813551</v>
      </c>
      <c r="E102" s="134">
        <f>IFERROR((E98-D98)/E101,"")</f>
        <v>0.3570988044368168</v>
      </c>
      <c r="F102" s="134">
        <f>IFERROR((F98-E98)/F101,"")</f>
        <v>0.36856198659394285</v>
      </c>
    </row>
    <row r="103" spans="1:11" x14ac:dyDescent="0.25">
      <c r="A103" t="s">
        <v>562</v>
      </c>
      <c r="B103" s="134">
        <f>IFERROR(B101/B98,"")</f>
        <v>0.30725623752395947</v>
      </c>
      <c r="C103" s="134">
        <f>IFERROR(C101/C98,"")</f>
        <v>0.28094755219446743</v>
      </c>
      <c r="D103" s="134">
        <f>IFERROR(D101/D98,"")</f>
        <v>0.2547953711078848</v>
      </c>
      <c r="E103" s="134">
        <f>IFERROR(E101/E98,"")</f>
        <v>0.22880896504499137</v>
      </c>
      <c r="F103" s="134">
        <f>IFERROR(F101/F98,"")</f>
        <v>0.20299796461557693</v>
      </c>
    </row>
    <row r="104" spans="1:11" x14ac:dyDescent="0.25">
      <c r="A104" s="9" t="s">
        <v>563</v>
      </c>
      <c r="B104" s="137">
        <f>IFERROR(B102*B103,"")</f>
        <v>0.11834969837022231</v>
      </c>
      <c r="C104" s="137">
        <f>IFERROR(C102*C103,"")</f>
        <v>9.5184460352075242E-2</v>
      </c>
      <c r="D104" s="137">
        <f>IFERROR(D102*D103,"")</f>
        <v>8.8495704366508735E-2</v>
      </c>
      <c r="E104" s="137">
        <f>IFERROR(E102*E103,"")</f>
        <v>8.1707407861991821E-2</v>
      </c>
      <c r="F104" s="137">
        <f>IFERROR(F102*F103,"")</f>
        <v>7.4817333113243942E-2</v>
      </c>
    </row>
    <row r="105" spans="1:11" x14ac:dyDescent="0.25">
      <c r="A105" t="s">
        <v>564</v>
      </c>
      <c r="B105" s="113">
        <f>IFERROR(B25/'MSFT - Income Statement FY'!$B$7-1,"")</f>
        <v>0.11717500000000003</v>
      </c>
      <c r="C105" s="134">
        <f>IFERROR(C25/B25-1,"")</f>
        <v>0.10905000000000031</v>
      </c>
      <c r="D105" s="134">
        <f>IFERROR(D25/C25-1,"")</f>
        <v>0.10092499999999993</v>
      </c>
      <c r="E105" s="134">
        <f>IFERROR(E25/D25-1,"")</f>
        <v>9.2799999999999994E-2</v>
      </c>
      <c r="F105" s="134">
        <f>IFERROR(F25/E25-1,"")</f>
        <v>8.4675000000000056E-2</v>
      </c>
    </row>
    <row r="107" spans="1:11" x14ac:dyDescent="0.25">
      <c r="A107" s="24" t="s">
        <v>600</v>
      </c>
      <c r="B107" s="24"/>
      <c r="C107" s="24"/>
      <c r="D107" s="24"/>
      <c r="E107" s="24"/>
      <c r="F107" s="24"/>
      <c r="G107" s="24"/>
      <c r="H107" s="24"/>
      <c r="I107" s="24"/>
      <c r="J107" s="24"/>
      <c r="K107" s="24"/>
    </row>
    <row r="108" spans="1:11" x14ac:dyDescent="0.25">
      <c r="A108" t="s">
        <v>601</v>
      </c>
      <c r="B108" s="146">
        <f>F33</f>
        <v>0.45675132799777296</v>
      </c>
    </row>
    <row r="109" spans="1:11" x14ac:dyDescent="0.25">
      <c r="A109" t="s">
        <v>602</v>
      </c>
      <c r="B109" s="169">
        <f>F25/F64</f>
        <v>0.86563316982837868</v>
      </c>
    </row>
    <row r="110" spans="1:11" x14ac:dyDescent="0.25">
      <c r="A110" s="9" t="s">
        <v>573</v>
      </c>
      <c r="B110" s="168">
        <f>EDATE(F24,12)</f>
        <v>48029</v>
      </c>
      <c r="C110" s="168">
        <f t="shared" ref="C110:K110" si="3">EDATE(B110,12)</f>
        <v>48395</v>
      </c>
      <c r="D110" s="168">
        <f t="shared" si="3"/>
        <v>48760</v>
      </c>
      <c r="E110" s="168">
        <f t="shared" si="3"/>
        <v>49125</v>
      </c>
      <c r="F110" s="168">
        <f t="shared" si="3"/>
        <v>49490</v>
      </c>
      <c r="G110" s="168">
        <f t="shared" si="3"/>
        <v>49856</v>
      </c>
      <c r="H110" s="168">
        <f t="shared" si="3"/>
        <v>50221</v>
      </c>
      <c r="I110" s="168">
        <f t="shared" si="3"/>
        <v>50586</v>
      </c>
      <c r="J110" s="168">
        <f t="shared" si="3"/>
        <v>50951</v>
      </c>
      <c r="K110" s="168">
        <f t="shared" si="3"/>
        <v>51317</v>
      </c>
    </row>
    <row r="111" spans="1:11" x14ac:dyDescent="0.25">
      <c r="A111" t="s">
        <v>603</v>
      </c>
      <c r="B111" s="113">
        <f>('MSFT Rev Drivers &amp; Forecast'!$B$8+('MSFT Rev Drivers &amp; Forecast'!$B$7-'MSFT Rev Drivers &amp; Forecast'!$B$8)*MIN(6/'MSFT Rev Drivers &amp; Forecast'!$B$10,1))+'MSFT Rev Drivers &amp; Forecast'!$B$4</f>
        <v>7.6550000000000007E-2</v>
      </c>
      <c r="C111" s="113">
        <f>('MSFT Rev Drivers &amp; Forecast'!$B$8+('MSFT Rev Drivers &amp; Forecast'!$B$7-'MSFT Rev Drivers &amp; Forecast'!$B$8)*MIN(7/'MSFT Rev Drivers &amp; Forecast'!$B$10,1))+'MSFT Rev Drivers &amp; Forecast'!$B$4</f>
        <v>6.8425000000000014E-2</v>
      </c>
      <c r="D111" s="113">
        <f>('MSFT Rev Drivers &amp; Forecast'!$B$8+('MSFT Rev Drivers &amp; Forecast'!$B$7-'MSFT Rev Drivers &amp; Forecast'!$B$8)*MIN(8/'MSFT Rev Drivers &amp; Forecast'!$B$10,1))+'MSFT Rev Drivers &amp; Forecast'!$B$4</f>
        <v>6.0300000000000006E-2</v>
      </c>
      <c r="E111" s="113">
        <f>('MSFT Rev Drivers &amp; Forecast'!$B$8+('MSFT Rev Drivers &amp; Forecast'!$B$7-'MSFT Rev Drivers &amp; Forecast'!$B$8)*MIN(9/'MSFT Rev Drivers &amp; Forecast'!$B$10,1))+'MSFT Rev Drivers &amp; Forecast'!$B$4</f>
        <v>6.0300000000000006E-2</v>
      </c>
      <c r="F111" s="113">
        <f>('MSFT Rev Drivers &amp; Forecast'!$B$8+('MSFT Rev Drivers &amp; Forecast'!$B$7-'MSFT Rev Drivers &amp; Forecast'!$B$8)*MIN(10/'MSFT Rev Drivers &amp; Forecast'!$B$10,1))+'MSFT Rev Drivers &amp; Forecast'!$B$4</f>
        <v>6.0300000000000006E-2</v>
      </c>
      <c r="G111" s="113">
        <f>('MSFT Rev Drivers &amp; Forecast'!$B$8+('MSFT Rev Drivers &amp; Forecast'!$B$7-'MSFT Rev Drivers &amp; Forecast'!$B$8)*MIN(11/'MSFT Rev Drivers &amp; Forecast'!$B$10,1))+'MSFT Rev Drivers &amp; Forecast'!$B$4</f>
        <v>6.0300000000000006E-2</v>
      </c>
      <c r="H111" s="113">
        <f>('MSFT Rev Drivers &amp; Forecast'!$B$8+('MSFT Rev Drivers &amp; Forecast'!$B$7-'MSFT Rev Drivers &amp; Forecast'!$B$8)*MIN(12/'MSFT Rev Drivers &amp; Forecast'!$B$10,1))+'MSFT Rev Drivers &amp; Forecast'!$B$4</f>
        <v>6.0300000000000006E-2</v>
      </c>
      <c r="I111" s="113">
        <f>('MSFT Rev Drivers &amp; Forecast'!$B$8+('MSFT Rev Drivers &amp; Forecast'!$B$7-'MSFT Rev Drivers &amp; Forecast'!$B$8)*MIN(13/'MSFT Rev Drivers &amp; Forecast'!$B$10,1))+'MSFT Rev Drivers &amp; Forecast'!$B$4</f>
        <v>6.0300000000000006E-2</v>
      </c>
      <c r="J111" s="113">
        <f>('MSFT Rev Drivers &amp; Forecast'!$B$8+('MSFT Rev Drivers &amp; Forecast'!$B$7-'MSFT Rev Drivers &amp; Forecast'!$B$8)*MIN(14/'MSFT Rev Drivers &amp; Forecast'!$B$10,1))+'MSFT Rev Drivers &amp; Forecast'!$B$4</f>
        <v>6.0300000000000006E-2</v>
      </c>
      <c r="K111" s="113">
        <f>('MSFT Rev Drivers &amp; Forecast'!$B$8+('MSFT Rev Drivers &amp; Forecast'!$B$7-'MSFT Rev Drivers &amp; Forecast'!$B$8)*MIN(15/'MSFT Rev Drivers &amp; Forecast'!$B$10,1))+'MSFT Rev Drivers &amp; Forecast'!$B$4</f>
        <v>6.0300000000000006E-2</v>
      </c>
    </row>
    <row r="112" spans="1:11" x14ac:dyDescent="0.25">
      <c r="A112" t="s">
        <v>31</v>
      </c>
      <c r="B112" s="119">
        <f>F25*(1+B111)</f>
        <v>490375.13048862445</v>
      </c>
      <c r="C112" s="119">
        <f t="shared" ref="C112:K112" si="4">B112*(1+C111)</f>
        <v>523929.04879230855</v>
      </c>
      <c r="D112" s="119">
        <f t="shared" si="4"/>
        <v>555521.97043448477</v>
      </c>
      <c r="E112" s="119">
        <f t="shared" si="4"/>
        <v>589019.94525168417</v>
      </c>
      <c r="F112" s="119">
        <f t="shared" si="4"/>
        <v>624537.84795036074</v>
      </c>
      <c r="G112" s="119">
        <f t="shared" si="4"/>
        <v>662197.48018176749</v>
      </c>
      <c r="H112" s="119">
        <f t="shared" si="4"/>
        <v>702127.98823672812</v>
      </c>
      <c r="I112" s="119">
        <f t="shared" si="4"/>
        <v>744466.30592740281</v>
      </c>
      <c r="J112" s="119">
        <f t="shared" si="4"/>
        <v>789357.62417482527</v>
      </c>
      <c r="K112" s="119">
        <f t="shared" si="4"/>
        <v>836955.88891256729</v>
      </c>
    </row>
    <row r="113" spans="1:11" x14ac:dyDescent="0.25">
      <c r="A113" t="s">
        <v>320</v>
      </c>
      <c r="B113" s="134">
        <f>$B$108+IF('Valuation Dashboard'!$B$151="Yes",'MSFT - Reconciliation FY'!$B$152,0)</f>
        <v>0.46532764737418392</v>
      </c>
      <c r="C113" s="134">
        <f>$B$108+IF('Valuation Dashboard'!$B$151="Yes",'MSFT - Reconciliation FY'!$B$152,0)</f>
        <v>0.46532764737418392</v>
      </c>
      <c r="D113" s="134">
        <f>$B$108+IF('Valuation Dashboard'!$B$151="Yes",'MSFT - Reconciliation FY'!$B$152,0)</f>
        <v>0.46532764737418392</v>
      </c>
      <c r="E113" s="134">
        <f>$B$108+IF('Valuation Dashboard'!$B$151="Yes",'MSFT - Reconciliation FY'!$B$152,0)</f>
        <v>0.46532764737418392</v>
      </c>
      <c r="F113" s="134">
        <f>$B$108+IF('Valuation Dashboard'!$B$151="Yes",'MSFT - Reconciliation FY'!$B$152,0)</f>
        <v>0.46532764737418392</v>
      </c>
      <c r="G113" s="134">
        <f>$B$108+IF('Valuation Dashboard'!$B$151="Yes",'MSFT - Reconciliation FY'!$B$152,0)</f>
        <v>0.46532764737418392</v>
      </c>
      <c r="H113" s="134">
        <f>$B$108+IF('Valuation Dashboard'!$B$151="Yes",'MSFT - Reconciliation FY'!$B$152,0)</f>
        <v>0.46532764737418392</v>
      </c>
      <c r="I113" s="134">
        <f>$B$108+IF('Valuation Dashboard'!$B$151="Yes",'MSFT - Reconciliation FY'!$B$152,0)</f>
        <v>0.46532764737418392</v>
      </c>
      <c r="J113" s="134">
        <f>$B$108+IF('Valuation Dashboard'!$B$151="Yes",'MSFT - Reconciliation FY'!$B$152,0)</f>
        <v>0.46532764737418392</v>
      </c>
      <c r="K113" s="134">
        <f>$B$108+IF('Valuation Dashboard'!$B$151="Yes",'MSFT - Reconciliation FY'!$B$152,0)</f>
        <v>0.46532764737418392</v>
      </c>
    </row>
    <row r="114" spans="1:11" x14ac:dyDescent="0.25">
      <c r="A114" t="s">
        <v>522</v>
      </c>
      <c r="B114" s="119">
        <f t="shared" ref="B114:K114" si="5">B112*B113</f>
        <v>228185.10580108006</v>
      </c>
      <c r="C114" s="119">
        <f t="shared" si="5"/>
        <v>243798.67166551895</v>
      </c>
      <c r="D114" s="119">
        <f t="shared" si="5"/>
        <v>258499.73156694975</v>
      </c>
      <c r="E114" s="119">
        <f t="shared" si="5"/>
        <v>274087.26538043679</v>
      </c>
      <c r="F114" s="119">
        <f t="shared" si="5"/>
        <v>290614.72748287715</v>
      </c>
      <c r="G114" s="119">
        <f t="shared" si="5"/>
        <v>308138.79555009463</v>
      </c>
      <c r="H114" s="119">
        <f t="shared" si="5"/>
        <v>326719.56492176536</v>
      </c>
      <c r="I114" s="119">
        <f t="shared" si="5"/>
        <v>346420.75468654779</v>
      </c>
      <c r="J114" s="119">
        <f t="shared" si="5"/>
        <v>367309.92619414668</v>
      </c>
      <c r="K114" s="119">
        <f t="shared" si="5"/>
        <v>389458.71474365378</v>
      </c>
    </row>
    <row r="115" spans="1:11" x14ac:dyDescent="0.25">
      <c r="A115" t="s">
        <v>259</v>
      </c>
      <c r="B115" s="119">
        <f t="shared" ref="B115:K115" si="6">B114*(1-$B$2)</f>
        <v>180266.23358285325</v>
      </c>
      <c r="C115" s="119">
        <f t="shared" si="6"/>
        <v>192600.95061575997</v>
      </c>
      <c r="D115" s="119">
        <f t="shared" si="6"/>
        <v>204214.7879378903</v>
      </c>
      <c r="E115" s="119">
        <f t="shared" si="6"/>
        <v>216528.93965054507</v>
      </c>
      <c r="F115" s="119">
        <f t="shared" si="6"/>
        <v>229585.63471147296</v>
      </c>
      <c r="G115" s="119">
        <f t="shared" si="6"/>
        <v>243429.64848457478</v>
      </c>
      <c r="H115" s="119">
        <f t="shared" si="6"/>
        <v>258108.45628819463</v>
      </c>
      <c r="I115" s="119">
        <f t="shared" si="6"/>
        <v>273672.39620237279</v>
      </c>
      <c r="J115" s="119">
        <f t="shared" si="6"/>
        <v>290174.8416933759</v>
      </c>
      <c r="K115" s="119">
        <f t="shared" si="6"/>
        <v>307672.3846474865</v>
      </c>
    </row>
    <row r="116" spans="1:11" x14ac:dyDescent="0.25">
      <c r="A116" t="s">
        <v>541</v>
      </c>
      <c r="B116" s="119">
        <f t="shared" ref="B116:K116" si="7">B112/$B$109</f>
        <v>566492.99909088132</v>
      </c>
      <c r="C116" s="119">
        <f t="shared" si="7"/>
        <v>605255.28255367489</v>
      </c>
      <c r="D116" s="119">
        <f t="shared" si="7"/>
        <v>641752.17609166144</v>
      </c>
      <c r="E116" s="119">
        <f t="shared" si="7"/>
        <v>680449.83230998856</v>
      </c>
      <c r="F116" s="119">
        <f t="shared" si="7"/>
        <v>721480.95719828096</v>
      </c>
      <c r="G116" s="119">
        <f t="shared" si="7"/>
        <v>764986.25891733728</v>
      </c>
      <c r="H116" s="119">
        <f t="shared" si="7"/>
        <v>811114.93033005274</v>
      </c>
      <c r="I116" s="119">
        <f t="shared" si="7"/>
        <v>860025.160628955</v>
      </c>
      <c r="J116" s="119">
        <f t="shared" si="7"/>
        <v>911884.67781488097</v>
      </c>
      <c r="K116" s="119">
        <f t="shared" si="7"/>
        <v>966871.32388711837</v>
      </c>
    </row>
    <row r="117" spans="1:11" x14ac:dyDescent="0.25">
      <c r="A117" t="s">
        <v>604</v>
      </c>
      <c r="B117" s="119">
        <f>B116-F64</f>
        <v>40281.490948313614</v>
      </c>
      <c r="C117" s="119">
        <f t="shared" ref="C117:K117" si="8">C116-B116</f>
        <v>38762.283462793566</v>
      </c>
      <c r="D117" s="119">
        <f t="shared" si="8"/>
        <v>36496.893537986558</v>
      </c>
      <c r="E117" s="119">
        <f t="shared" si="8"/>
        <v>38697.656218327116</v>
      </c>
      <c r="F117" s="119">
        <f t="shared" si="8"/>
        <v>41031.124888292397</v>
      </c>
      <c r="G117" s="119">
        <f t="shared" si="8"/>
        <v>43505.301719056326</v>
      </c>
      <c r="H117" s="119">
        <f t="shared" si="8"/>
        <v>46128.671412715456</v>
      </c>
      <c r="I117" s="119">
        <f t="shared" si="8"/>
        <v>48910.230298902257</v>
      </c>
      <c r="J117" s="119">
        <f t="shared" si="8"/>
        <v>51859.517185925972</v>
      </c>
      <c r="K117" s="119">
        <f t="shared" si="8"/>
        <v>54986.646072237403</v>
      </c>
    </row>
    <row r="118" spans="1:11" x14ac:dyDescent="0.25">
      <c r="A118" s="9" t="s">
        <v>270</v>
      </c>
      <c r="B118" s="147">
        <f t="shared" ref="B118:K118" si="9">B115-B117</f>
        <v>139984.74263453964</v>
      </c>
      <c r="C118" s="147">
        <f t="shared" si="9"/>
        <v>153838.6671529664</v>
      </c>
      <c r="D118" s="147">
        <f t="shared" si="9"/>
        <v>167717.89439990374</v>
      </c>
      <c r="E118" s="147">
        <f t="shared" si="9"/>
        <v>177831.28343221796</v>
      </c>
      <c r="F118" s="147">
        <f t="shared" si="9"/>
        <v>188554.50982318056</v>
      </c>
      <c r="G118" s="147">
        <f t="shared" si="9"/>
        <v>199924.34676551845</v>
      </c>
      <c r="H118" s="147">
        <f t="shared" si="9"/>
        <v>211979.78487547918</v>
      </c>
      <c r="I118" s="147">
        <f t="shared" si="9"/>
        <v>224762.16590347054</v>
      </c>
      <c r="J118" s="147">
        <f t="shared" si="9"/>
        <v>238315.32450744993</v>
      </c>
      <c r="K118" s="147">
        <f t="shared" si="9"/>
        <v>252685.7385752491</v>
      </c>
    </row>
  </sheetData>
  <pageMargins left="0.7" right="0.7" top="0.75" bottom="0.75" header="0.3" footer="0.3"/>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4975DE-12DD-45AC-8397-59003A71AD4F}">
  <sheetPr>
    <tabColor rgb="FFB4C6E7"/>
  </sheetPr>
  <dimension ref="A1:K118"/>
  <sheetViews>
    <sheetView topLeftCell="A48" workbookViewId="0">
      <selection activeCell="E16" sqref="E16"/>
    </sheetView>
  </sheetViews>
  <sheetFormatPr defaultRowHeight="15" x14ac:dyDescent="0.25"/>
  <cols>
    <col min="1" max="1" width="53.85546875" bestFit="1" customWidth="1"/>
    <col min="2" max="3" width="10.42578125" bestFit="1" customWidth="1"/>
    <col min="4" max="4" width="11.5703125" bestFit="1" customWidth="1"/>
    <col min="5" max="5" width="14.5703125" bestFit="1" customWidth="1"/>
    <col min="6" max="8" width="10.42578125" bestFit="1" customWidth="1"/>
  </cols>
  <sheetData>
    <row r="1" spans="1:8" ht="15.75" x14ac:dyDescent="0.25">
      <c r="A1" s="15" t="s">
        <v>527</v>
      </c>
    </row>
    <row r="2" spans="1:8" x14ac:dyDescent="0.25">
      <c r="A2" t="s">
        <v>337</v>
      </c>
      <c r="B2" s="76">
        <f>'Valuation Dashboard'!$B$12</f>
        <v>0.21</v>
      </c>
    </row>
    <row r="3" spans="1:8" x14ac:dyDescent="0.25">
      <c r="A3" t="s">
        <v>551</v>
      </c>
      <c r="B3" s="50">
        <v>10</v>
      </c>
    </row>
    <row r="4" spans="1:8" x14ac:dyDescent="0.25">
      <c r="A4" s="24" t="s">
        <v>505</v>
      </c>
      <c r="B4" s="24"/>
      <c r="C4" s="24"/>
      <c r="D4" s="24"/>
      <c r="E4" s="24"/>
      <c r="F4" s="24"/>
      <c r="G4" s="24"/>
      <c r="H4" s="24"/>
    </row>
    <row r="5" spans="1:8" x14ac:dyDescent="0.25">
      <c r="A5" s="9" t="s">
        <v>506</v>
      </c>
      <c r="B5" s="167">
        <f>'GOOGL - Income Statement FY'!B5</f>
        <v>46022</v>
      </c>
      <c r="C5" s="167">
        <f>'GOOGL - Income Statement FY'!C5</f>
        <v>45657</v>
      </c>
      <c r="D5" s="167">
        <f>'GOOGL - Income Statement FY'!D5</f>
        <v>45291</v>
      </c>
      <c r="E5" s="167">
        <f>'GOOGL - Income Statement FY'!E5</f>
        <v>44926</v>
      </c>
      <c r="F5" s="167">
        <f>'GOOGL - Income Statement FY'!F5</f>
        <v>44561</v>
      </c>
      <c r="G5" s="167">
        <f>'GOOGL - Income Statement FY'!G5</f>
        <v>44196</v>
      </c>
      <c r="H5" s="167">
        <f>'GOOGL - Income Statement FY'!H5</f>
        <v>43830</v>
      </c>
    </row>
    <row r="6" spans="1:8" x14ac:dyDescent="0.25">
      <c r="A6" t="s">
        <v>507</v>
      </c>
      <c r="B6" s="113">
        <f>IFERROR('GOOGL - Income Statement FY'!B9/'GOOGL - Income Statement FY'!B7,"")</f>
        <v>0.40347684913960025</v>
      </c>
      <c r="C6" s="113">
        <f>IFERROR('GOOGL - Income Statement FY'!C9/'GOOGL - Income Statement FY'!C7,"")</f>
        <v>0.41799564593820887</v>
      </c>
      <c r="D6" s="113">
        <f>IFERROR('GOOGL - Income Statement FY'!D9/'GOOGL - Income Statement FY'!D7,"")</f>
        <v>0.4337495201597949</v>
      </c>
      <c r="E6" s="113">
        <f>IFERROR('GOOGL - Income Statement FY'!E9/'GOOGL - Income Statement FY'!E7,"")</f>
        <v>0.44620557496216889</v>
      </c>
      <c r="F6" s="113">
        <f>IFERROR('GOOGL - Income Statement FY'!F9/'GOOGL - Income Statement FY'!F7,"")</f>
        <v>0.43060197099019165</v>
      </c>
      <c r="G6" s="113">
        <f>IFERROR('GOOGL - Income Statement FY'!G9/'GOOGL - Income Statement FY'!G7,"")</f>
        <v>0.46421625293792151</v>
      </c>
      <c r="H6" s="113">
        <f>IFERROR('GOOGL - Income Statement FY'!H9/'GOOGL - Income Statement FY'!H7,"")</f>
        <v>0.44419456680897335</v>
      </c>
    </row>
    <row r="7" spans="1:8" x14ac:dyDescent="0.25">
      <c r="A7" t="s">
        <v>318</v>
      </c>
      <c r="B7" s="113">
        <f>IFERROR('GOOGL - Income Statement FY'!B13/'GOOGL - Income Statement FY'!B7,"")</f>
        <v>0.15164235569810047</v>
      </c>
      <c r="C7" s="113">
        <f>IFERROR('GOOGL - Income Statement FY'!C13/'GOOGL - Income Statement FY'!C7,"")</f>
        <v>0.14092418104211785</v>
      </c>
      <c r="D7" s="113">
        <f>IFERROR('GOOGL - Income Statement FY'!D13/'GOOGL - Income Statement FY'!D7,"")</f>
        <v>0.14778102370247956</v>
      </c>
      <c r="E7" s="113">
        <f>IFERROR('GOOGL - Income Statement FY'!E13/'GOOGL - Income Statement FY'!E7,"")</f>
        <v>0.13965690364734334</v>
      </c>
      <c r="F7" s="113">
        <f>IFERROR('GOOGL - Income Statement FY'!F13/'GOOGL - Income Statement FY'!F7,"")</f>
        <v>0.12250569599863374</v>
      </c>
      <c r="G7" s="113">
        <f>IFERROR('GOOGL - Income Statement FY'!G13/'GOOGL - Income Statement FY'!G7,"")</f>
        <v>0.15106258252203783</v>
      </c>
      <c r="H7" s="113">
        <f>IFERROR('GOOGL - Income Statement FY'!H13/'GOOGL - Income Statement FY'!H7,"")</f>
        <v>0.16074683208016954</v>
      </c>
    </row>
    <row r="8" spans="1:8" x14ac:dyDescent="0.25">
      <c r="A8" t="s">
        <v>319</v>
      </c>
      <c r="B8" s="113">
        <f>IFERROR('GOOGL - Income Statement FY'!B14/'GOOGL - Income Statement FY'!B7,"")</f>
        <v>0.12455440923849904</v>
      </c>
      <c r="C8" s="113">
        <f>IFERROR('GOOGL - Income Statement FY'!C14/'GOOGL - Income Statement FY'!C7,"")</f>
        <v>0.11998240090509631</v>
      </c>
      <c r="D8" s="113">
        <f>IFERROR('GOOGL - Income Statement FY'!D14/'GOOGL - Income Statement FY'!D7,"")</f>
        <v>0.14425135168545905</v>
      </c>
      <c r="E8" s="113">
        <f>IFERROR('GOOGL - Income Statement FY'!E14/'GOOGL - Income Statement FY'!E7,"")</f>
        <v>0.14952481296581766</v>
      </c>
      <c r="F8" s="113">
        <f>IFERROR('GOOGL - Income Statement FY'!F14/'GOOGL - Income Statement FY'!F7,"")</f>
        <v>0.14136944615874272</v>
      </c>
      <c r="G8" s="113">
        <f>IFERROR('GOOGL - Income Statement FY'!G14/'GOOGL - Income Statement FY'!G7,"")</f>
        <v>0.15886964668240863</v>
      </c>
      <c r="H8" s="113">
        <f>IFERROR('GOOGL - Income Statement FY'!H14/'GOOGL - Income Statement FY'!H7,"")</f>
        <v>0.17308488357006493</v>
      </c>
    </row>
    <row r="9" spans="1:8" x14ac:dyDescent="0.25">
      <c r="A9" t="s">
        <v>508</v>
      </c>
      <c r="B9" s="113">
        <f>IFERROR('GOOGL - Income Statement FY'!B17/'GOOGL - Income Statement FY'!B7,"")</f>
        <v>0</v>
      </c>
      <c r="C9" s="113">
        <f>IFERROR('GOOGL - Income Statement FY'!C17/'GOOGL - Income Statement FY'!C7,"")</f>
        <v>0</v>
      </c>
      <c r="D9" s="113">
        <f>IFERROR('GOOGL - Income Statement FY'!D17/'GOOGL - Income Statement FY'!D7,"")</f>
        <v>0</v>
      </c>
      <c r="E9" s="113">
        <f>IFERROR('GOOGL - Income Statement FY'!E17/'GOOGL - Income Statement FY'!E7,"")</f>
        <v>0</v>
      </c>
      <c r="F9" s="113">
        <f>IFERROR('GOOGL - Income Statement FY'!F17/'GOOGL - Income Statement FY'!F7,"")</f>
        <v>0</v>
      </c>
      <c r="G9" s="113">
        <f>IFERROR('GOOGL - Income Statement FY'!G17/'GOOGL - Income Statement FY'!G7,"")</f>
        <v>0</v>
      </c>
      <c r="H9" s="113">
        <f>IFERROR('GOOGL - Income Statement FY'!H17/'GOOGL - Income Statement FY'!H7,"")</f>
        <v>0</v>
      </c>
    </row>
    <row r="10" spans="1:8" x14ac:dyDescent="0.25">
      <c r="A10" t="s">
        <v>509</v>
      </c>
      <c r="B10" s="113">
        <f>IFERROR('GOOGL - Cash Flow FY'!B8/'GOOGL - Balance Sheet FY'!B15,"")</f>
        <v>8.5710693966268847E-2</v>
      </c>
      <c r="C10" s="113">
        <f>IFERROR('GOOGL - Cash Flow FY'!C8/'GOOGL - Balance Sheet FY'!C15,"")</f>
        <v>8.9519165555789426E-2</v>
      </c>
      <c r="D10" s="113">
        <f>IFERROR('GOOGL - Cash Flow FY'!D8/'GOOGL - Balance Sheet FY'!D15,"")</f>
        <v>8.8920317094048906E-2</v>
      </c>
      <c r="E10" s="113">
        <f>IFERROR('GOOGL - Cash Flow FY'!E8/'GOOGL - Balance Sheet FY'!E15,"")</f>
        <v>0.12528845812475592</v>
      </c>
      <c r="F10" s="113">
        <f>IFERROR('GOOGL - Cash Flow FY'!F8/'GOOGL - Balance Sheet FY'!F15,"")</f>
        <v>0.11433518786053136</v>
      </c>
      <c r="G10" s="113">
        <f>IFERROR('GOOGL - Cash Flow FY'!G8/'GOOGL - Balance Sheet FY'!G15,"")</f>
        <v>0.16161842617612007</v>
      </c>
      <c r="H10" s="113">
        <f>IFERROR('GOOGL - Cash Flow FY'!H8/'GOOGL - Balance Sheet FY'!H15,"")</f>
        <v>0.14740787008119924</v>
      </c>
    </row>
    <row r="11" spans="1:8" x14ac:dyDescent="0.25">
      <c r="A11" t="s">
        <v>510</v>
      </c>
      <c r="B11" s="113">
        <f>IF('GOOGL - Balance Sheet FY'!B51=0,"",'GOOGL - Income Statement FY'!B23/'GOOGL - Balance Sheet FY'!B51)</f>
        <v>0</v>
      </c>
      <c r="C11" s="113">
        <f>IF('GOOGL - Balance Sheet FY'!C51=0,"",'GOOGL - Income Statement FY'!C23/'GOOGL - Balance Sheet FY'!C51)</f>
        <v>0</v>
      </c>
      <c r="D11" s="113">
        <f>IF('GOOGL - Balance Sheet FY'!D51=0,"",'GOOGL - Income Statement FY'!D23/'GOOGL - Balance Sheet FY'!D51)</f>
        <v>0</v>
      </c>
      <c r="E11" s="113">
        <f>IF('GOOGL - Balance Sheet FY'!E51=0,"",'GOOGL - Income Statement FY'!E23/'GOOGL - Balance Sheet FY'!E51)</f>
        <v>0</v>
      </c>
      <c r="F11" s="113">
        <f>IF('GOOGL - Balance Sheet FY'!F51=0,"",'GOOGL - Income Statement FY'!F23/'GOOGL - Balance Sheet FY'!F51)</f>
        <v>0</v>
      </c>
      <c r="G11" s="113">
        <f>IF('GOOGL - Balance Sheet FY'!G51=0,"",'GOOGL - Income Statement FY'!G23/'GOOGL - Balance Sheet FY'!G51)</f>
        <v>0</v>
      </c>
      <c r="H11" s="113">
        <f>IF('GOOGL - Balance Sheet FY'!H51=0,"",'GOOGL - Income Statement FY'!H23/'GOOGL - Balance Sheet FY'!H51)</f>
        <v>0</v>
      </c>
    </row>
    <row r="12" spans="1:8" x14ac:dyDescent="0.25">
      <c r="A12" t="s">
        <v>511</v>
      </c>
      <c r="B12" s="113">
        <f>IFERROR('GOOGL - Income Statement FY'!B25/'GOOGL - Income Statement FY'!B7,"")</f>
        <v>0.32032638592380025</v>
      </c>
      <c r="C12" s="113">
        <f>IFERROR('GOOGL - Income Statement FY'!C25/'GOOGL - Income Statement FY'!C7,"")</f>
        <v>0.32109777211457696</v>
      </c>
      <c r="D12" s="113">
        <f>IFERROR('GOOGL - Income Statement FY'!D25/'GOOGL - Income Statement FY'!D7,"")</f>
        <v>0.27421810445226646</v>
      </c>
      <c r="E12" s="113">
        <f>IFERROR('GOOGL - Income Statement FY'!E25/'GOOGL - Income Statement FY'!E7,"")</f>
        <v>0.26461270842467011</v>
      </c>
      <c r="F12" s="113">
        <f>IFERROR('GOOGL - Income Statement FY'!F25/'GOOGL - Income Statement FY'!F7,"")</f>
        <v>0.3055228868524319</v>
      </c>
      <c r="G12" s="113">
        <f>IFERROR('GOOGL - Income Statement FY'!G25/'GOOGL - Income Statement FY'!G7,"")</f>
        <v>0.22585151785763202</v>
      </c>
      <c r="H12" s="113">
        <f>IFERROR('GOOGL - Income Statement FY'!H25/'GOOGL - Income Statement FY'!H7,"")</f>
        <v>0.21148915400631421</v>
      </c>
    </row>
    <row r="14" spans="1:8" x14ac:dyDescent="0.25">
      <c r="A14" s="24" t="s">
        <v>512</v>
      </c>
      <c r="B14" s="24"/>
      <c r="C14" s="24"/>
      <c r="D14" s="24"/>
      <c r="E14" s="24"/>
      <c r="F14" s="24"/>
      <c r="G14" s="24"/>
      <c r="H14" s="24"/>
    </row>
    <row r="15" spans="1:8" x14ac:dyDescent="0.25">
      <c r="A15" s="9" t="s">
        <v>506</v>
      </c>
      <c r="B15" s="9" t="s">
        <v>523</v>
      </c>
      <c r="C15" s="9" t="s">
        <v>524</v>
      </c>
      <c r="D15" s="9" t="s">
        <v>525</v>
      </c>
      <c r="E15" s="9" t="s">
        <v>1466</v>
      </c>
      <c r="F15" s="9" t="s">
        <v>1462</v>
      </c>
    </row>
    <row r="16" spans="1:8" x14ac:dyDescent="0.25">
      <c r="A16" t="s">
        <v>507</v>
      </c>
      <c r="B16" s="134">
        <f t="shared" ref="B16:B21" si="0">IFERROR(AVERAGE(B6:D6),"")</f>
        <v>0.41840733841253469</v>
      </c>
      <c r="C16" s="134">
        <f t="shared" ref="C16:C21" si="1">IFERROR(AVERAGE(B6:H6),"")</f>
        <v>0.43434862584812289</v>
      </c>
      <c r="D16" s="134">
        <f t="shared" ref="D16:D21" si="2">IFERROR(MEDIAN(B6:H6),"")</f>
        <v>0.4337495201597949</v>
      </c>
      <c r="E16" s="113">
        <f>CHOOSE('Valuation Dashboard'!$B$148,B16,C16,D16,F16)</f>
        <v>0.41840733841253469</v>
      </c>
      <c r="F16" s="123">
        <v>0.41840733841253502</v>
      </c>
    </row>
    <row r="17" spans="1:8" x14ac:dyDescent="0.25">
      <c r="A17" t="s">
        <v>318</v>
      </c>
      <c r="B17" s="134">
        <f t="shared" si="0"/>
        <v>0.14678252014756596</v>
      </c>
      <c r="C17" s="134">
        <f t="shared" si="1"/>
        <v>0.14490279638441178</v>
      </c>
      <c r="D17" s="134">
        <f t="shared" si="2"/>
        <v>0.14778102370247956</v>
      </c>
      <c r="E17" s="113">
        <f>CHOOSE('Valuation Dashboard'!$B$148,B17,C17,D17,F17)</f>
        <v>0.14678252014756596</v>
      </c>
      <c r="F17" s="123">
        <v>0.14678252014756599</v>
      </c>
    </row>
    <row r="18" spans="1:8" x14ac:dyDescent="0.25">
      <c r="A18" t="s">
        <v>319</v>
      </c>
      <c r="B18" s="134">
        <f t="shared" si="0"/>
        <v>0.12959605394301812</v>
      </c>
      <c r="C18" s="134">
        <f t="shared" si="1"/>
        <v>0.14451956445801262</v>
      </c>
      <c r="D18" s="134">
        <f t="shared" si="2"/>
        <v>0.14425135168545905</v>
      </c>
      <c r="E18" s="113">
        <f>CHOOSE('Valuation Dashboard'!$B$148,B18,C18,D18,F18)</f>
        <v>0.12959605394301812</v>
      </c>
      <c r="F18" s="123">
        <v>0.12959605394301801</v>
      </c>
    </row>
    <row r="19" spans="1:8" x14ac:dyDescent="0.25">
      <c r="A19" t="s">
        <v>508</v>
      </c>
      <c r="B19" s="134">
        <f t="shared" si="0"/>
        <v>0</v>
      </c>
      <c r="C19" s="134">
        <f t="shared" si="1"/>
        <v>0</v>
      </c>
      <c r="D19" s="134">
        <f t="shared" si="2"/>
        <v>0</v>
      </c>
      <c r="E19" s="113">
        <f>CHOOSE('Valuation Dashboard'!$B$148,B19,C19,D19,F19)</f>
        <v>0</v>
      </c>
      <c r="F19" s="123">
        <v>0</v>
      </c>
    </row>
    <row r="20" spans="1:8" x14ac:dyDescent="0.25">
      <c r="A20" t="s">
        <v>509</v>
      </c>
      <c r="B20" s="134">
        <f t="shared" si="0"/>
        <v>8.8050058872035722E-2</v>
      </c>
      <c r="C20" s="134">
        <f t="shared" si="1"/>
        <v>0.11611430269410197</v>
      </c>
      <c r="D20" s="134">
        <f t="shared" si="2"/>
        <v>0.11433518786053136</v>
      </c>
      <c r="E20" s="113">
        <f>CHOOSE('Valuation Dashboard'!$B$148,B20,C20,D20,F20)</f>
        <v>8.8050058872035722E-2</v>
      </c>
      <c r="F20" s="123">
        <v>8.8050058872035694E-2</v>
      </c>
    </row>
    <row r="21" spans="1:8" x14ac:dyDescent="0.25">
      <c r="A21" t="s">
        <v>510</v>
      </c>
      <c r="B21" s="134">
        <f t="shared" si="0"/>
        <v>0</v>
      </c>
      <c r="C21" s="134">
        <f t="shared" si="1"/>
        <v>0</v>
      </c>
      <c r="D21" s="134">
        <f t="shared" si="2"/>
        <v>0</v>
      </c>
      <c r="E21" s="113">
        <f>CHOOSE('Valuation Dashboard'!$B$148,B21,C21,D21,F21)</f>
        <v>0</v>
      </c>
      <c r="F21" s="123">
        <v>0</v>
      </c>
    </row>
    <row r="23" spans="1:8" x14ac:dyDescent="0.25">
      <c r="A23" s="24" t="s">
        <v>513</v>
      </c>
      <c r="B23" s="24"/>
      <c r="C23" s="24"/>
      <c r="D23" s="24"/>
      <c r="E23" s="24"/>
      <c r="F23" s="24"/>
      <c r="G23" s="24"/>
      <c r="H23" s="24"/>
    </row>
    <row r="24" spans="1:8" x14ac:dyDescent="0.25">
      <c r="A24" s="9" t="s">
        <v>514</v>
      </c>
      <c r="B24" s="167">
        <f>EDATE('GOOGL - Income Statement FY'!B5,12)</f>
        <v>46387</v>
      </c>
      <c r="C24" s="168">
        <f>EDATE(B24,12)</f>
        <v>46752</v>
      </c>
      <c r="D24" s="168">
        <f>EDATE(C24,12)</f>
        <v>47118</v>
      </c>
      <c r="E24" s="168">
        <f>EDATE(D24,12)</f>
        <v>47483</v>
      </c>
      <c r="F24" s="168">
        <f>EDATE(E24,12)</f>
        <v>47848</v>
      </c>
    </row>
    <row r="25" spans="1:8" x14ac:dyDescent="0.25">
      <c r="A25" t="s">
        <v>515</v>
      </c>
      <c r="B25" s="109">
        <f>'GOOGL Rev Drivers &amp; Forecast'!B41</f>
        <v>450038.30829999998</v>
      </c>
      <c r="C25" s="109">
        <f>'GOOGL Rev Drivers &amp; Forecast'!C41</f>
        <v>499114.98582011508</v>
      </c>
      <c r="D25" s="109">
        <f>'GOOGL Rev Drivers &amp; Forecast'!D41</f>
        <v>549488.16576401016</v>
      </c>
      <c r="E25" s="109">
        <f>'GOOGL Rev Drivers &amp; Forecast'!E41</f>
        <v>600480.66754691035</v>
      </c>
      <c r="F25" s="109">
        <f>'GOOGL Rev Drivers &amp; Forecast'!F41</f>
        <v>651326.36807144491</v>
      </c>
    </row>
    <row r="26" spans="1:8" x14ac:dyDescent="0.25">
      <c r="A26" t="s">
        <v>516</v>
      </c>
      <c r="B26" s="119">
        <f>B25*B77</f>
        <v>182251.96783844827</v>
      </c>
      <c r="C26" s="119">
        <f>C25*C77</f>
        <v>202871.74802540589</v>
      </c>
      <c r="D26" s="119">
        <f>D25*D77</f>
        <v>224166.99191132438</v>
      </c>
      <c r="E26" s="119">
        <f>E25*E77</f>
        <v>245866.23577723667</v>
      </c>
      <c r="F26" s="119">
        <f>F25*F77</f>
        <v>267657.42142684117</v>
      </c>
    </row>
    <row r="27" spans="1:8" x14ac:dyDescent="0.25">
      <c r="A27" s="9" t="s">
        <v>517</v>
      </c>
      <c r="B27" s="147">
        <f>B25-B26</f>
        <v>267786.34046155168</v>
      </c>
      <c r="C27" s="147">
        <f>C25-C26</f>
        <v>296243.23779470916</v>
      </c>
      <c r="D27" s="147">
        <f>D25-D26</f>
        <v>325321.17385268578</v>
      </c>
      <c r="E27" s="147">
        <f>E25-E26</f>
        <v>354614.43176967371</v>
      </c>
      <c r="F27" s="147">
        <f>F25-F26</f>
        <v>383668.94664460374</v>
      </c>
    </row>
    <row r="28" spans="1:8" x14ac:dyDescent="0.25">
      <c r="A28" t="s">
        <v>518</v>
      </c>
      <c r="B28" s="119">
        <f>B25*B78</f>
        <v>68026.158008022132</v>
      </c>
      <c r="C28" s="119">
        <f>C25*C78</f>
        <v>75201.848863607636</v>
      </c>
      <c r="D28" s="119">
        <f>D25*D78</f>
        <v>82524.55324790944</v>
      </c>
      <c r="E28" s="119">
        <f>E25*E78</f>
        <v>89891.008059760134</v>
      </c>
      <c r="F28" s="119">
        <f>F25*F78</f>
        <v>97185.995263364908</v>
      </c>
    </row>
    <row r="29" spans="1:8" x14ac:dyDescent="0.25">
      <c r="A29" t="s">
        <v>519</v>
      </c>
      <c r="B29" s="119">
        <f>B25*B79</f>
        <v>56281.148950387142</v>
      </c>
      <c r="C29" s="119">
        <f>C25*C79</f>
        <v>62670.244285947483</v>
      </c>
      <c r="D29" s="119">
        <f>D25*D79</f>
        <v>69272.271100618731</v>
      </c>
      <c r="E29" s="119">
        <f>E25*E79</f>
        <v>76003.478876526555</v>
      </c>
      <c r="F29" s="119">
        <f>F25*F79</f>
        <v>82767.449063846536</v>
      </c>
    </row>
    <row r="30" spans="1:8" x14ac:dyDescent="0.25">
      <c r="A30" t="s">
        <v>520</v>
      </c>
      <c r="B30" s="119">
        <f>B25*B80</f>
        <v>0</v>
      </c>
      <c r="C30" s="119">
        <f>C25*C80</f>
        <v>0</v>
      </c>
      <c r="D30" s="119">
        <f>D25*D80</f>
        <v>0</v>
      </c>
      <c r="E30" s="119">
        <f>E25*E80</f>
        <v>0</v>
      </c>
      <c r="F30" s="119">
        <f>F25*F80</f>
        <v>0</v>
      </c>
    </row>
    <row r="31" spans="1:8" x14ac:dyDescent="0.25">
      <c r="A31" s="9" t="s">
        <v>521</v>
      </c>
      <c r="B31" s="147">
        <f>SUM(B28:B30)</f>
        <v>124307.30695840927</v>
      </c>
      <c r="C31" s="147">
        <f>SUM(C28:C30)</f>
        <v>137872.09314955512</v>
      </c>
      <c r="D31" s="147">
        <f>SUM(D28:D30)</f>
        <v>151796.82434852817</v>
      </c>
      <c r="E31" s="147">
        <f>SUM(E28:E30)</f>
        <v>165894.48693628667</v>
      </c>
      <c r="F31" s="147">
        <f>SUM(F28:F30)</f>
        <v>179953.44432721144</v>
      </c>
    </row>
    <row r="32" spans="1:8" x14ac:dyDescent="0.25">
      <c r="A32" s="9" t="s">
        <v>522</v>
      </c>
      <c r="B32" s="147">
        <f>B27-B31+B25*IF('Valuation Dashboard'!$B$151="Yes",'GOOGL - Reconciliation FY'!$B$152,0)</f>
        <v>144221.18179304243</v>
      </c>
      <c r="C32" s="147">
        <f>C27-C31+C25*IF('Valuation Dashboard'!$B$151="Yes",'GOOGL - Reconciliation FY'!$B$152,0)</f>
        <v>159194.22420606762</v>
      </c>
      <c r="D32" s="147">
        <f>D27-D31+D25*IF('Valuation Dashboard'!$B$151="Yes",'GOOGL - Reconciliation FY'!$B$152,0)</f>
        <v>174430.49836975642</v>
      </c>
      <c r="E32" s="147">
        <f>E27-E31+E25*IF('Valuation Dashboard'!$B$151="Yes",'GOOGL - Reconciliation FY'!$B$152,0)</f>
        <v>189710.1843137134</v>
      </c>
      <c r="F32" s="147">
        <f>F27-F31+F25*IF('Valuation Dashboard'!$B$151="Yes",'GOOGL - Reconciliation FY'!$B$152,0)</f>
        <v>204789.59032571531</v>
      </c>
    </row>
    <row r="33" spans="1:8" x14ac:dyDescent="0.25">
      <c r="A33" t="s">
        <v>320</v>
      </c>
      <c r="B33" s="134">
        <f>B32/B25</f>
        <v>0.32046423411782798</v>
      </c>
      <c r="C33" s="134">
        <f>C32/C25</f>
        <v>0.31895300427513601</v>
      </c>
      <c r="D33" s="134">
        <f>D32/D25</f>
        <v>0.3174417744324442</v>
      </c>
      <c r="E33" s="134">
        <f>E32/E25</f>
        <v>0.31593054458975234</v>
      </c>
      <c r="F33" s="134">
        <f>F32/F25</f>
        <v>0.31441931474706036</v>
      </c>
    </row>
    <row r="35" spans="1:8" x14ac:dyDescent="0.25">
      <c r="A35" t="s">
        <v>545</v>
      </c>
      <c r="B35" s="119">
        <f>B61</f>
        <v>271012.46377313498</v>
      </c>
      <c r="C35" s="119">
        <f>C61</f>
        <v>295598.3394412421</v>
      </c>
      <c r="D35" s="119">
        <f>D61</f>
        <v>319962.16956136742</v>
      </c>
      <c r="E35" s="119">
        <f>E61</f>
        <v>343677.6632923556</v>
      </c>
      <c r="F35" s="119">
        <f>F61</f>
        <v>366295.47172453429</v>
      </c>
    </row>
    <row r="36" spans="1:8" x14ac:dyDescent="0.25">
      <c r="A36" t="s">
        <v>266</v>
      </c>
      <c r="B36" s="119">
        <f>B35*B81</f>
        <v>23292.066048181321</v>
      </c>
      <c r="C36" s="119">
        <f>C35*C81</f>
        <v>25474.241285083921</v>
      </c>
      <c r="D36" s="119">
        <f>D35*D81</f>
        <v>27648.732077251254</v>
      </c>
      <c r="E36" s="119">
        <f>E35*E81</f>
        <v>29778.446007254319</v>
      </c>
      <c r="F36" s="119">
        <f>F35*F81</f>
        <v>31823.888464058487</v>
      </c>
    </row>
    <row r="37" spans="1:8" x14ac:dyDescent="0.25">
      <c r="A37" s="9" t="s">
        <v>406</v>
      </c>
      <c r="B37" s="147">
        <f>B32+B36</f>
        <v>167513.24784122375</v>
      </c>
      <c r="C37" s="147">
        <f>C32+C36</f>
        <v>184668.46549115155</v>
      </c>
      <c r="D37" s="147">
        <f>D32+D36</f>
        <v>202079.23044700766</v>
      </c>
      <c r="E37" s="147">
        <f>E32+E36</f>
        <v>219488.63032096773</v>
      </c>
      <c r="F37" s="147">
        <f>F32+F36</f>
        <v>236613.4787897738</v>
      </c>
    </row>
    <row r="39" spans="1:8" x14ac:dyDescent="0.25">
      <c r="A39" t="s">
        <v>261</v>
      </c>
      <c r="B39" s="119">
        <f>B32*$B$2</f>
        <v>30286.44817653891</v>
      </c>
      <c r="C39" s="119">
        <f>C32*$B$2</f>
        <v>33430.787083274197</v>
      </c>
      <c r="D39" s="119">
        <f>D32*$B$2</f>
        <v>36630.404657648847</v>
      </c>
      <c r="E39" s="119">
        <f>E32*$B$2</f>
        <v>39839.138705879814</v>
      </c>
      <c r="F39" s="119">
        <f>F32*$B$2</f>
        <v>43005.813968400216</v>
      </c>
    </row>
    <row r="40" spans="1:8" x14ac:dyDescent="0.25">
      <c r="A40" s="9" t="s">
        <v>259</v>
      </c>
      <c r="B40" s="147">
        <f>B32-B39</f>
        <v>113934.73361650352</v>
      </c>
      <c r="C40" s="147">
        <f>C32-C39</f>
        <v>125763.43712279343</v>
      </c>
      <c r="D40" s="147">
        <f>D32-D39</f>
        <v>137800.09371210757</v>
      </c>
      <c r="E40" s="147">
        <f>E32-E39</f>
        <v>149871.0456078336</v>
      </c>
      <c r="F40" s="147">
        <f>F32-F39</f>
        <v>161783.7763573151</v>
      </c>
    </row>
    <row r="41" spans="1:8" x14ac:dyDescent="0.25">
      <c r="A41" t="s">
        <v>278</v>
      </c>
      <c r="B41" s="134">
        <f>B40/B25</f>
        <v>0.25316674495308411</v>
      </c>
      <c r="C41" s="134">
        <f>C40/C25</f>
        <v>0.25197287337735746</v>
      </c>
      <c r="D41" s="134">
        <f>D40/D25</f>
        <v>0.25077900180163093</v>
      </c>
      <c r="E41" s="134">
        <f>E40/E25</f>
        <v>0.24958513022590437</v>
      </c>
      <c r="F41" s="134">
        <f>F40/F25</f>
        <v>0.24839125865017767</v>
      </c>
    </row>
    <row r="43" spans="1:8" x14ac:dyDescent="0.25">
      <c r="A43" s="24" t="s">
        <v>532</v>
      </c>
      <c r="B43" s="24"/>
      <c r="C43" s="24"/>
      <c r="D43" s="24"/>
      <c r="E43" s="24"/>
      <c r="F43" s="24"/>
      <c r="G43" s="24"/>
      <c r="H43" s="24"/>
    </row>
    <row r="44" spans="1:8" x14ac:dyDescent="0.25">
      <c r="A44" s="9" t="s">
        <v>506</v>
      </c>
      <c r="B44" s="167">
        <f>'GOOGL - Income Statement FY'!B5</f>
        <v>46022</v>
      </c>
      <c r="C44" s="167">
        <f>'GOOGL - Income Statement FY'!C5</f>
        <v>45657</v>
      </c>
      <c r="D44" s="167">
        <f>'GOOGL - Income Statement FY'!D5</f>
        <v>45291</v>
      </c>
      <c r="E44" s="167">
        <f>'GOOGL - Income Statement FY'!E5</f>
        <v>44926</v>
      </c>
      <c r="F44" s="167">
        <f>'GOOGL - Income Statement FY'!F5</f>
        <v>44561</v>
      </c>
      <c r="G44" s="167">
        <f>'GOOGL - Income Statement FY'!G5</f>
        <v>44196</v>
      </c>
      <c r="H44" s="167">
        <f>'GOOGL - Income Statement FY'!H5</f>
        <v>43830</v>
      </c>
    </row>
    <row r="45" spans="1:8" x14ac:dyDescent="0.25">
      <c r="A45" t="s">
        <v>533</v>
      </c>
      <c r="B45" s="113">
        <f>IFERROR('GOOGL - Reconciliation FY'!B22/'GOOGL - Income Statement FY'!B7,"")</f>
        <v>-2.9399755731861103E-2</v>
      </c>
      <c r="C45" s="113">
        <f>IFERROR('GOOGL - Reconciliation FY'!C22/'GOOGL - Income Statement FY'!C7,"")</f>
        <v>-3.1271648886628686E-2</v>
      </c>
      <c r="D45" s="113">
        <f>IFERROR('GOOGL - Reconciliation FY'!D22/'GOOGL - Income Statement FY'!D7,"")</f>
        <v>-3.8706415870186132E-2</v>
      </c>
      <c r="E45" s="113">
        <f>IFERROR('GOOGL - Reconciliation FY'!E22/'GOOGL - Income Statement FY'!E7,"")</f>
        <v>-3.477379117226944E-2</v>
      </c>
      <c r="F45" s="113">
        <f>IFERROR('GOOGL - Reconciliation FY'!F22/'GOOGL - Income Statement FY'!F7,"")</f>
        <v>-3.2236285937190703E-2</v>
      </c>
      <c r="G45" s="113">
        <f>IFERROR('GOOGL - Reconciliation FY'!G22/'GOOGL - Income Statement FY'!G7,"")</f>
        <v>-7.5531072115358269E-2</v>
      </c>
      <c r="H45" s="113">
        <f>IFERROR('GOOGL - Reconciliation FY'!H22/'GOOGL - Income Statement FY'!H7,"")</f>
        <v>-4.8696441920954923E-2</v>
      </c>
    </row>
    <row r="46" spans="1:8" x14ac:dyDescent="0.25">
      <c r="A46" t="s">
        <v>534</v>
      </c>
      <c r="B46" s="113">
        <f>IFERROR('GOOGL - Reconciliation FY'!B24/'GOOGL - Income Statement FY'!B7,"")</f>
        <v>0.61215233991003781</v>
      </c>
      <c r="C46" s="113">
        <f>IFERROR('GOOGL - Reconciliation FY'!C24/'GOOGL - Income Statement FY'!C7,"")</f>
        <v>0.4886491551863047</v>
      </c>
      <c r="D46" s="113">
        <f>IFERROR('GOOGL - Reconciliation FY'!D24/'GOOGL - Income Statement FY'!D7,"")</f>
        <v>0.43704496509365831</v>
      </c>
      <c r="E46" s="113">
        <f>IFERROR('GOOGL - Reconciliation FY'!E24/'GOOGL - Income Statement FY'!E7,"")</f>
        <v>0.39835098785161721</v>
      </c>
      <c r="F46" s="113">
        <f>IFERROR('GOOGL - Reconciliation FY'!F24/'GOOGL - Income Statement FY'!F7,"")</f>
        <v>0.3788236938017443</v>
      </c>
      <c r="G46" s="113">
        <f>IFERROR('GOOGL - Reconciliation FY'!G24/'GOOGL - Income Statement FY'!G7,"")</f>
        <v>0.46430938984369435</v>
      </c>
      <c r="H46" s="113">
        <f>IFERROR('GOOGL - Reconciliation FY'!H24/'GOOGL - Income Statement FY'!H7,"")</f>
        <v>0.45500657988224175</v>
      </c>
    </row>
    <row r="47" spans="1:8" x14ac:dyDescent="0.25">
      <c r="A47" t="s">
        <v>535</v>
      </c>
      <c r="B47" s="113">
        <f>IFERROR(('GOOGL - Reconciliation FY'!B25+'GOOGL - Reconciliation FY'!B26)/'GOOGL - Income Statement FY'!B7,"")</f>
        <v>8.2862504840679585E-2</v>
      </c>
      <c r="C47" s="113">
        <f>IFERROR(('GOOGL - Reconciliation FY'!C25+'GOOGL - Reconciliation FY'!C26)/'GOOGL - Income Statement FY'!C7,"")</f>
        <v>9.1095315098080665E-2</v>
      </c>
      <c r="D47" s="113">
        <f>IFERROR(('GOOGL - Reconciliation FY'!D25+'GOOGL - Reconciliation FY'!D26)/'GOOGL - Income Statement FY'!D7,"")</f>
        <v>9.4985588528077966E-2</v>
      </c>
      <c r="E47" s="113">
        <f>IFERROR(('GOOGL - Reconciliation FY'!E25+'GOOGL - Reconciliation FY'!E26)/'GOOGL - Income Statement FY'!E7,"")</f>
        <v>0.10975971941337029</v>
      </c>
      <c r="F47" s="113">
        <f>IFERROR(('GOOGL - Reconciliation FY'!F25+'GOOGL - Reconciliation FY'!F26)/'GOOGL - Income Statement FY'!F7,"")</f>
        <v>9.4602095195954E-2</v>
      </c>
      <c r="G47" s="113">
        <f>IFERROR(('GOOGL - Reconciliation FY'!G25+'GOOGL - Reconciliation FY'!G26)/'GOOGL - Income Statement FY'!G7,"")</f>
        <v>0.12392687109304378</v>
      </c>
      <c r="H47" s="113">
        <f>IFERROR(('GOOGL - Reconciliation FY'!H25+'GOOGL - Reconciliation FY'!H26)/'GOOGL - Income Statement FY'!H7,"")</f>
        <v>0.13964796085433437</v>
      </c>
    </row>
    <row r="48" spans="1:8" x14ac:dyDescent="0.25">
      <c r="A48" t="s">
        <v>536</v>
      </c>
      <c r="B48" s="113">
        <f>IFERROR(('GOOGL - Reconciliation FY'!B27+'GOOGL - Reconciliation FY'!B28+'GOOGL - Reconciliation FY'!B29+'GOOGL - Reconciliation FY'!B30)/'GOOGL - Income Statement FY'!B7,"")</f>
        <v>6.1211013911368399E-2</v>
      </c>
      <c r="C48" s="113">
        <f>IFERROR(('GOOGL - Reconciliation FY'!C27+'GOOGL - Reconciliation FY'!C28+'GOOGL - Reconciliation FY'!C29+'GOOGL - Reconciliation FY'!C30)/'GOOGL - Income Statement FY'!C7,"")</f>
        <v>9.6017919078447395E-2</v>
      </c>
      <c r="D48" s="113">
        <f>IFERROR(('GOOGL - Reconciliation FY'!D27+'GOOGL - Reconciliation FY'!D28+'GOOGL - Reconciliation FY'!D29+'GOOGL - Reconciliation FY'!D30)/'GOOGL - Income Statement FY'!D7,"")</f>
        <v>8.0759546380215624E-2</v>
      </c>
      <c r="E48" s="113">
        <f>IFERROR(('GOOGL - Reconciliation FY'!E27+'GOOGL - Reconciliation FY'!E28+'GOOGL - Reconciliation FY'!E29+'GOOGL - Reconciliation FY'!E30)/'GOOGL - Income Statement FY'!E7,"")</f>
        <v>4.825057630570366E-2</v>
      </c>
      <c r="F48" s="113">
        <f>IFERROR(('GOOGL - Reconciliation FY'!F27+'GOOGL - Reconciliation FY'!F28+'GOOGL - Reconciliation FY'!F29+'GOOGL - Reconciliation FY'!F30)/'GOOGL - Income Statement FY'!F7,"")</f>
        <v>9.4357565101285922E-3</v>
      </c>
      <c r="G48" s="113">
        <f>IFERROR(('GOOGL - Reconciliation FY'!G27+'GOOGL - Reconciliation FY'!G28+'GOOGL - Reconciliation FY'!G29+'GOOGL - Reconciliation FY'!G30)/'GOOGL - Income Statement FY'!G7,"")</f>
        <v>1.1439403485511732E-2</v>
      </c>
      <c r="H48" s="113">
        <f>IFERROR(('GOOGL - Reconciliation FY'!H27+'GOOGL - Reconciliation FY'!H28+'GOOGL - Reconciliation FY'!H29+'GOOGL - Reconciliation FY'!H30)/'GOOGL - Income Statement FY'!H7,"")</f>
        <v>1.3036198619769302E-3</v>
      </c>
    </row>
    <row r="49" spans="1:8" x14ac:dyDescent="0.25">
      <c r="A49" t="s">
        <v>537</v>
      </c>
      <c r="B49" s="113">
        <f>IFERROR('GOOGL - Reconciliation FY'!B32/'GOOGL - Income Statement FY'!B7,"")</f>
        <v>0.72682610293022465</v>
      </c>
      <c r="C49" s="113">
        <f>IFERROR('GOOGL - Reconciliation FY'!C32/'GOOGL - Income Statement FY'!C7,"")</f>
        <v>0.64449074047620403</v>
      </c>
      <c r="D49" s="113">
        <f>IFERROR('GOOGL - Reconciliation FY'!D32/'GOOGL - Income Statement FY'!D7,"")</f>
        <v>0.5740836841317658</v>
      </c>
      <c r="E49" s="113">
        <f>IFERROR('GOOGL - Reconciliation FY'!E32/'GOOGL - Income Statement FY'!E7,"")</f>
        <v>0.52158749239842173</v>
      </c>
      <c r="F49" s="113">
        <f>IFERROR('GOOGL - Reconciliation FY'!F32/'GOOGL - Income Statement FY'!F7,"")</f>
        <v>0.45062525957063615</v>
      </c>
      <c r="G49" s="113">
        <f>IFERROR('GOOGL - Reconciliation FY'!G32/'GOOGL - Income Statement FY'!G7,"")</f>
        <v>0.52414459230689159</v>
      </c>
      <c r="H49" s="113">
        <f>IFERROR('GOOGL - Reconciliation FY'!H32/'GOOGL - Income Statement FY'!H7,"")</f>
        <v>0.5472617186775981</v>
      </c>
    </row>
    <row r="51" spans="1:8" x14ac:dyDescent="0.25">
      <c r="A51" s="24" t="s">
        <v>512</v>
      </c>
      <c r="B51" s="24"/>
      <c r="C51" s="24"/>
      <c r="D51" s="24"/>
      <c r="E51" s="24"/>
      <c r="F51" s="24"/>
      <c r="G51" s="24"/>
      <c r="H51" s="24"/>
    </row>
    <row r="52" spans="1:8" x14ac:dyDescent="0.25">
      <c r="A52" s="9" t="s">
        <v>506</v>
      </c>
      <c r="B52" s="9" t="s">
        <v>523</v>
      </c>
      <c r="C52" s="9" t="s">
        <v>524</v>
      </c>
      <c r="D52" s="9" t="s">
        <v>525</v>
      </c>
      <c r="E52" s="9" t="s">
        <v>1466</v>
      </c>
      <c r="F52" s="9" t="s">
        <v>1462</v>
      </c>
    </row>
    <row r="53" spans="1:8" x14ac:dyDescent="0.25">
      <c r="A53" t="s">
        <v>533</v>
      </c>
      <c r="B53" s="134">
        <f>IFERROR(AVERAGE(B45:D45),"")</f>
        <v>-3.312594016289197E-2</v>
      </c>
      <c r="C53" s="134">
        <f>IFERROR(AVERAGE(B45:H45),"")</f>
        <v>-4.1516487376349887E-2</v>
      </c>
      <c r="D53" s="134">
        <f>IFERROR(MEDIAN(B45:H45),"")</f>
        <v>-3.477379117226944E-2</v>
      </c>
      <c r="E53" s="113">
        <f>CHOOSE('Valuation Dashboard'!$B$148,B53,C53,D53,F53)</f>
        <v>-3.312594016289197E-2</v>
      </c>
      <c r="F53" s="123">
        <v>-3.3125940162891998E-2</v>
      </c>
    </row>
    <row r="54" spans="1:8" x14ac:dyDescent="0.25">
      <c r="A54" t="s">
        <v>534</v>
      </c>
      <c r="B54" s="134">
        <f>IFERROR(AVERAGE(B46:D46),"")</f>
        <v>0.51261548673000024</v>
      </c>
      <c r="C54" s="134">
        <f>IFERROR(AVERAGE(B46:H46),"")</f>
        <v>0.46204815879561406</v>
      </c>
      <c r="D54" s="134">
        <f>IFERROR(MEDIAN(B46:H46),"")</f>
        <v>0.45500657988224175</v>
      </c>
      <c r="E54" s="113">
        <f>CHOOSE('Valuation Dashboard'!$B$148,B54,C54,D54,F54)</f>
        <v>0.51261548673000024</v>
      </c>
      <c r="F54" s="123">
        <v>0.51261548673000001</v>
      </c>
    </row>
    <row r="55" spans="1:8" x14ac:dyDescent="0.25">
      <c r="A55" t="s">
        <v>535</v>
      </c>
      <c r="B55" s="134">
        <f>IFERROR(AVERAGE(B47:D47),"")</f>
        <v>8.964780282227941E-2</v>
      </c>
      <c r="C55" s="134">
        <f>IFERROR(AVERAGE(B47:H47),"")</f>
        <v>0.10526857928907725</v>
      </c>
      <c r="D55" s="134">
        <f>IFERROR(MEDIAN(B47:H47),"")</f>
        <v>9.4985588528077966E-2</v>
      </c>
      <c r="E55" s="113">
        <f>CHOOSE('Valuation Dashboard'!$B$148,B55,C55,D55,F55)</f>
        <v>8.964780282227941E-2</v>
      </c>
      <c r="F55" s="123">
        <v>8.9647802822279396E-2</v>
      </c>
    </row>
    <row r="56" spans="1:8" x14ac:dyDescent="0.25">
      <c r="A56" t="s">
        <v>536</v>
      </c>
      <c r="B56" s="134">
        <f>IFERROR(AVERAGE(B48:D48),"")</f>
        <v>7.9329493123343808E-2</v>
      </c>
      <c r="C56" s="134">
        <f>IFERROR(AVERAGE(B48:H48),"")</f>
        <v>4.4059690790478903E-2</v>
      </c>
      <c r="D56" s="134">
        <f>IFERROR(MEDIAN(B48:H48),"")</f>
        <v>4.825057630570366E-2</v>
      </c>
      <c r="E56" s="113">
        <f>CHOOSE('Valuation Dashboard'!$B$148,B56,C56,D56,F56)</f>
        <v>7.9329493123343808E-2</v>
      </c>
      <c r="F56" s="123">
        <v>7.9329493123343794E-2</v>
      </c>
    </row>
    <row r="58" spans="1:8" x14ac:dyDescent="0.25">
      <c r="A58" s="24" t="s">
        <v>538</v>
      </c>
      <c r="B58" s="24"/>
      <c r="C58" s="24"/>
      <c r="D58" s="24"/>
      <c r="E58" s="24"/>
      <c r="F58" s="24"/>
      <c r="G58" s="24"/>
      <c r="H58" s="24"/>
    </row>
    <row r="59" spans="1:8" x14ac:dyDescent="0.25">
      <c r="A59" s="9" t="s">
        <v>514</v>
      </c>
      <c r="B59" s="168">
        <f>B24</f>
        <v>46387</v>
      </c>
      <c r="C59" s="168">
        <f>C24</f>
        <v>46752</v>
      </c>
      <c r="D59" s="168">
        <f>D24</f>
        <v>47118</v>
      </c>
      <c r="E59" s="168">
        <f>E24</f>
        <v>47483</v>
      </c>
      <c r="F59" s="168">
        <f>F24</f>
        <v>47848</v>
      </c>
    </row>
    <row r="60" spans="1:8" x14ac:dyDescent="0.25">
      <c r="A60" t="s">
        <v>235</v>
      </c>
      <c r="B60" s="119">
        <f>B25*B82</f>
        <v>-13398.708907775492</v>
      </c>
      <c r="C60" s="119">
        <f>C25*C82</f>
        <v>-15045.817563114122</v>
      </c>
      <c r="D60" s="119">
        <f>D25*D82</f>
        <v>-16769.06612550197</v>
      </c>
      <c r="E60" s="119">
        <f>E25*E82</f>
        <v>-18548.985633403387</v>
      </c>
      <c r="F60" s="119">
        <f>F25*F82</f>
        <v>-20362.317209134584</v>
      </c>
    </row>
    <row r="61" spans="1:8" x14ac:dyDescent="0.25">
      <c r="A61" t="s">
        <v>236</v>
      </c>
      <c r="B61" s="119">
        <f>B25*B83</f>
        <v>271012.46377313498</v>
      </c>
      <c r="C61" s="119">
        <f>C25*C83</f>
        <v>295598.3394412421</v>
      </c>
      <c r="D61" s="119">
        <f>D25*D83</f>
        <v>319962.16956136742</v>
      </c>
      <c r="E61" s="119">
        <f>E25*E83</f>
        <v>343677.6632923556</v>
      </c>
      <c r="F61" s="119">
        <f>F25*F83</f>
        <v>366295.47172453429</v>
      </c>
    </row>
    <row r="62" spans="1:8" x14ac:dyDescent="0.25">
      <c r="A62" t="s">
        <v>539</v>
      </c>
      <c r="B62" s="119">
        <f>B25*B84</f>
        <v>37596.665902495057</v>
      </c>
      <c r="C62" s="119">
        <f>C25*C84</f>
        <v>42035.246709749299</v>
      </c>
      <c r="D62" s="119">
        <f>D25*D84</f>
        <v>46650.498078137898</v>
      </c>
      <c r="E62" s="119">
        <f>E25*E84</f>
        <v>51387.108325938672</v>
      </c>
      <c r="F62" s="119">
        <f>F25*F84</f>
        <v>56180.256072501317</v>
      </c>
    </row>
    <row r="63" spans="1:8" x14ac:dyDescent="0.25">
      <c r="A63" t="s">
        <v>540</v>
      </c>
      <c r="B63" s="119">
        <f>B25*B85</f>
        <v>28362.702123352614</v>
      </c>
      <c r="C63" s="119">
        <f>C25*C85</f>
        <v>32359.975239400941</v>
      </c>
      <c r="D63" s="119">
        <f>D25*D85</f>
        <v>36621.494731299652</v>
      </c>
      <c r="E63" s="119">
        <f>E25*E85</f>
        <v>41107.949091578441</v>
      </c>
      <c r="F63" s="119">
        <f>F25*F85</f>
        <v>45768.869006919231</v>
      </c>
    </row>
    <row r="64" spans="1:8" x14ac:dyDescent="0.25">
      <c r="A64" s="9" t="s">
        <v>541</v>
      </c>
      <c r="B64" s="147">
        <f>SUM(B60:B63)</f>
        <v>323573.12289120717</v>
      </c>
      <c r="C64" s="147">
        <f>SUM(C60:C63)</f>
        <v>354947.7438272782</v>
      </c>
      <c r="D64" s="147">
        <f>SUM(D60:D63)</f>
        <v>386465.09624530299</v>
      </c>
      <c r="E64" s="147">
        <f>SUM(E60:E63)</f>
        <v>417623.73507646931</v>
      </c>
      <c r="F64" s="147">
        <f>SUM(F60:F63)</f>
        <v>447882.27959482023</v>
      </c>
    </row>
    <row r="66" spans="1:8" x14ac:dyDescent="0.25">
      <c r="A66" s="24" t="s">
        <v>542</v>
      </c>
      <c r="B66" s="24"/>
      <c r="C66" s="24"/>
      <c r="D66" s="24"/>
      <c r="E66" s="24"/>
      <c r="F66" s="24"/>
      <c r="G66" s="24"/>
      <c r="H66" s="24"/>
    </row>
    <row r="67" spans="1:8" x14ac:dyDescent="0.25">
      <c r="A67" t="s">
        <v>259</v>
      </c>
      <c r="B67" s="119">
        <f>B40</f>
        <v>113934.73361650352</v>
      </c>
      <c r="C67" s="119">
        <f>C40</f>
        <v>125763.43712279343</v>
      </c>
      <c r="D67" s="119">
        <f>D40</f>
        <v>137800.09371210757</v>
      </c>
      <c r="E67" s="119">
        <f>E40</f>
        <v>149871.0456078336</v>
      </c>
      <c r="F67" s="119">
        <f>F40</f>
        <v>161783.7763573151</v>
      </c>
    </row>
    <row r="68" spans="1:8" x14ac:dyDescent="0.25">
      <c r="A68" t="s">
        <v>266</v>
      </c>
      <c r="B68" s="119">
        <f>B36</f>
        <v>23292.066048181321</v>
      </c>
      <c r="C68" s="119">
        <f>C36</f>
        <v>25474.241285083921</v>
      </c>
      <c r="D68" s="119">
        <f>D36</f>
        <v>27648.732077251254</v>
      </c>
      <c r="E68" s="119">
        <f>E36</f>
        <v>29778.446007254319</v>
      </c>
      <c r="F68" s="119">
        <f>F36</f>
        <v>31823.888464058487</v>
      </c>
    </row>
    <row r="69" spans="1:8" x14ac:dyDescent="0.25">
      <c r="A69" s="9" t="s">
        <v>267</v>
      </c>
      <c r="B69" s="147">
        <f>B67+B68</f>
        <v>137226.79966468483</v>
      </c>
      <c r="C69" s="147">
        <f>C67+C68</f>
        <v>151237.67840787736</v>
      </c>
      <c r="D69" s="147">
        <f>D67+D68</f>
        <v>165448.82578935882</v>
      </c>
      <c r="E69" s="147">
        <f>E67+E68</f>
        <v>179649.49161508793</v>
      </c>
      <c r="F69" s="147">
        <f>F67+F68</f>
        <v>193607.66482137359</v>
      </c>
    </row>
    <row r="70" spans="1:8" x14ac:dyDescent="0.25">
      <c r="A70" t="s">
        <v>543</v>
      </c>
      <c r="B70" s="109">
        <f>-(B60-'GOOGL - Reconciliation FY'!$B$22)</f>
        <v>1555.4289077754929</v>
      </c>
      <c r="C70" s="119">
        <f>-(C60-B60)</f>
        <v>1647.1086553386303</v>
      </c>
      <c r="D70" s="119">
        <f>-(D60-C60)</f>
        <v>1723.2485623878474</v>
      </c>
      <c r="E70" s="119">
        <f>-(E60-D60)</f>
        <v>1779.9195079014171</v>
      </c>
      <c r="F70" s="119">
        <f>-(F60-E60)</f>
        <v>1813.3315757311975</v>
      </c>
    </row>
    <row r="71" spans="1:8" x14ac:dyDescent="0.25">
      <c r="A71" t="s">
        <v>269</v>
      </c>
      <c r="B71" s="109">
        <f>-((B61-'GOOGL - Reconciliation FY'!$B$24)+B68)</f>
        <v>-47707.529821316304</v>
      </c>
      <c r="C71" s="119">
        <f>-((C61-B61)+C68)</f>
        <v>-50060.116953191042</v>
      </c>
      <c r="D71" s="119">
        <f>-((D61-C61)+D68)</f>
        <v>-52012.562197376574</v>
      </c>
      <c r="E71" s="119">
        <f>-((E61-D61)+E68)</f>
        <v>-53493.939738242494</v>
      </c>
      <c r="F71" s="119">
        <f>-((F61-E61)+F68)</f>
        <v>-54441.696896237176</v>
      </c>
    </row>
    <row r="72" spans="1:8" x14ac:dyDescent="0.25">
      <c r="A72" t="s">
        <v>544</v>
      </c>
      <c r="B72" s="109">
        <f>-((B62+B63)-('GOOGL - Reconciliation FY'!$B$25+'GOOGL - Reconciliation FY'!$B$26+'GOOGL - Reconciliation FY'!$B$27+'GOOGL - Reconciliation FY'!$B$28+'GOOGL - Reconciliation FY'!$B$29+'GOOGL - Reconciliation FY'!$B$30))</f>
        <v>-7921.368025847667</v>
      </c>
      <c r="C72" s="119">
        <f>-((C62+C63)-(B62+B63))</f>
        <v>-8435.8539233025658</v>
      </c>
      <c r="D72" s="119">
        <f>-((D62+D63)-(C62+C63))</f>
        <v>-8876.7708602873172</v>
      </c>
      <c r="E72" s="119">
        <f>-((E62+E63)-(D62+D63))</f>
        <v>-9223.0646080795705</v>
      </c>
      <c r="F72" s="119">
        <f>-((F62+F63)-(E62+E63))</f>
        <v>-9454.0676619034202</v>
      </c>
    </row>
    <row r="73" spans="1:8" x14ac:dyDescent="0.25">
      <c r="A73" s="9" t="s">
        <v>270</v>
      </c>
      <c r="B73" s="147">
        <f>B69+B70+B71+B72</f>
        <v>83153.330725296357</v>
      </c>
      <c r="C73" s="147">
        <f>C69+C70+C71+C72</f>
        <v>94388.816186722397</v>
      </c>
      <c r="D73" s="147">
        <f>D69+D70+D71+D72</f>
        <v>106282.74129408279</v>
      </c>
      <c r="E73" s="147">
        <f>E69+E70+E71+E72</f>
        <v>118712.40677666728</v>
      </c>
      <c r="F73" s="147">
        <f>F69+F70+F71+F72</f>
        <v>131525.23183896419</v>
      </c>
    </row>
    <row r="75" spans="1:8" x14ac:dyDescent="0.25">
      <c r="A75" s="24" t="s">
        <v>552</v>
      </c>
      <c r="B75" s="24"/>
      <c r="C75" s="24"/>
      <c r="D75" s="24"/>
      <c r="E75" s="24"/>
      <c r="F75" s="24"/>
      <c r="G75" s="24"/>
      <c r="H75" s="24"/>
    </row>
    <row r="76" spans="1:8" x14ac:dyDescent="0.25">
      <c r="A76" s="9" t="s">
        <v>506</v>
      </c>
      <c r="B76" s="168">
        <f>B24</f>
        <v>46387</v>
      </c>
      <c r="C76" s="168">
        <f>C24</f>
        <v>46752</v>
      </c>
      <c r="D76" s="168">
        <f>D24</f>
        <v>47118</v>
      </c>
      <c r="E76" s="168">
        <f>E24</f>
        <v>47483</v>
      </c>
      <c r="F76" s="168">
        <f>F24</f>
        <v>47848</v>
      </c>
    </row>
    <row r="77" spans="1:8" x14ac:dyDescent="0.25">
      <c r="A77" t="s">
        <v>507</v>
      </c>
      <c r="B77" s="134">
        <f>$B$6+($E$16-$B$6)*MIN(1/$B$3,1)</f>
        <v>0.40496989806689371</v>
      </c>
      <c r="C77" s="134">
        <f>$B$6+($E$16-$B$6)*MIN(2/$B$3,1)</f>
        <v>0.40646294699418711</v>
      </c>
      <c r="D77" s="134">
        <f>$B$6+($E$16-$B$6)*MIN(3/$B$3,1)</f>
        <v>0.40795599592148057</v>
      </c>
      <c r="E77" s="134">
        <f>$B$6+($E$16-$B$6)*MIN(4/$B$3,1)</f>
        <v>0.40944904484877404</v>
      </c>
      <c r="F77" s="134">
        <f>$B$6+($E$16-$B$6)*MIN(5/$B$3,1)</f>
        <v>0.4109420937760675</v>
      </c>
    </row>
    <row r="78" spans="1:8" x14ac:dyDescent="0.25">
      <c r="A78" t="s">
        <v>318</v>
      </c>
      <c r="B78" s="134">
        <f>$B$7+($E$17-$B$7)*MIN(1/$B$3,1)</f>
        <v>0.15115637214304703</v>
      </c>
      <c r="C78" s="134">
        <f>$B$7+($E$17-$B$7)*MIN(2/$B$3,1)</f>
        <v>0.15067038858799356</v>
      </c>
      <c r="D78" s="134">
        <f>$B$7+($E$17-$B$7)*MIN(3/$B$3,1)</f>
        <v>0.15018440503294012</v>
      </c>
      <c r="E78" s="134">
        <f>$B$7+($E$17-$B$7)*MIN(4/$B$3,1)</f>
        <v>0.14969842147788667</v>
      </c>
      <c r="F78" s="134">
        <f>$B$7+($E$17-$B$7)*MIN(5/$B$3,1)</f>
        <v>0.14921243792283323</v>
      </c>
    </row>
    <row r="79" spans="1:8" x14ac:dyDescent="0.25">
      <c r="A79" t="s">
        <v>319</v>
      </c>
      <c r="B79" s="134">
        <f>$B$8+($E$18-$B$8)*MIN(1/$B$3,1)</f>
        <v>0.12505857370895096</v>
      </c>
      <c r="C79" s="134">
        <f>$B$8+($E$18-$B$8)*MIN(2/$B$3,1)</f>
        <v>0.12556273817940286</v>
      </c>
      <c r="D79" s="134">
        <f>$B$8+($E$18-$B$8)*MIN(3/$B$3,1)</f>
        <v>0.12606690264985476</v>
      </c>
      <c r="E79" s="134">
        <f>$B$8+($E$18-$B$8)*MIN(4/$B$3,1)</f>
        <v>0.12657106712030669</v>
      </c>
      <c r="F79" s="134">
        <f>$B$8+($E$18-$B$8)*MIN(5/$B$3,1)</f>
        <v>0.12707523159075859</v>
      </c>
    </row>
    <row r="80" spans="1:8" x14ac:dyDescent="0.25">
      <c r="A80" t="s">
        <v>508</v>
      </c>
      <c r="B80" s="134">
        <f>$B$9+($E$19-$B$9)*MIN(1/$B$3,1)</f>
        <v>0</v>
      </c>
      <c r="C80" s="134">
        <f>$B$9+($E$19-$B$9)*MIN(2/$B$3,1)</f>
        <v>0</v>
      </c>
      <c r="D80" s="134">
        <f>$B$9+($E$19-$B$9)*MIN(3/$B$3,1)</f>
        <v>0</v>
      </c>
      <c r="E80" s="134">
        <f>$B$9+($E$19-$B$9)*MIN(4/$B$3,1)</f>
        <v>0</v>
      </c>
      <c r="F80" s="134">
        <f>$B$9+($E$19-$B$9)*MIN(5/$B$3,1)</f>
        <v>0</v>
      </c>
    </row>
    <row r="81" spans="1:8" x14ac:dyDescent="0.25">
      <c r="A81" t="s">
        <v>509</v>
      </c>
      <c r="B81" s="134">
        <f>$B$10+($E$20-$B$10)*MIN(1/$B$3,1)</f>
        <v>8.5944630456845528E-2</v>
      </c>
      <c r="C81" s="134">
        <f>$B$10+($E$20-$B$10)*MIN(2/$B$3,1)</f>
        <v>8.6178566947422222E-2</v>
      </c>
      <c r="D81" s="134">
        <f>$B$10+($E$20-$B$10)*MIN(3/$B$3,1)</f>
        <v>8.6412503437998917E-2</v>
      </c>
      <c r="E81" s="134">
        <f>$B$10+($E$20-$B$10)*MIN(4/$B$3,1)</f>
        <v>8.6646439928575597E-2</v>
      </c>
      <c r="F81" s="134">
        <f>$B$10+($E$20-$B$10)*MIN(5/$B$3,1)</f>
        <v>8.6880376419152278E-2</v>
      </c>
    </row>
    <row r="82" spans="1:8" x14ac:dyDescent="0.25">
      <c r="A82" t="s">
        <v>533</v>
      </c>
      <c r="B82" s="134">
        <f>$B$45+($E$53-$B$45)*MIN(1/$B$3,1)</f>
        <v>-2.977237417496419E-2</v>
      </c>
      <c r="C82" s="134">
        <f>$B$45+($E$53-$B$45)*MIN(2/$B$3,1)</f>
        <v>-3.0144992618067277E-2</v>
      </c>
      <c r="D82" s="134">
        <f>$B$45+($E$53-$B$45)*MIN(3/$B$3,1)</f>
        <v>-3.0517611061170364E-2</v>
      </c>
      <c r="E82" s="134">
        <f>$B$45+($E$53-$B$45)*MIN(4/$B$3,1)</f>
        <v>-3.0890229504273451E-2</v>
      </c>
      <c r="F82" s="134">
        <f>$B$45+($E$53-$B$45)*MIN(5/$B$3,1)</f>
        <v>-3.1262847947376535E-2</v>
      </c>
    </row>
    <row r="83" spans="1:8" x14ac:dyDescent="0.25">
      <c r="A83" t="s">
        <v>534</v>
      </c>
      <c r="B83" s="134">
        <f>$B$46+($E$54-$B$46)*MIN(1/$B$3,1)</f>
        <v>0.60219865459203403</v>
      </c>
      <c r="C83" s="134">
        <f>$B$46+($E$54-$B$46)*MIN(2/$B$3,1)</f>
        <v>0.59224496927403025</v>
      </c>
      <c r="D83" s="134">
        <f>$B$46+($E$54-$B$46)*MIN(3/$B$3,1)</f>
        <v>0.58229128395602658</v>
      </c>
      <c r="E83" s="134">
        <f>$B$46+($E$54-$B$46)*MIN(4/$B$3,1)</f>
        <v>0.5723375986380228</v>
      </c>
      <c r="F83" s="134">
        <f>$B$46+($E$54-$B$46)*MIN(5/$B$3,1)</f>
        <v>0.56238391332001902</v>
      </c>
    </row>
    <row r="84" spans="1:8" x14ac:dyDescent="0.25">
      <c r="A84" t="s">
        <v>535</v>
      </c>
      <c r="B84" s="134">
        <f>$B$47+($E$55-$B$47)*MIN(1/$B$3,1)</f>
        <v>8.3541034638839565E-2</v>
      </c>
      <c r="C84" s="134">
        <f>$B$47+($E$55-$B$47)*MIN(2/$B$3,1)</f>
        <v>8.4219564436999544E-2</v>
      </c>
      <c r="D84" s="134">
        <f>$B$47+($E$55-$B$47)*MIN(3/$B$3,1)</f>
        <v>8.4898094235159538E-2</v>
      </c>
      <c r="E84" s="134">
        <f>$B$47+($E$55-$B$47)*MIN(4/$B$3,1)</f>
        <v>8.5576624033319518E-2</v>
      </c>
      <c r="F84" s="134">
        <f>$B$47+($E$55-$B$47)*MIN(5/$B$3,1)</f>
        <v>8.6255153831479497E-2</v>
      </c>
    </row>
    <row r="85" spans="1:8" x14ac:dyDescent="0.25">
      <c r="A85" t="s">
        <v>536</v>
      </c>
      <c r="B85" s="134">
        <f>$B$48+($E$56-$B$48)*MIN(1/$B$3,1)</f>
        <v>6.3022861832565946E-2</v>
      </c>
      <c r="C85" s="134">
        <f>$B$48+($E$56-$B$48)*MIN(2/$B$3,1)</f>
        <v>6.4834709753763486E-2</v>
      </c>
      <c r="D85" s="134">
        <f>$B$48+($E$56-$B$48)*MIN(3/$B$3,1)</f>
        <v>6.6646557674961027E-2</v>
      </c>
      <c r="E85" s="134">
        <f>$B$48+($E$56-$B$48)*MIN(4/$B$3,1)</f>
        <v>6.8458405596158567E-2</v>
      </c>
      <c r="F85" s="134">
        <f>$B$48+($E$56-$B$48)*MIN(5/$B$3,1)</f>
        <v>7.0270253517356107E-2</v>
      </c>
    </row>
    <row r="87" spans="1:8" x14ac:dyDescent="0.25">
      <c r="A87" s="24" t="s">
        <v>553</v>
      </c>
      <c r="B87" s="24"/>
      <c r="C87" s="24"/>
      <c r="D87" s="24"/>
      <c r="E87" s="24"/>
      <c r="F87" s="24"/>
      <c r="G87" s="24"/>
      <c r="H87" s="24"/>
    </row>
    <row r="88" spans="1:8" x14ac:dyDescent="0.25">
      <c r="A88" s="9" t="s">
        <v>514</v>
      </c>
      <c r="B88" s="168">
        <f>B24</f>
        <v>46387</v>
      </c>
      <c r="C88" s="168">
        <f>C24</f>
        <v>46752</v>
      </c>
      <c r="D88" s="168">
        <f>D24</f>
        <v>47118</v>
      </c>
      <c r="E88" s="168">
        <f>E24</f>
        <v>47483</v>
      </c>
      <c r="F88" s="168">
        <f>F24</f>
        <v>47848</v>
      </c>
    </row>
    <row r="89" spans="1:8" x14ac:dyDescent="0.25">
      <c r="A89" t="s">
        <v>541</v>
      </c>
      <c r="B89" s="119">
        <f>B64</f>
        <v>323573.12289120717</v>
      </c>
      <c r="C89" s="119">
        <f>C64</f>
        <v>354947.7438272782</v>
      </c>
      <c r="D89" s="119">
        <f>D64</f>
        <v>386465.09624530299</v>
      </c>
      <c r="E89" s="119">
        <f>E64</f>
        <v>417623.73507646931</v>
      </c>
      <c r="F89" s="119">
        <f>F64</f>
        <v>447882.27959482023</v>
      </c>
    </row>
    <row r="90" spans="1:8" x14ac:dyDescent="0.25">
      <c r="A90" t="s">
        <v>554</v>
      </c>
      <c r="B90" s="109">
        <f>'GOOGL - Reconciliation FY'!$B$40</f>
        <v>187473.28</v>
      </c>
      <c r="C90" s="109">
        <f>'GOOGL - Reconciliation FY'!$B$40</f>
        <v>187473.28</v>
      </c>
      <c r="D90" s="109">
        <f>'GOOGL - Reconciliation FY'!$B$40</f>
        <v>187473.28</v>
      </c>
      <c r="E90" s="109">
        <f>'GOOGL - Reconciliation FY'!$B$40</f>
        <v>187473.28</v>
      </c>
      <c r="F90" s="109">
        <f>'GOOGL - Reconciliation FY'!$B$40</f>
        <v>187473.28</v>
      </c>
    </row>
    <row r="91" spans="1:8" x14ac:dyDescent="0.25">
      <c r="A91" s="9" t="s">
        <v>555</v>
      </c>
      <c r="B91" s="147">
        <f>B89+B90</f>
        <v>511046.40289120714</v>
      </c>
      <c r="C91" s="147">
        <f>C89+C90</f>
        <v>542421.02382727817</v>
      </c>
      <c r="D91" s="147">
        <f>D89+D90</f>
        <v>573938.37624530296</v>
      </c>
      <c r="E91" s="147">
        <f>E89+E90</f>
        <v>605097.01507646928</v>
      </c>
      <c r="F91" s="147">
        <f>F89+F90</f>
        <v>635355.55959482025</v>
      </c>
    </row>
    <row r="92" spans="1:8" x14ac:dyDescent="0.25">
      <c r="A92" t="s">
        <v>565</v>
      </c>
      <c r="B92" s="109">
        <f>'GOOGL - Reconciliation FY'!$B$47+'GOOGL - Reconciliation FY'!$B$49</f>
        <v>46547</v>
      </c>
      <c r="C92" s="109">
        <f>'GOOGL - Reconciliation FY'!$B$47+'GOOGL - Reconciliation FY'!$B$49</f>
        <v>46547</v>
      </c>
      <c r="D92" s="109">
        <f>'GOOGL - Reconciliation FY'!$B$47+'GOOGL - Reconciliation FY'!$B$49</f>
        <v>46547</v>
      </c>
      <c r="E92" s="109">
        <f>'GOOGL - Reconciliation FY'!$B$47+'GOOGL - Reconciliation FY'!$B$49</f>
        <v>46547</v>
      </c>
      <c r="F92" s="109">
        <f>'GOOGL - Reconciliation FY'!$B$47+'GOOGL - Reconciliation FY'!$B$49</f>
        <v>46547</v>
      </c>
    </row>
    <row r="93" spans="1:8" x14ac:dyDescent="0.25">
      <c r="A93" t="s">
        <v>556</v>
      </c>
      <c r="B93" s="119">
        <f>B91-B92</f>
        <v>464499.40289120714</v>
      </c>
      <c r="C93" s="119">
        <f>C91-C92</f>
        <v>495874.02382727817</v>
      </c>
      <c r="D93" s="119">
        <f>D91-D92</f>
        <v>527391.37624530296</v>
      </c>
      <c r="E93" s="119">
        <f>E91-E92</f>
        <v>558550.01507646928</v>
      </c>
      <c r="F93" s="119">
        <f>F91-F92</f>
        <v>588808.55959482025</v>
      </c>
    </row>
    <row r="94" spans="1:8" x14ac:dyDescent="0.25">
      <c r="A94" t="s">
        <v>557</v>
      </c>
      <c r="B94" s="119">
        <f>B91-(B92+B93)</f>
        <v>0</v>
      </c>
      <c r="C94" s="119">
        <f>C91-(C92+C93)</f>
        <v>0</v>
      </c>
      <c r="D94" s="119">
        <f>D91-(D92+D93)</f>
        <v>0</v>
      </c>
      <c r="E94" s="119">
        <f>E91-(E92+E93)</f>
        <v>0</v>
      </c>
      <c r="F94" s="119">
        <f>F91-(F92+F93)</f>
        <v>0</v>
      </c>
    </row>
    <row r="96" spans="1:8" x14ac:dyDescent="0.25">
      <c r="A96" s="24" t="s">
        <v>558</v>
      </c>
      <c r="B96" s="24"/>
      <c r="C96" s="24"/>
      <c r="D96" s="24"/>
      <c r="E96" s="24"/>
      <c r="F96" s="24"/>
      <c r="G96" s="24"/>
      <c r="H96" s="24"/>
    </row>
    <row r="97" spans="1:11" x14ac:dyDescent="0.25">
      <c r="A97" s="9" t="s">
        <v>559</v>
      </c>
      <c r="B97" s="168">
        <f>B24</f>
        <v>46387</v>
      </c>
      <c r="C97" s="168">
        <f>C24</f>
        <v>46752</v>
      </c>
      <c r="D97" s="168">
        <f>D24</f>
        <v>47118</v>
      </c>
      <c r="E97" s="168">
        <f>E24</f>
        <v>47483</v>
      </c>
      <c r="F97" s="168">
        <f>F24</f>
        <v>47848</v>
      </c>
    </row>
    <row r="98" spans="1:11" x14ac:dyDescent="0.25">
      <c r="A98" t="s">
        <v>259</v>
      </c>
      <c r="B98" s="119">
        <f>B40</f>
        <v>113934.73361650352</v>
      </c>
      <c r="C98" s="119">
        <f>C40</f>
        <v>125763.43712279343</v>
      </c>
      <c r="D98" s="119">
        <f>D40</f>
        <v>137800.09371210757</v>
      </c>
      <c r="E98" s="119">
        <f>E40</f>
        <v>149871.0456078336</v>
      </c>
      <c r="F98" s="119">
        <f>F40</f>
        <v>161783.7763573151</v>
      </c>
    </row>
    <row r="99" spans="1:11" x14ac:dyDescent="0.25">
      <c r="A99" t="s">
        <v>560</v>
      </c>
      <c r="B99" s="109">
        <f>AVERAGE(B64,'GOOGL - Reconciliation FY'!$B$32)</f>
        <v>308182.4214456036</v>
      </c>
      <c r="C99" s="119">
        <f>AVERAGE(C64,B64)</f>
        <v>339260.43335924268</v>
      </c>
      <c r="D99" s="119">
        <f>AVERAGE(D64,C64)</f>
        <v>370706.4200362906</v>
      </c>
      <c r="E99" s="119">
        <f>AVERAGE(E64,D64)</f>
        <v>402044.41566088615</v>
      </c>
      <c r="F99" s="119">
        <f>AVERAGE(F64,E64)</f>
        <v>432753.0073356448</v>
      </c>
    </row>
    <row r="100" spans="1:11" x14ac:dyDescent="0.25">
      <c r="A100" s="9" t="s">
        <v>561</v>
      </c>
      <c r="B100" s="137">
        <f>B98/B99</f>
        <v>0.36969900191602528</v>
      </c>
      <c r="C100" s="137">
        <f>C98/C99</f>
        <v>0.37069880468384181</v>
      </c>
      <c r="D100" s="137">
        <f>D98/D99</f>
        <v>0.37172297609147831</v>
      </c>
      <c r="E100" s="137">
        <f>E98/E99</f>
        <v>0.37277235989330559</v>
      </c>
      <c r="F100" s="137">
        <f>F98/F99</f>
        <v>0.37384783840874619</v>
      </c>
    </row>
    <row r="101" spans="1:11" x14ac:dyDescent="0.25">
      <c r="A101" t="s">
        <v>311</v>
      </c>
      <c r="B101" s="109">
        <f>B64-'GOOGL - Reconciliation FY'!$B$32</f>
        <v>30781.402891207195</v>
      </c>
      <c r="C101" s="119">
        <f>C64-B64</f>
        <v>31374.620936071035</v>
      </c>
      <c r="D101" s="119">
        <f>D64-C64</f>
        <v>31517.352418024791</v>
      </c>
      <c r="E101" s="119">
        <f>E64-D64</f>
        <v>31158.638831166318</v>
      </c>
      <c r="F101" s="119">
        <f>F64-E64</f>
        <v>30258.544518350915</v>
      </c>
    </row>
    <row r="102" spans="1:11" x14ac:dyDescent="0.25">
      <c r="A102" t="s">
        <v>312</v>
      </c>
      <c r="B102" s="113">
        <f>IFERROR((B98-'GOOGL - Reconciliation FY'!$B$56)/B101,"")</f>
        <v>0.3896483749910446</v>
      </c>
      <c r="C102" s="134">
        <f>IFERROR((C98-B98)/C101,"")</f>
        <v>0.37701502530953568</v>
      </c>
      <c r="D102" s="134">
        <f>IFERROR((D98-C98)/D101,"")</f>
        <v>0.38190570164866916</v>
      </c>
      <c r="E102" s="134">
        <f>IFERROR((E98-D98)/E101,"")</f>
        <v>0.38740305573464601</v>
      </c>
      <c r="F102" s="134">
        <f>IFERROR((F98-E98)/F101,"")</f>
        <v>0.39369807567104831</v>
      </c>
    </row>
    <row r="103" spans="1:11" x14ac:dyDescent="0.25">
      <c r="A103" t="s">
        <v>562</v>
      </c>
      <c r="B103" s="134">
        <f>IFERROR(B101/B98,"")</f>
        <v>0.27016697993796412</v>
      </c>
      <c r="C103" s="134">
        <f>IFERROR(C101/C98,"")</f>
        <v>0.24947331000056361</v>
      </c>
      <c r="D103" s="134">
        <f>IFERROR(D101/D98,"")</f>
        <v>0.22871793167188226</v>
      </c>
      <c r="E103" s="134">
        <f>IFERROR(E101/E98,"")</f>
        <v>0.20790299223439654</v>
      </c>
      <c r="F103" s="134">
        <f>IFERROR(F101/F98,"")</f>
        <v>0.1870307715621744</v>
      </c>
    </row>
    <row r="104" spans="1:11" x14ac:dyDescent="0.25">
      <c r="A104" s="9" t="s">
        <v>563</v>
      </c>
      <c r="B104" s="137">
        <f>IFERROR(B102*B103,"")</f>
        <v>0.10527012470906587</v>
      </c>
      <c r="C104" s="137">
        <f>IFERROR(C102*C103,"")</f>
        <v>9.4055186283916126E-2</v>
      </c>
      <c r="D104" s="137">
        <f>IFERROR(D102*D103,"")</f>
        <v>8.734868217478256E-2</v>
      </c>
      <c r="E104" s="137">
        <f>IFERROR(E102*E103,"")</f>
        <v>8.0542254487981593E-2</v>
      </c>
      <c r="F104" s="137">
        <f>IFERROR(F102*F103,"")</f>
        <v>7.3633654855299491E-2</v>
      </c>
    </row>
    <row r="105" spans="1:11" x14ac:dyDescent="0.25">
      <c r="A105" t="s">
        <v>564</v>
      </c>
      <c r="B105" s="113">
        <f>IFERROR(B25/'GOOGL - Income Statement FY'!$B$7-1,"")</f>
        <v>0.11717500000000003</v>
      </c>
      <c r="C105" s="134">
        <f>IFERROR(C25/B25-1,"")</f>
        <v>0.10905000000000031</v>
      </c>
      <c r="D105" s="134">
        <f>IFERROR(D25/C25-1,"")</f>
        <v>0.10092499999999993</v>
      </c>
      <c r="E105" s="134">
        <f>IFERROR(E25/D25-1,"")</f>
        <v>9.2799999999999994E-2</v>
      </c>
      <c r="F105" s="134">
        <f>IFERROR(F25/E25-1,"")</f>
        <v>8.4674999999999834E-2</v>
      </c>
    </row>
    <row r="107" spans="1:11" x14ac:dyDescent="0.25">
      <c r="A107" s="24" t="s">
        <v>600</v>
      </c>
      <c r="B107" s="24"/>
      <c r="C107" s="24"/>
      <c r="D107" s="24"/>
      <c r="E107" s="24"/>
      <c r="F107" s="24"/>
      <c r="G107" s="24"/>
      <c r="H107" s="24"/>
      <c r="I107" s="24"/>
      <c r="J107" s="24"/>
      <c r="K107" s="24"/>
    </row>
    <row r="108" spans="1:11" x14ac:dyDescent="0.25">
      <c r="A108" t="s">
        <v>601</v>
      </c>
      <c r="B108" s="146">
        <f>F33</f>
        <v>0.31441931474706036</v>
      </c>
    </row>
    <row r="109" spans="1:11" x14ac:dyDescent="0.25">
      <c r="A109" t="s">
        <v>602</v>
      </c>
      <c r="B109" s="169">
        <f>F25/F64</f>
        <v>1.4542356278544259</v>
      </c>
    </row>
    <row r="110" spans="1:11" x14ac:dyDescent="0.25">
      <c r="A110" s="9" t="s">
        <v>573</v>
      </c>
      <c r="B110" s="168">
        <f>EDATE(F24,12)</f>
        <v>48213</v>
      </c>
      <c r="C110" s="168">
        <f t="shared" ref="C110:K110" si="3">EDATE(B110,12)</f>
        <v>48579</v>
      </c>
      <c r="D110" s="168">
        <f t="shared" si="3"/>
        <v>48944</v>
      </c>
      <c r="E110" s="168">
        <f t="shared" si="3"/>
        <v>49309</v>
      </c>
      <c r="F110" s="168">
        <f t="shared" si="3"/>
        <v>49674</v>
      </c>
      <c r="G110" s="168">
        <f t="shared" si="3"/>
        <v>50040</v>
      </c>
      <c r="H110" s="168">
        <f t="shared" si="3"/>
        <v>50405</v>
      </c>
      <c r="I110" s="168">
        <f t="shared" si="3"/>
        <v>50770</v>
      </c>
      <c r="J110" s="168">
        <f t="shared" si="3"/>
        <v>51135</v>
      </c>
      <c r="K110" s="168">
        <f t="shared" si="3"/>
        <v>51501</v>
      </c>
    </row>
    <row r="111" spans="1:11" x14ac:dyDescent="0.25">
      <c r="A111" t="s">
        <v>603</v>
      </c>
      <c r="B111" s="113">
        <f>('GOOGL Rev Drivers &amp; Forecast'!$B$8+('GOOGL Rev Drivers &amp; Forecast'!$B$7-'GOOGL Rev Drivers &amp; Forecast'!$B$8)*MIN(6/'GOOGL Rev Drivers &amp; Forecast'!$B$10,1))+'GOOGL Rev Drivers &amp; Forecast'!$B$4</f>
        <v>7.6550000000000007E-2</v>
      </c>
      <c r="C111" s="113">
        <f>('GOOGL Rev Drivers &amp; Forecast'!$B$8+('GOOGL Rev Drivers &amp; Forecast'!$B$7-'GOOGL Rev Drivers &amp; Forecast'!$B$8)*MIN(7/'GOOGL Rev Drivers &amp; Forecast'!$B$10,1))+'GOOGL Rev Drivers &amp; Forecast'!$B$4</f>
        <v>6.8425000000000014E-2</v>
      </c>
      <c r="D111" s="113">
        <f>('GOOGL Rev Drivers &amp; Forecast'!$B$8+('GOOGL Rev Drivers &amp; Forecast'!$B$7-'GOOGL Rev Drivers &amp; Forecast'!$B$8)*MIN(8/'GOOGL Rev Drivers &amp; Forecast'!$B$10,1))+'GOOGL Rev Drivers &amp; Forecast'!$B$4</f>
        <v>6.0300000000000006E-2</v>
      </c>
      <c r="E111" s="113">
        <f>('GOOGL Rev Drivers &amp; Forecast'!$B$8+('GOOGL Rev Drivers &amp; Forecast'!$B$7-'GOOGL Rev Drivers &amp; Forecast'!$B$8)*MIN(9/'GOOGL Rev Drivers &amp; Forecast'!$B$10,1))+'GOOGL Rev Drivers &amp; Forecast'!$B$4</f>
        <v>6.0300000000000006E-2</v>
      </c>
      <c r="F111" s="113">
        <f>('GOOGL Rev Drivers &amp; Forecast'!$B$8+('GOOGL Rev Drivers &amp; Forecast'!$B$7-'GOOGL Rev Drivers &amp; Forecast'!$B$8)*MIN(10/'GOOGL Rev Drivers &amp; Forecast'!$B$10,1))+'GOOGL Rev Drivers &amp; Forecast'!$B$4</f>
        <v>6.0300000000000006E-2</v>
      </c>
      <c r="G111" s="113">
        <f>('GOOGL Rev Drivers &amp; Forecast'!$B$8+('GOOGL Rev Drivers &amp; Forecast'!$B$7-'GOOGL Rev Drivers &amp; Forecast'!$B$8)*MIN(11/'GOOGL Rev Drivers &amp; Forecast'!$B$10,1))+'GOOGL Rev Drivers &amp; Forecast'!$B$4</f>
        <v>6.0300000000000006E-2</v>
      </c>
      <c r="H111" s="113">
        <f>('GOOGL Rev Drivers &amp; Forecast'!$B$8+('GOOGL Rev Drivers &amp; Forecast'!$B$7-'GOOGL Rev Drivers &amp; Forecast'!$B$8)*MIN(12/'GOOGL Rev Drivers &amp; Forecast'!$B$10,1))+'GOOGL Rev Drivers &amp; Forecast'!$B$4</f>
        <v>6.0300000000000006E-2</v>
      </c>
      <c r="I111" s="113">
        <f>('GOOGL Rev Drivers &amp; Forecast'!$B$8+('GOOGL Rev Drivers &amp; Forecast'!$B$7-'GOOGL Rev Drivers &amp; Forecast'!$B$8)*MIN(13/'GOOGL Rev Drivers &amp; Forecast'!$B$10,1))+'GOOGL Rev Drivers &amp; Forecast'!$B$4</f>
        <v>6.0300000000000006E-2</v>
      </c>
      <c r="J111" s="113">
        <f>('GOOGL Rev Drivers &amp; Forecast'!$B$8+('GOOGL Rev Drivers &amp; Forecast'!$B$7-'GOOGL Rev Drivers &amp; Forecast'!$B$8)*MIN(14/'GOOGL Rev Drivers &amp; Forecast'!$B$10,1))+'GOOGL Rev Drivers &amp; Forecast'!$B$4</f>
        <v>6.0300000000000006E-2</v>
      </c>
      <c r="K111" s="113">
        <f>('GOOGL Rev Drivers &amp; Forecast'!$B$8+('GOOGL Rev Drivers &amp; Forecast'!$B$7-'GOOGL Rev Drivers &amp; Forecast'!$B$8)*MIN(15/'GOOGL Rev Drivers &amp; Forecast'!$B$10,1))+'GOOGL Rev Drivers &amp; Forecast'!$B$4</f>
        <v>6.0300000000000006E-2</v>
      </c>
    </row>
    <row r="112" spans="1:11" x14ac:dyDescent="0.25">
      <c r="A112" t="s">
        <v>31</v>
      </c>
      <c r="B112" s="119">
        <f>F25*(1+B111)</f>
        <v>701185.40154731413</v>
      </c>
      <c r="C112" s="119">
        <f t="shared" ref="C112:K112" si="4">B112*(1+C111)</f>
        <v>749164.01264818909</v>
      </c>
      <c r="D112" s="119">
        <f t="shared" si="4"/>
        <v>794338.60261087492</v>
      </c>
      <c r="E112" s="119">
        <f t="shared" si="4"/>
        <v>842237.22034831066</v>
      </c>
      <c r="F112" s="119">
        <f t="shared" si="4"/>
        <v>893024.12473531382</v>
      </c>
      <c r="G112" s="119">
        <f t="shared" si="4"/>
        <v>946873.47945685324</v>
      </c>
      <c r="H112" s="119">
        <f t="shared" si="4"/>
        <v>1003969.9502681015</v>
      </c>
      <c r="I112" s="119">
        <f t="shared" si="4"/>
        <v>1064509.3382692682</v>
      </c>
      <c r="J112" s="119">
        <f t="shared" si="4"/>
        <v>1128699.2513669052</v>
      </c>
      <c r="K112" s="119">
        <f t="shared" si="4"/>
        <v>1196759.8162243296</v>
      </c>
    </row>
    <row r="113" spans="1:11" x14ac:dyDescent="0.25">
      <c r="A113" t="s">
        <v>320</v>
      </c>
      <c r="B113" s="134">
        <f>$B$108+IF('Valuation Dashboard'!$B$151="Yes",'GOOGL - Reconciliation FY'!$B$152,0)</f>
        <v>0.31606839278378002</v>
      </c>
      <c r="C113" s="134">
        <f>$B$108+IF('Valuation Dashboard'!$B$151="Yes",'GOOGL - Reconciliation FY'!$B$152,0)</f>
        <v>0.31606839278378002</v>
      </c>
      <c r="D113" s="134">
        <f>$B$108+IF('Valuation Dashboard'!$B$151="Yes",'GOOGL - Reconciliation FY'!$B$152,0)</f>
        <v>0.31606839278378002</v>
      </c>
      <c r="E113" s="134">
        <f>$B$108+IF('Valuation Dashboard'!$B$151="Yes",'GOOGL - Reconciliation FY'!$B$152,0)</f>
        <v>0.31606839278378002</v>
      </c>
      <c r="F113" s="134">
        <f>$B$108+IF('Valuation Dashboard'!$B$151="Yes",'GOOGL - Reconciliation FY'!$B$152,0)</f>
        <v>0.31606839278378002</v>
      </c>
      <c r="G113" s="134">
        <f>$B$108+IF('Valuation Dashboard'!$B$151="Yes",'GOOGL - Reconciliation FY'!$B$152,0)</f>
        <v>0.31606839278378002</v>
      </c>
      <c r="H113" s="134">
        <f>$B$108+IF('Valuation Dashboard'!$B$151="Yes",'GOOGL - Reconciliation FY'!$B$152,0)</f>
        <v>0.31606839278378002</v>
      </c>
      <c r="I113" s="134">
        <f>$B$108+IF('Valuation Dashboard'!$B$151="Yes",'GOOGL - Reconciliation FY'!$B$152,0)</f>
        <v>0.31606839278378002</v>
      </c>
      <c r="J113" s="134">
        <f>$B$108+IF('Valuation Dashboard'!$B$151="Yes",'GOOGL - Reconciliation FY'!$B$152,0)</f>
        <v>0.31606839278378002</v>
      </c>
      <c r="K113" s="134">
        <f>$B$108+IF('Valuation Dashboard'!$B$151="Yes",'GOOGL - Reconciliation FY'!$B$152,0)</f>
        <v>0.31606839278378002</v>
      </c>
    </row>
    <row r="114" spans="1:11" x14ac:dyDescent="0.25">
      <c r="A114" t="s">
        <v>522</v>
      </c>
      <c r="B114" s="119">
        <f t="shared" ref="B114:K114" si="5">B112*B113</f>
        <v>221622.54291050899</v>
      </c>
      <c r="C114" s="119">
        <f t="shared" si="5"/>
        <v>236787.06540916057</v>
      </c>
      <c r="D114" s="119">
        <f t="shared" si="5"/>
        <v>251065.32545333297</v>
      </c>
      <c r="E114" s="119">
        <f t="shared" si="5"/>
        <v>266204.56457816891</v>
      </c>
      <c r="F114" s="119">
        <f t="shared" si="5"/>
        <v>282256.69982223253</v>
      </c>
      <c r="G114" s="119">
        <f t="shared" si="5"/>
        <v>299276.77882151317</v>
      </c>
      <c r="H114" s="119">
        <f t="shared" si="5"/>
        <v>317323.16858445038</v>
      </c>
      <c r="I114" s="119">
        <f t="shared" si="5"/>
        <v>336457.75565009279</v>
      </c>
      <c r="J114" s="119">
        <f t="shared" si="5"/>
        <v>356746.15831579344</v>
      </c>
      <c r="K114" s="119">
        <f t="shared" si="5"/>
        <v>378257.95166223584</v>
      </c>
    </row>
    <row r="115" spans="1:11" x14ac:dyDescent="0.25">
      <c r="A115" t="s">
        <v>259</v>
      </c>
      <c r="B115" s="119">
        <f t="shared" ref="B115:K115" si="6">B114*(1-$B$2)</f>
        <v>175081.80889930209</v>
      </c>
      <c r="C115" s="119">
        <f t="shared" si="6"/>
        <v>187061.78167323687</v>
      </c>
      <c r="D115" s="119">
        <f t="shared" si="6"/>
        <v>198341.60710813306</v>
      </c>
      <c r="E115" s="119">
        <f t="shared" si="6"/>
        <v>210301.60601675345</v>
      </c>
      <c r="F115" s="119">
        <f t="shared" si="6"/>
        <v>222982.79285956372</v>
      </c>
      <c r="G115" s="119">
        <f t="shared" si="6"/>
        <v>236428.65526899541</v>
      </c>
      <c r="H115" s="119">
        <f t="shared" si="6"/>
        <v>250685.3031817158</v>
      </c>
      <c r="I115" s="119">
        <f t="shared" si="6"/>
        <v>265801.62696357333</v>
      </c>
      <c r="J115" s="119">
        <f t="shared" si="6"/>
        <v>281829.46506947681</v>
      </c>
      <c r="K115" s="119">
        <f t="shared" si="6"/>
        <v>298823.78181316634</v>
      </c>
    </row>
    <row r="116" spans="1:11" x14ac:dyDescent="0.25">
      <c r="A116" t="s">
        <v>541</v>
      </c>
      <c r="B116" s="119">
        <f t="shared" ref="B116:K116" si="7">B112/$B$109</f>
        <v>482167.66809780378</v>
      </c>
      <c r="C116" s="119">
        <f t="shared" si="7"/>
        <v>515159.99078739597</v>
      </c>
      <c r="D116" s="119">
        <f t="shared" si="7"/>
        <v>546224.13823187596</v>
      </c>
      <c r="E116" s="119">
        <f t="shared" si="7"/>
        <v>579161.45376725809</v>
      </c>
      <c r="F116" s="119">
        <f t="shared" si="7"/>
        <v>614084.88942942373</v>
      </c>
      <c r="G116" s="119">
        <f t="shared" si="7"/>
        <v>651114.20826201804</v>
      </c>
      <c r="H116" s="119">
        <f t="shared" si="7"/>
        <v>690376.39502021775</v>
      </c>
      <c r="I116" s="119">
        <f t="shared" si="7"/>
        <v>732006.0916399369</v>
      </c>
      <c r="J116" s="119">
        <f t="shared" si="7"/>
        <v>776146.05896582524</v>
      </c>
      <c r="K116" s="119">
        <f t="shared" si="7"/>
        <v>822947.66632146458</v>
      </c>
    </row>
    <row r="117" spans="1:11" x14ac:dyDescent="0.25">
      <c r="A117" t="s">
        <v>604</v>
      </c>
      <c r="B117" s="119">
        <f>B116-F64</f>
        <v>34285.388502983551</v>
      </c>
      <c r="C117" s="119">
        <f t="shared" ref="C117:K117" si="8">C116-B116</f>
        <v>32992.322689592198</v>
      </c>
      <c r="D117" s="119">
        <f t="shared" si="8"/>
        <v>31064.147444479982</v>
      </c>
      <c r="E117" s="119">
        <f t="shared" si="8"/>
        <v>32937.315535382135</v>
      </c>
      <c r="F117" s="119">
        <f t="shared" si="8"/>
        <v>34923.435662165633</v>
      </c>
      <c r="G117" s="119">
        <f t="shared" si="8"/>
        <v>37029.318832594319</v>
      </c>
      <c r="H117" s="119">
        <f t="shared" si="8"/>
        <v>39262.186758199707</v>
      </c>
      <c r="I117" s="119">
        <f t="shared" si="8"/>
        <v>41629.69661971915</v>
      </c>
      <c r="J117" s="119">
        <f t="shared" si="8"/>
        <v>44139.967325888341</v>
      </c>
      <c r="K117" s="119">
        <f t="shared" si="8"/>
        <v>46801.607355639338</v>
      </c>
    </row>
    <row r="118" spans="1:11" x14ac:dyDescent="0.25">
      <c r="A118" s="9" t="s">
        <v>270</v>
      </c>
      <c r="B118" s="147">
        <f t="shared" ref="B118:K118" si="9">B115-B117</f>
        <v>140796.42039631854</v>
      </c>
      <c r="C118" s="147">
        <f t="shared" si="9"/>
        <v>154069.45898364467</v>
      </c>
      <c r="D118" s="147">
        <f t="shared" si="9"/>
        <v>167277.45966365308</v>
      </c>
      <c r="E118" s="147">
        <f t="shared" si="9"/>
        <v>177364.29048137131</v>
      </c>
      <c r="F118" s="147">
        <f t="shared" si="9"/>
        <v>188059.35719739809</v>
      </c>
      <c r="G118" s="147">
        <f t="shared" si="9"/>
        <v>199399.33643640109</v>
      </c>
      <c r="H118" s="147">
        <f t="shared" si="9"/>
        <v>211423.1164235161</v>
      </c>
      <c r="I118" s="147">
        <f t="shared" si="9"/>
        <v>224171.93034385418</v>
      </c>
      <c r="J118" s="147">
        <f t="shared" si="9"/>
        <v>237689.49774358846</v>
      </c>
      <c r="K118" s="147">
        <f t="shared" si="9"/>
        <v>252022.174457527</v>
      </c>
    </row>
  </sheetData>
  <pageMargins left="0.7" right="0.7" top="0.75" bottom="0.75" header="0.3" footer="0.3"/>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1C071D-C85C-417A-A007-C910BB2099E2}">
  <sheetPr>
    <tabColor rgb="FFB4C6E7"/>
  </sheetPr>
  <dimension ref="A1:K118"/>
  <sheetViews>
    <sheetView workbookViewId="0">
      <selection activeCell="A32" sqref="A32"/>
    </sheetView>
  </sheetViews>
  <sheetFormatPr defaultRowHeight="15" x14ac:dyDescent="0.25"/>
  <cols>
    <col min="1" max="1" width="53.85546875" bestFit="1" customWidth="1"/>
    <col min="2" max="3" width="10.42578125" bestFit="1" customWidth="1"/>
    <col min="4" max="4" width="11.5703125" bestFit="1" customWidth="1"/>
    <col min="5" max="5" width="14.5703125" bestFit="1" customWidth="1"/>
    <col min="6" max="8" width="10.42578125" bestFit="1" customWidth="1"/>
  </cols>
  <sheetData>
    <row r="1" spans="1:8" ht="15.75" x14ac:dyDescent="0.25">
      <c r="A1" s="15" t="s">
        <v>528</v>
      </c>
    </row>
    <row r="2" spans="1:8" x14ac:dyDescent="0.25">
      <c r="A2" t="s">
        <v>337</v>
      </c>
      <c r="B2" s="76">
        <f>'Valuation Dashboard'!$B$12</f>
        <v>0.21</v>
      </c>
    </row>
    <row r="3" spans="1:8" x14ac:dyDescent="0.25">
      <c r="A3" t="s">
        <v>551</v>
      </c>
      <c r="B3" s="50">
        <v>10</v>
      </c>
    </row>
    <row r="4" spans="1:8" x14ac:dyDescent="0.25">
      <c r="A4" s="24" t="s">
        <v>505</v>
      </c>
      <c r="B4" s="24"/>
      <c r="C4" s="24"/>
      <c r="D4" s="24"/>
      <c r="E4" s="24"/>
      <c r="F4" s="24"/>
      <c r="G4" s="24"/>
      <c r="H4" s="24"/>
    </row>
    <row r="5" spans="1:8" x14ac:dyDescent="0.25">
      <c r="A5" s="9" t="s">
        <v>506</v>
      </c>
      <c r="B5" s="167">
        <f>'AMZN - Income Statement FY'!B5</f>
        <v>46022</v>
      </c>
      <c r="C5" s="167">
        <f>'AMZN - Income Statement FY'!C5</f>
        <v>45657</v>
      </c>
      <c r="D5" s="167">
        <f>'AMZN - Income Statement FY'!D5</f>
        <v>45291</v>
      </c>
      <c r="E5" s="167">
        <f>'AMZN - Income Statement FY'!E5</f>
        <v>44926</v>
      </c>
      <c r="F5" s="167">
        <f>'AMZN - Income Statement FY'!F5</f>
        <v>44561</v>
      </c>
      <c r="G5" s="167">
        <f>'AMZN - Income Statement FY'!G5</f>
        <v>44196</v>
      </c>
      <c r="H5" s="167">
        <f>'AMZN - Income Statement FY'!H5</f>
        <v>43830</v>
      </c>
    </row>
    <row r="6" spans="1:8" x14ac:dyDescent="0.25">
      <c r="A6" t="s">
        <v>507</v>
      </c>
      <c r="B6" s="113">
        <f>IFERROR('AMZN - Income Statement FY'!B9/'AMZN - Income Statement FY'!B7,"")</f>
        <v>0.49714335131757342</v>
      </c>
      <c r="C6" s="113">
        <f>IFERROR('AMZN - Income Statement FY'!C9/'AMZN - Income Statement FY'!C7,"")</f>
        <v>0.51145606535843213</v>
      </c>
      <c r="D6" s="113">
        <f>IFERROR('AMZN - Income Statement FY'!D9/'AMZN - Income Statement FY'!D7,"")</f>
        <v>0.53017911044999433</v>
      </c>
      <c r="E6" s="113">
        <f>IFERROR('AMZN - Income Statement FY'!E9/'AMZN - Income Statement FY'!E7,"")</f>
        <v>0.56194660134673713</v>
      </c>
      <c r="F6" s="113">
        <f>IFERROR('AMZN - Income Statement FY'!F9/'AMZN - Income Statement FY'!F7,"")</f>
        <v>0.57967485558360399</v>
      </c>
      <c r="G6" s="113">
        <f>IFERROR('AMZN - Income Statement FY'!G9/'AMZN - Income Statement FY'!G7,"")</f>
        <v>0.60432208131294296</v>
      </c>
      <c r="H6" s="113">
        <f>IFERROR('AMZN - Income Statement FY'!H9/'AMZN - Income Statement FY'!H7,"")</f>
        <v>0.59009988521399392</v>
      </c>
    </row>
    <row r="7" spans="1:8" x14ac:dyDescent="0.25">
      <c r="A7" t="s">
        <v>318</v>
      </c>
      <c r="B7" s="113">
        <f>IFERROR('AMZN - Income Statement FY'!B13/'AMZN - Income Statement FY'!B7,"")</f>
        <v>0.15137029866485149</v>
      </c>
      <c r="C7" s="113">
        <f>IFERROR('AMZN - Income Statement FY'!C13/'AMZN - Income Statement FY'!C7,"")</f>
        <v>0.13879261833440706</v>
      </c>
      <c r="D7" s="113">
        <f>IFERROR('AMZN - Income Statement FY'!D13/'AMZN - Income Statement FY'!D7,"")</f>
        <v>0.14896352549214054</v>
      </c>
      <c r="E7" s="113">
        <f>IFERROR('AMZN - Income Statement FY'!E13/'AMZN - Income Statement FY'!E7,"")</f>
        <v>0.14244245432241923</v>
      </c>
      <c r="F7" s="113">
        <f>IFERROR('AMZN - Income Statement FY'!F13/'AMZN - Income Statement FY'!F7,"")</f>
        <v>0.11930475797216818</v>
      </c>
      <c r="G7" s="113">
        <f>IFERROR('AMZN - Income Statement FY'!G13/'AMZN - Income Statement FY'!G7,"")</f>
        <v>0.11070703303079282</v>
      </c>
      <c r="H7" s="113">
        <f>IFERROR('AMZN - Income Statement FY'!H13/'AMZN - Income Statement FY'!H7,"")</f>
        <v>0.12808621070718162</v>
      </c>
    </row>
    <row r="8" spans="1:8" x14ac:dyDescent="0.25">
      <c r="A8" t="s">
        <v>319</v>
      </c>
      <c r="B8" s="113">
        <f>IFERROR('AMZN - Income Statement FY'!B14/'AMZN - Income Statement FY'!B7,"")</f>
        <v>8.132103263386356E-2</v>
      </c>
      <c r="C8" s="113">
        <f>IFERROR('AMZN - Income Statement FY'!C14/'AMZN - Income Statement FY'!C7,"")</f>
        <v>8.6629391543970688E-2</v>
      </c>
      <c r="D8" s="113">
        <f>IFERROR('AMZN - Income Statement FY'!D14/'AMZN - Income Statement FY'!D7,"")</f>
        <v>9.7751333107161803E-2</v>
      </c>
      <c r="E8" s="113">
        <f>IFERROR('AMZN - Income Statement FY'!E14/'AMZN - Income Statement FY'!E7,"")</f>
        <v>0.10531282163028738</v>
      </c>
      <c r="F8" s="113">
        <f>IFERROR('AMZN - Income Statement FY'!F14/'AMZN - Income Statement FY'!F7,"")</f>
        <v>8.8063138805760485E-2</v>
      </c>
      <c r="G8" s="113">
        <f>IFERROR('AMZN - Income Statement FY'!G14/'AMZN - Income Statement FY'!G7,"")</f>
        <v>7.4277839943636292E-2</v>
      </c>
      <c r="H8" s="113">
        <f>IFERROR('AMZN - Income Statement FY'!H14/'AMZN - Income Statement FY'!H7,"")</f>
        <v>8.5843534553439654E-2</v>
      </c>
    </row>
    <row r="9" spans="1:8" x14ac:dyDescent="0.25">
      <c r="A9" t="s">
        <v>508</v>
      </c>
      <c r="B9" s="113">
        <f>IFERROR('AMZN - Income Statement FY'!B17/'AMZN - Income Statement FY'!B7,"")</f>
        <v>0.15861234942615954</v>
      </c>
      <c r="C9" s="113">
        <f>IFERROR('AMZN - Income Statement FY'!C17/'AMZN - Income Statement FY'!C7,"")</f>
        <v>0.15560247602118632</v>
      </c>
      <c r="D9" s="113">
        <f>IFERROR('AMZN - Income Statement FY'!D17/'AMZN - Income Statement FY'!D7,"")</f>
        <v>0.15899162295467001</v>
      </c>
      <c r="E9" s="113">
        <f>IFERROR('AMZN - Income Statement FY'!E17/'AMZN - Income Statement FY'!E7,"")</f>
        <v>0.16646854078831402</v>
      </c>
      <c r="F9" s="113">
        <f>IFERROR('AMZN - Income Statement FY'!F17/'AMZN - Income Statement FY'!F7,"")</f>
        <v>0.16000315012919786</v>
      </c>
      <c r="G9" s="113">
        <f>IFERROR('AMZN - Income Statement FY'!G17/'AMZN - Income Statement FY'!G7,"")</f>
        <v>0.1513790459612914</v>
      </c>
      <c r="H9" s="113">
        <f>IFERROR('AMZN - Income Statement FY'!H17/'AMZN - Income Statement FY'!H7,"")</f>
        <v>0.14413486286280577</v>
      </c>
    </row>
    <row r="10" spans="1:8" x14ac:dyDescent="0.25">
      <c r="A10" t="s">
        <v>509</v>
      </c>
      <c r="B10" s="113">
        <f>IFERROR('AMZN - Cash Flow FY'!B8/'AMZN - Balance Sheet FY'!B15,"")</f>
        <v>0.14840694323134249</v>
      </c>
      <c r="C10" s="113">
        <f>IFERROR('AMZN - Cash Flow FY'!C8/'AMZN - Balance Sheet FY'!C15,"")</f>
        <v>0.16056580476025376</v>
      </c>
      <c r="D10" s="113">
        <f>IFERROR('AMZN - Cash Flow FY'!D8/'AMZN - Balance Sheet FY'!D15,"")</f>
        <v>0.17587552856987965</v>
      </c>
      <c r="E10" s="113">
        <f>IFERROR('AMZN - Cash Flow FY'!E8/'AMZN - Balance Sheet FY'!E15,"")</f>
        <v>0.16580181776473474</v>
      </c>
      <c r="F10" s="113">
        <f>IFERROR('AMZN - Cash Flow FY'!F8/'AMZN - Balance Sheet FY'!F15,"")</f>
        <v>0.15851139057972019</v>
      </c>
      <c r="G10" s="113">
        <f>IFERROR('AMZN - Cash Flow FY'!G8/'AMZN - Balance Sheet FY'!G15,"")</f>
        <v>0.16759476195849124</v>
      </c>
      <c r="H10" s="113">
        <f>IFERROR('AMZN - Cash Flow FY'!H8/'AMZN - Balance Sheet FY'!H15,"")</f>
        <v>0.22268667089099198</v>
      </c>
    </row>
    <row r="11" spans="1:8" x14ac:dyDescent="0.25">
      <c r="A11" t="s">
        <v>510</v>
      </c>
      <c r="B11" s="113">
        <f>IF('AMZN - Balance Sheet FY'!B51=0,"",'AMZN - Income Statement FY'!B23/'AMZN - Balance Sheet FY'!B51)</f>
        <v>1.4864008052971821E-2</v>
      </c>
      <c r="C11" s="113">
        <f>IF('AMZN - Balance Sheet FY'!C51=0,"",'AMZN - Income Statement FY'!C23/'AMZN - Balance Sheet FY'!C51)</f>
        <v>1.838044308632544E-2</v>
      </c>
      <c r="D11" s="113">
        <f>IF('AMZN - Balance Sheet FY'!D51=0,"",'AMZN - Income Statement FY'!D23/'AMZN - Balance Sheet FY'!D51)</f>
        <v>2.3464173260281246E-2</v>
      </c>
      <c r="E11" s="113">
        <f>IF('AMZN - Balance Sheet FY'!E51=0,"",'AMZN - Income Statement FY'!E23/'AMZN - Balance Sheet FY'!E51)</f>
        <v>1.6892904551877704E-2</v>
      </c>
      <c r="F11" s="113">
        <f>IF('AMZN - Balance Sheet FY'!F51=0,"",'AMZN - Income Statement FY'!F23/'AMZN - Balance Sheet FY'!F51)</f>
        <v>1.554190472099317E-2</v>
      </c>
      <c r="G11" s="113">
        <f>IF('AMZN - Balance Sheet FY'!G51=0,"",'AMZN - Income Statement FY'!G23/'AMZN - Balance Sheet FY'!G51)</f>
        <v>1.9516761663249949E-2</v>
      </c>
      <c r="H11" s="113">
        <f>IF('AMZN - Balance Sheet FY'!H51=0,"",'AMZN - Income Statement FY'!H23/'AMZN - Balance Sheet FY'!H51)</f>
        <v>2.531445297049284E-2</v>
      </c>
    </row>
    <row r="12" spans="1:8" x14ac:dyDescent="0.25">
      <c r="A12" t="s">
        <v>511</v>
      </c>
      <c r="B12" s="113">
        <f>IFERROR('AMZN - Income Statement FY'!B25/'AMZN - Income Statement FY'!B7,"")</f>
        <v>0.11155296795755199</v>
      </c>
      <c r="C12" s="113">
        <f>IFERROR('AMZN - Income Statement FY'!C25/'AMZN - Income Statement FY'!C7,"")</f>
        <v>0.1075194487420038</v>
      </c>
      <c r="D12" s="113">
        <f>IFERROR('AMZN - Income Statement FY'!D25/'AMZN - Income Statement FY'!D7,"")</f>
        <v>6.4114407996033296E-2</v>
      </c>
      <c r="E12" s="113">
        <f>IFERROR('AMZN - Income Statement FY'!E25/'AMZN - Income Statement FY'!E7,"")</f>
        <v>2.3829581912242232E-2</v>
      </c>
      <c r="F12" s="113">
        <f>IFERROR('AMZN - Income Statement FY'!F25/'AMZN - Income Statement FY'!F7,"")</f>
        <v>5.2954097509269465E-2</v>
      </c>
      <c r="G12" s="113">
        <f>IFERROR('AMZN - Income Statement FY'!G25/'AMZN - Income Statement FY'!G7,"")</f>
        <v>5.9313999751336569E-2</v>
      </c>
      <c r="H12" s="113">
        <f>IFERROR('AMZN - Income Statement FY'!H25/'AMZN - Income Statement FY'!H7,"")</f>
        <v>5.1835506662579051E-2</v>
      </c>
    </row>
    <row r="14" spans="1:8" x14ac:dyDescent="0.25">
      <c r="A14" s="24" t="s">
        <v>512</v>
      </c>
      <c r="B14" s="24"/>
      <c r="C14" s="24"/>
      <c r="D14" s="24"/>
      <c r="E14" s="24"/>
      <c r="F14" s="24"/>
      <c r="G14" s="24"/>
      <c r="H14" s="24"/>
    </row>
    <row r="15" spans="1:8" x14ac:dyDescent="0.25">
      <c r="A15" s="9" t="s">
        <v>506</v>
      </c>
      <c r="B15" s="9" t="s">
        <v>523</v>
      </c>
      <c r="C15" s="9" t="s">
        <v>524</v>
      </c>
      <c r="D15" s="9" t="s">
        <v>525</v>
      </c>
      <c r="E15" s="9" t="s">
        <v>1466</v>
      </c>
      <c r="F15" s="9" t="s">
        <v>1462</v>
      </c>
    </row>
    <row r="16" spans="1:8" x14ac:dyDescent="0.25">
      <c r="A16" t="s">
        <v>507</v>
      </c>
      <c r="B16" s="134">
        <f t="shared" ref="B16:B21" si="0">IFERROR(AVERAGE(B6:D6),"")</f>
        <v>0.51292617570866661</v>
      </c>
      <c r="C16" s="134">
        <f t="shared" ref="C16:C21" si="1">IFERROR(AVERAGE(B6:H6),"")</f>
        <v>0.55354599294046825</v>
      </c>
      <c r="D16" s="134">
        <f t="shared" ref="D16:D21" si="2">IFERROR(MEDIAN(B6:H6),"")</f>
        <v>0.56194660134673713</v>
      </c>
      <c r="E16" s="113">
        <f>CHOOSE('Valuation Dashboard'!$B$148,B16,C16,D16,F16)</f>
        <v>0.51292617570866661</v>
      </c>
      <c r="F16" s="123">
        <v>0.51292617570866705</v>
      </c>
    </row>
    <row r="17" spans="1:8" x14ac:dyDescent="0.25">
      <c r="A17" t="s">
        <v>318</v>
      </c>
      <c r="B17" s="134">
        <f t="shared" si="0"/>
        <v>0.14637548083046636</v>
      </c>
      <c r="C17" s="134">
        <f t="shared" si="1"/>
        <v>0.13423812836056584</v>
      </c>
      <c r="D17" s="134">
        <f t="shared" si="2"/>
        <v>0.13879261833440706</v>
      </c>
      <c r="E17" s="113">
        <f>CHOOSE('Valuation Dashboard'!$B$148,B17,C17,D17,F17)</f>
        <v>0.14637548083046636</v>
      </c>
      <c r="F17" s="123">
        <v>0.146375480830466</v>
      </c>
    </row>
    <row r="18" spans="1:8" x14ac:dyDescent="0.25">
      <c r="A18" t="s">
        <v>319</v>
      </c>
      <c r="B18" s="134">
        <f t="shared" si="0"/>
        <v>8.8567252428332008E-2</v>
      </c>
      <c r="C18" s="134">
        <f t="shared" si="1"/>
        <v>8.8457013174017121E-2</v>
      </c>
      <c r="D18" s="134">
        <f t="shared" si="2"/>
        <v>8.6629391543970688E-2</v>
      </c>
      <c r="E18" s="113">
        <f>CHOOSE('Valuation Dashboard'!$B$148,B18,C18,D18,F18)</f>
        <v>8.8567252428332008E-2</v>
      </c>
      <c r="F18" s="123">
        <v>8.8567252428331994E-2</v>
      </c>
    </row>
    <row r="19" spans="1:8" x14ac:dyDescent="0.25">
      <c r="A19" t="s">
        <v>508</v>
      </c>
      <c r="B19" s="134">
        <f t="shared" si="0"/>
        <v>0.15773548280067196</v>
      </c>
      <c r="C19" s="134">
        <f t="shared" si="1"/>
        <v>0.15645600687766073</v>
      </c>
      <c r="D19" s="134">
        <f t="shared" si="2"/>
        <v>0.15861234942615954</v>
      </c>
      <c r="E19" s="113">
        <f>CHOOSE('Valuation Dashboard'!$B$148,B19,C19,D19,F19)</f>
        <v>0.15773548280067196</v>
      </c>
      <c r="F19" s="123">
        <v>0.15773548280067201</v>
      </c>
    </row>
    <row r="20" spans="1:8" x14ac:dyDescent="0.25">
      <c r="A20" t="s">
        <v>509</v>
      </c>
      <c r="B20" s="134">
        <f t="shared" si="0"/>
        <v>0.16161609218715864</v>
      </c>
      <c r="C20" s="134">
        <f t="shared" si="1"/>
        <v>0.17134898825077344</v>
      </c>
      <c r="D20" s="134">
        <f t="shared" si="2"/>
        <v>0.16580181776473474</v>
      </c>
      <c r="E20" s="113">
        <f>CHOOSE('Valuation Dashboard'!$B$148,B20,C20,D20,F20)</f>
        <v>0.16161609218715864</v>
      </c>
      <c r="F20" s="123">
        <v>0.161616092187159</v>
      </c>
    </row>
    <row r="21" spans="1:8" x14ac:dyDescent="0.25">
      <c r="A21" t="s">
        <v>510</v>
      </c>
      <c r="B21" s="134">
        <f t="shared" si="0"/>
        <v>1.8902874799859502E-2</v>
      </c>
      <c r="C21" s="134">
        <f t="shared" si="1"/>
        <v>1.9139235472313169E-2</v>
      </c>
      <c r="D21" s="134">
        <f t="shared" si="2"/>
        <v>1.838044308632544E-2</v>
      </c>
      <c r="E21" s="113">
        <f>CHOOSE('Valuation Dashboard'!$B$148,B21,C21,D21,F21)</f>
        <v>1.8902874799859502E-2</v>
      </c>
      <c r="F21" s="123">
        <v>1.8902874799859502E-2</v>
      </c>
    </row>
    <row r="23" spans="1:8" x14ac:dyDescent="0.25">
      <c r="A23" s="24" t="s">
        <v>513</v>
      </c>
      <c r="B23" s="24"/>
      <c r="C23" s="24"/>
      <c r="D23" s="24"/>
      <c r="E23" s="24"/>
      <c r="F23" s="24"/>
      <c r="G23" s="24"/>
      <c r="H23" s="24"/>
    </row>
    <row r="24" spans="1:8" x14ac:dyDescent="0.25">
      <c r="A24" s="9" t="s">
        <v>514</v>
      </c>
      <c r="B24" s="167">
        <f>EDATE('AMZN - Income Statement FY'!B5,12)</f>
        <v>46387</v>
      </c>
      <c r="C24" s="168">
        <f>EDATE(B24,12)</f>
        <v>46752</v>
      </c>
      <c r="D24" s="168">
        <f>EDATE(C24,12)</f>
        <v>47118</v>
      </c>
      <c r="E24" s="168">
        <f>EDATE(D24,12)</f>
        <v>47483</v>
      </c>
      <c r="F24" s="168">
        <f>EDATE(E24,12)</f>
        <v>47848</v>
      </c>
    </row>
    <row r="25" spans="1:8" x14ac:dyDescent="0.25">
      <c r="A25" t="s">
        <v>515</v>
      </c>
      <c r="B25" s="109">
        <f>'AMZN Rev Drivers &amp; Forecast'!B41</f>
        <v>800929.56969999999</v>
      </c>
      <c r="C25" s="109">
        <f>'AMZN Rev Drivers &amp; Forecast'!C41</f>
        <v>888270.939275785</v>
      </c>
      <c r="D25" s="109">
        <f>'AMZN Rev Drivers &amp; Forecast'!D41</f>
        <v>977919.68382219365</v>
      </c>
      <c r="E25" s="109">
        <f>'AMZN Rev Drivers &amp; Forecast'!E41</f>
        <v>1068670.6304808932</v>
      </c>
      <c r="F25" s="109">
        <f>'AMZN Rev Drivers &amp; Forecast'!F41</f>
        <v>1159160.3161168632</v>
      </c>
    </row>
    <row r="26" spans="1:8" x14ac:dyDescent="0.25">
      <c r="A26" t="s">
        <v>516</v>
      </c>
      <c r="B26" s="119">
        <f>B25*B77</f>
        <v>399440.90352482093</v>
      </c>
      <c r="C26" s="119">
        <f>C25*C77</f>
        <v>444401.87647883274</v>
      </c>
      <c r="D26" s="119">
        <f>D25*D77</f>
        <v>490796.56932629482</v>
      </c>
      <c r="E26" s="119">
        <f>E25*E77</f>
        <v>538029.15504905488</v>
      </c>
      <c r="F26" s="119">
        <f>F25*F77</f>
        <v>585416.25612387341</v>
      </c>
    </row>
    <row r="27" spans="1:8" x14ac:dyDescent="0.25">
      <c r="A27" s="9" t="s">
        <v>517</v>
      </c>
      <c r="B27" s="147">
        <f>B25-B26</f>
        <v>401488.66617517907</v>
      </c>
      <c r="C27" s="147">
        <f>C25-C26</f>
        <v>443869.06279695226</v>
      </c>
      <c r="D27" s="147">
        <f>D25-D26</f>
        <v>487123.11449589883</v>
      </c>
      <c r="E27" s="147">
        <f>E25-E26</f>
        <v>530641.47543183831</v>
      </c>
      <c r="F27" s="147">
        <f>F25-F26</f>
        <v>573744.05999298976</v>
      </c>
    </row>
    <row r="28" spans="1:8" x14ac:dyDescent="0.25">
      <c r="A28" t="s">
        <v>518</v>
      </c>
      <c r="B28" s="119">
        <f>B25*B78</f>
        <v>120836.89844511759</v>
      </c>
      <c r="C28" s="119">
        <f>C25*C78</f>
        <v>133570.48706763159</v>
      </c>
      <c r="D28" s="119">
        <f>D25*D78</f>
        <v>146562.63540719717</v>
      </c>
      <c r="E28" s="119">
        <f>E25*E78</f>
        <v>159629.86646056414</v>
      </c>
      <c r="F28" s="119">
        <f>F25*F78</f>
        <v>172567.54594112726</v>
      </c>
    </row>
    <row r="29" spans="1:8" x14ac:dyDescent="0.25">
      <c r="A29" t="s">
        <v>519</v>
      </c>
      <c r="B29" s="119">
        <f>B25*B79</f>
        <v>65712.790845193522</v>
      </c>
      <c r="C29" s="119">
        <f>C25*C79</f>
        <v>73522.431333165005</v>
      </c>
      <c r="D29" s="119">
        <f>D25*D79</f>
        <v>81651.304812495961</v>
      </c>
      <c r="E29" s="119">
        <f>E25*E79</f>
        <v>90002.928126731349</v>
      </c>
      <c r="F29" s="119">
        <f>F25*F79</f>
        <v>98463.879108623179</v>
      </c>
    </row>
    <row r="30" spans="1:8" x14ac:dyDescent="0.25">
      <c r="A30" t="s">
        <v>520</v>
      </c>
      <c r="B30" s="119">
        <f>B25*B80</f>
        <v>126967.08993409638</v>
      </c>
      <c r="C30" s="119">
        <f>C25*C80</f>
        <v>140734.96157730545</v>
      </c>
      <c r="D30" s="119">
        <f>D25*D80</f>
        <v>154852.88706117991</v>
      </c>
      <c r="E30" s="119">
        <f>E25*E80</f>
        <v>169129.52681950669</v>
      </c>
      <c r="F30" s="119">
        <f>F25*F80</f>
        <v>183348.92660346918</v>
      </c>
    </row>
    <row r="31" spans="1:8" x14ac:dyDescent="0.25">
      <c r="A31" s="9" t="s">
        <v>521</v>
      </c>
      <c r="B31" s="147">
        <f>SUM(B28:B30)</f>
        <v>313516.77922440751</v>
      </c>
      <c r="C31" s="147">
        <f>SUM(C28:C30)</f>
        <v>347827.87997810205</v>
      </c>
      <c r="D31" s="147">
        <f>SUM(D28:D30)</f>
        <v>383066.82728087303</v>
      </c>
      <c r="E31" s="147">
        <f>SUM(E28:E30)</f>
        <v>418762.32140680216</v>
      </c>
      <c r="F31" s="147">
        <f>SUM(F28:F30)</f>
        <v>454380.35165321961</v>
      </c>
    </row>
    <row r="32" spans="1:8" x14ac:dyDescent="0.25">
      <c r="A32" s="9" t="s">
        <v>522</v>
      </c>
      <c r="B32" s="147">
        <f>B27-B31+B25*IF('Valuation Dashboard'!$B$151="Yes",'AMZN - Reconciliation FY'!$B$152,0)</f>
        <v>92169.008411321556</v>
      </c>
      <c r="C32" s="147">
        <f>C27-C31+C25*IF('Valuation Dashboard'!$B$151="Yes",'AMZN - Reconciliation FY'!$B$152,0)</f>
        <v>100696.0003746732</v>
      </c>
      <c r="D32" s="147">
        <f>D27-D31+D25*IF('Valuation Dashboard'!$B$151="Yes",'AMZN - Reconciliation FY'!$B$152,0)</f>
        <v>109180.89223267022</v>
      </c>
      <c r="E32" s="147">
        <f>E27-E31+E25*IF('Valuation Dashboard'!$B$151="Yes",'AMZN - Reconciliation FY'!$B$152,0)</f>
        <v>117479.32238831796</v>
      </c>
      <c r="F32" s="147">
        <f>F27-F31+F25*IF('Valuation Dashboard'!$B$151="Yes",'AMZN - Reconciliation FY'!$B$152,0)</f>
        <v>125438.07095921286</v>
      </c>
    </row>
    <row r="33" spans="1:8" x14ac:dyDescent="0.25">
      <c r="A33" t="s">
        <v>320</v>
      </c>
      <c r="B33" s="134">
        <f>B32/B25</f>
        <v>0.11507754476569622</v>
      </c>
      <c r="C33" s="134">
        <f>C32/C25</f>
        <v>0.11336180879312738</v>
      </c>
      <c r="D33" s="134">
        <f>D32/D25</f>
        <v>0.11164607282055854</v>
      </c>
      <c r="E33" s="134">
        <f>E32/E25</f>
        <v>0.10993033684798956</v>
      </c>
      <c r="F33" s="134">
        <f>F32/F25</f>
        <v>0.10821460087542072</v>
      </c>
    </row>
    <row r="35" spans="1:8" x14ac:dyDescent="0.25">
      <c r="A35" t="s">
        <v>545</v>
      </c>
      <c r="B35" s="119">
        <f>B61</f>
        <v>488608.76292584249</v>
      </c>
      <c r="C35" s="119">
        <f>C61</f>
        <v>534806.91616279504</v>
      </c>
      <c r="D35" s="119">
        <f>D61</f>
        <v>580982.65529547038</v>
      </c>
      <c r="E35" s="119">
        <f>E61</f>
        <v>626374.38940967328</v>
      </c>
      <c r="F35" s="119">
        <f>F61</f>
        <v>670167.46087375411</v>
      </c>
    </row>
    <row r="36" spans="1:8" x14ac:dyDescent="0.25">
      <c r="A36" t="s">
        <v>266</v>
      </c>
      <c r="B36" s="119">
        <f>B35*B81</f>
        <v>73158.343534932443</v>
      </c>
      <c r="C36" s="119">
        <f>C35*C81</f>
        <v>80781.928490340273</v>
      </c>
      <c r="D36" s="119">
        <f>D35*D81</f>
        <v>88524.145873192523</v>
      </c>
      <c r="E36" s="119">
        <f>E35*E81</f>
        <v>96267.857495416509</v>
      </c>
      <c r="F36" s="119">
        <f>F35*F81</f>
        <v>103883.67522939542</v>
      </c>
    </row>
    <row r="37" spans="1:8" x14ac:dyDescent="0.25">
      <c r="A37" s="9" t="s">
        <v>406</v>
      </c>
      <c r="B37" s="147">
        <f>B32+B36</f>
        <v>165327.351946254</v>
      </c>
      <c r="C37" s="147">
        <f>C32+C36</f>
        <v>181477.92886501347</v>
      </c>
      <c r="D37" s="147">
        <f>D32+D36</f>
        <v>197705.03810586274</v>
      </c>
      <c r="E37" s="147">
        <f>E32+E36</f>
        <v>213747.17988373447</v>
      </c>
      <c r="F37" s="147">
        <f>F32+F36</f>
        <v>229321.74618860829</v>
      </c>
    </row>
    <row r="39" spans="1:8" x14ac:dyDescent="0.25">
      <c r="A39" t="s">
        <v>261</v>
      </c>
      <c r="B39" s="119">
        <f>B32*$B$2</f>
        <v>19355.491766377527</v>
      </c>
      <c r="C39" s="119">
        <f>C32*$B$2</f>
        <v>21146.160078681369</v>
      </c>
      <c r="D39" s="119">
        <f>D32*$B$2</f>
        <v>22927.987368860744</v>
      </c>
      <c r="E39" s="119">
        <f>E32*$B$2</f>
        <v>24670.65770154677</v>
      </c>
      <c r="F39" s="119">
        <f>F32*$B$2</f>
        <v>26341.9949014347</v>
      </c>
    </row>
    <row r="40" spans="1:8" x14ac:dyDescent="0.25">
      <c r="A40" s="9" t="s">
        <v>259</v>
      </c>
      <c r="B40" s="147">
        <f>B32-B39</f>
        <v>72813.516644944029</v>
      </c>
      <c r="C40" s="147">
        <f>C32-C39</f>
        <v>79549.840295991831</v>
      </c>
      <c r="D40" s="147">
        <f>D32-D39</f>
        <v>86252.904863809468</v>
      </c>
      <c r="E40" s="147">
        <f>E32-E39</f>
        <v>92808.664686771197</v>
      </c>
      <c r="F40" s="147">
        <f>F32-F39</f>
        <v>99096.076057778148</v>
      </c>
    </row>
    <row r="41" spans="1:8" x14ac:dyDescent="0.25">
      <c r="A41" t="s">
        <v>278</v>
      </c>
      <c r="B41" s="134">
        <f>B40/B25</f>
        <v>9.0911260364900007E-2</v>
      </c>
      <c r="C41" s="134">
        <f>C40/C25</f>
        <v>8.9555828946570631E-2</v>
      </c>
      <c r="D41" s="134">
        <f>D40/D25</f>
        <v>8.8200397528241242E-2</v>
      </c>
      <c r="E41" s="134">
        <f>E40/E25</f>
        <v>8.6844966109911756E-2</v>
      </c>
      <c r="F41" s="134">
        <f>F40/F25</f>
        <v>8.5489534691582353E-2</v>
      </c>
    </row>
    <row r="43" spans="1:8" x14ac:dyDescent="0.25">
      <c r="A43" s="24" t="s">
        <v>532</v>
      </c>
      <c r="B43" s="24"/>
      <c r="C43" s="24"/>
      <c r="D43" s="24"/>
      <c r="E43" s="24"/>
      <c r="F43" s="24"/>
      <c r="G43" s="24"/>
      <c r="H43" s="24"/>
    </row>
    <row r="44" spans="1:8" x14ac:dyDescent="0.25">
      <c r="A44" s="9" t="s">
        <v>506</v>
      </c>
      <c r="B44" s="167">
        <f>'AMZN - Income Statement FY'!B5</f>
        <v>46022</v>
      </c>
      <c r="C44" s="167">
        <f>'AMZN - Income Statement FY'!C5</f>
        <v>45657</v>
      </c>
      <c r="D44" s="167">
        <f>'AMZN - Income Statement FY'!D5</f>
        <v>45291</v>
      </c>
      <c r="E44" s="167">
        <f>'AMZN - Income Statement FY'!E5</f>
        <v>44926</v>
      </c>
      <c r="F44" s="167">
        <f>'AMZN - Income Statement FY'!F5</f>
        <v>44561</v>
      </c>
      <c r="G44" s="167">
        <f>'AMZN - Income Statement FY'!G5</f>
        <v>44196</v>
      </c>
      <c r="H44" s="167">
        <f>'AMZN - Income Statement FY'!H5</f>
        <v>43830</v>
      </c>
    </row>
    <row r="45" spans="1:8" x14ac:dyDescent="0.25">
      <c r="A45" t="s">
        <v>533</v>
      </c>
      <c r="B45" s="113">
        <f>IFERROR('AMZN - Reconciliation FY'!B22/'AMZN - Income Statement FY'!B7,"")</f>
        <v>-0.11634918066629099</v>
      </c>
      <c r="C45" s="113">
        <f>IFERROR('AMZN - Reconciliation FY'!C22/'AMZN - Income Statement FY'!C7,"")</f>
        <v>-0.10202194811892301</v>
      </c>
      <c r="D45" s="113">
        <f>IFERROR('AMZN - Reconciliation FY'!D22/'AMZN - Income Statement FY'!D7,"")</f>
        <v>-9.9862209347843109E-2</v>
      </c>
      <c r="E45" s="113">
        <f>IFERROR('AMZN - Reconciliation FY'!E22/'AMZN - Income Statement FY'!E7,"")</f>
        <v>-0.10991285704001882</v>
      </c>
      <c r="F45" s="113">
        <f>IFERROR('AMZN - Reconciliation FY'!F22/'AMZN - Income Statement FY'!F7,"")</f>
        <v>-0.11260979690180536</v>
      </c>
      <c r="G45" s="113">
        <f>IFERROR('AMZN - Reconciliation FY'!G22/'AMZN - Income Statement FY'!G7,"")</f>
        <v>-0.14341332007128352</v>
      </c>
      <c r="H45" s="113">
        <f>IFERROR('AMZN - Reconciliation FY'!H22/'AMZN - Income Statement FY'!H7,"")</f>
        <v>-9.9334668938621556E-2</v>
      </c>
    </row>
    <row r="46" spans="1:8" x14ac:dyDescent="0.25">
      <c r="A46" t="s">
        <v>534</v>
      </c>
      <c r="B46" s="113">
        <f>IFERROR('AMZN - Reconciliation FY'!B24/'AMZN - Income Statement FY'!B7,"")</f>
        <v>0.61802785232465363</v>
      </c>
      <c r="C46" s="113">
        <f>IFERROR('AMZN - Reconciliation FY'!C24/'AMZN - Income Statement FY'!C7,"")</f>
        <v>0.51540302746728239</v>
      </c>
      <c r="D46" s="113">
        <f>IFERROR('AMZN - Reconciliation FY'!D24/'AMZN - Income Statement FY'!D7,"")</f>
        <v>0.48137999425872285</v>
      </c>
      <c r="E46" s="113">
        <f>IFERROR('AMZN - Reconciliation FY'!E24/'AMZN - Income Statement FY'!E7,"")</f>
        <v>0.49191899342974377</v>
      </c>
      <c r="F46" s="113">
        <f>IFERROR('AMZN - Reconciliation FY'!F24/'AMZN - Income Statement FY'!F7,"")</f>
        <v>0.46052121867430645</v>
      </c>
      <c r="G46" s="113">
        <f>IFERROR('AMZN - Reconciliation FY'!G24/'AMZN - Income Statement FY'!G7,"")</f>
        <v>0.39026430850843385</v>
      </c>
      <c r="H46" s="113">
        <f>IFERROR('AMZN - Reconciliation FY'!H24/'AMZN - Income Statement FY'!H7,"")</f>
        <v>0.34879973763198607</v>
      </c>
    </row>
    <row r="47" spans="1:8" x14ac:dyDescent="0.25">
      <c r="A47" t="s">
        <v>535</v>
      </c>
      <c r="B47" s="113">
        <f>IFERROR(('AMZN - Reconciliation FY'!B25+'AMZN - Reconciliation FY'!B26)/'AMZN - Income Statement FY'!B7,"")</f>
        <v>4.5290714217964524E-2</v>
      </c>
      <c r="C47" s="113">
        <f>IFERROR(('AMZN - Reconciliation FY'!C25+'AMZN - Reconciliation FY'!C26)/'AMZN - Income Statement FY'!C7,"")</f>
        <v>4.9652093629841416E-2</v>
      </c>
      <c r="D47" s="113">
        <f>IFERROR(('AMZN - Reconciliation FY'!D25+'AMZN - Reconciliation FY'!D26)/'AMZN - Income Statement FY'!D7,"")</f>
        <v>5.3021564585018749E-2</v>
      </c>
      <c r="E47" s="113">
        <f>IFERROR(('AMZN - Reconciliation FY'!E25+'AMZN - Reconciliation FY'!E26)/'AMZN - Income Statement FY'!E7,"")</f>
        <v>5.1334382654679239E-2</v>
      </c>
      <c r="F47" s="113">
        <f>IFERROR(('AMZN - Reconciliation FY'!F25+'AMZN - Reconciliation FY'!F26)/'AMZN - Income Statement FY'!F7,"")</f>
        <v>4.3586720076965318E-2</v>
      </c>
      <c r="G47" s="113">
        <f>IFERROR(('AMZN - Reconciliation FY'!G25+'AMZN - Reconciliation FY'!G26)/'AMZN - Income Statement FY'!G7,"")</f>
        <v>5.1799701603879152E-2</v>
      </c>
      <c r="H47" s="113">
        <f>IFERROR(('AMZN - Reconciliation FY'!H25+'AMZN - Reconciliation FY'!H26)/'AMZN - Income Statement FY'!H7,"")</f>
        <v>6.7028610946735012E-2</v>
      </c>
    </row>
    <row r="48" spans="1:8" x14ac:dyDescent="0.25">
      <c r="A48" t="s">
        <v>536</v>
      </c>
      <c r="B48" s="113">
        <f>IFERROR(('AMZN - Reconciliation FY'!B27+'AMZN - Reconciliation FY'!B28+'AMZN - Reconciliation FY'!B29+'AMZN - Reconciliation FY'!B30)/'AMZN - Income Statement FY'!B7,"")</f>
        <v>0.22982073413639381</v>
      </c>
      <c r="C48" s="113">
        <f>IFERROR(('AMZN - Reconciliation FY'!C27+'AMZN - Reconciliation FY'!C28+'AMZN - Reconciliation FY'!C29+'AMZN - Reconciliation FY'!C30)/'AMZN - Income Statement FY'!C7,"")</f>
        <v>0.19316131600933603</v>
      </c>
      <c r="D48" s="113">
        <f>IFERROR(('AMZN - Reconciliation FY'!D27+'AMZN - Reconciliation FY'!D28+'AMZN - Reconciliation FY'!D29+'AMZN - Reconciliation FY'!D30)/'AMZN - Income Statement FY'!D7,"")</f>
        <v>0.17429647607366233</v>
      </c>
      <c r="E48" s="113">
        <f>IFERROR(('AMZN - Reconciliation FY'!E27+'AMZN - Reconciliation FY'!E28+'AMZN - Reconciliation FY'!E29+'AMZN - Reconciliation FY'!E30)/'AMZN - Income Statement FY'!E7,"")</f>
        <v>0.17220024786812016</v>
      </c>
      <c r="F48" s="113">
        <f>IFERROR(('AMZN - Reconciliation FY'!F27+'AMZN - Reconciliation FY'!F28+'AMZN - Reconciliation FY'!F29+'AMZN - Reconciliation FY'!F30)/'AMZN - Income Statement FY'!F7,"")</f>
        <v>0.14076820583114455</v>
      </c>
      <c r="G48" s="113">
        <f>IFERROR(('AMZN - Reconciliation FY'!G27+'AMZN - Reconciliation FY'!G28+'AMZN - Reconciliation FY'!G29+'AMZN - Reconciliation FY'!G30)/'AMZN - Income Statement FY'!G7,"")</f>
        <v>0.1381972937129595</v>
      </c>
      <c r="H48" s="113">
        <f>IFERROR(('AMZN - Reconciliation FY'!H27+'AMZN - Reconciliation FY'!H28+'AMZN - Reconciliation FY'!H29+'AMZN - Reconciliation FY'!H30)/'AMZN - Income Statement FY'!H7,"")</f>
        <v>0.14218136188962008</v>
      </c>
    </row>
    <row r="49" spans="1:8" x14ac:dyDescent="0.25">
      <c r="A49" t="s">
        <v>537</v>
      </c>
      <c r="B49" s="113">
        <f>IFERROR('AMZN - Reconciliation FY'!B32/'AMZN - Income Statement FY'!B7,"")</f>
        <v>0.77679012001272096</v>
      </c>
      <c r="C49" s="113">
        <f>IFERROR('AMZN - Reconciliation FY'!C32/'AMZN - Income Statement FY'!C7,"")</f>
        <v>0.65619448898753685</v>
      </c>
      <c r="D49" s="113">
        <f>IFERROR('AMZN - Reconciliation FY'!D32/'AMZN - Income Statement FY'!D7,"")</f>
        <v>0.60883582556956084</v>
      </c>
      <c r="E49" s="113">
        <f>IFERROR('AMZN - Reconciliation FY'!E32/'AMZN - Income Statement FY'!E7,"")</f>
        <v>0.60554076691252445</v>
      </c>
      <c r="F49" s="113">
        <f>IFERROR('AMZN - Reconciliation FY'!F32/'AMZN - Income Statement FY'!F7,"")</f>
        <v>0.53226634768061099</v>
      </c>
      <c r="G49" s="113">
        <f>IFERROR('AMZN - Reconciliation FY'!G32/'AMZN - Income Statement FY'!G7,"")</f>
        <v>0.43684798375398898</v>
      </c>
      <c r="H49" s="113">
        <f>IFERROR('AMZN - Reconciliation FY'!H32/'AMZN - Income Statement FY'!H7,"")</f>
        <v>0.45867504152971961</v>
      </c>
    </row>
    <row r="51" spans="1:8" x14ac:dyDescent="0.25">
      <c r="A51" s="24" t="s">
        <v>512</v>
      </c>
      <c r="B51" s="24"/>
      <c r="C51" s="24"/>
      <c r="D51" s="24"/>
      <c r="E51" s="24"/>
      <c r="F51" s="24"/>
      <c r="G51" s="24"/>
      <c r="H51" s="24"/>
    </row>
    <row r="52" spans="1:8" x14ac:dyDescent="0.25">
      <c r="A52" s="9" t="s">
        <v>506</v>
      </c>
      <c r="B52" s="9" t="s">
        <v>523</v>
      </c>
      <c r="C52" s="9" t="s">
        <v>524</v>
      </c>
      <c r="D52" s="9" t="s">
        <v>525</v>
      </c>
      <c r="E52" s="9" t="s">
        <v>1466</v>
      </c>
      <c r="F52" s="9" t="s">
        <v>1462</v>
      </c>
    </row>
    <row r="53" spans="1:8" x14ac:dyDescent="0.25">
      <c r="A53" t="s">
        <v>533</v>
      </c>
      <c r="B53" s="134">
        <f>IFERROR(AVERAGE(B45:D45),"")</f>
        <v>-0.1060777793776857</v>
      </c>
      <c r="C53" s="134">
        <f>IFERROR(AVERAGE(B45:H45),"")</f>
        <v>-0.11192914015496948</v>
      </c>
      <c r="D53" s="134">
        <f>IFERROR(MEDIAN(B45:H45),"")</f>
        <v>-0.10991285704001882</v>
      </c>
      <c r="E53" s="113">
        <f>CHOOSE('Valuation Dashboard'!$B$148,B53,C53,D53,F53)</f>
        <v>-0.1060777793776857</v>
      </c>
      <c r="F53" s="123">
        <v>-0.106077779377686</v>
      </c>
    </row>
    <row r="54" spans="1:8" x14ac:dyDescent="0.25">
      <c r="A54" t="s">
        <v>534</v>
      </c>
      <c r="B54" s="134">
        <f>IFERROR(AVERAGE(B46:D46),"")</f>
        <v>0.53827029135021964</v>
      </c>
      <c r="C54" s="134">
        <f>IFERROR(AVERAGE(B46:H46),"")</f>
        <v>0.47233073318501845</v>
      </c>
      <c r="D54" s="134">
        <f>IFERROR(MEDIAN(B46:H46),"")</f>
        <v>0.48137999425872285</v>
      </c>
      <c r="E54" s="113">
        <f>CHOOSE('Valuation Dashboard'!$B$148,B54,C54,D54,F54)</f>
        <v>0.53827029135021964</v>
      </c>
      <c r="F54" s="123">
        <v>0.53827029135021998</v>
      </c>
    </row>
    <row r="55" spans="1:8" x14ac:dyDescent="0.25">
      <c r="A55" t="s">
        <v>535</v>
      </c>
      <c r="B55" s="134">
        <f>IFERROR(AVERAGE(B47:D47),"")</f>
        <v>4.9321457477608223E-2</v>
      </c>
      <c r="C55" s="134">
        <f>IFERROR(AVERAGE(B47:H47),"")</f>
        <v>5.1673398245011916E-2</v>
      </c>
      <c r="D55" s="134">
        <f>IFERROR(MEDIAN(B47:H47),"")</f>
        <v>5.1334382654679239E-2</v>
      </c>
      <c r="E55" s="113">
        <f>CHOOSE('Valuation Dashboard'!$B$148,B55,C55,D55,F55)</f>
        <v>4.9321457477608223E-2</v>
      </c>
      <c r="F55" s="123">
        <v>4.9321457477608202E-2</v>
      </c>
    </row>
    <row r="56" spans="1:8" x14ac:dyDescent="0.25">
      <c r="A56" t="s">
        <v>536</v>
      </c>
      <c r="B56" s="134">
        <f>IFERROR(AVERAGE(B48:D48),"")</f>
        <v>0.19909284207313074</v>
      </c>
      <c r="C56" s="134">
        <f>IFERROR(AVERAGE(B48:H48),"")</f>
        <v>0.1700893765030338</v>
      </c>
      <c r="D56" s="134">
        <f>IFERROR(MEDIAN(B48:H48),"")</f>
        <v>0.17220024786812016</v>
      </c>
      <c r="E56" s="113">
        <f>CHOOSE('Valuation Dashboard'!$B$148,B56,C56,D56,F56)</f>
        <v>0.19909284207313074</v>
      </c>
      <c r="F56" s="123">
        <v>0.19909284207313099</v>
      </c>
    </row>
    <row r="58" spans="1:8" x14ac:dyDescent="0.25">
      <c r="A58" s="24" t="s">
        <v>538</v>
      </c>
      <c r="B58" s="24"/>
      <c r="C58" s="24"/>
      <c r="D58" s="24"/>
      <c r="E58" s="24"/>
      <c r="F58" s="24"/>
      <c r="G58" s="24"/>
      <c r="H58" s="24"/>
    </row>
    <row r="59" spans="1:8" x14ac:dyDescent="0.25">
      <c r="A59" s="9" t="s">
        <v>514</v>
      </c>
      <c r="B59" s="168">
        <f>B24</f>
        <v>46387</v>
      </c>
      <c r="C59" s="168">
        <f>C24</f>
        <v>46752</v>
      </c>
      <c r="D59" s="168">
        <f>D24</f>
        <v>47118</v>
      </c>
      <c r="E59" s="168">
        <f>E24</f>
        <v>47483</v>
      </c>
      <c r="F59" s="168">
        <f>F24</f>
        <v>47848</v>
      </c>
    </row>
    <row r="60" spans="1:8" x14ac:dyDescent="0.25">
      <c r="A60" t="s">
        <v>235</v>
      </c>
      <c r="B60" s="119">
        <f>B25*B82</f>
        <v>-92364.83230457014</v>
      </c>
      <c r="C60" s="119">
        <f>C25*C82</f>
        <v>-101524.83854035272</v>
      </c>
      <c r="D60" s="119">
        <f>D25*D82</f>
        <v>-110766.77231998145</v>
      </c>
      <c r="E60" s="119">
        <f>E25*E82</f>
        <v>-119948.25430217411</v>
      </c>
      <c r="F60" s="119">
        <f>F25*F82</f>
        <v>-128914.25265874446</v>
      </c>
    </row>
    <row r="61" spans="1:8" x14ac:dyDescent="0.25">
      <c r="A61" t="s">
        <v>236</v>
      </c>
      <c r="B61" s="119">
        <f>B25*B83</f>
        <v>488608.76292584249</v>
      </c>
      <c r="C61" s="119">
        <f>C25*C83</f>
        <v>534806.91616279504</v>
      </c>
      <c r="D61" s="119">
        <f>D25*D83</f>
        <v>580982.65529547038</v>
      </c>
      <c r="E61" s="119">
        <f>E25*E83</f>
        <v>626374.38940967328</v>
      </c>
      <c r="F61" s="119">
        <f>F25*F83</f>
        <v>670167.46087375411</v>
      </c>
    </row>
    <row r="62" spans="1:8" x14ac:dyDescent="0.25">
      <c r="A62" t="s">
        <v>539</v>
      </c>
      <c r="B62" s="119">
        <f>B25*B84</f>
        <v>36597.506396451761</v>
      </c>
      <c r="C62" s="119">
        <f>C25*C84</f>
        <v>40946.503679107147</v>
      </c>
      <c r="D62" s="119">
        <f>D25*D84</f>
        <v>45473.20388032496</v>
      </c>
      <c r="E62" s="119">
        <f>E25*E84</f>
        <v>50123.870894478117</v>
      </c>
      <c r="F62" s="119">
        <f>F25*F84</f>
        <v>54835.337425571517</v>
      </c>
    </row>
    <row r="63" spans="1:8" x14ac:dyDescent="0.25">
      <c r="A63" t="s">
        <v>540</v>
      </c>
      <c r="B63" s="119">
        <f>B25*B85</f>
        <v>181609.13396319826</v>
      </c>
      <c r="C63" s="119">
        <f>C25*C85</f>
        <v>198684.14066738507</v>
      </c>
      <c r="D63" s="119">
        <f>D25*D85</f>
        <v>215731.39651513804</v>
      </c>
      <c r="E63" s="119">
        <f>E25*E85</f>
        <v>232467.47053328322</v>
      </c>
      <c r="F63" s="119">
        <f>F25*F85</f>
        <v>248589.79829292337</v>
      </c>
    </row>
    <row r="64" spans="1:8" x14ac:dyDescent="0.25">
      <c r="A64" s="9" t="s">
        <v>541</v>
      </c>
      <c r="B64" s="147">
        <f>SUM(B60:B63)</f>
        <v>614450.57098092244</v>
      </c>
      <c r="C64" s="147">
        <f>SUM(C60:C63)</f>
        <v>672912.72196893452</v>
      </c>
      <c r="D64" s="147">
        <f>SUM(D60:D63)</f>
        <v>731420.48337095184</v>
      </c>
      <c r="E64" s="147">
        <f>SUM(E60:E63)</f>
        <v>789017.47653526056</v>
      </c>
      <c r="F64" s="147">
        <f>SUM(F60:F63)</f>
        <v>844678.34393350454</v>
      </c>
    </row>
    <row r="66" spans="1:8" x14ac:dyDescent="0.25">
      <c r="A66" s="24" t="s">
        <v>542</v>
      </c>
      <c r="B66" s="24"/>
      <c r="C66" s="24"/>
      <c r="D66" s="24"/>
      <c r="E66" s="24"/>
      <c r="F66" s="24"/>
      <c r="G66" s="24"/>
      <c r="H66" s="24"/>
    </row>
    <row r="67" spans="1:8" x14ac:dyDescent="0.25">
      <c r="A67" t="s">
        <v>259</v>
      </c>
      <c r="B67" s="119">
        <f>B40</f>
        <v>72813.516644944029</v>
      </c>
      <c r="C67" s="119">
        <f>C40</f>
        <v>79549.840295991831</v>
      </c>
      <c r="D67" s="119">
        <f>D40</f>
        <v>86252.904863809468</v>
      </c>
      <c r="E67" s="119">
        <f>E40</f>
        <v>92808.664686771197</v>
      </c>
      <c r="F67" s="119">
        <f>F40</f>
        <v>99096.076057778148</v>
      </c>
    </row>
    <row r="68" spans="1:8" x14ac:dyDescent="0.25">
      <c r="A68" t="s">
        <v>266</v>
      </c>
      <c r="B68" s="119">
        <f>B36</f>
        <v>73158.343534932443</v>
      </c>
      <c r="C68" s="119">
        <f>C36</f>
        <v>80781.928490340273</v>
      </c>
      <c r="D68" s="119">
        <f>D36</f>
        <v>88524.145873192523</v>
      </c>
      <c r="E68" s="119">
        <f>E36</f>
        <v>96267.857495416509</v>
      </c>
      <c r="F68" s="119">
        <f>F36</f>
        <v>103883.67522939542</v>
      </c>
    </row>
    <row r="69" spans="1:8" x14ac:dyDescent="0.25">
      <c r="A69" s="9" t="s">
        <v>267</v>
      </c>
      <c r="B69" s="147">
        <f>B67+B68</f>
        <v>145971.86017987647</v>
      </c>
      <c r="C69" s="147">
        <f>C67+C68</f>
        <v>160331.7687863321</v>
      </c>
      <c r="D69" s="147">
        <f>D67+D68</f>
        <v>174777.05073700199</v>
      </c>
      <c r="E69" s="147">
        <f>E67+E68</f>
        <v>189076.52218218771</v>
      </c>
      <c r="F69" s="147">
        <f>F67+F68</f>
        <v>202979.75128717357</v>
      </c>
    </row>
    <row r="70" spans="1:8" x14ac:dyDescent="0.25">
      <c r="A70" t="s">
        <v>543</v>
      </c>
      <c r="B70" s="109">
        <f>-(B60-'AMZN - Reconciliation FY'!$B$22)</f>
        <v>8951.3123045701359</v>
      </c>
      <c r="C70" s="119">
        <f>-(C60-B60)</f>
        <v>9160.0062357825809</v>
      </c>
      <c r="D70" s="119">
        <f>-(D60-C60)</f>
        <v>9241.9337796287291</v>
      </c>
      <c r="E70" s="119">
        <f>-(E60-D60)</f>
        <v>9181.4819821926649</v>
      </c>
      <c r="F70" s="119">
        <f>-(F60-E60)</f>
        <v>8965.9983565703442</v>
      </c>
    </row>
    <row r="71" spans="1:8" x14ac:dyDescent="0.25">
      <c r="A71" t="s">
        <v>269</v>
      </c>
      <c r="B71" s="109">
        <f>-((B61-'AMZN - Reconciliation FY'!$B$24)+B68)</f>
        <v>-118688.10646077493</v>
      </c>
      <c r="C71" s="119">
        <f>-((C61-B61)+C68)</f>
        <v>-126980.08172729283</v>
      </c>
      <c r="D71" s="119">
        <f>-((D61-C61)+D68)</f>
        <v>-134699.88500586787</v>
      </c>
      <c r="E71" s="119">
        <f>-((E61-D61)+E68)</f>
        <v>-141659.59160961941</v>
      </c>
      <c r="F71" s="119">
        <f>-((F61-E61)+F68)</f>
        <v>-147676.74669347625</v>
      </c>
    </row>
    <row r="72" spans="1:8" x14ac:dyDescent="0.25">
      <c r="A72" t="s">
        <v>544</v>
      </c>
      <c r="B72" s="109">
        <f>-((B62+B63)-('AMZN - Reconciliation FY'!$B$25+'AMZN - Reconciliation FY'!$B$26+'AMZN - Reconciliation FY'!$B$27+'AMZN - Reconciliation FY'!$B$28+'AMZN - Reconciliation FY'!$B$29+'AMZN - Reconciliation FY'!$B$30))</f>
        <v>-20972.640359650017</v>
      </c>
      <c r="C72" s="119">
        <f>-((C62+C63)-(B62+B63))</f>
        <v>-21424.003986842203</v>
      </c>
      <c r="D72" s="119">
        <f>-((D62+D63)-(C62+C63))</f>
        <v>-21573.95604897078</v>
      </c>
      <c r="E72" s="119">
        <f>-((E62+E63)-(D62+D63))</f>
        <v>-21386.741032298363</v>
      </c>
      <c r="F72" s="119">
        <f>-((F62+F63)-(E62+E63))</f>
        <v>-20833.794290733524</v>
      </c>
    </row>
    <row r="73" spans="1:8" x14ac:dyDescent="0.25">
      <c r="A73" s="9" t="s">
        <v>270</v>
      </c>
      <c r="B73" s="147">
        <f>B69+B70+B71+B72</f>
        <v>15262.425664021663</v>
      </c>
      <c r="C73" s="147">
        <f>C69+C70+C71+C72</f>
        <v>21087.689307979657</v>
      </c>
      <c r="D73" s="147">
        <f>D69+D70+D71+D72</f>
        <v>27745.14346179206</v>
      </c>
      <c r="E73" s="147">
        <f>E69+E70+E71+E72</f>
        <v>35211.671522462595</v>
      </c>
      <c r="F73" s="147">
        <f>F69+F70+F71+F72</f>
        <v>43435.208659534139</v>
      </c>
    </row>
    <row r="75" spans="1:8" x14ac:dyDescent="0.25">
      <c r="A75" s="24" t="s">
        <v>552</v>
      </c>
      <c r="B75" s="24"/>
      <c r="C75" s="24"/>
      <c r="D75" s="24"/>
      <c r="E75" s="24"/>
      <c r="F75" s="24"/>
      <c r="G75" s="24"/>
      <c r="H75" s="24"/>
    </row>
    <row r="76" spans="1:8" x14ac:dyDescent="0.25">
      <c r="A76" s="9" t="s">
        <v>506</v>
      </c>
      <c r="B76" s="168">
        <f>B24</f>
        <v>46387</v>
      </c>
      <c r="C76" s="168">
        <f>C24</f>
        <v>46752</v>
      </c>
      <c r="D76" s="168">
        <f>D24</f>
        <v>47118</v>
      </c>
      <c r="E76" s="168">
        <f>E24</f>
        <v>47483</v>
      </c>
      <c r="F76" s="168">
        <f>F24</f>
        <v>47848</v>
      </c>
    </row>
    <row r="77" spans="1:8" x14ac:dyDescent="0.25">
      <c r="A77" t="s">
        <v>507</v>
      </c>
      <c r="B77" s="134">
        <f>$B$6+($E$16-$B$6)*MIN(1/$B$3,1)</f>
        <v>0.49872163375668277</v>
      </c>
      <c r="C77" s="134">
        <f>$B$6+($E$16-$B$6)*MIN(2/$B$3,1)</f>
        <v>0.50029991619579206</v>
      </c>
      <c r="D77" s="134">
        <f>$B$6+($E$16-$B$6)*MIN(3/$B$3,1)</f>
        <v>0.50187819863490135</v>
      </c>
      <c r="E77" s="134">
        <f>$B$6+($E$16-$B$6)*MIN(4/$B$3,1)</f>
        <v>0.50345648107401075</v>
      </c>
      <c r="F77" s="134">
        <f>$B$6+($E$16-$B$6)*MIN(5/$B$3,1)</f>
        <v>0.50503476351312004</v>
      </c>
    </row>
    <row r="78" spans="1:8" x14ac:dyDescent="0.25">
      <c r="A78" t="s">
        <v>318</v>
      </c>
      <c r="B78" s="134">
        <f>$B$7+($E$17-$B$7)*MIN(1/$B$3,1)</f>
        <v>0.15087081688141299</v>
      </c>
      <c r="C78" s="134">
        <f>$B$7+($E$17-$B$7)*MIN(2/$B$3,1)</f>
        <v>0.15037133509797446</v>
      </c>
      <c r="D78" s="134">
        <f>$B$7+($E$17-$B$7)*MIN(3/$B$3,1)</f>
        <v>0.14987185331453595</v>
      </c>
      <c r="E78" s="134">
        <f>$B$7+($E$17-$B$7)*MIN(4/$B$3,1)</f>
        <v>0.14937237153109745</v>
      </c>
      <c r="F78" s="134">
        <f>$B$7+($E$17-$B$7)*MIN(5/$B$3,1)</f>
        <v>0.14887288974765894</v>
      </c>
    </row>
    <row r="79" spans="1:8" x14ac:dyDescent="0.25">
      <c r="A79" t="s">
        <v>319</v>
      </c>
      <c r="B79" s="134">
        <f>$B$8+($E$18-$B$8)*MIN(1/$B$3,1)</f>
        <v>8.2045654613310398E-2</v>
      </c>
      <c r="C79" s="134">
        <f>$B$8+($E$18-$B$8)*MIN(2/$B$3,1)</f>
        <v>8.277027659275725E-2</v>
      </c>
      <c r="D79" s="134">
        <f>$B$8+($E$18-$B$8)*MIN(3/$B$3,1)</f>
        <v>8.3494898572204101E-2</v>
      </c>
      <c r="E79" s="134">
        <f>$B$8+($E$18-$B$8)*MIN(4/$B$3,1)</f>
        <v>8.4219520551650939E-2</v>
      </c>
      <c r="F79" s="134">
        <f>$B$8+($E$18-$B$8)*MIN(5/$B$3,1)</f>
        <v>8.4944142531097777E-2</v>
      </c>
    </row>
    <row r="80" spans="1:8" x14ac:dyDescent="0.25">
      <c r="A80" t="s">
        <v>508</v>
      </c>
      <c r="B80" s="134">
        <f>$B$9+($E$19-$B$9)*MIN(1/$B$3,1)</f>
        <v>0.15852466276361077</v>
      </c>
      <c r="C80" s="134">
        <f>$B$9+($E$19-$B$9)*MIN(2/$B$3,1)</f>
        <v>0.15843697610106203</v>
      </c>
      <c r="D80" s="134">
        <f>$B$9+($E$19-$B$9)*MIN(3/$B$3,1)</f>
        <v>0.15834928943851326</v>
      </c>
      <c r="E80" s="134">
        <f>$B$9+($E$19-$B$9)*MIN(4/$B$3,1)</f>
        <v>0.15826160277596452</v>
      </c>
      <c r="F80" s="134">
        <f>$B$9+($E$19-$B$9)*MIN(5/$B$3,1)</f>
        <v>0.15817391611341575</v>
      </c>
    </row>
    <row r="81" spans="1:8" x14ac:dyDescent="0.25">
      <c r="A81" t="s">
        <v>509</v>
      </c>
      <c r="B81" s="134">
        <f>$B$10+($E$20-$B$10)*MIN(1/$B$3,1)</f>
        <v>0.1497278581269241</v>
      </c>
      <c r="C81" s="134">
        <f>$B$10+($E$20-$B$10)*MIN(2/$B$3,1)</f>
        <v>0.15104877302250572</v>
      </c>
      <c r="D81" s="134">
        <f>$B$10+($E$20-$B$10)*MIN(3/$B$3,1)</f>
        <v>0.15236968791808733</v>
      </c>
      <c r="E81" s="134">
        <f>$B$10+($E$20-$B$10)*MIN(4/$B$3,1)</f>
        <v>0.15369060281366895</v>
      </c>
      <c r="F81" s="134">
        <f>$B$10+($E$20-$B$10)*MIN(5/$B$3,1)</f>
        <v>0.15501151770925056</v>
      </c>
    </row>
    <row r="82" spans="1:8" x14ac:dyDescent="0.25">
      <c r="A82" t="s">
        <v>533</v>
      </c>
      <c r="B82" s="134">
        <f>$B$45+($E$53-$B$45)*MIN(1/$B$3,1)</f>
        <v>-0.11532204053743046</v>
      </c>
      <c r="C82" s="134">
        <f>$B$45+($E$53-$B$45)*MIN(2/$B$3,1)</f>
        <v>-0.11429490040856993</v>
      </c>
      <c r="D82" s="134">
        <f>$B$45+($E$53-$B$45)*MIN(3/$B$3,1)</f>
        <v>-0.1132677602797094</v>
      </c>
      <c r="E82" s="134">
        <f>$B$45+($E$53-$B$45)*MIN(4/$B$3,1)</f>
        <v>-0.11224062015084887</v>
      </c>
      <c r="F82" s="134">
        <f>$B$45+($E$53-$B$45)*MIN(5/$B$3,1)</f>
        <v>-0.11121348002198835</v>
      </c>
    </row>
    <row r="83" spans="1:8" x14ac:dyDescent="0.25">
      <c r="A83" t="s">
        <v>534</v>
      </c>
      <c r="B83" s="134">
        <f>$B$46+($E$54-$B$46)*MIN(1/$B$3,1)</f>
        <v>0.61005209622721024</v>
      </c>
      <c r="C83" s="134">
        <f>$B$46+($E$54-$B$46)*MIN(2/$B$3,1)</f>
        <v>0.60207634012976685</v>
      </c>
      <c r="D83" s="134">
        <f>$B$46+($E$54-$B$46)*MIN(3/$B$3,1)</f>
        <v>0.59410058403232346</v>
      </c>
      <c r="E83" s="134">
        <f>$B$46+($E$54-$B$46)*MIN(4/$B$3,1)</f>
        <v>0.58612482793488008</v>
      </c>
      <c r="F83" s="134">
        <f>$B$46+($E$54-$B$46)*MIN(5/$B$3,1)</f>
        <v>0.57814907183743669</v>
      </c>
    </row>
    <row r="84" spans="1:8" x14ac:dyDescent="0.25">
      <c r="A84" t="s">
        <v>535</v>
      </c>
      <c r="B84" s="134">
        <f>$B$47+($E$55-$B$47)*MIN(1/$B$3,1)</f>
        <v>4.5693788543928894E-2</v>
      </c>
      <c r="C84" s="134">
        <f>$B$47+($E$55-$B$47)*MIN(2/$B$3,1)</f>
        <v>4.6096862869893264E-2</v>
      </c>
      <c r="D84" s="134">
        <f>$B$47+($E$55-$B$47)*MIN(3/$B$3,1)</f>
        <v>4.6499937195857634E-2</v>
      </c>
      <c r="E84" s="134">
        <f>$B$47+($E$55-$B$47)*MIN(4/$B$3,1)</f>
        <v>4.6903011521822004E-2</v>
      </c>
      <c r="F84" s="134">
        <f>$B$47+($E$55-$B$47)*MIN(5/$B$3,1)</f>
        <v>4.7306085847786374E-2</v>
      </c>
    </row>
    <row r="85" spans="1:8" x14ac:dyDescent="0.25">
      <c r="A85" t="s">
        <v>536</v>
      </c>
      <c r="B85" s="134">
        <f>$B$48+($E$56-$B$48)*MIN(1/$B$3,1)</f>
        <v>0.2267479449300675</v>
      </c>
      <c r="C85" s="134">
        <f>$B$48+($E$56-$B$48)*MIN(2/$B$3,1)</f>
        <v>0.22367515572374119</v>
      </c>
      <c r="D85" s="134">
        <f>$B$48+($E$56-$B$48)*MIN(3/$B$3,1)</f>
        <v>0.22060236651741488</v>
      </c>
      <c r="E85" s="134">
        <f>$B$48+($E$56-$B$48)*MIN(4/$B$3,1)</f>
        <v>0.21752957731108857</v>
      </c>
      <c r="F85" s="134">
        <f>$B$48+($E$56-$B$48)*MIN(5/$B$3,1)</f>
        <v>0.21445678810476226</v>
      </c>
    </row>
    <row r="87" spans="1:8" x14ac:dyDescent="0.25">
      <c r="A87" s="24" t="s">
        <v>553</v>
      </c>
      <c r="B87" s="24"/>
      <c r="C87" s="24"/>
      <c r="D87" s="24"/>
      <c r="E87" s="24"/>
      <c r="F87" s="24"/>
      <c r="G87" s="24"/>
      <c r="H87" s="24"/>
    </row>
    <row r="88" spans="1:8" x14ac:dyDescent="0.25">
      <c r="A88" s="9" t="s">
        <v>514</v>
      </c>
      <c r="B88" s="168">
        <f>B24</f>
        <v>46387</v>
      </c>
      <c r="C88" s="168">
        <f>C24</f>
        <v>46752</v>
      </c>
      <c r="D88" s="168">
        <f>D24</f>
        <v>47118</v>
      </c>
      <c r="E88" s="168">
        <f>E24</f>
        <v>47483</v>
      </c>
      <c r="F88" s="168">
        <f>F24</f>
        <v>47848</v>
      </c>
    </row>
    <row r="89" spans="1:8" x14ac:dyDescent="0.25">
      <c r="A89" t="s">
        <v>541</v>
      </c>
      <c r="B89" s="119">
        <f>B64</f>
        <v>614450.57098092244</v>
      </c>
      <c r="C89" s="119">
        <f>C64</f>
        <v>672912.72196893452</v>
      </c>
      <c r="D89" s="119">
        <f>D64</f>
        <v>731420.48337095184</v>
      </c>
      <c r="E89" s="119">
        <f>E64</f>
        <v>789017.47653526056</v>
      </c>
      <c r="F89" s="119">
        <f>F64</f>
        <v>844678.34393350454</v>
      </c>
    </row>
    <row r="90" spans="1:8" x14ac:dyDescent="0.25">
      <c r="A90" t="s">
        <v>554</v>
      </c>
      <c r="B90" s="109">
        <f>'AMZN - Reconciliation FY'!$B$40</f>
        <v>108690.52</v>
      </c>
      <c r="C90" s="109">
        <f>'AMZN - Reconciliation FY'!$B$40</f>
        <v>108690.52</v>
      </c>
      <c r="D90" s="109">
        <f>'AMZN - Reconciliation FY'!$B$40</f>
        <v>108690.52</v>
      </c>
      <c r="E90" s="109">
        <f>'AMZN - Reconciliation FY'!$B$40</f>
        <v>108690.52</v>
      </c>
      <c r="F90" s="109">
        <f>'AMZN - Reconciliation FY'!$B$40</f>
        <v>108690.52</v>
      </c>
    </row>
    <row r="91" spans="1:8" x14ac:dyDescent="0.25">
      <c r="A91" s="9" t="s">
        <v>555</v>
      </c>
      <c r="B91" s="147">
        <f>B89+B90</f>
        <v>723141.09098092245</v>
      </c>
      <c r="C91" s="147">
        <f>C89+C90</f>
        <v>781603.24196893454</v>
      </c>
      <c r="D91" s="147">
        <f>D89+D90</f>
        <v>840111.00337095186</v>
      </c>
      <c r="E91" s="147">
        <f>E89+E90</f>
        <v>897707.99653526058</v>
      </c>
      <c r="F91" s="147">
        <f>F89+F90</f>
        <v>953368.86393350456</v>
      </c>
    </row>
    <row r="92" spans="1:8" x14ac:dyDescent="0.25">
      <c r="A92" t="s">
        <v>565</v>
      </c>
      <c r="B92" s="109">
        <f>'AMZN - Reconciliation FY'!$B$47+'AMZN - Reconciliation FY'!$B$49</f>
        <v>152987</v>
      </c>
      <c r="C92" s="109">
        <f>'AMZN - Reconciliation FY'!$B$47+'AMZN - Reconciliation FY'!$B$49</f>
        <v>152987</v>
      </c>
      <c r="D92" s="109">
        <f>'AMZN - Reconciliation FY'!$B$47+'AMZN - Reconciliation FY'!$B$49</f>
        <v>152987</v>
      </c>
      <c r="E92" s="109">
        <f>'AMZN - Reconciliation FY'!$B$47+'AMZN - Reconciliation FY'!$B$49</f>
        <v>152987</v>
      </c>
      <c r="F92" s="109">
        <f>'AMZN - Reconciliation FY'!$B$47+'AMZN - Reconciliation FY'!$B$49</f>
        <v>152987</v>
      </c>
    </row>
    <row r="93" spans="1:8" x14ac:dyDescent="0.25">
      <c r="A93" t="s">
        <v>556</v>
      </c>
      <c r="B93" s="119">
        <f>B91-B92</f>
        <v>570154.09098092245</v>
      </c>
      <c r="C93" s="119">
        <f>C91-C92</f>
        <v>628616.24196893454</v>
      </c>
      <c r="D93" s="119">
        <f>D91-D92</f>
        <v>687124.00337095186</v>
      </c>
      <c r="E93" s="119">
        <f>E91-E92</f>
        <v>744720.99653526058</v>
      </c>
      <c r="F93" s="119">
        <f>F91-F92</f>
        <v>800381.86393350456</v>
      </c>
    </row>
    <row r="94" spans="1:8" x14ac:dyDescent="0.25">
      <c r="A94" t="s">
        <v>557</v>
      </c>
      <c r="B94" s="119">
        <f>B91-(B92+B93)</f>
        <v>0</v>
      </c>
      <c r="C94" s="119">
        <f>C91-(C92+C93)</f>
        <v>0</v>
      </c>
      <c r="D94" s="119">
        <f>D91-(D92+D93)</f>
        <v>0</v>
      </c>
      <c r="E94" s="119">
        <f>E91-(E92+E93)</f>
        <v>0</v>
      </c>
      <c r="F94" s="119">
        <f>F91-(F92+F93)</f>
        <v>0</v>
      </c>
    </row>
    <row r="96" spans="1:8" x14ac:dyDescent="0.25">
      <c r="A96" s="24" t="s">
        <v>558</v>
      </c>
      <c r="B96" s="24"/>
      <c r="C96" s="24"/>
      <c r="D96" s="24"/>
      <c r="E96" s="24"/>
      <c r="F96" s="24"/>
      <c r="G96" s="24"/>
      <c r="H96" s="24"/>
    </row>
    <row r="97" spans="1:11" x14ac:dyDescent="0.25">
      <c r="A97" s="9" t="s">
        <v>559</v>
      </c>
      <c r="B97" s="168">
        <f>B24</f>
        <v>46387</v>
      </c>
      <c r="C97" s="168">
        <f>C24</f>
        <v>46752</v>
      </c>
      <c r="D97" s="168">
        <f>D24</f>
        <v>47118</v>
      </c>
      <c r="E97" s="168">
        <f>E24</f>
        <v>47483</v>
      </c>
      <c r="F97" s="168">
        <f>F24</f>
        <v>47848</v>
      </c>
    </row>
    <row r="98" spans="1:11" x14ac:dyDescent="0.25">
      <c r="A98" t="s">
        <v>259</v>
      </c>
      <c r="B98" s="119">
        <f>B40</f>
        <v>72813.516644944029</v>
      </c>
      <c r="C98" s="119">
        <f>C40</f>
        <v>79549.840295991831</v>
      </c>
      <c r="D98" s="119">
        <f>D40</f>
        <v>86252.904863809468</v>
      </c>
      <c r="E98" s="119">
        <f>E40</f>
        <v>92808.664686771197</v>
      </c>
      <c r="F98" s="119">
        <f>F40</f>
        <v>99096.076057778148</v>
      </c>
    </row>
    <row r="99" spans="1:11" x14ac:dyDescent="0.25">
      <c r="A99" t="s">
        <v>560</v>
      </c>
      <c r="B99" s="109">
        <f>AVERAGE(B64,'AMZN - Reconciliation FY'!$B$32)</f>
        <v>585675.02549046115</v>
      </c>
      <c r="C99" s="119">
        <f>AVERAGE(C64,B64)</f>
        <v>643681.64647492848</v>
      </c>
      <c r="D99" s="119">
        <f>AVERAGE(D64,C64)</f>
        <v>702166.60266994312</v>
      </c>
      <c r="E99" s="119">
        <f>AVERAGE(E64,D64)</f>
        <v>760218.97995310626</v>
      </c>
      <c r="F99" s="119">
        <f>AVERAGE(F64,E64)</f>
        <v>816847.91023438261</v>
      </c>
    </row>
    <row r="100" spans="1:11" x14ac:dyDescent="0.25">
      <c r="A100" s="9" t="s">
        <v>561</v>
      </c>
      <c r="B100" s="137">
        <f>B98/B99</f>
        <v>0.12432409352604354</v>
      </c>
      <c r="C100" s="137">
        <f>C98/C99</f>
        <v>0.12358568980743855</v>
      </c>
      <c r="D100" s="137">
        <f>D98/D99</f>
        <v>0.12283823317121374</v>
      </c>
      <c r="E100" s="137">
        <f>E98/E99</f>
        <v>0.12208148853702135</v>
      </c>
      <c r="F100" s="137">
        <f>F98/F99</f>
        <v>0.12131521035457381</v>
      </c>
    </row>
    <row r="101" spans="1:11" x14ac:dyDescent="0.25">
      <c r="A101" t="s">
        <v>311</v>
      </c>
      <c r="B101" s="109">
        <f>B64-'AMZN - Reconciliation FY'!$B$32</f>
        <v>57551.090980922454</v>
      </c>
      <c r="C101" s="119">
        <f>C64-B64</f>
        <v>58462.150988012087</v>
      </c>
      <c r="D101" s="119">
        <f>D64-C64</f>
        <v>58507.761402017321</v>
      </c>
      <c r="E101" s="119">
        <f>E64-D64</f>
        <v>57596.993164308718</v>
      </c>
      <c r="F101" s="119">
        <f>F64-E64</f>
        <v>55660.86739824398</v>
      </c>
    </row>
    <row r="102" spans="1:11" x14ac:dyDescent="0.25">
      <c r="A102" t="s">
        <v>312</v>
      </c>
      <c r="B102" s="113">
        <f>IFERROR((B98-'AMZN - Reconciliation FY'!$B$56)/B101,"")</f>
        <v>0.16738634282601783</v>
      </c>
      <c r="C102" s="134">
        <f>IFERROR((C98-B98)/C101,"")</f>
        <v>0.1152253815024547</v>
      </c>
      <c r="D102" s="134">
        <f>IFERROR((D98-C98)/D101,"")</f>
        <v>0.11456710028195538</v>
      </c>
      <c r="E102" s="134">
        <f>IFERROR((E98-D98)/E101,"")</f>
        <v>0.11382121640030601</v>
      </c>
      <c r="F102" s="134">
        <f>IFERROR((F98-E98)/F101,"")</f>
        <v>0.11295927758404478</v>
      </c>
    </row>
    <row r="103" spans="1:11" x14ac:dyDescent="0.25">
      <c r="A103" t="s">
        <v>562</v>
      </c>
      <c r="B103" s="134">
        <f>IFERROR(B101/B98,"")</f>
        <v>0.79039021369555895</v>
      </c>
      <c r="C103" s="134">
        <f>IFERROR(C101/C98,"")</f>
        <v>0.73491223578179499</v>
      </c>
      <c r="D103" s="134">
        <f>IFERROR(D101/D98,"")</f>
        <v>0.67832801103219853</v>
      </c>
      <c r="E103" s="134">
        <f>IFERROR(E101/E98,"")</f>
        <v>0.62059930889748605</v>
      </c>
      <c r="F103" s="134">
        <f>IFERROR(F101/F98,"")</f>
        <v>0.56168588719689372</v>
      </c>
    </row>
    <row r="104" spans="1:11" x14ac:dyDescent="0.25">
      <c r="A104" s="9" t="s">
        <v>563</v>
      </c>
      <c r="B104" s="137">
        <f>IFERROR(B102*B103,"")</f>
        <v>0.13230052727597433</v>
      </c>
      <c r="C104" s="137">
        <f>IFERROR(C102*C103,"")</f>
        <v>8.4680542738779271E-2</v>
      </c>
      <c r="D104" s="137">
        <f>IFERROR(D102*D103,"")</f>
        <v>7.7714073263985231E-2</v>
      </c>
      <c r="E104" s="137">
        <f>IFERROR(E102*E103,"")</f>
        <v>7.063736823590111E-2</v>
      </c>
      <c r="F104" s="137">
        <f>IFERROR(F102*F103,"")</f>
        <v>6.3447632046914379E-2</v>
      </c>
    </row>
    <row r="105" spans="1:11" x14ac:dyDescent="0.25">
      <c r="A105" t="s">
        <v>564</v>
      </c>
      <c r="B105" s="113">
        <f>IFERROR(B25/'AMZN - Income Statement FY'!$B$7-1,"")</f>
        <v>0.11717500000000003</v>
      </c>
      <c r="C105" s="134">
        <f>IFERROR(C25/B25-1,"")</f>
        <v>0.10905000000000009</v>
      </c>
      <c r="D105" s="134">
        <f>IFERROR(D25/C25-1,"")</f>
        <v>0.10092500000000015</v>
      </c>
      <c r="E105" s="134">
        <f>IFERROR(E25/D25-1,"")</f>
        <v>9.2799999999999994E-2</v>
      </c>
      <c r="F105" s="134">
        <f>IFERROR(F25/E25-1,"")</f>
        <v>8.4675000000000278E-2</v>
      </c>
    </row>
    <row r="107" spans="1:11" x14ac:dyDescent="0.25">
      <c r="A107" s="24" t="s">
        <v>600</v>
      </c>
      <c r="B107" s="24"/>
      <c r="C107" s="24"/>
      <c r="D107" s="24"/>
      <c r="E107" s="24"/>
      <c r="F107" s="24"/>
      <c r="G107" s="24"/>
      <c r="H107" s="24"/>
      <c r="I107" s="24"/>
      <c r="J107" s="24"/>
      <c r="K107" s="24"/>
    </row>
    <row r="108" spans="1:11" x14ac:dyDescent="0.25">
      <c r="A108" t="s">
        <v>601</v>
      </c>
      <c r="B108" s="146">
        <f>F33</f>
        <v>0.10821460087542072</v>
      </c>
    </row>
    <row r="109" spans="1:11" x14ac:dyDescent="0.25">
      <c r="A109" t="s">
        <v>602</v>
      </c>
      <c r="B109" s="169">
        <f>F25/F64</f>
        <v>1.3723097371229818</v>
      </c>
    </row>
    <row r="110" spans="1:11" x14ac:dyDescent="0.25">
      <c r="A110" s="9" t="s">
        <v>573</v>
      </c>
      <c r="B110" s="168">
        <f>EDATE(F24,12)</f>
        <v>48213</v>
      </c>
      <c r="C110" s="168">
        <f t="shared" ref="C110:K110" si="3">EDATE(B110,12)</f>
        <v>48579</v>
      </c>
      <c r="D110" s="168">
        <f t="shared" si="3"/>
        <v>48944</v>
      </c>
      <c r="E110" s="168">
        <f t="shared" si="3"/>
        <v>49309</v>
      </c>
      <c r="F110" s="168">
        <f t="shared" si="3"/>
        <v>49674</v>
      </c>
      <c r="G110" s="168">
        <f t="shared" si="3"/>
        <v>50040</v>
      </c>
      <c r="H110" s="168">
        <f t="shared" si="3"/>
        <v>50405</v>
      </c>
      <c r="I110" s="168">
        <f t="shared" si="3"/>
        <v>50770</v>
      </c>
      <c r="J110" s="168">
        <f t="shared" si="3"/>
        <v>51135</v>
      </c>
      <c r="K110" s="168">
        <f t="shared" si="3"/>
        <v>51501</v>
      </c>
    </row>
    <row r="111" spans="1:11" x14ac:dyDescent="0.25">
      <c r="A111" t="s">
        <v>603</v>
      </c>
      <c r="B111" s="113">
        <f>('AMZN Rev Drivers &amp; Forecast'!$B$8+('AMZN Rev Drivers &amp; Forecast'!$B$7-'AMZN Rev Drivers &amp; Forecast'!$B$8)*MIN(6/'AMZN Rev Drivers &amp; Forecast'!$B$10,1))+'AMZN Rev Drivers &amp; Forecast'!$B$4</f>
        <v>7.6550000000000007E-2</v>
      </c>
      <c r="C111" s="113">
        <f>('AMZN Rev Drivers &amp; Forecast'!$B$8+('AMZN Rev Drivers &amp; Forecast'!$B$7-'AMZN Rev Drivers &amp; Forecast'!$B$8)*MIN(7/'AMZN Rev Drivers &amp; Forecast'!$B$10,1))+'AMZN Rev Drivers &amp; Forecast'!$B$4</f>
        <v>6.8425000000000014E-2</v>
      </c>
      <c r="D111" s="113">
        <f>('AMZN Rev Drivers &amp; Forecast'!$B$8+('AMZN Rev Drivers &amp; Forecast'!$B$7-'AMZN Rev Drivers &amp; Forecast'!$B$8)*MIN(8/'AMZN Rev Drivers &amp; Forecast'!$B$10,1))+'AMZN Rev Drivers &amp; Forecast'!$B$4</f>
        <v>6.0300000000000006E-2</v>
      </c>
      <c r="E111" s="113">
        <f>('AMZN Rev Drivers &amp; Forecast'!$B$8+('AMZN Rev Drivers &amp; Forecast'!$B$7-'AMZN Rev Drivers &amp; Forecast'!$B$8)*MIN(9/'AMZN Rev Drivers &amp; Forecast'!$B$10,1))+'AMZN Rev Drivers &amp; Forecast'!$B$4</f>
        <v>6.0300000000000006E-2</v>
      </c>
      <c r="F111" s="113">
        <f>('AMZN Rev Drivers &amp; Forecast'!$B$8+('AMZN Rev Drivers &amp; Forecast'!$B$7-'AMZN Rev Drivers &amp; Forecast'!$B$8)*MIN(10/'AMZN Rev Drivers &amp; Forecast'!$B$10,1))+'AMZN Rev Drivers &amp; Forecast'!$B$4</f>
        <v>6.0300000000000006E-2</v>
      </c>
      <c r="G111" s="113">
        <f>('AMZN Rev Drivers &amp; Forecast'!$B$8+('AMZN Rev Drivers &amp; Forecast'!$B$7-'AMZN Rev Drivers &amp; Forecast'!$B$8)*MIN(11/'AMZN Rev Drivers &amp; Forecast'!$B$10,1))+'AMZN Rev Drivers &amp; Forecast'!$B$4</f>
        <v>6.0300000000000006E-2</v>
      </c>
      <c r="H111" s="113">
        <f>('AMZN Rev Drivers &amp; Forecast'!$B$8+('AMZN Rev Drivers &amp; Forecast'!$B$7-'AMZN Rev Drivers &amp; Forecast'!$B$8)*MIN(12/'AMZN Rev Drivers &amp; Forecast'!$B$10,1))+'AMZN Rev Drivers &amp; Forecast'!$B$4</f>
        <v>6.0300000000000006E-2</v>
      </c>
      <c r="I111" s="113">
        <f>('AMZN Rev Drivers &amp; Forecast'!$B$8+('AMZN Rev Drivers &amp; Forecast'!$B$7-'AMZN Rev Drivers &amp; Forecast'!$B$8)*MIN(13/'AMZN Rev Drivers &amp; Forecast'!$B$10,1))+'AMZN Rev Drivers &amp; Forecast'!$B$4</f>
        <v>6.0300000000000006E-2</v>
      </c>
      <c r="J111" s="113">
        <f>('AMZN Rev Drivers &amp; Forecast'!$B$8+('AMZN Rev Drivers &amp; Forecast'!$B$7-'AMZN Rev Drivers &amp; Forecast'!$B$8)*MIN(14/'AMZN Rev Drivers &amp; Forecast'!$B$10,1))+'AMZN Rev Drivers &amp; Forecast'!$B$4</f>
        <v>6.0300000000000006E-2</v>
      </c>
      <c r="K111" s="113">
        <f>('AMZN Rev Drivers &amp; Forecast'!$B$8+('AMZN Rev Drivers &amp; Forecast'!$B$7-'AMZN Rev Drivers &amp; Forecast'!$B$8)*MIN(15/'AMZN Rev Drivers &amp; Forecast'!$B$10,1))+'AMZN Rev Drivers &amp; Forecast'!$B$4</f>
        <v>6.0300000000000006E-2</v>
      </c>
    </row>
    <row r="112" spans="1:11" x14ac:dyDescent="0.25">
      <c r="A112" t="s">
        <v>31</v>
      </c>
      <c r="B112" s="119">
        <f>F25*(1+B111)</f>
        <v>1247894.0383156091</v>
      </c>
      <c r="C112" s="119">
        <f t="shared" ref="C112:K112" si="4">B112*(1+C111)</f>
        <v>1333281.1878873545</v>
      </c>
      <c r="D112" s="119">
        <f t="shared" si="4"/>
        <v>1413678.0435169621</v>
      </c>
      <c r="E112" s="119">
        <f t="shared" si="4"/>
        <v>1498922.829541035</v>
      </c>
      <c r="F112" s="119">
        <f t="shared" si="4"/>
        <v>1589307.8761623595</v>
      </c>
      <c r="G112" s="119">
        <f t="shared" si="4"/>
        <v>1685143.1410949498</v>
      </c>
      <c r="H112" s="119">
        <f t="shared" si="4"/>
        <v>1786757.2725029753</v>
      </c>
      <c r="I112" s="119">
        <f t="shared" si="4"/>
        <v>1894498.7360349048</v>
      </c>
      <c r="J112" s="119">
        <f t="shared" si="4"/>
        <v>2008737.0098178096</v>
      </c>
      <c r="K112" s="119">
        <f t="shared" si="4"/>
        <v>2129863.8515098235</v>
      </c>
    </row>
    <row r="113" spans="1:11" x14ac:dyDescent="0.25">
      <c r="A113" t="s">
        <v>320</v>
      </c>
      <c r="B113" s="134">
        <f>$B$108+IF('Valuation Dashboard'!$B$151="Yes",'AMZN - Reconciliation FY'!$B$152,0)</f>
        <v>0.11345491365613387</v>
      </c>
      <c r="C113" s="134">
        <f>$B$108+IF('Valuation Dashboard'!$B$151="Yes",'AMZN - Reconciliation FY'!$B$152,0)</f>
        <v>0.11345491365613387</v>
      </c>
      <c r="D113" s="134">
        <f>$B$108+IF('Valuation Dashboard'!$B$151="Yes",'AMZN - Reconciliation FY'!$B$152,0)</f>
        <v>0.11345491365613387</v>
      </c>
      <c r="E113" s="134">
        <f>$B$108+IF('Valuation Dashboard'!$B$151="Yes",'AMZN - Reconciliation FY'!$B$152,0)</f>
        <v>0.11345491365613387</v>
      </c>
      <c r="F113" s="134">
        <f>$B$108+IF('Valuation Dashboard'!$B$151="Yes",'AMZN - Reconciliation FY'!$B$152,0)</f>
        <v>0.11345491365613387</v>
      </c>
      <c r="G113" s="134">
        <f>$B$108+IF('Valuation Dashboard'!$B$151="Yes",'AMZN - Reconciliation FY'!$B$152,0)</f>
        <v>0.11345491365613387</v>
      </c>
      <c r="H113" s="134">
        <f>$B$108+IF('Valuation Dashboard'!$B$151="Yes",'AMZN - Reconciliation FY'!$B$152,0)</f>
        <v>0.11345491365613387</v>
      </c>
      <c r="I113" s="134">
        <f>$B$108+IF('Valuation Dashboard'!$B$151="Yes",'AMZN - Reconciliation FY'!$B$152,0)</f>
        <v>0.11345491365613387</v>
      </c>
      <c r="J113" s="134">
        <f>$B$108+IF('Valuation Dashboard'!$B$151="Yes",'AMZN - Reconciliation FY'!$B$152,0)</f>
        <v>0.11345491365613387</v>
      </c>
      <c r="K113" s="134">
        <f>$B$108+IF('Valuation Dashboard'!$B$151="Yes",'AMZN - Reconciliation FY'!$B$152,0)</f>
        <v>0.11345491365613387</v>
      </c>
    </row>
    <row r="114" spans="1:11" x14ac:dyDescent="0.25">
      <c r="A114" t="s">
        <v>522</v>
      </c>
      <c r="B114" s="119">
        <f t="shared" ref="B114:K114" si="5">B112*B113</f>
        <v>141579.71036910164</v>
      </c>
      <c r="C114" s="119">
        <f t="shared" si="5"/>
        <v>151267.3020511074</v>
      </c>
      <c r="D114" s="119">
        <f t="shared" si="5"/>
        <v>160388.72036478919</v>
      </c>
      <c r="E114" s="119">
        <f t="shared" si="5"/>
        <v>170060.16020278601</v>
      </c>
      <c r="F114" s="119">
        <f t="shared" si="5"/>
        <v>180314.787863014</v>
      </c>
      <c r="G114" s="119">
        <f t="shared" si="5"/>
        <v>191187.76957115374</v>
      </c>
      <c r="H114" s="119">
        <f t="shared" si="5"/>
        <v>202716.39207629432</v>
      </c>
      <c r="I114" s="119">
        <f t="shared" si="5"/>
        <v>214940.1905184949</v>
      </c>
      <c r="J114" s="119">
        <f t="shared" si="5"/>
        <v>227901.08400676012</v>
      </c>
      <c r="K114" s="119">
        <f t="shared" si="5"/>
        <v>241643.51937236777</v>
      </c>
    </row>
    <row r="115" spans="1:11" x14ac:dyDescent="0.25">
      <c r="A115" t="s">
        <v>259</v>
      </c>
      <c r="B115" s="119">
        <f t="shared" ref="B115:K115" si="6">B114*(1-$B$2)</f>
        <v>111847.9711915903</v>
      </c>
      <c r="C115" s="119">
        <f t="shared" si="6"/>
        <v>119501.16862037485</v>
      </c>
      <c r="D115" s="119">
        <f t="shared" si="6"/>
        <v>126707.08908818346</v>
      </c>
      <c r="E115" s="119">
        <f t="shared" si="6"/>
        <v>134347.52656020096</v>
      </c>
      <c r="F115" s="119">
        <f t="shared" si="6"/>
        <v>142448.68241178108</v>
      </c>
      <c r="G115" s="119">
        <f t="shared" si="6"/>
        <v>151038.33796121145</v>
      </c>
      <c r="H115" s="119">
        <f t="shared" si="6"/>
        <v>160145.94974027251</v>
      </c>
      <c r="I115" s="119">
        <f t="shared" si="6"/>
        <v>169802.75050961098</v>
      </c>
      <c r="J115" s="119">
        <f t="shared" si="6"/>
        <v>180041.8563653405</v>
      </c>
      <c r="K115" s="119">
        <f t="shared" si="6"/>
        <v>190898.38030417054</v>
      </c>
    </row>
    <row r="116" spans="1:11" x14ac:dyDescent="0.25">
      <c r="A116" t="s">
        <v>541</v>
      </c>
      <c r="B116" s="119">
        <f t="shared" ref="B116:K116" si="7">B112/$B$109</f>
        <v>909338.47116161429</v>
      </c>
      <c r="C116" s="119">
        <f t="shared" si="7"/>
        <v>971559.95605084766</v>
      </c>
      <c r="D116" s="119">
        <f t="shared" si="7"/>
        <v>1030145.0214007138</v>
      </c>
      <c r="E116" s="119">
        <f t="shared" si="7"/>
        <v>1092262.7661911771</v>
      </c>
      <c r="F116" s="119">
        <f t="shared" si="7"/>
        <v>1158126.2109925051</v>
      </c>
      <c r="G116" s="119">
        <f t="shared" si="7"/>
        <v>1227961.2215153531</v>
      </c>
      <c r="H116" s="119">
        <f t="shared" si="7"/>
        <v>1302007.283172729</v>
      </c>
      <c r="I116" s="119">
        <f t="shared" si="7"/>
        <v>1380518.3223480445</v>
      </c>
      <c r="J116" s="119">
        <f t="shared" si="7"/>
        <v>1463763.5771856317</v>
      </c>
      <c r="K116" s="119">
        <f t="shared" si="7"/>
        <v>1552028.5208899253</v>
      </c>
    </row>
    <row r="117" spans="1:11" x14ac:dyDescent="0.25">
      <c r="A117" t="s">
        <v>604</v>
      </c>
      <c r="B117" s="119">
        <f>B116-F64</f>
        <v>64660.127228109748</v>
      </c>
      <c r="C117" s="119">
        <f t="shared" ref="C117:K117" si="8">C116-B116</f>
        <v>62221.484889233368</v>
      </c>
      <c r="D117" s="119">
        <f t="shared" si="8"/>
        <v>58585.06534986617</v>
      </c>
      <c r="E117" s="119">
        <f t="shared" si="8"/>
        <v>62117.744790463243</v>
      </c>
      <c r="F117" s="119">
        <f t="shared" si="8"/>
        <v>65863.444801328005</v>
      </c>
      <c r="G117" s="119">
        <f t="shared" si="8"/>
        <v>69835.010522847995</v>
      </c>
      <c r="H117" s="119">
        <f t="shared" si="8"/>
        <v>74046.061657375889</v>
      </c>
      <c r="I117" s="119">
        <f t="shared" si="8"/>
        <v>78511.039175315527</v>
      </c>
      <c r="J117" s="119">
        <f t="shared" si="8"/>
        <v>83245.254837587243</v>
      </c>
      <c r="K117" s="119">
        <f t="shared" si="8"/>
        <v>88264.943704293575</v>
      </c>
    </row>
    <row r="118" spans="1:11" x14ac:dyDescent="0.25">
      <c r="A118" s="9" t="s">
        <v>270</v>
      </c>
      <c r="B118" s="147">
        <f t="shared" ref="B118:K118" si="9">B115-B117</f>
        <v>47187.843963480555</v>
      </c>
      <c r="C118" s="147">
        <f t="shared" si="9"/>
        <v>57279.683731141486</v>
      </c>
      <c r="D118" s="147">
        <f t="shared" si="9"/>
        <v>68122.023738317293</v>
      </c>
      <c r="E118" s="147">
        <f t="shared" si="9"/>
        <v>72229.781769737718</v>
      </c>
      <c r="F118" s="147">
        <f t="shared" si="9"/>
        <v>76585.23761045307</v>
      </c>
      <c r="G118" s="147">
        <f t="shared" si="9"/>
        <v>81203.327438363456</v>
      </c>
      <c r="H118" s="147">
        <f t="shared" si="9"/>
        <v>86099.888082896621</v>
      </c>
      <c r="I118" s="147">
        <f t="shared" si="9"/>
        <v>91291.711334295454</v>
      </c>
      <c r="J118" s="147">
        <f t="shared" si="9"/>
        <v>96796.601527753257</v>
      </c>
      <c r="K118" s="147">
        <f t="shared" si="9"/>
        <v>102633.43659987696</v>
      </c>
    </row>
  </sheetData>
  <pageMargins left="0.7" right="0.7" top="0.75" bottom="0.75" header="0.3" footer="0.3"/>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402032-1152-4148-A90A-F1613A4CF209}">
  <sheetPr>
    <tabColor rgb="FFB4C6E7"/>
  </sheetPr>
  <dimension ref="A1:K118"/>
  <sheetViews>
    <sheetView workbookViewId="0">
      <selection sqref="A1:XFD1048576"/>
    </sheetView>
  </sheetViews>
  <sheetFormatPr defaultRowHeight="15" x14ac:dyDescent="0.25"/>
  <cols>
    <col min="1" max="1" width="53.85546875" bestFit="1" customWidth="1"/>
    <col min="2" max="3" width="10.140625" bestFit="1" customWidth="1"/>
    <col min="4" max="4" width="11.5703125" bestFit="1" customWidth="1"/>
    <col min="5" max="5" width="14.5703125" bestFit="1" customWidth="1"/>
    <col min="6" max="6" width="10.140625" bestFit="1" customWidth="1"/>
    <col min="7" max="8" width="9.42578125" bestFit="1" customWidth="1"/>
  </cols>
  <sheetData>
    <row r="1" spans="1:8" ht="15.75" x14ac:dyDescent="0.25">
      <c r="A1" s="15" t="s">
        <v>529</v>
      </c>
    </row>
    <row r="2" spans="1:8" x14ac:dyDescent="0.25">
      <c r="A2" t="s">
        <v>337</v>
      </c>
      <c r="B2" s="76">
        <f>'Valuation Dashboard'!$B$12</f>
        <v>0.21</v>
      </c>
    </row>
    <row r="3" spans="1:8" x14ac:dyDescent="0.25">
      <c r="A3" t="s">
        <v>551</v>
      </c>
      <c r="B3" s="50">
        <v>10</v>
      </c>
    </row>
    <row r="4" spans="1:8" x14ac:dyDescent="0.25">
      <c r="A4" s="24" t="s">
        <v>505</v>
      </c>
      <c r="B4" s="24"/>
      <c r="C4" s="24"/>
      <c r="D4" s="24"/>
      <c r="E4" s="24"/>
      <c r="F4" s="24"/>
      <c r="G4" s="24"/>
      <c r="H4" s="24"/>
    </row>
    <row r="5" spans="1:8" x14ac:dyDescent="0.25">
      <c r="A5" s="9" t="s">
        <v>506</v>
      </c>
      <c r="B5" s="167">
        <f>'NVDA - Income Statement FY'!B5</f>
        <v>46047</v>
      </c>
      <c r="C5" s="167">
        <f>'NVDA - Income Statement FY'!C5</f>
        <v>45683</v>
      </c>
      <c r="D5" s="167">
        <f>'NVDA - Income Statement FY'!D5</f>
        <v>45319</v>
      </c>
      <c r="E5" s="167">
        <f>'NVDA - Income Statement FY'!E5</f>
        <v>44955</v>
      </c>
      <c r="F5" s="167">
        <f>'NVDA - Income Statement FY'!F5</f>
        <v>44591</v>
      </c>
      <c r="G5" s="167">
        <f>'NVDA - Income Statement FY'!G5</f>
        <v>44227</v>
      </c>
      <c r="H5" s="167">
        <f>'NVDA - Income Statement FY'!H5</f>
        <v>43856</v>
      </c>
    </row>
    <row r="6" spans="1:8" x14ac:dyDescent="0.25">
      <c r="A6" t="s">
        <v>507</v>
      </c>
      <c r="B6" s="113">
        <f>IFERROR('NVDA - Income Statement FY'!B9/'NVDA - Income Statement FY'!B7,"")</f>
        <v>0.28931915642452927</v>
      </c>
      <c r="C6" s="113">
        <f>IFERROR('NVDA - Income Statement FY'!C9/'NVDA - Income Statement FY'!C7,"")</f>
        <v>0.25011302941830083</v>
      </c>
      <c r="D6" s="113">
        <f>IFERROR('NVDA - Income Statement FY'!D9/'NVDA - Income Statement FY'!D7,"")</f>
        <v>0.27282426709563046</v>
      </c>
      <c r="E6" s="113">
        <f>IFERROR('NVDA - Income Statement FY'!E9/'NVDA - Income Statement FY'!E7,"")</f>
        <v>0.43071105509008673</v>
      </c>
      <c r="F6" s="113">
        <f>IFERROR('NVDA - Income Statement FY'!F9/'NVDA - Income Statement FY'!F7,"")</f>
        <v>0.35070966783086871</v>
      </c>
      <c r="G6" s="113">
        <f>IFERROR('NVDA - Income Statement FY'!G9/'NVDA - Income Statement FY'!G7,"")</f>
        <v>0.37655172413793103</v>
      </c>
      <c r="H6" s="113">
        <f>IFERROR('NVDA - Income Statement FY'!H9/'NVDA - Income Statement FY'!H7,"")</f>
        <v>0.38010624656530501</v>
      </c>
    </row>
    <row r="7" spans="1:8" x14ac:dyDescent="0.25">
      <c r="A7" t="s">
        <v>318</v>
      </c>
      <c r="B7" s="113">
        <f>IFERROR('NVDA - Income Statement FY'!B13/'NVDA - Income Statement FY'!B7,"")</f>
        <v>8.5658846520760584E-2</v>
      </c>
      <c r="C7" s="113">
        <f>IFERROR('NVDA - Income Statement FY'!C13/'NVDA - Income Statement FY'!C7,"")</f>
        <v>9.8960129351632606E-2</v>
      </c>
      <c r="D7" s="113">
        <f>IFERROR('NVDA - Income Statement FY'!D13/'NVDA - Income Statement FY'!D7,"")</f>
        <v>0.14239519385443683</v>
      </c>
      <c r="E7" s="113">
        <f>IFERROR('NVDA - Income Statement FY'!E13/'NVDA - Income Statement FY'!E7,"")</f>
        <v>0.27207681471046191</v>
      </c>
      <c r="F7" s="113">
        <f>IFERROR('NVDA - Income Statement FY'!F13/'NVDA - Income Statement FY'!F7,"")</f>
        <v>0.19573456193802483</v>
      </c>
      <c r="G7" s="113">
        <f>IFERROR('NVDA - Income Statement FY'!G13/'NVDA - Income Statement FY'!G7,"")</f>
        <v>0.2353223388305847</v>
      </c>
      <c r="H7" s="113">
        <f>IFERROR('NVDA - Income Statement FY'!H13/'NVDA - Income Statement FY'!H7,"")</f>
        <v>0.25911339073090311</v>
      </c>
    </row>
    <row r="8" spans="1:8" x14ac:dyDescent="0.25">
      <c r="A8" t="s">
        <v>319</v>
      </c>
      <c r="B8" s="113">
        <f>IFERROR('NVDA - Income Statement FY'!B14/'NVDA - Income Statement FY'!B7,"")</f>
        <v>2.1205160740582946E-2</v>
      </c>
      <c r="C8" s="113">
        <f>IFERROR('NVDA - Income Statement FY'!C14/'NVDA - Income Statement FY'!C7,"")</f>
        <v>2.6751572833091947E-2</v>
      </c>
      <c r="D8" s="113">
        <f>IFERROR('NVDA - Income Statement FY'!D14/'NVDA - Income Statement FY'!D7,"")</f>
        <v>4.3563901382095135E-2</v>
      </c>
      <c r="E8" s="113">
        <f>IFERROR('NVDA - Income Statement FY'!E14/'NVDA - Income Statement FY'!E7,"")</f>
        <v>9.0457477570994288E-2</v>
      </c>
      <c r="F8" s="113">
        <f>IFERROR('NVDA - Income Statement FY'!F14/'NVDA - Income Statement FY'!F7,"")</f>
        <v>8.0478561343538674E-2</v>
      </c>
      <c r="G8" s="113">
        <f>IFERROR('NVDA - Income Statement FY'!G14/'NVDA - Income Statement FY'!G7,"")</f>
        <v>0.11634182908545727</v>
      </c>
      <c r="H8" s="113">
        <f>IFERROR('NVDA - Income Statement FY'!H14/'NVDA - Income Statement FY'!H7,"")</f>
        <v>0.10010991023997069</v>
      </c>
    </row>
    <row r="9" spans="1:8" x14ac:dyDescent="0.25">
      <c r="A9" t="s">
        <v>508</v>
      </c>
      <c r="B9" s="113">
        <f>IFERROR('NVDA - Income Statement FY'!B17/'NVDA - Income Statement FY'!B7,"")</f>
        <v>0</v>
      </c>
      <c r="C9" s="113">
        <f>IFERROR('NVDA - Income Statement FY'!C17/'NVDA - Income Statement FY'!C7,"")</f>
        <v>0</v>
      </c>
      <c r="D9" s="113">
        <f>IFERROR('NVDA - Income Statement FY'!D17/'NVDA - Income Statement FY'!D7,"")</f>
        <v>0</v>
      </c>
      <c r="E9" s="113">
        <f>IFERROR('NVDA - Income Statement FY'!E17/'NVDA - Income Statement FY'!E7,"")</f>
        <v>0</v>
      </c>
      <c r="F9" s="113">
        <f>IFERROR('NVDA - Income Statement FY'!F17/'NVDA - Income Statement FY'!F7,"")</f>
        <v>0</v>
      </c>
      <c r="G9" s="113">
        <f>IFERROR('NVDA - Income Statement FY'!G17/'NVDA - Income Statement FY'!G7,"")</f>
        <v>0</v>
      </c>
      <c r="H9" s="113">
        <f>IFERROR('NVDA - Income Statement FY'!H17/'NVDA - Income Statement FY'!H7,"")</f>
        <v>0</v>
      </c>
    </row>
    <row r="10" spans="1:8" x14ac:dyDescent="0.25">
      <c r="A10" t="s">
        <v>509</v>
      </c>
      <c r="B10" s="113">
        <f>IFERROR('NVDA - Cash Flow FY'!B8/'NVDA - Balance Sheet FY'!B15,"")</f>
        <v>0.27381296349802564</v>
      </c>
      <c r="C10" s="113">
        <f>IFERROR('NVDA - Cash Flow FY'!C8/'NVDA - Balance Sheet FY'!C15,"")</f>
        <v>0.29667356358427505</v>
      </c>
      <c r="D10" s="113">
        <f>IFERROR('NVDA - Cash Flow FY'!D8/'NVDA - Balance Sheet FY'!D15,"")</f>
        <v>0.38528359734287176</v>
      </c>
      <c r="E10" s="113">
        <f>IFERROR('NVDA - Cash Flow FY'!E8/'NVDA - Balance Sheet FY'!E15,"")</f>
        <v>0.40556868925663253</v>
      </c>
      <c r="F10" s="113">
        <f>IFERROR('NVDA - Cash Flow FY'!F8/'NVDA - Balance Sheet FY'!F15,"")</f>
        <v>0.42260619150467965</v>
      </c>
      <c r="G10" s="113">
        <f>IFERROR('NVDA - Cash Flow FY'!G8/'NVDA - Balance Sheet FY'!G15,"")</f>
        <v>0.51093531875290832</v>
      </c>
      <c r="H10" s="113">
        <f>IFERROR('NVDA - Cash Flow FY'!H8/'NVDA - Balance Sheet FY'!H15,"")</f>
        <v>0.22759856630824374</v>
      </c>
    </row>
    <row r="11" spans="1:8" x14ac:dyDescent="0.25">
      <c r="A11" t="s">
        <v>510</v>
      </c>
      <c r="B11" s="113">
        <f>IF('NVDA - Balance Sheet FY'!B51=0,"",'NVDA - Income Statement FY'!B23/'NVDA - Balance Sheet FY'!B51)</f>
        <v>3.0585734529995277E-2</v>
      </c>
      <c r="C11" s="113">
        <f>IF('NVDA - Balance Sheet FY'!C51=0,"",'NVDA - Income Statement FY'!C23/'NVDA - Balance Sheet FY'!C51)</f>
        <v>2.9185867895545316E-2</v>
      </c>
      <c r="D11" s="113">
        <f>IF('NVDA - Balance Sheet FY'!D51=0,"",'NVDA - Income Statement FY'!D23/'NVDA - Balance Sheet FY'!D51)</f>
        <v>2.6470285302296837E-2</v>
      </c>
      <c r="E11" s="113">
        <f>IF('NVDA - Balance Sheet FY'!E51=0,"",'NVDA - Income Statement FY'!E23/'NVDA - Balance Sheet FY'!E51)</f>
        <v>2.3920387108554732E-2</v>
      </c>
      <c r="F11" s="113">
        <f>IF('NVDA - Balance Sheet FY'!F51=0,"",'NVDA - Income Statement FY'!F23/'NVDA - Balance Sheet FY'!F51)</f>
        <v>2.1560387356111821E-2</v>
      </c>
      <c r="G11" s="113">
        <f>IF('NVDA - Balance Sheet FY'!G51=0,"",'NVDA - Income Statement FY'!G23/'NVDA - Balance Sheet FY'!G51)</f>
        <v>3.085177733065057E-2</v>
      </c>
      <c r="H11" s="113">
        <f>IF('NVDA - Balance Sheet FY'!H51=0,"",'NVDA - Income Statement FY'!H23/'NVDA - Balance Sheet FY'!H51)</f>
        <v>2.6117528879959818E-2</v>
      </c>
    </row>
    <row r="12" spans="1:8" x14ac:dyDescent="0.25">
      <c r="A12" t="s">
        <v>511</v>
      </c>
      <c r="B12" s="113">
        <f>IFERROR('NVDA - Income Statement FY'!B25/'NVDA - Income Statement FY'!B7,"")</f>
        <v>0.60381683631412719</v>
      </c>
      <c r="C12" s="113">
        <f>IFERROR('NVDA - Income Statement FY'!C25/'NVDA - Income Statement FY'!C7,"")</f>
        <v>0.62417526839697468</v>
      </c>
      <c r="D12" s="113">
        <f>IFERROR('NVDA - Income Statement FY'!D25/'NVDA - Income Statement FY'!D7,"")</f>
        <v>0.54121663766783756</v>
      </c>
      <c r="E12" s="113">
        <f>IFERROR('NVDA - Income Statement FY'!E25/'NVDA - Income Statement FY'!E7,"")</f>
        <v>0.1565952398606065</v>
      </c>
      <c r="F12" s="113">
        <f>IFERROR('NVDA - Income Statement FY'!F25/'NVDA - Income Statement FY'!F7,"")</f>
        <v>0.37307720888756779</v>
      </c>
      <c r="G12" s="113">
        <f>IFERROR('NVDA - Income Statement FY'!G25/'NVDA - Income Statement FY'!G7,"")</f>
        <v>0.27178410794602698</v>
      </c>
      <c r="H12" s="113">
        <f>IFERROR('NVDA - Income Statement FY'!H25/'NVDA - Income Statement FY'!H7,"")</f>
        <v>0.2606704524638212</v>
      </c>
    </row>
    <row r="14" spans="1:8" x14ac:dyDescent="0.25">
      <c r="A14" s="24" t="s">
        <v>512</v>
      </c>
      <c r="B14" s="24"/>
      <c r="C14" s="24"/>
      <c r="D14" s="24"/>
      <c r="E14" s="24"/>
      <c r="F14" s="24"/>
      <c r="G14" s="24"/>
      <c r="H14" s="24"/>
    </row>
    <row r="15" spans="1:8" x14ac:dyDescent="0.25">
      <c r="A15" s="9" t="s">
        <v>506</v>
      </c>
      <c r="B15" s="9" t="s">
        <v>523</v>
      </c>
      <c r="C15" s="9" t="s">
        <v>524</v>
      </c>
      <c r="D15" s="9" t="s">
        <v>525</v>
      </c>
      <c r="E15" s="9" t="s">
        <v>1466</v>
      </c>
      <c r="F15" s="9" t="s">
        <v>1462</v>
      </c>
    </row>
    <row r="16" spans="1:8" x14ac:dyDescent="0.25">
      <c r="A16" t="s">
        <v>507</v>
      </c>
      <c r="B16" s="134">
        <f t="shared" ref="B16:B21" si="0">IFERROR(AVERAGE(B6:D6),"")</f>
        <v>0.27075215097948685</v>
      </c>
      <c r="C16" s="134">
        <f t="shared" ref="C16:C21" si="1">IFERROR(AVERAGE(B6:H6),"")</f>
        <v>0.33576216379466456</v>
      </c>
      <c r="D16" s="134">
        <f t="shared" ref="D16:D21" si="2">IFERROR(MEDIAN(B6:H6),"")</f>
        <v>0.35070966783086871</v>
      </c>
      <c r="E16" s="113">
        <f>CHOOSE('Valuation Dashboard'!$B$148,B16,C16,D16,F16)</f>
        <v>0.27075215097948685</v>
      </c>
      <c r="F16" s="123">
        <v>0.27075215097948702</v>
      </c>
    </row>
    <row r="17" spans="1:8" x14ac:dyDescent="0.25">
      <c r="A17" t="s">
        <v>318</v>
      </c>
      <c r="B17" s="134">
        <f t="shared" si="0"/>
        <v>0.10900472324227667</v>
      </c>
      <c r="C17" s="134">
        <f t="shared" si="1"/>
        <v>0.18418018227668637</v>
      </c>
      <c r="D17" s="134">
        <f t="shared" si="2"/>
        <v>0.19573456193802483</v>
      </c>
      <c r="E17" s="113">
        <f>CHOOSE('Valuation Dashboard'!$B$148,B17,C17,D17,F17)</f>
        <v>0.10900472324227667</v>
      </c>
      <c r="F17" s="123">
        <v>0.109004723242277</v>
      </c>
    </row>
    <row r="18" spans="1:8" x14ac:dyDescent="0.25">
      <c r="A18" t="s">
        <v>319</v>
      </c>
      <c r="B18" s="134">
        <f t="shared" si="0"/>
        <v>3.0506878318590013E-2</v>
      </c>
      <c r="C18" s="134">
        <f t="shared" si="1"/>
        <v>6.8415487599390132E-2</v>
      </c>
      <c r="D18" s="134">
        <f t="shared" si="2"/>
        <v>8.0478561343538674E-2</v>
      </c>
      <c r="E18" s="113">
        <f>CHOOSE('Valuation Dashboard'!$B$148,B18,C18,D18,F18)</f>
        <v>3.0506878318590013E-2</v>
      </c>
      <c r="F18" s="123">
        <v>3.0506878318589999E-2</v>
      </c>
    </row>
    <row r="19" spans="1:8" x14ac:dyDescent="0.25">
      <c r="A19" t="s">
        <v>508</v>
      </c>
      <c r="B19" s="134">
        <f t="shared" si="0"/>
        <v>0</v>
      </c>
      <c r="C19" s="134">
        <f t="shared" si="1"/>
        <v>0</v>
      </c>
      <c r="D19" s="134">
        <f t="shared" si="2"/>
        <v>0</v>
      </c>
      <c r="E19" s="113">
        <f>CHOOSE('Valuation Dashboard'!$B$148,B19,C19,D19,F19)</f>
        <v>0</v>
      </c>
      <c r="F19" s="123">
        <v>0</v>
      </c>
    </row>
    <row r="20" spans="1:8" x14ac:dyDescent="0.25">
      <c r="A20" t="s">
        <v>509</v>
      </c>
      <c r="B20" s="134">
        <f t="shared" si="0"/>
        <v>0.31859004147505748</v>
      </c>
      <c r="C20" s="134">
        <f t="shared" si="1"/>
        <v>0.36035412717823384</v>
      </c>
      <c r="D20" s="134">
        <f t="shared" si="2"/>
        <v>0.38528359734287176</v>
      </c>
      <c r="E20" s="113">
        <f>CHOOSE('Valuation Dashboard'!$B$148,B20,C20,D20,F20)</f>
        <v>0.31859004147505748</v>
      </c>
      <c r="F20" s="123">
        <v>0.31859004147505698</v>
      </c>
    </row>
    <row r="21" spans="1:8" x14ac:dyDescent="0.25">
      <c r="A21" t="s">
        <v>510</v>
      </c>
      <c r="B21" s="134">
        <f t="shared" si="0"/>
        <v>2.8747295909279144E-2</v>
      </c>
      <c r="C21" s="134">
        <f t="shared" si="1"/>
        <v>2.69559954861592E-2</v>
      </c>
      <c r="D21" s="134">
        <f t="shared" si="2"/>
        <v>2.6470285302296837E-2</v>
      </c>
      <c r="E21" s="113">
        <f>CHOOSE('Valuation Dashboard'!$B$148,B21,C21,D21,F21)</f>
        <v>2.8747295909279144E-2</v>
      </c>
      <c r="F21" s="123">
        <v>2.8747295909279099E-2</v>
      </c>
    </row>
    <row r="23" spans="1:8" x14ac:dyDescent="0.25">
      <c r="A23" s="24" t="s">
        <v>513</v>
      </c>
      <c r="B23" s="24"/>
      <c r="C23" s="24"/>
      <c r="D23" s="24"/>
      <c r="E23" s="24"/>
      <c r="F23" s="24"/>
      <c r="G23" s="24"/>
      <c r="H23" s="24"/>
    </row>
    <row r="24" spans="1:8" x14ac:dyDescent="0.25">
      <c r="A24" s="9" t="s">
        <v>514</v>
      </c>
      <c r="B24" s="167">
        <f>EDATE('NVDA - Income Statement FY'!B5,12)</f>
        <v>46412</v>
      </c>
      <c r="C24" s="168">
        <f>EDATE(B24,12)</f>
        <v>46777</v>
      </c>
      <c r="D24" s="168">
        <f>EDATE(C24,12)</f>
        <v>47143</v>
      </c>
      <c r="E24" s="168">
        <f>EDATE(D24,12)</f>
        <v>47508</v>
      </c>
      <c r="F24" s="168">
        <f>EDATE(E24,12)</f>
        <v>47873</v>
      </c>
    </row>
    <row r="25" spans="1:8" x14ac:dyDescent="0.25">
      <c r="A25" t="s">
        <v>515</v>
      </c>
      <c r="B25" s="109">
        <f>'NVDA Rev Drivers &amp; Forecast'!B26</f>
        <v>269582.39765000006</v>
      </c>
      <c r="C25" s="109">
        <f>'NVDA Rev Drivers &amp; Forecast'!C26</f>
        <v>329308.37784935755</v>
      </c>
      <c r="D25" s="109">
        <f>'NVDA Rev Drivers &amp; Forecast'!D26</f>
        <v>393416.48630718119</v>
      </c>
      <c r="E25" s="109">
        <f>'NVDA Rev Drivers &amp; Forecast'!E26</f>
        <v>459431.77270952624</v>
      </c>
      <c r="F25" s="109">
        <f>'NVDA Rev Drivers &amp; Forecast'!F26</f>
        <v>524177.19527861616</v>
      </c>
    </row>
    <row r="26" spans="1:8" x14ac:dyDescent="0.25">
      <c r="A26" t="s">
        <v>516</v>
      </c>
      <c r="B26" s="119">
        <f>B25*B77</f>
        <v>77494.818090494504</v>
      </c>
      <c r="C26" s="119">
        <f>C25*C77</f>
        <v>94052.36799398085</v>
      </c>
      <c r="D26" s="119">
        <f>D25*D77</f>
        <v>111631.55612886556</v>
      </c>
      <c r="E26" s="119">
        <f>E25*E77</f>
        <v>129510.30402473691</v>
      </c>
      <c r="F26" s="119">
        <f>F25*F77</f>
        <v>146788.30353553241</v>
      </c>
    </row>
    <row r="27" spans="1:8" x14ac:dyDescent="0.25">
      <c r="A27" s="9" t="s">
        <v>517</v>
      </c>
      <c r="B27" s="147">
        <f>B25-B26</f>
        <v>192087.57955950557</v>
      </c>
      <c r="C27" s="147">
        <f>C25-C26</f>
        <v>235256.0098553767</v>
      </c>
      <c r="D27" s="147">
        <f>D25-D26</f>
        <v>281784.93017831561</v>
      </c>
      <c r="E27" s="147">
        <f>E25-E26</f>
        <v>329921.46868478932</v>
      </c>
      <c r="F27" s="147">
        <f>F25-F26</f>
        <v>377388.89174308372</v>
      </c>
    </row>
    <row r="28" spans="1:8" x14ac:dyDescent="0.25">
      <c r="A28" t="s">
        <v>518</v>
      </c>
      <c r="B28" s="119">
        <f>B25*B78</f>
        <v>23721.480967182768</v>
      </c>
      <c r="C28" s="119">
        <f>C25*C78</f>
        <v>29745.774354725461</v>
      </c>
      <c r="D28" s="119">
        <f>D25*D78</f>
        <v>36454.99825618558</v>
      </c>
      <c r="E28" s="119">
        <f>E25*E78</f>
        <v>43644.730716335944</v>
      </c>
      <c r="F28" s="119">
        <f>F25*F78</f>
        <v>51019.102010656046</v>
      </c>
    </row>
    <row r="29" spans="1:8" x14ac:dyDescent="0.25">
      <c r="A29" t="s">
        <v>519</v>
      </c>
      <c r="B29" s="119">
        <f>B25*B79</f>
        <v>5967.2960076942318</v>
      </c>
      <c r="C29" s="119">
        <f>C25*C79</f>
        <v>7595.6637908815237</v>
      </c>
      <c r="D29" s="119">
        <f>D25*D79</f>
        <v>9440.294543987513</v>
      </c>
      <c r="E29" s="119">
        <f>E25*E79</f>
        <v>11451.726428079333</v>
      </c>
      <c r="F29" s="119">
        <f>F25*F79</f>
        <v>13553.135798087766</v>
      </c>
    </row>
    <row r="30" spans="1:8" x14ac:dyDescent="0.25">
      <c r="A30" t="s">
        <v>520</v>
      </c>
      <c r="B30" s="119">
        <f>B25*B80</f>
        <v>0</v>
      </c>
      <c r="C30" s="119">
        <f>C25*C80</f>
        <v>0</v>
      </c>
      <c r="D30" s="119">
        <f>D25*D80</f>
        <v>0</v>
      </c>
      <c r="E30" s="119">
        <f>E25*E80</f>
        <v>0</v>
      </c>
      <c r="F30" s="119">
        <f>F25*F80</f>
        <v>0</v>
      </c>
    </row>
    <row r="31" spans="1:8" x14ac:dyDescent="0.25">
      <c r="A31" s="9" t="s">
        <v>521</v>
      </c>
      <c r="B31" s="147">
        <f>SUM(B28:B30)</f>
        <v>29688.776974877001</v>
      </c>
      <c r="C31" s="147">
        <f>SUM(C28:C30)</f>
        <v>37341.438145606982</v>
      </c>
      <c r="D31" s="147">
        <f>SUM(D28:D30)</f>
        <v>45895.292800173091</v>
      </c>
      <c r="E31" s="147">
        <f>SUM(E28:E30)</f>
        <v>55096.457144415275</v>
      </c>
      <c r="F31" s="147">
        <f>SUM(F28:F30)</f>
        <v>64572.237808743812</v>
      </c>
    </row>
    <row r="32" spans="1:8" x14ac:dyDescent="0.25">
      <c r="A32" s="9" t="s">
        <v>522</v>
      </c>
      <c r="B32" s="147">
        <f>B27-B31+B25*IF('Valuation Dashboard'!$B$151="Yes",'NVDA - Reconciliation FY'!$B$152,0)</f>
        <v>162559.78349278859</v>
      </c>
      <c r="C32" s="147">
        <f>C27-C31+C25*IF('Valuation Dashboard'!$B$151="Yes",'NVDA - Reconciliation FY'!$B$152,0)</f>
        <v>198111.21793813255</v>
      </c>
      <c r="D32" s="147">
        <f>D27-D31+D25*IF('Valuation Dashboard'!$B$151="Yes",'NVDA - Reconciliation FY'!$B$152,0)</f>
        <v>236124.56571101188</v>
      </c>
      <c r="E32" s="147">
        <f>E27-E31+E25*IF('Valuation Dashboard'!$B$151="Yes",'NVDA - Reconciliation FY'!$B$152,0)</f>
        <v>275099.36084749887</v>
      </c>
      <c r="F32" s="147">
        <f>F27-F31+F25*IF('Valuation Dashboard'!$B$151="Yes",'NVDA - Reconciliation FY'!$B$152,0)</f>
        <v>313129.66591757134</v>
      </c>
    </row>
    <row r="33" spans="1:8" x14ac:dyDescent="0.25">
      <c r="A33" t="s">
        <v>320</v>
      </c>
      <c r="B33" s="134">
        <f>B32/B25</f>
        <v>0.60300592661038876</v>
      </c>
      <c r="C33" s="134">
        <f>C32/C25</f>
        <v>0.60159786772494062</v>
      </c>
      <c r="D33" s="134">
        <f>D32/D25</f>
        <v>0.60018980883949247</v>
      </c>
      <c r="E33" s="134">
        <f>E32/E25</f>
        <v>0.59878174995404432</v>
      </c>
      <c r="F33" s="134">
        <f>F32/F25</f>
        <v>0.59737369106859639</v>
      </c>
    </row>
    <row r="35" spans="1:8" x14ac:dyDescent="0.25">
      <c r="A35" t="s">
        <v>545</v>
      </c>
      <c r="B35" s="119">
        <f>B61</f>
        <v>13108.207546253465</v>
      </c>
      <c r="C35" s="119">
        <f>C61</f>
        <v>16190.446075750586</v>
      </c>
      <c r="D35" s="119">
        <f>D61</f>
        <v>19555.110879535827</v>
      </c>
      <c r="E35" s="119">
        <f>E61</f>
        <v>23084.954313117712</v>
      </c>
      <c r="F35" s="119">
        <f>F61</f>
        <v>26621.716602249893</v>
      </c>
    </row>
    <row r="36" spans="1:8" x14ac:dyDescent="0.25">
      <c r="A36" t="s">
        <v>266</v>
      </c>
      <c r="B36" s="119">
        <f>B35*B81</f>
        <v>3647.8918775306151</v>
      </c>
      <c r="C36" s="119">
        <f>C35*C81</f>
        <v>4578.1461936396099</v>
      </c>
      <c r="D36" s="119">
        <f>D35*D81</f>
        <v>5617.1290788689312</v>
      </c>
      <c r="E36" s="119">
        <f>E35*E81</f>
        <v>6734.430472441165</v>
      </c>
      <c r="F36" s="119">
        <f>F35*F81</f>
        <v>7885.3924563573255</v>
      </c>
    </row>
    <row r="37" spans="1:8" x14ac:dyDescent="0.25">
      <c r="A37" s="9" t="s">
        <v>406</v>
      </c>
      <c r="B37" s="147">
        <f>B32+B36</f>
        <v>166207.67537031919</v>
      </c>
      <c r="C37" s="147">
        <f>C32+C36</f>
        <v>202689.36413177216</v>
      </c>
      <c r="D37" s="147">
        <f>D32+D36</f>
        <v>241741.6947898808</v>
      </c>
      <c r="E37" s="147">
        <f>E32+E36</f>
        <v>281833.79131994006</v>
      </c>
      <c r="F37" s="147">
        <f>F32+F36</f>
        <v>321015.05837392865</v>
      </c>
    </row>
    <row r="39" spans="1:8" x14ac:dyDescent="0.25">
      <c r="A39" t="s">
        <v>261</v>
      </c>
      <c r="B39" s="119">
        <f>B32*$B$2</f>
        <v>34137.5545334856</v>
      </c>
      <c r="C39" s="119">
        <f>C32*$B$2</f>
        <v>41603.355767007837</v>
      </c>
      <c r="D39" s="119">
        <f>D32*$B$2</f>
        <v>49586.158799312492</v>
      </c>
      <c r="E39" s="119">
        <f>E32*$B$2</f>
        <v>57770.865777974759</v>
      </c>
      <c r="F39" s="119">
        <f>F32*$B$2</f>
        <v>65757.22984268998</v>
      </c>
    </row>
    <row r="40" spans="1:8" x14ac:dyDescent="0.25">
      <c r="A40" s="9" t="s">
        <v>259</v>
      </c>
      <c r="B40" s="147">
        <f>B32-B39</f>
        <v>128422.22895930299</v>
      </c>
      <c r="C40" s="147">
        <f>C32-C39</f>
        <v>156507.86217112473</v>
      </c>
      <c r="D40" s="147">
        <f>D32-D39</f>
        <v>186538.40691169939</v>
      </c>
      <c r="E40" s="147">
        <f>E32-E39</f>
        <v>217328.4950695241</v>
      </c>
      <c r="F40" s="147">
        <f>F32-F39</f>
        <v>247372.43607488135</v>
      </c>
    </row>
    <row r="41" spans="1:8" x14ac:dyDescent="0.25">
      <c r="A41" t="s">
        <v>278</v>
      </c>
      <c r="B41" s="134">
        <f>B40/B25</f>
        <v>0.47637468202220717</v>
      </c>
      <c r="C41" s="134">
        <f>C40/C25</f>
        <v>0.47526231550270309</v>
      </c>
      <c r="D41" s="134">
        <f>D40/D25</f>
        <v>0.47414994898319907</v>
      </c>
      <c r="E41" s="134">
        <f>E40/E25</f>
        <v>0.47303758246369498</v>
      </c>
      <c r="F41" s="134">
        <f>F40/F25</f>
        <v>0.47192521594419107</v>
      </c>
    </row>
    <row r="43" spans="1:8" x14ac:dyDescent="0.25">
      <c r="A43" s="24" t="s">
        <v>532</v>
      </c>
      <c r="B43" s="24"/>
      <c r="C43" s="24"/>
      <c r="D43" s="24"/>
      <c r="E43" s="24"/>
      <c r="F43" s="24"/>
      <c r="G43" s="24"/>
      <c r="H43" s="24"/>
    </row>
    <row r="44" spans="1:8" x14ac:dyDescent="0.25">
      <c r="A44" s="9" t="s">
        <v>506</v>
      </c>
      <c r="B44" s="167">
        <f>'NVDA - Income Statement FY'!B5</f>
        <v>46047</v>
      </c>
      <c r="C44" s="167">
        <f>'NVDA - Income Statement FY'!C5</f>
        <v>45683</v>
      </c>
      <c r="D44" s="167">
        <f>'NVDA - Income Statement FY'!D5</f>
        <v>45319</v>
      </c>
      <c r="E44" s="167">
        <f>'NVDA - Income Statement FY'!E5</f>
        <v>44955</v>
      </c>
      <c r="F44" s="167">
        <f>'NVDA - Income Statement FY'!F5</f>
        <v>44591</v>
      </c>
      <c r="G44" s="167">
        <f>'NVDA - Income Statement FY'!G5</f>
        <v>44227</v>
      </c>
      <c r="H44" s="167">
        <f>'NVDA - Income Statement FY'!H5</f>
        <v>43856</v>
      </c>
    </row>
    <row r="45" spans="1:8" x14ac:dyDescent="0.25">
      <c r="A45" t="s">
        <v>533</v>
      </c>
      <c r="B45" s="113">
        <f>IFERROR('NVDA - Reconciliation FY'!B22/'NVDA - Income Statement FY'!B7,"")</f>
        <v>0.16938084079689544</v>
      </c>
      <c r="C45" s="113">
        <f>IFERROR('NVDA - Reconciliation FY'!C22/'NVDA - Income Statement FY'!C7,"")</f>
        <v>0.166800309585661</v>
      </c>
      <c r="D45" s="113">
        <f>IFERROR('NVDA - Reconciliation FY'!D22/'NVDA - Income Statement FY'!D7,"")</f>
        <v>0.171144085880306</v>
      </c>
      <c r="E45" s="113">
        <f>IFERROR('NVDA - Reconciliation FY'!E22/'NVDA - Income Statement FY'!E7,"")</f>
        <v>0.19201749833172682</v>
      </c>
      <c r="F45" s="113">
        <f>IFERROR('NVDA - Reconciliation FY'!F22/'NVDA - Income Statement FY'!F7,"")</f>
        <v>0.14744296648584379</v>
      </c>
      <c r="G45" s="113">
        <f>IFERROR('NVDA - Reconciliation FY'!G22/'NVDA - Income Statement FY'!G7,"")</f>
        <v>6.137931034482759E-2</v>
      </c>
      <c r="H45" s="113">
        <f>IFERROR('NVDA - Reconciliation FY'!H22/'NVDA - Income Statement FY'!H7,"")</f>
        <v>0.12075105330646639</v>
      </c>
    </row>
    <row r="46" spans="1:8" x14ac:dyDescent="0.25">
      <c r="A46" t="s">
        <v>534</v>
      </c>
      <c r="B46" s="113">
        <f>IFERROR('NVDA - Reconciliation FY'!B24/'NVDA - Income Statement FY'!B7,"")</f>
        <v>4.8083246116940974E-2</v>
      </c>
      <c r="C46" s="113">
        <f>IFERROR('NVDA - Reconciliation FY'!C24/'NVDA - Income Statement FY'!C7,"")</f>
        <v>4.8146700690437326E-2</v>
      </c>
      <c r="D46" s="113">
        <f>IFERROR('NVDA - Reconciliation FY'!D24/'NVDA - Income Statement FY'!D7,"")</f>
        <v>6.4246085158070981E-2</v>
      </c>
      <c r="E46" s="113">
        <f>IFERROR('NVDA - Reconciliation FY'!E24/'NVDA - Income Statement FY'!E7,"")</f>
        <v>0.14113590865277675</v>
      </c>
      <c r="F46" s="113">
        <f>IFERROR('NVDA - Reconciliation FY'!F24/'NVDA - Income Statement FY'!F7,"")</f>
        <v>0.10321765623838894</v>
      </c>
      <c r="G46" s="113">
        <f>IFERROR('NVDA - Reconciliation FY'!G24/'NVDA - Income Statement FY'!G7,"")</f>
        <v>0.12887556221889054</v>
      </c>
      <c r="H46" s="113">
        <f>IFERROR('NVDA - Reconciliation FY'!H24/'NVDA - Income Statement FY'!H7,"")</f>
        <v>0.1533247847591134</v>
      </c>
    </row>
    <row r="47" spans="1:8" x14ac:dyDescent="0.25">
      <c r="A47" t="s">
        <v>535</v>
      </c>
      <c r="B47" s="113">
        <f>IFERROR(('NVDA - Reconciliation FY'!B25+'NVDA - Reconciliation FY'!B26)/'NVDA - Income Statement FY'!B7,"")</f>
        <v>0.11178208559864405</v>
      </c>
      <c r="C47" s="113">
        <f>IFERROR(('NVDA - Reconciliation FY'!C25+'NVDA - Reconciliation FY'!C26)/'NVDA - Income Statement FY'!C7,"")</f>
        <v>4.5939753404292821E-2</v>
      </c>
      <c r="D47" s="113">
        <f>IFERROR(('NVDA - Reconciliation FY'!D25+'NVDA - Reconciliation FY'!D26)/'NVDA - Income Statement FY'!D7,"")</f>
        <v>9.0968779751157219E-2</v>
      </c>
      <c r="E47" s="113">
        <f>IFERROR(('NVDA - Reconciliation FY'!E25+'NVDA - Reconciliation FY'!E26)/'NVDA - Income Statement FY'!E7,"")</f>
        <v>0.22421591161859569</v>
      </c>
      <c r="F47" s="113">
        <f>IFERROR(('NVDA - Reconciliation FY'!F25+'NVDA - Reconciliation FY'!F26)/'NVDA - Income Statement FY'!F7,"")</f>
        <v>0.24849520695548785</v>
      </c>
      <c r="G47" s="113">
        <f>IFERROR(('NVDA - Reconciliation FY'!G25+'NVDA - Reconciliation FY'!G26)/'NVDA - Income Statement FY'!G7,"")</f>
        <v>0.41559220389805096</v>
      </c>
      <c r="H47" s="113">
        <f>IFERROR(('NVDA - Reconciliation FY'!H25+'NVDA - Reconciliation FY'!H26)/'NVDA - Income Statement FY'!H7,"")</f>
        <v>6.1091775050375524E-2</v>
      </c>
    </row>
    <row r="48" spans="1:8" x14ac:dyDescent="0.25">
      <c r="A48" t="s">
        <v>536</v>
      </c>
      <c r="B48" s="113">
        <f>IFERROR(('NVDA - Reconciliation FY'!B27+'NVDA - Reconciliation FY'!B28+'NVDA - Reconciliation FY'!B29+'NVDA - Reconciliation FY'!B30)/'NVDA - Income Statement FY'!B7,"")</f>
        <v>7.9282016134260766E-2</v>
      </c>
      <c r="C48" s="113">
        <f>IFERROR(('NVDA - Reconciliation FY'!C27+'NVDA - Reconciliation FY'!C28+'NVDA - Reconciliation FY'!C29+'NVDA - Reconciliation FY'!C30)/'NVDA - Income Statement FY'!C7,"")</f>
        <v>8.8622726959240436E-2</v>
      </c>
      <c r="D48" s="113">
        <f>IFERROR(('NVDA - Reconciliation FY'!D27+'NVDA - Reconciliation FY'!D28+'NVDA - Reconciliation FY'!D29+'NVDA - Reconciliation FY'!D30)/'NVDA - Income Statement FY'!D7,"")</f>
        <v>0.15406585469945175</v>
      </c>
      <c r="E48" s="113">
        <f>IFERROR(('NVDA - Reconciliation FY'!E27+'NVDA - Reconciliation FY'!E28+'NVDA - Reconciliation FY'!E29+'NVDA - Reconciliation FY'!E30)/'NVDA - Income Statement FY'!E7,"")</f>
        <v>0.23507822347445689</v>
      </c>
      <c r="F48" s="113">
        <f>IFERROR(('NVDA - Reconciliation FY'!F27+'NVDA - Reconciliation FY'!F28+'NVDA - Reconciliation FY'!F29+'NVDA - Reconciliation FY'!F30)/'NVDA - Income Statement FY'!F7,"")</f>
        <v>0.16121721037378317</v>
      </c>
      <c r="G48" s="113">
        <f>IFERROR(('NVDA - Reconciliation FY'!G27+'NVDA - Reconciliation FY'!G28+'NVDA - Reconciliation FY'!G29+'NVDA - Reconciliation FY'!G30)/'NVDA - Income Statement FY'!G7,"")</f>
        <v>0.13685157421289354</v>
      </c>
      <c r="H48" s="113">
        <f>IFERROR(('NVDA - Reconciliation FY'!H27+'NVDA - Reconciliation FY'!H28+'NVDA - Reconciliation FY'!H29+'NVDA - Reconciliation FY'!H30)/'NVDA - Income Statement FY'!H7,"")</f>
        <v>4.6620260120901265E-2</v>
      </c>
    </row>
    <row r="49" spans="1:8" x14ac:dyDescent="0.25">
      <c r="A49" t="s">
        <v>537</v>
      </c>
      <c r="B49" s="113">
        <f>IFERROR('NVDA - Reconciliation FY'!B32/'NVDA - Income Statement FY'!B7,"")</f>
        <v>0.40852818864674123</v>
      </c>
      <c r="C49" s="113">
        <f>IFERROR('NVDA - Reconciliation FY'!C32/'NVDA - Income Statement FY'!C7,"")</f>
        <v>0.3495094906396316</v>
      </c>
      <c r="D49" s="113">
        <f>IFERROR('NVDA - Reconciliation FY'!D32/'NVDA - Income Statement FY'!D7,"")</f>
        <v>0.48042480548898597</v>
      </c>
      <c r="E49" s="113">
        <f>IFERROR('NVDA - Reconciliation FY'!E32/'NVDA - Income Statement FY'!E7,"")</f>
        <v>0.79244754207755619</v>
      </c>
      <c r="F49" s="113">
        <f>IFERROR('NVDA - Reconciliation FY'!F32/'NVDA - Income Statement FY'!F7,"")</f>
        <v>0.66037304005350372</v>
      </c>
      <c r="G49" s="113">
        <f>IFERROR('NVDA - Reconciliation FY'!G32/'NVDA - Income Statement FY'!G7,"")</f>
        <v>0.74269865067466267</v>
      </c>
      <c r="H49" s="113">
        <f>IFERROR('NVDA - Reconciliation FY'!H32/'NVDA - Income Statement FY'!H7,"")</f>
        <v>0.38178787323685665</v>
      </c>
    </row>
    <row r="51" spans="1:8" x14ac:dyDescent="0.25">
      <c r="A51" s="24" t="s">
        <v>512</v>
      </c>
      <c r="B51" s="24"/>
      <c r="C51" s="24"/>
      <c r="D51" s="24"/>
      <c r="E51" s="24"/>
      <c r="F51" s="24"/>
      <c r="G51" s="24"/>
      <c r="H51" s="24"/>
    </row>
    <row r="52" spans="1:8" x14ac:dyDescent="0.25">
      <c r="A52" s="9" t="s">
        <v>506</v>
      </c>
      <c r="B52" s="9" t="s">
        <v>523</v>
      </c>
      <c r="C52" s="9" t="s">
        <v>524</v>
      </c>
      <c r="D52" s="9" t="s">
        <v>525</v>
      </c>
      <c r="E52" s="9" t="s">
        <v>1466</v>
      </c>
      <c r="F52" s="9" t="s">
        <v>1462</v>
      </c>
    </row>
    <row r="53" spans="1:8" x14ac:dyDescent="0.25">
      <c r="A53" t="s">
        <v>533</v>
      </c>
      <c r="B53" s="134">
        <f>IFERROR(AVERAGE(B45:D45),"")</f>
        <v>0.16910841208762081</v>
      </c>
      <c r="C53" s="134">
        <f>IFERROR(AVERAGE(B45:H45),"")</f>
        <v>0.14698800924738958</v>
      </c>
      <c r="D53" s="134">
        <f>IFERROR(MEDIAN(B45:H45),"")</f>
        <v>0.166800309585661</v>
      </c>
      <c r="E53" s="113">
        <f>CHOOSE('Valuation Dashboard'!$B$148,B53,C53,D53,F53)</f>
        <v>0.16910841208762081</v>
      </c>
      <c r="F53" s="123">
        <v>0.16853417318571401</v>
      </c>
    </row>
    <row r="54" spans="1:8" x14ac:dyDescent="0.25">
      <c r="A54" t="s">
        <v>534</v>
      </c>
      <c r="B54" s="134">
        <f>IFERROR(AVERAGE(B46:D46),"")</f>
        <v>5.3492010655149767E-2</v>
      </c>
      <c r="C54" s="134">
        <f>IFERROR(AVERAGE(B46:H46),"")</f>
        <v>9.8147134833516989E-2</v>
      </c>
      <c r="D54" s="134">
        <f>IFERROR(MEDIAN(B46:H46),"")</f>
        <v>0.10321765623838894</v>
      </c>
      <c r="E54" s="113">
        <f>CHOOSE('Valuation Dashboard'!$B$148,B54,C54,D54,F54)</f>
        <v>5.3492010655149767E-2</v>
      </c>
      <c r="F54" s="123">
        <v>5.3492010655149802E-2</v>
      </c>
    </row>
    <row r="55" spans="1:8" x14ac:dyDescent="0.25">
      <c r="A55" t="s">
        <v>535</v>
      </c>
      <c r="B55" s="134">
        <f>IFERROR(AVERAGE(B47:D47),"")</f>
        <v>8.289687291803137E-2</v>
      </c>
      <c r="C55" s="134">
        <f>IFERROR(AVERAGE(B47:H47),"")</f>
        <v>0.17115510232522915</v>
      </c>
      <c r="D55" s="134">
        <f>IFERROR(MEDIAN(B47:H47),"")</f>
        <v>0.11178208559864405</v>
      </c>
      <c r="E55" s="113">
        <f>CHOOSE('Valuation Dashboard'!$B$148,B55,C55,D55,F55)</f>
        <v>8.289687291803137E-2</v>
      </c>
      <c r="F55" s="123">
        <v>8.2896872918031397E-2</v>
      </c>
    </row>
    <row r="56" spans="1:8" x14ac:dyDescent="0.25">
      <c r="A56" t="s">
        <v>536</v>
      </c>
      <c r="B56" s="134">
        <f>IFERROR(AVERAGE(B48:D48),"")</f>
        <v>0.10732353259765098</v>
      </c>
      <c r="C56" s="134">
        <f>IFERROR(AVERAGE(B48:H48),"")</f>
        <v>0.12881969513928399</v>
      </c>
      <c r="D56" s="134">
        <f>IFERROR(MEDIAN(B48:H48),"")</f>
        <v>0.13685157421289354</v>
      </c>
      <c r="E56" s="113">
        <f>CHOOSE('Valuation Dashboard'!$B$148,B56,C56,D56,F56)</f>
        <v>0.10732353259765098</v>
      </c>
      <c r="F56" s="123">
        <v>0.103353257179089</v>
      </c>
    </row>
    <row r="58" spans="1:8" x14ac:dyDescent="0.25">
      <c r="A58" s="24" t="s">
        <v>538</v>
      </c>
      <c r="B58" s="24"/>
      <c r="C58" s="24"/>
      <c r="D58" s="24"/>
      <c r="E58" s="24"/>
      <c r="F58" s="24"/>
      <c r="G58" s="24"/>
      <c r="H58" s="24"/>
    </row>
    <row r="59" spans="1:8" x14ac:dyDescent="0.25">
      <c r="A59" s="9" t="s">
        <v>514</v>
      </c>
      <c r="B59" s="168">
        <f>B24</f>
        <v>46412</v>
      </c>
      <c r="C59" s="168">
        <f>C24</f>
        <v>46777</v>
      </c>
      <c r="D59" s="168">
        <f>D24</f>
        <v>47143</v>
      </c>
      <c r="E59" s="168">
        <f>E24</f>
        <v>47508</v>
      </c>
      <c r="F59" s="168">
        <f>F24</f>
        <v>47873</v>
      </c>
    </row>
    <row r="60" spans="1:8" x14ac:dyDescent="0.25">
      <c r="A60" t="s">
        <v>235</v>
      </c>
      <c r="B60" s="119">
        <f>B25*B82</f>
        <v>45654.748979536525</v>
      </c>
      <c r="C60" s="119">
        <f>C25*C82</f>
        <v>55760.587310319752</v>
      </c>
      <c r="D60" s="119">
        <f>D25*D82</f>
        <v>66605.061850399041</v>
      </c>
      <c r="E60" s="119">
        <f>E25*E82</f>
        <v>77768.874988412106</v>
      </c>
      <c r="F60" s="119">
        <f>F25*F82</f>
        <v>88714.173604479976</v>
      </c>
    </row>
    <row r="61" spans="1:8" x14ac:dyDescent="0.25">
      <c r="A61" t="s">
        <v>236</v>
      </c>
      <c r="B61" s="119">
        <f>B25*B83</f>
        <v>13108.207546253465</v>
      </c>
      <c r="C61" s="119">
        <f>C25*C83</f>
        <v>16190.446075750586</v>
      </c>
      <c r="D61" s="119">
        <f>D25*D83</f>
        <v>19555.110879535827</v>
      </c>
      <c r="E61" s="119">
        <f>E25*E83</f>
        <v>23084.954313117712</v>
      </c>
      <c r="F61" s="119">
        <f>F25*F83</f>
        <v>26621.716602249893</v>
      </c>
    </row>
    <row r="62" spans="1:8" x14ac:dyDescent="0.25">
      <c r="A62" t="s">
        <v>539</v>
      </c>
      <c r="B62" s="119">
        <f>B25*B84</f>
        <v>29355.788160893029</v>
      </c>
      <c r="C62" s="119">
        <f>C25*C84</f>
        <v>34908.348774770253</v>
      </c>
      <c r="D62" s="119">
        <f>D25*D84</f>
        <v>40567.739684594424</v>
      </c>
      <c r="E62" s="119">
        <f>E25*E84</f>
        <v>46047.927956974811</v>
      </c>
      <c r="F62" s="119">
        <f>F25*F84</f>
        <v>51023.135227516497</v>
      </c>
    </row>
    <row r="63" spans="1:8" x14ac:dyDescent="0.25">
      <c r="A63" t="s">
        <v>540</v>
      </c>
      <c r="B63" s="119">
        <f>B25*B85</f>
        <v>22128.985924194276</v>
      </c>
      <c r="C63" s="119">
        <f>C25*C85</f>
        <v>27955.093385599022</v>
      </c>
      <c r="D63" s="119">
        <f>D25*D85</f>
        <v>34500.450678215704</v>
      </c>
      <c r="E63" s="119">
        <f>E25*E85</f>
        <v>41577.94266384418</v>
      </c>
      <c r="F63" s="119">
        <f>F25*F85</f>
        <v>48907.186578860317</v>
      </c>
    </row>
    <row r="64" spans="1:8" x14ac:dyDescent="0.25">
      <c r="A64" s="9" t="s">
        <v>541</v>
      </c>
      <c r="B64" s="147">
        <f>SUM(B60:B63)</f>
        <v>110247.73061087729</v>
      </c>
      <c r="C64" s="147">
        <f>SUM(C60:C63)</f>
        <v>134814.47554643961</v>
      </c>
      <c r="D64" s="147">
        <f>SUM(D60:D63)</f>
        <v>161228.36309274501</v>
      </c>
      <c r="E64" s="147">
        <f>SUM(E60:E63)</f>
        <v>188479.69992234881</v>
      </c>
      <c r="F64" s="147">
        <f>SUM(F60:F63)</f>
        <v>215266.21201310668</v>
      </c>
    </row>
    <row r="66" spans="1:8" x14ac:dyDescent="0.25">
      <c r="A66" s="24" t="s">
        <v>542</v>
      </c>
      <c r="B66" s="24"/>
      <c r="C66" s="24"/>
      <c r="D66" s="24"/>
      <c r="E66" s="24"/>
      <c r="F66" s="24"/>
      <c r="G66" s="24"/>
      <c r="H66" s="24"/>
    </row>
    <row r="67" spans="1:8" x14ac:dyDescent="0.25">
      <c r="A67" t="s">
        <v>259</v>
      </c>
      <c r="B67" s="119">
        <f>B40</f>
        <v>128422.22895930299</v>
      </c>
      <c r="C67" s="119">
        <f>C40</f>
        <v>156507.86217112473</v>
      </c>
      <c r="D67" s="119">
        <f>D40</f>
        <v>186538.40691169939</v>
      </c>
      <c r="E67" s="119">
        <f>E40</f>
        <v>217328.4950695241</v>
      </c>
      <c r="F67" s="119">
        <f>F40</f>
        <v>247372.43607488135</v>
      </c>
    </row>
    <row r="68" spans="1:8" x14ac:dyDescent="0.25">
      <c r="A68" t="s">
        <v>266</v>
      </c>
      <c r="B68" s="119">
        <f>B36</f>
        <v>3647.8918775306151</v>
      </c>
      <c r="C68" s="119">
        <f>C36</f>
        <v>4578.1461936396099</v>
      </c>
      <c r="D68" s="119">
        <f>D36</f>
        <v>5617.1290788689312</v>
      </c>
      <c r="E68" s="119">
        <f>E36</f>
        <v>6734.430472441165</v>
      </c>
      <c r="F68" s="119">
        <f>F36</f>
        <v>7885.3924563573255</v>
      </c>
    </row>
    <row r="69" spans="1:8" x14ac:dyDescent="0.25">
      <c r="A69" s="9" t="s">
        <v>267</v>
      </c>
      <c r="B69" s="147">
        <f>B67+B68</f>
        <v>132070.12083683361</v>
      </c>
      <c r="C69" s="147">
        <f>C67+C68</f>
        <v>161086.00836476433</v>
      </c>
      <c r="D69" s="147">
        <f>D67+D68</f>
        <v>192155.53599056831</v>
      </c>
      <c r="E69" s="147">
        <f>E67+E68</f>
        <v>224062.92554196526</v>
      </c>
      <c r="F69" s="147">
        <f>F67+F68</f>
        <v>255257.82853123869</v>
      </c>
    </row>
    <row r="70" spans="1:8" x14ac:dyDescent="0.25">
      <c r="A70" t="s">
        <v>543</v>
      </c>
      <c r="B70" s="109">
        <f>-(B60-'NVDA - Reconciliation FY'!$B$22)</f>
        <v>-9078.9889795365161</v>
      </c>
      <c r="C70" s="119">
        <f>-(C60-B60)</f>
        <v>-10105.838330783226</v>
      </c>
      <c r="D70" s="119">
        <f>-(D60-C60)</f>
        <v>-10844.474540079289</v>
      </c>
      <c r="E70" s="119">
        <f>-(E60-D60)</f>
        <v>-11163.813138013065</v>
      </c>
      <c r="F70" s="119">
        <f>-(F60-E60)</f>
        <v>-10945.29861606787</v>
      </c>
    </row>
    <row r="71" spans="1:8" x14ac:dyDescent="0.25">
      <c r="A71" t="s">
        <v>269</v>
      </c>
      <c r="B71" s="109">
        <f>-((B61-'NVDA - Reconciliation FY'!$B$24)+B68)</f>
        <v>-6373.0994237840805</v>
      </c>
      <c r="C71" s="119">
        <f>-((C61-B61)+C68)</f>
        <v>-7660.3847231367308</v>
      </c>
      <c r="D71" s="119">
        <f>-((D61-C61)+D68)</f>
        <v>-8981.7938826541722</v>
      </c>
      <c r="E71" s="119">
        <f>-((E61-D61)+E68)</f>
        <v>-10264.273906023051</v>
      </c>
      <c r="F71" s="119">
        <f>-((F61-E61)+F68)</f>
        <v>-11422.154745489506</v>
      </c>
    </row>
    <row r="72" spans="1:8" x14ac:dyDescent="0.25">
      <c r="A72" t="s">
        <v>544</v>
      </c>
      <c r="B72" s="109">
        <f>-((B62+B63)-('NVDA - Reconciliation FY'!$B$25+'NVDA - Reconciliation FY'!$B$26+'NVDA - Reconciliation FY'!$B$27+'NVDA - Reconciliation FY'!$B$28+'NVDA - Reconciliation FY'!$B$29+'NVDA - Reconciliation FY'!$B$30))</f>
        <v>-10226.774085087309</v>
      </c>
      <c r="C72" s="119">
        <f>-((C62+C63)-(B62+B63))</f>
        <v>-11378.668075281967</v>
      </c>
      <c r="D72" s="119">
        <f>-((D62+D63)-(C62+C63))</f>
        <v>-12204.748202440853</v>
      </c>
      <c r="E72" s="119">
        <f>-((E62+E63)-(D62+D63))</f>
        <v>-12557.680258008855</v>
      </c>
      <c r="F72" s="119">
        <f>-((F62+F63)-(E62+E63))</f>
        <v>-12304.451185557831</v>
      </c>
    </row>
    <row r="73" spans="1:8" x14ac:dyDescent="0.25">
      <c r="A73" s="9" t="s">
        <v>270</v>
      </c>
      <c r="B73" s="147">
        <f>B69+B70+B71+B72</f>
        <v>106391.2583484257</v>
      </c>
      <c r="C73" s="147">
        <f>C69+C70+C71+C72</f>
        <v>131941.11723556241</v>
      </c>
      <c r="D73" s="147">
        <f>D69+D70+D71+D72</f>
        <v>160124.51936539402</v>
      </c>
      <c r="E73" s="147">
        <f>E69+E70+E71+E72</f>
        <v>190077.1582399203</v>
      </c>
      <c r="F73" s="147">
        <f>F69+F70+F71+F72</f>
        <v>220585.92398412345</v>
      </c>
    </row>
    <row r="75" spans="1:8" x14ac:dyDescent="0.25">
      <c r="A75" s="24" t="s">
        <v>552</v>
      </c>
      <c r="B75" s="24"/>
      <c r="C75" s="24"/>
      <c r="D75" s="24"/>
      <c r="E75" s="24"/>
      <c r="F75" s="24"/>
      <c r="G75" s="24"/>
      <c r="H75" s="24"/>
    </row>
    <row r="76" spans="1:8" x14ac:dyDescent="0.25">
      <c r="A76" s="9" t="s">
        <v>506</v>
      </c>
      <c r="B76" s="168">
        <f>B24</f>
        <v>46412</v>
      </c>
      <c r="C76" s="168">
        <f>C24</f>
        <v>46777</v>
      </c>
      <c r="D76" s="168">
        <f>D24</f>
        <v>47143</v>
      </c>
      <c r="E76" s="168">
        <f>E24</f>
        <v>47508</v>
      </c>
      <c r="F76" s="168">
        <f>F24</f>
        <v>47873</v>
      </c>
    </row>
    <row r="77" spans="1:8" x14ac:dyDescent="0.25">
      <c r="A77" t="s">
        <v>507</v>
      </c>
      <c r="B77" s="134">
        <f>$B$6+($E$16-$B$6)*MIN(1/$B$3,1)</f>
        <v>0.287462455880025</v>
      </c>
      <c r="C77" s="134">
        <f>$B$6+($E$16-$B$6)*MIN(2/$B$3,1)</f>
        <v>0.28560575533552079</v>
      </c>
      <c r="D77" s="134">
        <f>$B$6+($E$16-$B$6)*MIN(3/$B$3,1)</f>
        <v>0.28374905479101653</v>
      </c>
      <c r="E77" s="134">
        <f>$B$6+($E$16-$B$6)*MIN(4/$B$3,1)</f>
        <v>0.28189235424651232</v>
      </c>
      <c r="F77" s="134">
        <f>$B$6+($E$16-$B$6)*MIN(5/$B$3,1)</f>
        <v>0.28003565370200806</v>
      </c>
    </row>
    <row r="78" spans="1:8" x14ac:dyDescent="0.25">
      <c r="A78" t="s">
        <v>318</v>
      </c>
      <c r="B78" s="134">
        <f>$B$7+($E$17-$B$7)*MIN(1/$B$3,1)</f>
        <v>8.7993434192912195E-2</v>
      </c>
      <c r="C78" s="134">
        <f>$B$7+($E$17-$B$7)*MIN(2/$B$3,1)</f>
        <v>9.0328021865063807E-2</v>
      </c>
      <c r="D78" s="134">
        <f>$B$7+($E$17-$B$7)*MIN(3/$B$3,1)</f>
        <v>9.2662609537215404E-2</v>
      </c>
      <c r="E78" s="134">
        <f>$B$7+($E$17-$B$7)*MIN(4/$B$3,1)</f>
        <v>9.4997197209367015E-2</v>
      </c>
      <c r="F78" s="134">
        <f>$B$7+($E$17-$B$7)*MIN(5/$B$3,1)</f>
        <v>9.7331784881518627E-2</v>
      </c>
    </row>
    <row r="79" spans="1:8" x14ac:dyDescent="0.25">
      <c r="A79" t="s">
        <v>319</v>
      </c>
      <c r="B79" s="134">
        <f>$B$8+($E$18-$B$8)*MIN(1/$B$3,1)</f>
        <v>2.2135332498383654E-2</v>
      </c>
      <c r="C79" s="134">
        <f>$B$8+($E$18-$B$8)*MIN(2/$B$3,1)</f>
        <v>2.3065504256184359E-2</v>
      </c>
      <c r="D79" s="134">
        <f>$B$8+($E$18-$B$8)*MIN(3/$B$3,1)</f>
        <v>2.3995676013985067E-2</v>
      </c>
      <c r="E79" s="134">
        <f>$B$8+($E$18-$B$8)*MIN(4/$B$3,1)</f>
        <v>2.4925847771785775E-2</v>
      </c>
      <c r="F79" s="134">
        <f>$B$8+($E$18-$B$8)*MIN(5/$B$3,1)</f>
        <v>2.585601952958648E-2</v>
      </c>
    </row>
    <row r="80" spans="1:8" x14ac:dyDescent="0.25">
      <c r="A80" t="s">
        <v>508</v>
      </c>
      <c r="B80" s="134">
        <f>$B$9+($E$19-$B$9)*MIN(1/$B$3,1)</f>
        <v>0</v>
      </c>
      <c r="C80" s="134">
        <f>$B$9+($E$19-$B$9)*MIN(2/$B$3,1)</f>
        <v>0</v>
      </c>
      <c r="D80" s="134">
        <f>$B$9+($E$19-$B$9)*MIN(3/$B$3,1)</f>
        <v>0</v>
      </c>
      <c r="E80" s="134">
        <f>$B$9+($E$19-$B$9)*MIN(4/$B$3,1)</f>
        <v>0</v>
      </c>
      <c r="F80" s="134">
        <f>$B$9+($E$19-$B$9)*MIN(5/$B$3,1)</f>
        <v>0</v>
      </c>
    </row>
    <row r="81" spans="1:8" x14ac:dyDescent="0.25">
      <c r="A81" t="s">
        <v>509</v>
      </c>
      <c r="B81" s="134">
        <f>$B$10+($E$20-$B$10)*MIN(1/$B$3,1)</f>
        <v>0.27829067129572882</v>
      </c>
      <c r="C81" s="134">
        <f>$B$10+($E$20-$B$10)*MIN(2/$B$3,1)</f>
        <v>0.282768379093432</v>
      </c>
      <c r="D81" s="134">
        <f>$B$10+($E$20-$B$10)*MIN(3/$B$3,1)</f>
        <v>0.28724608689113518</v>
      </c>
      <c r="E81" s="134">
        <f>$B$10+($E$20-$B$10)*MIN(4/$B$3,1)</f>
        <v>0.29172379468883836</v>
      </c>
      <c r="F81" s="134">
        <f>$B$10+($E$20-$B$10)*MIN(5/$B$3,1)</f>
        <v>0.29620150248654153</v>
      </c>
    </row>
    <row r="82" spans="1:8" x14ac:dyDescent="0.25">
      <c r="A82" t="s">
        <v>533</v>
      </c>
      <c r="B82" s="134">
        <f>$B$45+($E$53-$B$45)*MIN(1/$B$3,1)</f>
        <v>0.16935359792596799</v>
      </c>
      <c r="C82" s="134">
        <f>$B$45+($E$53-$B$45)*MIN(2/$B$3,1)</f>
        <v>0.16932635505504051</v>
      </c>
      <c r="D82" s="134">
        <f>$B$45+($E$53-$B$45)*MIN(3/$B$3,1)</f>
        <v>0.16929911218411306</v>
      </c>
      <c r="E82" s="134">
        <f>$B$45+($E$53-$B$45)*MIN(4/$B$3,1)</f>
        <v>0.16927186931318558</v>
      </c>
      <c r="F82" s="134">
        <f>$B$45+($E$53-$B$45)*MIN(5/$B$3,1)</f>
        <v>0.16924462644225813</v>
      </c>
    </row>
    <row r="83" spans="1:8" x14ac:dyDescent="0.25">
      <c r="A83" t="s">
        <v>534</v>
      </c>
      <c r="B83" s="134">
        <f>$B$46+($E$54-$B$46)*MIN(1/$B$3,1)</f>
        <v>4.8624122570761853E-2</v>
      </c>
      <c r="C83" s="134">
        <f>$B$46+($E$54-$B$46)*MIN(2/$B$3,1)</f>
        <v>4.9164999024582733E-2</v>
      </c>
      <c r="D83" s="134">
        <f>$B$46+($E$54-$B$46)*MIN(3/$B$3,1)</f>
        <v>4.9705875478403612E-2</v>
      </c>
      <c r="E83" s="134">
        <f>$B$46+($E$54-$B$46)*MIN(4/$B$3,1)</f>
        <v>5.0246751932224491E-2</v>
      </c>
      <c r="F83" s="134">
        <f>$B$46+($E$54-$B$46)*MIN(5/$B$3,1)</f>
        <v>5.0787628386045371E-2</v>
      </c>
    </row>
    <row r="84" spans="1:8" x14ac:dyDescent="0.25">
      <c r="A84" t="s">
        <v>535</v>
      </c>
      <c r="B84" s="134">
        <f>$B$47+($E$55-$B$47)*MIN(1/$B$3,1)</f>
        <v>0.10889356433058278</v>
      </c>
      <c r="C84" s="134">
        <f>$B$47+($E$55-$B$47)*MIN(2/$B$3,1)</f>
        <v>0.10600504306252152</v>
      </c>
      <c r="D84" s="134">
        <f>$B$47+($E$55-$B$47)*MIN(3/$B$3,1)</f>
        <v>0.10311652179446025</v>
      </c>
      <c r="E84" s="134">
        <f>$B$47+($E$55-$B$47)*MIN(4/$B$3,1)</f>
        <v>0.10022800052639898</v>
      </c>
      <c r="F84" s="134">
        <f>$B$47+($E$55-$B$47)*MIN(5/$B$3,1)</f>
        <v>9.7339479258337719E-2</v>
      </c>
    </row>
    <row r="85" spans="1:8" x14ac:dyDescent="0.25">
      <c r="A85" t="s">
        <v>536</v>
      </c>
      <c r="B85" s="134">
        <f>$B$48+($E$56-$B$48)*MIN(1/$B$3,1)</f>
        <v>8.2086167780599795E-2</v>
      </c>
      <c r="C85" s="134">
        <f>$B$48+($E$56-$B$48)*MIN(2/$B$3,1)</f>
        <v>8.4890319426938809E-2</v>
      </c>
      <c r="D85" s="134">
        <f>$B$48+($E$56-$B$48)*MIN(3/$B$3,1)</f>
        <v>8.7694471073277824E-2</v>
      </c>
      <c r="E85" s="134">
        <f>$B$48+($E$56-$B$48)*MIN(4/$B$3,1)</f>
        <v>9.0498622719616853E-2</v>
      </c>
      <c r="F85" s="134">
        <f>$B$48+($E$56-$B$48)*MIN(5/$B$3,1)</f>
        <v>9.3302774365955882E-2</v>
      </c>
    </row>
    <row r="87" spans="1:8" x14ac:dyDescent="0.25">
      <c r="A87" s="24" t="s">
        <v>553</v>
      </c>
      <c r="B87" s="24"/>
      <c r="C87" s="24"/>
      <c r="D87" s="24"/>
      <c r="E87" s="24"/>
      <c r="F87" s="24"/>
      <c r="G87" s="24"/>
      <c r="H87" s="24"/>
    </row>
    <row r="88" spans="1:8" x14ac:dyDescent="0.25">
      <c r="A88" s="9" t="s">
        <v>514</v>
      </c>
      <c r="B88" s="168">
        <f>B24</f>
        <v>46412</v>
      </c>
      <c r="C88" s="168">
        <f>C24</f>
        <v>46777</v>
      </c>
      <c r="D88" s="168">
        <f>D24</f>
        <v>47143</v>
      </c>
      <c r="E88" s="168">
        <f>E24</f>
        <v>47508</v>
      </c>
      <c r="F88" s="168">
        <f>F24</f>
        <v>47873</v>
      </c>
    </row>
    <row r="89" spans="1:8" x14ac:dyDescent="0.25">
      <c r="A89" t="s">
        <v>541</v>
      </c>
      <c r="B89" s="119">
        <f>B64</f>
        <v>110247.73061087729</v>
      </c>
      <c r="C89" s="119">
        <f>C64</f>
        <v>134814.47554643961</v>
      </c>
      <c r="D89" s="119">
        <f>D64</f>
        <v>161228.36309274501</v>
      </c>
      <c r="E89" s="119">
        <f>E64</f>
        <v>188479.69992234881</v>
      </c>
      <c r="F89" s="119">
        <f>F64</f>
        <v>215266.21201310668</v>
      </c>
    </row>
    <row r="90" spans="1:8" x14ac:dyDescent="0.25">
      <c r="A90" t="s">
        <v>554</v>
      </c>
      <c r="B90" s="109">
        <f>'NVDA - Reconciliation FY'!$B$40</f>
        <v>80488.239999999991</v>
      </c>
      <c r="C90" s="109">
        <f>'NVDA - Reconciliation FY'!$B$40</f>
        <v>80488.239999999991</v>
      </c>
      <c r="D90" s="109">
        <f>'NVDA - Reconciliation FY'!$B$40</f>
        <v>80488.239999999991</v>
      </c>
      <c r="E90" s="109">
        <f>'NVDA - Reconciliation FY'!$B$40</f>
        <v>80488.239999999991</v>
      </c>
      <c r="F90" s="109">
        <f>'NVDA - Reconciliation FY'!$B$40</f>
        <v>80488.239999999991</v>
      </c>
    </row>
    <row r="91" spans="1:8" x14ac:dyDescent="0.25">
      <c r="A91" s="9" t="s">
        <v>555</v>
      </c>
      <c r="B91" s="147">
        <f>B89+B90</f>
        <v>190735.97061087727</v>
      </c>
      <c r="C91" s="147">
        <f>C89+C90</f>
        <v>215302.71554643961</v>
      </c>
      <c r="D91" s="147">
        <f>D89+D90</f>
        <v>241716.603092745</v>
      </c>
      <c r="E91" s="147">
        <f>E89+E90</f>
        <v>268967.93992234883</v>
      </c>
      <c r="F91" s="147">
        <f>F89+F90</f>
        <v>295754.45201310667</v>
      </c>
    </row>
    <row r="92" spans="1:8" x14ac:dyDescent="0.25">
      <c r="A92" t="s">
        <v>565</v>
      </c>
      <c r="B92" s="109">
        <f>'NVDA - Reconciliation FY'!$B$47+'NVDA - Reconciliation FY'!$B$49</f>
        <v>8468</v>
      </c>
      <c r="C92" s="109">
        <f>'NVDA - Reconciliation FY'!$B$47+'NVDA - Reconciliation FY'!$B$49</f>
        <v>8468</v>
      </c>
      <c r="D92" s="109">
        <f>'NVDA - Reconciliation FY'!$B$47+'NVDA - Reconciliation FY'!$B$49</f>
        <v>8468</v>
      </c>
      <c r="E92" s="109">
        <f>'NVDA - Reconciliation FY'!$B$47+'NVDA - Reconciliation FY'!$B$49</f>
        <v>8468</v>
      </c>
      <c r="F92" s="109">
        <f>'NVDA - Reconciliation FY'!$B$47+'NVDA - Reconciliation FY'!$B$49</f>
        <v>8468</v>
      </c>
    </row>
    <row r="93" spans="1:8" x14ac:dyDescent="0.25">
      <c r="A93" t="s">
        <v>556</v>
      </c>
      <c r="B93" s="119">
        <f>B91-B92</f>
        <v>182267.97061087727</v>
      </c>
      <c r="C93" s="119">
        <f>C91-C92</f>
        <v>206834.71554643961</v>
      </c>
      <c r="D93" s="119">
        <f>D91-D92</f>
        <v>233248.603092745</v>
      </c>
      <c r="E93" s="119">
        <f>E91-E92</f>
        <v>260499.93992234883</v>
      </c>
      <c r="F93" s="119">
        <f>F91-F92</f>
        <v>287286.45201310667</v>
      </c>
    </row>
    <row r="94" spans="1:8" x14ac:dyDescent="0.25">
      <c r="A94" t="s">
        <v>557</v>
      </c>
      <c r="B94" s="119">
        <f>B91-(B92+B93)</f>
        <v>0</v>
      </c>
      <c r="C94" s="119">
        <f>C91-(C92+C93)</f>
        <v>0</v>
      </c>
      <c r="D94" s="119">
        <f>D91-(D92+D93)</f>
        <v>0</v>
      </c>
      <c r="E94" s="119">
        <f>E91-(E92+E93)</f>
        <v>0</v>
      </c>
      <c r="F94" s="119">
        <f>F91-(F92+F93)</f>
        <v>0</v>
      </c>
    </row>
    <row r="96" spans="1:8" x14ac:dyDescent="0.25">
      <c r="A96" s="24" t="s">
        <v>558</v>
      </c>
      <c r="B96" s="24"/>
      <c r="C96" s="24"/>
      <c r="D96" s="24"/>
      <c r="E96" s="24"/>
      <c r="F96" s="24"/>
      <c r="G96" s="24"/>
      <c r="H96" s="24"/>
    </row>
    <row r="97" spans="1:11" x14ac:dyDescent="0.25">
      <c r="A97" s="9" t="s">
        <v>559</v>
      </c>
      <c r="B97" s="168">
        <f>B24</f>
        <v>46412</v>
      </c>
      <c r="C97" s="168">
        <f>C24</f>
        <v>46777</v>
      </c>
      <c r="D97" s="168">
        <f>D24</f>
        <v>47143</v>
      </c>
      <c r="E97" s="168">
        <f>E24</f>
        <v>47508</v>
      </c>
      <c r="F97" s="168">
        <f>F24</f>
        <v>47873</v>
      </c>
    </row>
    <row r="98" spans="1:11" x14ac:dyDescent="0.25">
      <c r="A98" t="s">
        <v>259</v>
      </c>
      <c r="B98" s="119">
        <f>B40</f>
        <v>128422.22895930299</v>
      </c>
      <c r="C98" s="119">
        <f>C40</f>
        <v>156507.86217112473</v>
      </c>
      <c r="D98" s="119">
        <f>D40</f>
        <v>186538.40691169939</v>
      </c>
      <c r="E98" s="119">
        <f>E40</f>
        <v>217328.4950695241</v>
      </c>
      <c r="F98" s="119">
        <f>F40</f>
        <v>247372.43607488135</v>
      </c>
    </row>
    <row r="99" spans="1:11" x14ac:dyDescent="0.25">
      <c r="A99" t="s">
        <v>560</v>
      </c>
      <c r="B99" s="109">
        <f>AVERAGE(B64,'NVDA - Reconciliation FY'!$B$32)</f>
        <v>99232.245305438642</v>
      </c>
      <c r="C99" s="119">
        <f>AVERAGE(C64,B64)</f>
        <v>122531.10307865846</v>
      </c>
      <c r="D99" s="119">
        <f>AVERAGE(D64,C64)</f>
        <v>148021.4193195923</v>
      </c>
      <c r="E99" s="119">
        <f>AVERAGE(E64,D64)</f>
        <v>174854.0315075469</v>
      </c>
      <c r="F99" s="119">
        <f>AVERAGE(F64,E64)</f>
        <v>201872.95596772776</v>
      </c>
    </row>
    <row r="100" spans="1:11" x14ac:dyDescent="0.25">
      <c r="A100" s="9" t="s">
        <v>561</v>
      </c>
      <c r="B100" s="137">
        <f>B98/B99</f>
        <v>1.2941582503148754</v>
      </c>
      <c r="C100" s="137">
        <f>C98/C99</f>
        <v>1.2772908938121204</v>
      </c>
      <c r="D100" s="137">
        <f>D98/D99</f>
        <v>1.2602122569095575</v>
      </c>
      <c r="E100" s="137">
        <f>E98/E99</f>
        <v>1.2429138361625021</v>
      </c>
      <c r="F100" s="137">
        <f>F98/F99</f>
        <v>1.2253867036772739</v>
      </c>
    </row>
    <row r="101" spans="1:11" x14ac:dyDescent="0.25">
      <c r="A101" t="s">
        <v>311</v>
      </c>
      <c r="B101" s="109">
        <f>B64-'NVDA - Reconciliation FY'!$B$32</f>
        <v>22030.970610877281</v>
      </c>
      <c r="C101" s="119">
        <f>C64-B64</f>
        <v>24566.744935562325</v>
      </c>
      <c r="D101" s="119">
        <f>D64-C64</f>
        <v>26413.887546305399</v>
      </c>
      <c r="E101" s="119">
        <f>E64-D64</f>
        <v>27251.336829603795</v>
      </c>
      <c r="F101" s="119">
        <f>F64-E64</f>
        <v>26786.512090757868</v>
      </c>
    </row>
    <row r="102" spans="1:11" x14ac:dyDescent="0.25">
      <c r="A102" t="s">
        <v>312</v>
      </c>
      <c r="B102" s="113">
        <f>IFERROR((B98-'NVDA - Reconciliation FY'!$B$56)/B101,"")</f>
        <v>1.1536713206250742</v>
      </c>
      <c r="C102" s="134">
        <f>IFERROR((C98-B98)/C101,"")</f>
        <v>1.1432378723957664</v>
      </c>
      <c r="D102" s="134">
        <f>IFERROR((D98-C98)/D101,"")</f>
        <v>1.1369225634783602</v>
      </c>
      <c r="E102" s="134">
        <f>IFERROR((E98-D98)/E101,"")</f>
        <v>1.1298560635886559</v>
      </c>
      <c r="F102" s="134">
        <f>IFERROR((F98-E98)/F101,"")</f>
        <v>1.1216070574460231</v>
      </c>
    </row>
    <row r="103" spans="1:11" x14ac:dyDescent="0.25">
      <c r="A103" t="s">
        <v>562</v>
      </c>
      <c r="B103" s="134">
        <f>IFERROR(B101/B98,"")</f>
        <v>0.17155106860712485</v>
      </c>
      <c r="C103" s="134">
        <f>IFERROR(C101/C98,"")</f>
        <v>0.15696812028970913</v>
      </c>
      <c r="D103" s="134">
        <f>IFERROR(D101/D98,"")</f>
        <v>0.14160026336457773</v>
      </c>
      <c r="E103" s="134">
        <f>IFERROR(E101/E98,"")</f>
        <v>0.12539237811813864</v>
      </c>
      <c r="F103" s="134">
        <f>IFERROR(F101/F98,"")</f>
        <v>0.10828414238783421</v>
      </c>
    </row>
    <row r="104" spans="1:11" x14ac:dyDescent="0.25">
      <c r="A104" s="9" t="s">
        <v>563</v>
      </c>
      <c r="B104" s="137">
        <f>IFERROR(B102*B103,"")</f>
        <v>0.19791354787462442</v>
      </c>
      <c r="C104" s="137">
        <f>IFERROR(C102*C103,"")</f>
        <v>0.17945189987396978</v>
      </c>
      <c r="D104" s="137">
        <f>IFERROR(D102*D103,"")</f>
        <v>0.16098853441366665</v>
      </c>
      <c r="E104" s="137">
        <f>IFERROR(E102*E103,"")</f>
        <v>0.14167533874458044</v>
      </c>
      <c r="F104" s="137">
        <f>IFERROR(F102*F103,"")</f>
        <v>0.12145225831168491</v>
      </c>
    </row>
    <row r="105" spans="1:11" x14ac:dyDescent="0.25">
      <c r="A105" t="s">
        <v>564</v>
      </c>
      <c r="B105" s="113">
        <f>IFERROR(B25/'NVDA - Income Statement FY'!$B$7-1,"")</f>
        <v>0.24842500000000034</v>
      </c>
      <c r="C105" s="134">
        <f>IFERROR(C25/B25-1,"")</f>
        <v>0.22154999999999991</v>
      </c>
      <c r="D105" s="134">
        <f>IFERROR(D25/C25-1,"")</f>
        <v>0.19467499999999993</v>
      </c>
      <c r="E105" s="134">
        <f>IFERROR(E25/D25-1,"")</f>
        <v>0.16780000000000017</v>
      </c>
      <c r="F105" s="134">
        <f>IFERROR(F25/E25-1,"")</f>
        <v>0.14092499999999974</v>
      </c>
    </row>
    <row r="107" spans="1:11" x14ac:dyDescent="0.25">
      <c r="A107" s="24" t="s">
        <v>600</v>
      </c>
      <c r="B107" s="24"/>
      <c r="C107" s="24"/>
      <c r="D107" s="24"/>
      <c r="E107" s="24"/>
      <c r="F107" s="24"/>
      <c r="G107" s="24"/>
      <c r="H107" s="24"/>
      <c r="I107" s="24"/>
      <c r="J107" s="24"/>
      <c r="K107" s="24"/>
    </row>
    <row r="108" spans="1:11" x14ac:dyDescent="0.25">
      <c r="A108" t="s">
        <v>601</v>
      </c>
      <c r="B108" s="146">
        <f>F33</f>
        <v>0.59737369106859639</v>
      </c>
    </row>
    <row r="109" spans="1:11" x14ac:dyDescent="0.25">
      <c r="A109" t="s">
        <v>602</v>
      </c>
      <c r="B109" s="169">
        <f>F25/F64</f>
        <v>2.4350184377597595</v>
      </c>
    </row>
    <row r="110" spans="1:11" x14ac:dyDescent="0.25">
      <c r="A110" s="9" t="s">
        <v>573</v>
      </c>
      <c r="B110" s="168">
        <f>EDATE(F24,12)</f>
        <v>48238</v>
      </c>
      <c r="C110" s="168">
        <f t="shared" ref="C110:K110" si="3">EDATE(B110,12)</f>
        <v>48604</v>
      </c>
      <c r="D110" s="168">
        <f t="shared" si="3"/>
        <v>48969</v>
      </c>
      <c r="E110" s="168">
        <f t="shared" si="3"/>
        <v>49334</v>
      </c>
      <c r="F110" s="168">
        <f t="shared" si="3"/>
        <v>49699</v>
      </c>
      <c r="G110" s="168">
        <f t="shared" si="3"/>
        <v>50065</v>
      </c>
      <c r="H110" s="168">
        <f t="shared" si="3"/>
        <v>50430</v>
      </c>
      <c r="I110" s="168">
        <f t="shared" si="3"/>
        <v>50795</v>
      </c>
      <c r="J110" s="168">
        <f t="shared" si="3"/>
        <v>51160</v>
      </c>
      <c r="K110" s="168">
        <f t="shared" si="3"/>
        <v>51526</v>
      </c>
    </row>
    <row r="111" spans="1:11" x14ac:dyDescent="0.25">
      <c r="A111" t="s">
        <v>603</v>
      </c>
      <c r="B111" s="113">
        <f>('NVDA Rev Drivers &amp; Forecast'!$B$8+('NVDA Rev Drivers &amp; Forecast'!$B$7-'NVDA Rev Drivers &amp; Forecast'!$B$8)*MIN(6/'NVDA Rev Drivers &amp; Forecast'!$B$10,1))+'NVDA Rev Drivers &amp; Forecast'!$B$4</f>
        <v>0.11405</v>
      </c>
      <c r="C111" s="113">
        <f>('NVDA Rev Drivers &amp; Forecast'!$B$8+('NVDA Rev Drivers &amp; Forecast'!$B$7-'NVDA Rev Drivers &amp; Forecast'!$B$8)*MIN(7/'NVDA Rev Drivers &amp; Forecast'!$B$10,1))+'NVDA Rev Drivers &amp; Forecast'!$B$4</f>
        <v>8.7175000000000016E-2</v>
      </c>
      <c r="D111" s="113">
        <f>('NVDA Rev Drivers &amp; Forecast'!$B$8+('NVDA Rev Drivers &amp; Forecast'!$B$7-'NVDA Rev Drivers &amp; Forecast'!$B$8)*MIN(8/'NVDA Rev Drivers &amp; Forecast'!$B$10,1))+'NVDA Rev Drivers &amp; Forecast'!$B$4</f>
        <v>6.0300000000000006E-2</v>
      </c>
      <c r="E111" s="113">
        <f>('NVDA Rev Drivers &amp; Forecast'!$B$8+('NVDA Rev Drivers &amp; Forecast'!$B$7-'NVDA Rev Drivers &amp; Forecast'!$B$8)*MIN(9/'NVDA Rev Drivers &amp; Forecast'!$B$10,1))+'NVDA Rev Drivers &amp; Forecast'!$B$4</f>
        <v>6.0300000000000006E-2</v>
      </c>
      <c r="F111" s="113">
        <f>('NVDA Rev Drivers &amp; Forecast'!$B$8+('NVDA Rev Drivers &amp; Forecast'!$B$7-'NVDA Rev Drivers &amp; Forecast'!$B$8)*MIN(10/'NVDA Rev Drivers &amp; Forecast'!$B$10,1))+'NVDA Rev Drivers &amp; Forecast'!$B$4</f>
        <v>6.0300000000000006E-2</v>
      </c>
      <c r="G111" s="113">
        <f>('NVDA Rev Drivers &amp; Forecast'!$B$8+('NVDA Rev Drivers &amp; Forecast'!$B$7-'NVDA Rev Drivers &amp; Forecast'!$B$8)*MIN(11/'NVDA Rev Drivers &amp; Forecast'!$B$10,1))+'NVDA Rev Drivers &amp; Forecast'!$B$4</f>
        <v>6.0300000000000006E-2</v>
      </c>
      <c r="H111" s="113">
        <f>('NVDA Rev Drivers &amp; Forecast'!$B$8+('NVDA Rev Drivers &amp; Forecast'!$B$7-'NVDA Rev Drivers &amp; Forecast'!$B$8)*MIN(12/'NVDA Rev Drivers &amp; Forecast'!$B$10,1))+'NVDA Rev Drivers &amp; Forecast'!$B$4</f>
        <v>6.0300000000000006E-2</v>
      </c>
      <c r="I111" s="113">
        <f>('NVDA Rev Drivers &amp; Forecast'!$B$8+('NVDA Rev Drivers &amp; Forecast'!$B$7-'NVDA Rev Drivers &amp; Forecast'!$B$8)*MIN(13/'NVDA Rev Drivers &amp; Forecast'!$B$10,1))+'NVDA Rev Drivers &amp; Forecast'!$B$4</f>
        <v>6.0300000000000006E-2</v>
      </c>
      <c r="J111" s="113">
        <f>('NVDA Rev Drivers &amp; Forecast'!$B$8+('NVDA Rev Drivers &amp; Forecast'!$B$7-'NVDA Rev Drivers &amp; Forecast'!$B$8)*MIN(14/'NVDA Rev Drivers &amp; Forecast'!$B$10,1))+'NVDA Rev Drivers &amp; Forecast'!$B$4</f>
        <v>6.0300000000000006E-2</v>
      </c>
      <c r="K111" s="113">
        <f>('NVDA Rev Drivers &amp; Forecast'!$B$8+('NVDA Rev Drivers &amp; Forecast'!$B$7-'NVDA Rev Drivers &amp; Forecast'!$B$8)*MIN(15/'NVDA Rev Drivers &amp; Forecast'!$B$10,1))+'NVDA Rev Drivers &amp; Forecast'!$B$4</f>
        <v>6.0300000000000006E-2</v>
      </c>
    </row>
    <row r="112" spans="1:11" x14ac:dyDescent="0.25">
      <c r="A112" t="s">
        <v>31</v>
      </c>
      <c r="B112" s="119">
        <f>F25*(1+B111)</f>
        <v>583959.60440014233</v>
      </c>
      <c r="C112" s="119">
        <f t="shared" ref="C112:K112" si="4">B112*(1+C111)</f>
        <v>634866.28291372478</v>
      </c>
      <c r="D112" s="119">
        <f t="shared" si="4"/>
        <v>673148.71977342234</v>
      </c>
      <c r="E112" s="119">
        <f t="shared" si="4"/>
        <v>713739.58757575974</v>
      </c>
      <c r="F112" s="119">
        <f t="shared" si="4"/>
        <v>756778.08470657805</v>
      </c>
      <c r="G112" s="119">
        <f t="shared" si="4"/>
        <v>802411.80321438471</v>
      </c>
      <c r="H112" s="119">
        <f t="shared" si="4"/>
        <v>850797.23494821216</v>
      </c>
      <c r="I112" s="119">
        <f t="shared" si="4"/>
        <v>902100.30821558938</v>
      </c>
      <c r="J112" s="119">
        <f t="shared" si="4"/>
        <v>956496.95680098946</v>
      </c>
      <c r="K112" s="119">
        <f t="shared" si="4"/>
        <v>1014173.7232960891</v>
      </c>
    </row>
    <row r="113" spans="1:11" x14ac:dyDescent="0.25">
      <c r="A113" t="s">
        <v>320</v>
      </c>
      <c r="B113" s="134">
        <f>$B$108+IF('Valuation Dashboard'!$B$151="Yes",'NVDA - Reconciliation FY'!$B$152,0)</f>
        <v>0.597970840250306</v>
      </c>
      <c r="C113" s="134">
        <f>$B$108+IF('Valuation Dashboard'!$B$151="Yes",'NVDA - Reconciliation FY'!$B$152,0)</f>
        <v>0.597970840250306</v>
      </c>
      <c r="D113" s="134">
        <f>$B$108+IF('Valuation Dashboard'!$B$151="Yes",'NVDA - Reconciliation FY'!$B$152,0)</f>
        <v>0.597970840250306</v>
      </c>
      <c r="E113" s="134">
        <f>$B$108+IF('Valuation Dashboard'!$B$151="Yes",'NVDA - Reconciliation FY'!$B$152,0)</f>
        <v>0.597970840250306</v>
      </c>
      <c r="F113" s="134">
        <f>$B$108+IF('Valuation Dashboard'!$B$151="Yes",'NVDA - Reconciliation FY'!$B$152,0)</f>
        <v>0.597970840250306</v>
      </c>
      <c r="G113" s="134">
        <f>$B$108+IF('Valuation Dashboard'!$B$151="Yes",'NVDA - Reconciliation FY'!$B$152,0)</f>
        <v>0.597970840250306</v>
      </c>
      <c r="H113" s="134">
        <f>$B$108+IF('Valuation Dashboard'!$B$151="Yes",'NVDA - Reconciliation FY'!$B$152,0)</f>
        <v>0.597970840250306</v>
      </c>
      <c r="I113" s="134">
        <f>$B$108+IF('Valuation Dashboard'!$B$151="Yes",'NVDA - Reconciliation FY'!$B$152,0)</f>
        <v>0.597970840250306</v>
      </c>
      <c r="J113" s="134">
        <f>$B$108+IF('Valuation Dashboard'!$B$151="Yes",'NVDA - Reconciliation FY'!$B$152,0)</f>
        <v>0.597970840250306</v>
      </c>
      <c r="K113" s="134">
        <f>$B$108+IF('Valuation Dashboard'!$B$151="Yes",'NVDA - Reconciliation FY'!$B$152,0)</f>
        <v>0.597970840250306</v>
      </c>
    </row>
    <row r="114" spans="1:11" x14ac:dyDescent="0.25">
      <c r="A114" t="s">
        <v>522</v>
      </c>
      <c r="B114" s="119">
        <f t="shared" ref="B114:K114" si="5">B112*B113</f>
        <v>349190.81531538942</v>
      </c>
      <c r="C114" s="119">
        <f t="shared" si="5"/>
        <v>379631.52464050852</v>
      </c>
      <c r="D114" s="119">
        <f t="shared" si="5"/>
        <v>402523.30557633116</v>
      </c>
      <c r="E114" s="119">
        <f t="shared" si="5"/>
        <v>426795.4609025839</v>
      </c>
      <c r="F114" s="119">
        <f t="shared" si="5"/>
        <v>452531.22719500971</v>
      </c>
      <c r="G114" s="119">
        <f t="shared" si="5"/>
        <v>479818.86019486882</v>
      </c>
      <c r="H114" s="119">
        <f t="shared" si="5"/>
        <v>508751.93746461946</v>
      </c>
      <c r="I114" s="119">
        <f t="shared" si="5"/>
        <v>539429.679293736</v>
      </c>
      <c r="J114" s="119">
        <f t="shared" si="5"/>
        <v>571957.28895514831</v>
      </c>
      <c r="K114" s="119">
        <f t="shared" si="5"/>
        <v>606446.31347914378</v>
      </c>
    </row>
    <row r="115" spans="1:11" x14ac:dyDescent="0.25">
      <c r="A115" t="s">
        <v>259</v>
      </c>
      <c r="B115" s="119">
        <f t="shared" ref="B115:K115" si="6">B114*(1-$B$2)</f>
        <v>275860.74409915763</v>
      </c>
      <c r="C115" s="119">
        <f t="shared" si="6"/>
        <v>299908.90446600172</v>
      </c>
      <c r="D115" s="119">
        <f t="shared" si="6"/>
        <v>317993.41140530165</v>
      </c>
      <c r="E115" s="119">
        <f t="shared" si="6"/>
        <v>337168.4141130413</v>
      </c>
      <c r="F115" s="119">
        <f t="shared" si="6"/>
        <v>357499.6694840577</v>
      </c>
      <c r="G115" s="119">
        <f t="shared" si="6"/>
        <v>379056.89955394639</v>
      </c>
      <c r="H115" s="119">
        <f t="shared" si="6"/>
        <v>401914.03059704939</v>
      </c>
      <c r="I115" s="119">
        <f t="shared" si="6"/>
        <v>426149.44664205145</v>
      </c>
      <c r="J115" s="119">
        <f t="shared" si="6"/>
        <v>451846.2582745672</v>
      </c>
      <c r="K115" s="119">
        <f t="shared" si="6"/>
        <v>479092.58764852362</v>
      </c>
    </row>
    <row r="116" spans="1:11" x14ac:dyDescent="0.25">
      <c r="A116" t="s">
        <v>541</v>
      </c>
      <c r="B116" s="119">
        <f t="shared" ref="B116:K116" si="7">B112/$B$109</f>
        <v>239817.32349320149</v>
      </c>
      <c r="C116" s="119">
        <f t="shared" si="7"/>
        <v>260723.39866872135</v>
      </c>
      <c r="D116" s="119">
        <f t="shared" si="7"/>
        <v>276445.01960844523</v>
      </c>
      <c r="E116" s="119">
        <f t="shared" si="7"/>
        <v>293114.6542908345</v>
      </c>
      <c r="F116" s="119">
        <f t="shared" si="7"/>
        <v>310789.46794457181</v>
      </c>
      <c r="G116" s="119">
        <f t="shared" si="7"/>
        <v>329530.07286162948</v>
      </c>
      <c r="H116" s="119">
        <f t="shared" si="7"/>
        <v>349400.73625518574</v>
      </c>
      <c r="I116" s="119">
        <f t="shared" si="7"/>
        <v>370469.60065137345</v>
      </c>
      <c r="J116" s="119">
        <f t="shared" si="7"/>
        <v>392808.91757065128</v>
      </c>
      <c r="K116" s="119">
        <f t="shared" si="7"/>
        <v>416495.29530016158</v>
      </c>
    </row>
    <row r="117" spans="1:11" x14ac:dyDescent="0.25">
      <c r="A117" t="s">
        <v>604</v>
      </c>
      <c r="B117" s="119">
        <f>B116-F64</f>
        <v>24551.111480094813</v>
      </c>
      <c r="C117" s="119">
        <f t="shared" ref="C117:K117" si="8">C116-B116</f>
        <v>20906.075175519858</v>
      </c>
      <c r="D117" s="119">
        <f t="shared" si="8"/>
        <v>15721.620939723885</v>
      </c>
      <c r="E117" s="119">
        <f t="shared" si="8"/>
        <v>16669.634682389267</v>
      </c>
      <c r="F117" s="119">
        <f t="shared" si="8"/>
        <v>17674.813653737307</v>
      </c>
      <c r="G117" s="119">
        <f t="shared" si="8"/>
        <v>18740.604917057673</v>
      </c>
      <c r="H117" s="119">
        <f t="shared" si="8"/>
        <v>19870.663393556257</v>
      </c>
      <c r="I117" s="119">
        <f t="shared" si="8"/>
        <v>21068.86439618771</v>
      </c>
      <c r="J117" s="119">
        <f t="shared" si="8"/>
        <v>22339.31691927783</v>
      </c>
      <c r="K117" s="119">
        <f t="shared" si="8"/>
        <v>23686.377729510306</v>
      </c>
    </row>
    <row r="118" spans="1:11" x14ac:dyDescent="0.25">
      <c r="A118" s="9" t="s">
        <v>270</v>
      </c>
      <c r="B118" s="147">
        <f t="shared" ref="B118:K118" si="9">B115-B117</f>
        <v>251309.63261906282</v>
      </c>
      <c r="C118" s="147">
        <f t="shared" si="9"/>
        <v>279002.82929048187</v>
      </c>
      <c r="D118" s="147">
        <f t="shared" si="9"/>
        <v>302271.79046557774</v>
      </c>
      <c r="E118" s="147">
        <f t="shared" si="9"/>
        <v>320498.77943065204</v>
      </c>
      <c r="F118" s="147">
        <f t="shared" si="9"/>
        <v>339824.85583032039</v>
      </c>
      <c r="G118" s="147">
        <f t="shared" si="9"/>
        <v>360316.29463688872</v>
      </c>
      <c r="H118" s="147">
        <f t="shared" si="9"/>
        <v>382043.36720349314</v>
      </c>
      <c r="I118" s="147">
        <f t="shared" si="9"/>
        <v>405080.58224586374</v>
      </c>
      <c r="J118" s="147">
        <f t="shared" si="9"/>
        <v>429506.94135528937</v>
      </c>
      <c r="K118" s="147">
        <f t="shared" si="9"/>
        <v>455406.20991901332</v>
      </c>
    </row>
  </sheetData>
  <pageMargins left="0.7" right="0.7" top="0.75" bottom="0.75" header="0.3" footer="0.3"/>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DC4D5E-CF43-441B-B788-D928FE21E3B6}">
  <sheetPr>
    <tabColor rgb="FFB4C6E7"/>
  </sheetPr>
  <dimension ref="A1:K118"/>
  <sheetViews>
    <sheetView workbookViewId="0">
      <selection sqref="A1:XFD1048576"/>
    </sheetView>
  </sheetViews>
  <sheetFormatPr defaultRowHeight="15" x14ac:dyDescent="0.25"/>
  <cols>
    <col min="1" max="1" width="53.85546875" bestFit="1" customWidth="1"/>
    <col min="2" max="3" width="10.42578125" bestFit="1" customWidth="1"/>
    <col min="4" max="4" width="11.5703125" bestFit="1" customWidth="1"/>
    <col min="5" max="5" width="14.5703125" bestFit="1" customWidth="1"/>
    <col min="6" max="8" width="10.42578125" bestFit="1" customWidth="1"/>
  </cols>
  <sheetData>
    <row r="1" spans="1:8" ht="15.75" x14ac:dyDescent="0.25">
      <c r="A1" s="15" t="s">
        <v>530</v>
      </c>
    </row>
    <row r="2" spans="1:8" x14ac:dyDescent="0.25">
      <c r="A2" t="s">
        <v>337</v>
      </c>
      <c r="B2" s="76">
        <f>'Valuation Dashboard'!$B$12</f>
        <v>0.21</v>
      </c>
    </row>
    <row r="3" spans="1:8" x14ac:dyDescent="0.25">
      <c r="A3" t="s">
        <v>551</v>
      </c>
      <c r="B3" s="50">
        <v>10</v>
      </c>
    </row>
    <row r="4" spans="1:8" x14ac:dyDescent="0.25">
      <c r="A4" s="24" t="s">
        <v>505</v>
      </c>
      <c r="B4" s="24"/>
      <c r="C4" s="24"/>
      <c r="D4" s="24"/>
      <c r="E4" s="24"/>
      <c r="F4" s="24"/>
      <c r="G4" s="24"/>
      <c r="H4" s="24"/>
    </row>
    <row r="5" spans="1:8" x14ac:dyDescent="0.25">
      <c r="A5" s="9" t="s">
        <v>506</v>
      </c>
      <c r="B5" s="167">
        <f>'META - Income Statement FY'!B5</f>
        <v>46022</v>
      </c>
      <c r="C5" s="167">
        <f>'META - Income Statement FY'!C5</f>
        <v>45657</v>
      </c>
      <c r="D5" s="167">
        <f>'META - Income Statement FY'!D5</f>
        <v>45291</v>
      </c>
      <c r="E5" s="167">
        <f>'META - Income Statement FY'!E5</f>
        <v>44926</v>
      </c>
      <c r="F5" s="167">
        <f>'META - Income Statement FY'!F5</f>
        <v>44561</v>
      </c>
      <c r="G5" s="167">
        <f>'META - Income Statement FY'!G5</f>
        <v>44196</v>
      </c>
      <c r="H5" s="167">
        <f>'META - Income Statement FY'!H5</f>
        <v>43830</v>
      </c>
    </row>
    <row r="6" spans="1:8" x14ac:dyDescent="0.25">
      <c r="A6" t="s">
        <v>507</v>
      </c>
      <c r="B6" s="113">
        <f>IFERROR('META - Income Statement FY'!B9/'META - Income Statement FY'!B7,"")</f>
        <v>0.18000557308201387</v>
      </c>
      <c r="C6" s="113">
        <f>IFERROR('META - Income Statement FY'!C9/'META - Income Statement FY'!C7,"")</f>
        <v>0.18334842949282984</v>
      </c>
      <c r="D6" s="113">
        <f>IFERROR('META - Income Statement FY'!D9/'META - Income Statement FY'!D7,"")</f>
        <v>0.19242857778239017</v>
      </c>
      <c r="E6" s="113">
        <f>IFERROR('META - Income Statement FY'!E9/'META - Income Statement FY'!E7,"")</f>
        <v>0.21652702621581524</v>
      </c>
      <c r="F6" s="113">
        <f>IFERROR('META - Income Statement FY'!F9/'META - Income Statement FY'!F7,"")</f>
        <v>0.19205623722748433</v>
      </c>
      <c r="G6" s="113">
        <f>IFERROR('META - Income Statement FY'!G9/'META - Income Statement FY'!G7,"")</f>
        <v>0.19417204676321759</v>
      </c>
      <c r="H6" s="113">
        <f>IFERROR('META - Income Statement FY'!H9/'META - Income Statement FY'!H7,"")</f>
        <v>0.18063001258893588</v>
      </c>
    </row>
    <row r="7" spans="1:8" x14ac:dyDescent="0.25">
      <c r="A7" t="s">
        <v>318</v>
      </c>
      <c r="B7" s="113">
        <f>IFERROR('META - Income Statement FY'!B13/'META - Income Statement FY'!B7,"")</f>
        <v>0.28548112616064408</v>
      </c>
      <c r="C7" s="113">
        <f>IFERROR('META - Income Statement FY'!C13/'META - Income Statement FY'!C7,"")</f>
        <v>0.26670354587510109</v>
      </c>
      <c r="D7" s="113">
        <f>IFERROR('META - Income Statement FY'!D13/'META - Income Statement FY'!D7,"")</f>
        <v>0.28526634149234259</v>
      </c>
      <c r="E7" s="113">
        <f>IFERROR('META - Income Statement FY'!E13/'META - Income Statement FY'!E7,"")</f>
        <v>0.30304693462768739</v>
      </c>
      <c r="F7" s="113">
        <f>IFERROR('META - Income Statement FY'!F13/'META - Income Statement FY'!F7,"")</f>
        <v>0.20906647219937419</v>
      </c>
      <c r="G7" s="113">
        <f>IFERROR('META - Income Statement FY'!G13/'META - Income Statement FY'!G7,"")</f>
        <v>0.21458733205374281</v>
      </c>
      <c r="H7" s="113">
        <f>IFERROR('META - Income Statement FY'!H13/'META - Income Statement FY'!H7,"")</f>
        <v>0.19237025616362788</v>
      </c>
    </row>
    <row r="8" spans="1:8" x14ac:dyDescent="0.25">
      <c r="A8" t="s">
        <v>319</v>
      </c>
      <c r="B8" s="113">
        <f>IFERROR('META - Income Statement FY'!B14/'META - Income Statement FY'!B7,"")</f>
        <v>0.12013474916154972</v>
      </c>
      <c r="C8" s="113">
        <f>IFERROR('META - Income Statement FY'!C14/'META - Income Statement FY'!C7,"")</f>
        <v>0.12818767059166813</v>
      </c>
      <c r="D8" s="113">
        <f>IFERROR('META - Income Statement FY'!D14/'META - Income Statement FY'!D7,"")</f>
        <v>0.17574980356110362</v>
      </c>
      <c r="E8" s="113">
        <f>IFERROR('META - Income Statement FY'!E14/'META - Income Statement FY'!E7,"")</f>
        <v>0.2322119218928213</v>
      </c>
      <c r="F8" s="113">
        <f>IFERROR('META - Income Statement FY'!F14/'META - Income Statement FY'!F7,"")</f>
        <v>0.20242688397255976</v>
      </c>
      <c r="G8" s="113">
        <f>IFERROR('META - Income Statement FY'!G14/'META - Income Statement FY'!G7,"")</f>
        <v>0.21119060082591753</v>
      </c>
      <c r="H8" s="113">
        <f>IFERROR('META - Income Statement FY'!H14/'META - Income Statement FY'!H7,"")</f>
        <v>0.28772083681061433</v>
      </c>
    </row>
    <row r="9" spans="1:8" x14ac:dyDescent="0.25">
      <c r="A9" t="s">
        <v>508</v>
      </c>
      <c r="B9" s="113">
        <f>IFERROR('META - Income Statement FY'!B17/'META - Income Statement FY'!B7,"")</f>
        <v>0</v>
      </c>
      <c r="C9" s="113">
        <f>IFERROR('META - Income Statement FY'!C17/'META - Income Statement FY'!C7,"")</f>
        <v>0</v>
      </c>
      <c r="D9" s="113">
        <f>IFERROR('META - Income Statement FY'!D17/'META - Income Statement FY'!D7,"")</f>
        <v>0</v>
      </c>
      <c r="E9" s="113">
        <f>IFERROR('META - Income Statement FY'!E17/'META - Income Statement FY'!E7,"")</f>
        <v>0</v>
      </c>
      <c r="F9" s="113">
        <f>IFERROR('META - Income Statement FY'!F17/'META - Income Statement FY'!F7,"")</f>
        <v>0</v>
      </c>
      <c r="G9" s="113">
        <f>IFERROR('META - Income Statement FY'!G17/'META - Income Statement FY'!G7,"")</f>
        <v>0</v>
      </c>
      <c r="H9" s="113">
        <f>IFERROR('META - Income Statement FY'!H17/'META - Income Statement FY'!H7,"")</f>
        <v>0</v>
      </c>
    </row>
    <row r="10" spans="1:8" x14ac:dyDescent="0.25">
      <c r="A10" t="s">
        <v>509</v>
      </c>
      <c r="B10" s="113">
        <f>IFERROR('META - Cash Flow FY'!B8/'META - Balance Sheet FY'!B15,"")</f>
        <v>0.10553287981859411</v>
      </c>
      <c r="C10" s="113">
        <f>IFERROR('META - Cash Flow FY'!C8/'META - Balance Sheet FY'!C15,"")</f>
        <v>0.12771743609183656</v>
      </c>
      <c r="D10" s="113">
        <f>IFERROR('META - Cash Flow FY'!D8/'META - Balance Sheet FY'!D15,"")</f>
        <v>0.11572986012610392</v>
      </c>
      <c r="E10" s="113">
        <f>IFERROR('META - Cash Flow FY'!E8/'META - Balance Sheet FY'!E15,"")</f>
        <v>0.1092331296058754</v>
      </c>
      <c r="F10" s="113">
        <f>IFERROR('META - Cash Flow FY'!F8/'META - Balance Sheet FY'!F15,"")</f>
        <v>0.13781591101731563</v>
      </c>
      <c r="G10" s="113">
        <f>IFERROR('META - Cash Flow FY'!G8/'META - Balance Sheet FY'!G15,"")</f>
        <v>0.15037363311638507</v>
      </c>
      <c r="H10" s="113">
        <f>IFERROR('META - Cash Flow FY'!H8/'META - Balance Sheet FY'!H15,"")</f>
        <v>0.16252866404325794</v>
      </c>
    </row>
    <row r="11" spans="1:8" x14ac:dyDescent="0.25">
      <c r="A11" t="s">
        <v>510</v>
      </c>
      <c r="B11" s="113">
        <f>IF('META - Balance Sheet FY'!B51=0,"",'META - Income Statement FY'!B23/'META - Balance Sheet FY'!B51)</f>
        <v>0</v>
      </c>
      <c r="C11" s="113">
        <f>IF('META - Balance Sheet FY'!C51=0,"",'META - Income Statement FY'!C23/'META - Balance Sheet FY'!C51)</f>
        <v>0</v>
      </c>
      <c r="D11" s="113">
        <f>IF('META - Balance Sheet FY'!D51=0,"",'META - Income Statement FY'!D23/'META - Balance Sheet FY'!D51)</f>
        <v>0</v>
      </c>
      <c r="E11" s="113">
        <f>IF('META - Balance Sheet FY'!E51=0,"",'META - Income Statement FY'!E23/'META - Balance Sheet FY'!E51)</f>
        <v>0</v>
      </c>
      <c r="F11" s="113" t="str">
        <f>IF('META - Balance Sheet FY'!F51=0,"",'META - Income Statement FY'!F23/'META - Balance Sheet FY'!F51)</f>
        <v/>
      </c>
      <c r="G11" s="113" t="str">
        <f>IF('META - Balance Sheet FY'!G51=0,"",'META - Income Statement FY'!G23/'META - Balance Sheet FY'!G51)</f>
        <v/>
      </c>
      <c r="H11" s="113" t="str">
        <f>IF('META - Balance Sheet FY'!H51=0,"",'META - Income Statement FY'!H23/'META - Balance Sheet FY'!H51)</f>
        <v/>
      </c>
    </row>
    <row r="12" spans="1:8" x14ac:dyDescent="0.25">
      <c r="A12" t="s">
        <v>511</v>
      </c>
      <c r="B12" s="113">
        <f>IFERROR('META - Income Statement FY'!B25/'META - Income Statement FY'!B7,"")</f>
        <v>0.41437855159579234</v>
      </c>
      <c r="C12" s="113">
        <f>IFERROR('META - Income Statement FY'!C25/'META - Income Statement FY'!C7,"")</f>
        <v>0.42176035404040096</v>
      </c>
      <c r="D12" s="113">
        <f>IFERROR('META - Income Statement FY'!D25/'META - Income Statement FY'!D7,"")</f>
        <v>0.34655527716416362</v>
      </c>
      <c r="E12" s="113">
        <f>IFERROR('META - Income Statement FY'!E25/'META - Income Statement FY'!E7,"")</f>
        <v>0.24821411726367604</v>
      </c>
      <c r="F12" s="113">
        <f>IFERROR('META - Income Statement FY'!F25/'META - Income Statement FY'!F7,"")</f>
        <v>0.39645040660058173</v>
      </c>
      <c r="G12" s="113">
        <f>IFERROR('META - Income Statement FY'!G25/'META - Income Statement FY'!G7,"")</f>
        <v>0.3800500203571221</v>
      </c>
      <c r="H12" s="113">
        <f>IFERROR('META - Income Statement FY'!H25/'META - Income Statement FY'!H7,"")</f>
        <v>0.33927889443682191</v>
      </c>
    </row>
    <row r="14" spans="1:8" x14ac:dyDescent="0.25">
      <c r="A14" s="24" t="s">
        <v>512</v>
      </c>
      <c r="B14" s="24"/>
      <c r="C14" s="24"/>
      <c r="D14" s="24"/>
      <c r="E14" s="24"/>
      <c r="F14" s="24"/>
      <c r="G14" s="24"/>
      <c r="H14" s="24"/>
    </row>
    <row r="15" spans="1:8" x14ac:dyDescent="0.25">
      <c r="A15" s="9" t="s">
        <v>506</v>
      </c>
      <c r="B15" s="9" t="s">
        <v>523</v>
      </c>
      <c r="C15" s="9" t="s">
        <v>524</v>
      </c>
      <c r="D15" s="9" t="s">
        <v>525</v>
      </c>
      <c r="E15" s="9" t="s">
        <v>1466</v>
      </c>
      <c r="F15" s="9" t="s">
        <v>1462</v>
      </c>
    </row>
    <row r="16" spans="1:8" x14ac:dyDescent="0.25">
      <c r="A16" t="s">
        <v>507</v>
      </c>
      <c r="B16" s="134">
        <f t="shared" ref="B16:B21" si="0">IFERROR(AVERAGE(B6:D6),"")</f>
        <v>0.18526086011907797</v>
      </c>
      <c r="C16" s="134">
        <f t="shared" ref="C16:C21" si="1">IFERROR(AVERAGE(B6:H6),"")</f>
        <v>0.19130970045038387</v>
      </c>
      <c r="D16" s="134">
        <f t="shared" ref="D16:D21" si="2">IFERROR(MEDIAN(B6:H6),"")</f>
        <v>0.19205623722748433</v>
      </c>
      <c r="E16" s="113">
        <f>CHOOSE('Valuation Dashboard'!$B$148,B16,C16,D16,F16)</f>
        <v>0.18526086011907797</v>
      </c>
      <c r="F16" s="123">
        <v>0.185260860119078</v>
      </c>
    </row>
    <row r="17" spans="1:8" x14ac:dyDescent="0.25">
      <c r="A17" t="s">
        <v>318</v>
      </c>
      <c r="B17" s="134">
        <f t="shared" si="0"/>
        <v>0.27915033784269588</v>
      </c>
      <c r="C17" s="134">
        <f t="shared" si="1"/>
        <v>0.25093171551035998</v>
      </c>
      <c r="D17" s="134">
        <f t="shared" si="2"/>
        <v>0.26670354587510109</v>
      </c>
      <c r="E17" s="113">
        <f>CHOOSE('Valuation Dashboard'!$B$148,B17,C17,D17,F17)</f>
        <v>0.27915033784269588</v>
      </c>
      <c r="F17" s="123">
        <v>0.27915033784269599</v>
      </c>
    </row>
    <row r="18" spans="1:8" x14ac:dyDescent="0.25">
      <c r="A18" t="s">
        <v>319</v>
      </c>
      <c r="B18" s="134">
        <f t="shared" si="0"/>
        <v>0.14135740777144049</v>
      </c>
      <c r="C18" s="134">
        <f t="shared" si="1"/>
        <v>0.19394606668803349</v>
      </c>
      <c r="D18" s="134">
        <f t="shared" si="2"/>
        <v>0.20242688397255976</v>
      </c>
      <c r="E18" s="113">
        <f>CHOOSE('Valuation Dashboard'!$B$148,B18,C18,D18,F18)</f>
        <v>0.14135740777144049</v>
      </c>
      <c r="F18" s="123">
        <v>0.14135740777144001</v>
      </c>
    </row>
    <row r="19" spans="1:8" x14ac:dyDescent="0.25">
      <c r="A19" t="s">
        <v>508</v>
      </c>
      <c r="B19" s="134">
        <f t="shared" si="0"/>
        <v>0</v>
      </c>
      <c r="C19" s="134">
        <f t="shared" si="1"/>
        <v>0</v>
      </c>
      <c r="D19" s="134">
        <f t="shared" si="2"/>
        <v>0</v>
      </c>
      <c r="E19" s="113">
        <f>CHOOSE('Valuation Dashboard'!$B$148,B19,C19,D19,F19)</f>
        <v>0</v>
      </c>
      <c r="F19" s="123">
        <v>0</v>
      </c>
    </row>
    <row r="20" spans="1:8" x14ac:dyDescent="0.25">
      <c r="A20" t="s">
        <v>509</v>
      </c>
      <c r="B20" s="134">
        <f t="shared" si="0"/>
        <v>0.11632672534551153</v>
      </c>
      <c r="C20" s="134">
        <f t="shared" si="1"/>
        <v>0.12984735911705267</v>
      </c>
      <c r="D20" s="134">
        <f t="shared" si="2"/>
        <v>0.12771743609183656</v>
      </c>
      <c r="E20" s="113">
        <f>CHOOSE('Valuation Dashboard'!$B$148,B20,C20,D20,F20)</f>
        <v>0.11632672534551153</v>
      </c>
      <c r="F20" s="123">
        <v>0.116326725345512</v>
      </c>
    </row>
    <row r="21" spans="1:8" x14ac:dyDescent="0.25">
      <c r="A21" t="s">
        <v>510</v>
      </c>
      <c r="B21" s="134">
        <f t="shared" si="0"/>
        <v>0</v>
      </c>
      <c r="C21" s="134">
        <f t="shared" si="1"/>
        <v>0</v>
      </c>
      <c r="D21" s="134">
        <f t="shared" si="2"/>
        <v>0</v>
      </c>
      <c r="E21" s="113">
        <f>CHOOSE('Valuation Dashboard'!$B$148,B21,C21,D21,F21)</f>
        <v>0</v>
      </c>
      <c r="F21" s="123">
        <v>0</v>
      </c>
    </row>
    <row r="23" spans="1:8" x14ac:dyDescent="0.25">
      <c r="A23" s="24" t="s">
        <v>513</v>
      </c>
      <c r="B23" s="24"/>
      <c r="C23" s="24"/>
      <c r="D23" s="24"/>
      <c r="E23" s="24"/>
      <c r="F23" s="24"/>
      <c r="G23" s="24"/>
      <c r="H23" s="24"/>
    </row>
    <row r="24" spans="1:8" x14ac:dyDescent="0.25">
      <c r="A24" s="9" t="s">
        <v>514</v>
      </c>
      <c r="B24" s="167">
        <f>EDATE('META - Income Statement FY'!B5,12)</f>
        <v>46387</v>
      </c>
      <c r="C24" s="168">
        <f>EDATE(B24,12)</f>
        <v>46752</v>
      </c>
      <c r="D24" s="168">
        <f>EDATE(C24,12)</f>
        <v>47118</v>
      </c>
      <c r="E24" s="168">
        <f>EDATE(D24,12)</f>
        <v>47483</v>
      </c>
      <c r="F24" s="168">
        <f>EDATE(E24,12)</f>
        <v>47848</v>
      </c>
    </row>
    <row r="25" spans="1:8" x14ac:dyDescent="0.25">
      <c r="A25" t="s">
        <v>515</v>
      </c>
      <c r="B25" s="109">
        <f>'META Rev Drivers &amp; Forecast'!B26</f>
        <v>228031.09605000002</v>
      </c>
      <c r="C25" s="109">
        <f>'META Rev Drivers &amp; Forecast'!C26</f>
        <v>256318.35351500253</v>
      </c>
      <c r="D25" s="109">
        <f>'META Rev Drivers &amp; Forecast'!D26</f>
        <v>285391.26276244165</v>
      </c>
      <c r="E25" s="109">
        <f>'META Rev Drivers &amp; Forecast'!E26</f>
        <v>314729.48457442067</v>
      </c>
      <c r="F25" s="109">
        <f>'META Rev Drivers &amp; Forecast'!F26</f>
        <v>343739.67481506796</v>
      </c>
    </row>
    <row r="26" spans="1:8" x14ac:dyDescent="0.25">
      <c r="A26" t="s">
        <v>516</v>
      </c>
      <c r="B26" s="119">
        <f>B25*B77</f>
        <v>41166.705011311911</v>
      </c>
      <c r="C26" s="119">
        <f>C25*C77</f>
        <v>46408.137420024053</v>
      </c>
      <c r="D26" s="119">
        <f>D25*D77</f>
        <v>51821.961707258954</v>
      </c>
      <c r="E26" s="119">
        <f>E25*E77</f>
        <v>57314.658748811766</v>
      </c>
      <c r="F26" s="119">
        <f>F25*F77</f>
        <v>62778.282484701529</v>
      </c>
    </row>
    <row r="27" spans="1:8" x14ac:dyDescent="0.25">
      <c r="A27" s="9" t="s">
        <v>517</v>
      </c>
      <c r="B27" s="147">
        <f>B25-B26</f>
        <v>186864.3910386881</v>
      </c>
      <c r="C27" s="147">
        <f>C25-C26</f>
        <v>209910.21609497847</v>
      </c>
      <c r="D27" s="147">
        <f>D25-D26</f>
        <v>233569.3010551827</v>
      </c>
      <c r="E27" s="147">
        <f>E25-E26</f>
        <v>257414.82582560892</v>
      </c>
      <c r="F27" s="147">
        <f>F25-F26</f>
        <v>280961.39233036642</v>
      </c>
    </row>
    <row r="28" spans="1:8" x14ac:dyDescent="0.25">
      <c r="A28" t="s">
        <v>518</v>
      </c>
      <c r="B28" s="119">
        <f>B25*B78</f>
        <v>64954.212440099778</v>
      </c>
      <c r="C28" s="119">
        <f>C25*C78</f>
        <v>72849.512769483306</v>
      </c>
      <c r="D28" s="119">
        <f>D25*D78</f>
        <v>80931.793588127839</v>
      </c>
      <c r="E28" s="119">
        <f>E25*E78</f>
        <v>89052.333394561632</v>
      </c>
      <c r="F28" s="119">
        <f>F25*F78</f>
        <v>97043.11791343191</v>
      </c>
    </row>
    <row r="29" spans="1:8" x14ac:dyDescent="0.25">
      <c r="A29" t="s">
        <v>519</v>
      </c>
      <c r="B29" s="119">
        <f>B25*B79</f>
        <v>27878.401135390843</v>
      </c>
      <c r="C29" s="119">
        <f>C25*C79</f>
        <v>31880.692487445893</v>
      </c>
      <c r="D29" s="119">
        <f>D25*D79</f>
        <v>36102.436166819731</v>
      </c>
      <c r="E29" s="119">
        <f>E25*E79</f>
        <v>40481.70624532779</v>
      </c>
      <c r="F29" s="119">
        <f>F25*F79</f>
        <v>44942.614495418391</v>
      </c>
    </row>
    <row r="30" spans="1:8" x14ac:dyDescent="0.25">
      <c r="A30" t="s">
        <v>520</v>
      </c>
      <c r="B30" s="119">
        <f>B25*B80</f>
        <v>0</v>
      </c>
      <c r="C30" s="119">
        <f>C25*C80</f>
        <v>0</v>
      </c>
      <c r="D30" s="119">
        <f>D25*D80</f>
        <v>0</v>
      </c>
      <c r="E30" s="119">
        <f>E25*E80</f>
        <v>0</v>
      </c>
      <c r="F30" s="119">
        <f>F25*F80</f>
        <v>0</v>
      </c>
    </row>
    <row r="31" spans="1:8" x14ac:dyDescent="0.25">
      <c r="A31" s="9" t="s">
        <v>521</v>
      </c>
      <c r="B31" s="147">
        <f>SUM(B28:B30)</f>
        <v>92832.613575490628</v>
      </c>
      <c r="C31" s="147">
        <f>SUM(C28:C30)</f>
        <v>104730.2052569292</v>
      </c>
      <c r="D31" s="147">
        <f>SUM(D28:D30)</f>
        <v>117034.22975494756</v>
      </c>
      <c r="E31" s="147">
        <f>SUM(E28:E30)</f>
        <v>129534.03963988942</v>
      </c>
      <c r="F31" s="147">
        <f>SUM(F28:F30)</f>
        <v>141985.73240885031</v>
      </c>
    </row>
    <row r="32" spans="1:8" x14ac:dyDescent="0.25">
      <c r="A32" s="9" t="s">
        <v>522</v>
      </c>
      <c r="B32" s="147">
        <f>B27-B31+B25*IF('Valuation Dashboard'!$B$151="Yes",'META - Reconciliation FY'!$B$152,0)</f>
        <v>95316.78668862248</v>
      </c>
      <c r="C32" s="147">
        <f>C27-C31+C25*IF('Valuation Dashboard'!$B$151="Yes",'META - Reconciliation FY'!$B$152,0)</f>
        <v>106624.42545788824</v>
      </c>
      <c r="D32" s="147">
        <f>D27-D31+D25*IF('Valuation Dashboard'!$B$151="Yes",'META - Reconciliation FY'!$B$152,0)</f>
        <v>118143.31864832935</v>
      </c>
      <c r="E32" s="147">
        <f>E27-E31+E25*IF('Valuation Dashboard'!$B$151="Yes",'META - Reconciliation FY'!$B$152,0)</f>
        <v>129654.36136119779</v>
      </c>
      <c r="F32" s="147">
        <f>F27-F31+F25*IF('Valuation Dashboard'!$B$151="Yes",'META - Reconciliation FY'!$B$152,0)</f>
        <v>140912.71438879412</v>
      </c>
    </row>
    <row r="33" spans="1:8" x14ac:dyDescent="0.25">
      <c r="A33" t="s">
        <v>320</v>
      </c>
      <c r="B33" s="134">
        <f>B32/B25</f>
        <v>0.41799907266911751</v>
      </c>
      <c r="C33" s="134">
        <f>C32/C25</f>
        <v>0.41598435693621688</v>
      </c>
      <c r="D33" s="134">
        <f>D32/D25</f>
        <v>0.41396964120331636</v>
      </c>
      <c r="E33" s="134">
        <f>E32/E25</f>
        <v>0.41195492547041562</v>
      </c>
      <c r="F33" s="134">
        <f>F32/F25</f>
        <v>0.40994020973751488</v>
      </c>
    </row>
    <row r="35" spans="1:8" x14ac:dyDescent="0.25">
      <c r="A35" t="s">
        <v>545</v>
      </c>
      <c r="B35" s="119">
        <f>B61</f>
        <v>197862.06408816061</v>
      </c>
      <c r="C35" s="119">
        <f>C61</f>
        <v>219827.60136309383</v>
      </c>
      <c r="D35" s="119">
        <f>D61</f>
        <v>241889.74363989723</v>
      </c>
      <c r="E35" s="119">
        <f>E61</f>
        <v>263588.98448795074</v>
      </c>
      <c r="F35" s="119">
        <f>F61</f>
        <v>284426.35382423236</v>
      </c>
    </row>
    <row r="36" spans="1:8" x14ac:dyDescent="0.25">
      <c r="A36" t="s">
        <v>266</v>
      </c>
      <c r="B36" s="119">
        <f>B35*B81</f>
        <v>21094.522685615284</v>
      </c>
      <c r="C36" s="119">
        <f>C35*C81</f>
        <v>23673.596869794397</v>
      </c>
      <c r="D36" s="119">
        <f>D35*D81</f>
        <v>26310.597403118223</v>
      </c>
      <c r="E36" s="119">
        <f>E35*E81</f>
        <v>28955.360133936159</v>
      </c>
      <c r="F36" s="119">
        <f>F35*F81</f>
        <v>31551.359278855198</v>
      </c>
    </row>
    <row r="37" spans="1:8" x14ac:dyDescent="0.25">
      <c r="A37" s="9" t="s">
        <v>406</v>
      </c>
      <c r="B37" s="147">
        <f>B32+B36</f>
        <v>116411.30937423777</v>
      </c>
      <c r="C37" s="147">
        <f>C32+C36</f>
        <v>130298.02232768264</v>
      </c>
      <c r="D37" s="147">
        <f>D32+D36</f>
        <v>144453.91605144757</v>
      </c>
      <c r="E37" s="147">
        <f>E32+E36</f>
        <v>158609.72149513394</v>
      </c>
      <c r="F37" s="147">
        <f>F32+F36</f>
        <v>172464.07366764933</v>
      </c>
    </row>
    <row r="39" spans="1:8" x14ac:dyDescent="0.25">
      <c r="A39" t="s">
        <v>261</v>
      </c>
      <c r="B39" s="119">
        <f>B32*$B$2</f>
        <v>20016.52520461072</v>
      </c>
      <c r="C39" s="119">
        <f>C32*$B$2</f>
        <v>22391.129346156529</v>
      </c>
      <c r="D39" s="119">
        <f>D32*$B$2</f>
        <v>24810.096916149163</v>
      </c>
      <c r="E39" s="119">
        <f>E32*$B$2</f>
        <v>27227.415885851537</v>
      </c>
      <c r="F39" s="119">
        <f>F32*$B$2</f>
        <v>29591.670021646765</v>
      </c>
    </row>
    <row r="40" spans="1:8" x14ac:dyDescent="0.25">
      <c r="A40" s="9" t="s">
        <v>259</v>
      </c>
      <c r="B40" s="147">
        <f>B32-B39</f>
        <v>75300.26148401176</v>
      </c>
      <c r="C40" s="147">
        <f>C32-C39</f>
        <v>84233.296111731703</v>
      </c>
      <c r="D40" s="147">
        <f>D32-D39</f>
        <v>93333.221732180187</v>
      </c>
      <c r="E40" s="147">
        <f>E32-E39</f>
        <v>102426.94547534626</v>
      </c>
      <c r="F40" s="147">
        <f>F32-F39</f>
        <v>111321.04436714735</v>
      </c>
    </row>
    <row r="41" spans="1:8" x14ac:dyDescent="0.25">
      <c r="A41" t="s">
        <v>278</v>
      </c>
      <c r="B41" s="134">
        <f>B40/B25</f>
        <v>0.33021926740860286</v>
      </c>
      <c r="C41" s="134">
        <f>C40/C25</f>
        <v>0.32862764197961131</v>
      </c>
      <c r="D41" s="134">
        <f>D40/D25</f>
        <v>0.32703601655061992</v>
      </c>
      <c r="E41" s="134">
        <f>E40/E25</f>
        <v>0.32544439112162837</v>
      </c>
      <c r="F41" s="134">
        <f>F40/F25</f>
        <v>0.32385276569263671</v>
      </c>
    </row>
    <row r="43" spans="1:8" x14ac:dyDescent="0.25">
      <c r="A43" s="24" t="s">
        <v>532</v>
      </c>
      <c r="B43" s="24"/>
      <c r="C43" s="24"/>
      <c r="D43" s="24"/>
      <c r="E43" s="24"/>
      <c r="F43" s="24"/>
      <c r="G43" s="24"/>
      <c r="H43" s="24"/>
    </row>
    <row r="44" spans="1:8" x14ac:dyDescent="0.25">
      <c r="A44" s="9" t="s">
        <v>506</v>
      </c>
      <c r="B44" s="167">
        <f>'META - Income Statement FY'!B5</f>
        <v>46022</v>
      </c>
      <c r="C44" s="167">
        <f>'META - Income Statement FY'!C5</f>
        <v>45657</v>
      </c>
      <c r="D44" s="167">
        <f>'META - Income Statement FY'!D5</f>
        <v>45291</v>
      </c>
      <c r="E44" s="167">
        <f>'META - Income Statement FY'!E5</f>
        <v>44926</v>
      </c>
      <c r="F44" s="167">
        <f>'META - Income Statement FY'!F5</f>
        <v>44561</v>
      </c>
      <c r="G44" s="167">
        <f>'META - Income Statement FY'!G5</f>
        <v>44196</v>
      </c>
      <c r="H44" s="167">
        <f>'META - Income Statement FY'!H5</f>
        <v>43830</v>
      </c>
    </row>
    <row r="45" spans="1:8" x14ac:dyDescent="0.25">
      <c r="A45" t="s">
        <v>533</v>
      </c>
      <c r="B45" s="113">
        <f>IFERROR('META - Reconciliation FY'!B22/'META - Income Statement FY'!B7,"")</f>
        <v>-4.0632146731287878E-2</v>
      </c>
      <c r="C45" s="113">
        <f>IFERROR('META - Reconciliation FY'!C22/'META - Income Statement FY'!C7,"")</f>
        <v>-3.6826402271110809E-2</v>
      </c>
      <c r="D45" s="113">
        <f>IFERROR('META - Reconciliation FY'!D22/'META - Income Statement FY'!D7,"")</f>
        <v>-5.6240530162636575E-2</v>
      </c>
      <c r="E45" s="113">
        <f>IFERROR('META - Reconciliation FY'!E22/'META - Income Statement FY'!E7,"")</f>
        <v>-3.7619909269438895E-2</v>
      </c>
      <c r="F45" s="113">
        <f>IFERROR('META - Reconciliation FY'!F22/'META - Income Statement FY'!F7,"")</f>
        <v>9.2732067599996752E-3</v>
      </c>
      <c r="G45" s="113">
        <f>IFERROR('META - Reconciliation FY'!G22/'META - Income Statement FY'!G7,"")</f>
        <v>1.7813063456057689E-2</v>
      </c>
      <c r="H45" s="113">
        <f>IFERROR('META - Reconciliation FY'!H22/'META - Income Statement FY'!H7,"")</f>
        <v>-2.0001697384613201E-2</v>
      </c>
    </row>
    <row r="46" spans="1:8" x14ac:dyDescent="0.25">
      <c r="A46" t="s">
        <v>534</v>
      </c>
      <c r="B46" s="113">
        <f>IFERROR('META - Reconciliation FY'!B24/'META - Income Statement FY'!B7,"")</f>
        <v>0.87776041718499642</v>
      </c>
      <c r="C46" s="113">
        <f>IFERROR('META - Reconciliation FY'!C24/'META - Income Statement FY'!C7,"")</f>
        <v>0.73766116923301384</v>
      </c>
      <c r="D46" s="113">
        <f>IFERROR('META - Reconciliation FY'!D24/'META - Income Statement FY'!D7,"")</f>
        <v>0.71597900698284678</v>
      </c>
      <c r="E46" s="113">
        <f>IFERROR('META - Reconciliation FY'!E24/'META - Income Statement FY'!E7,"")</f>
        <v>0.68191992041780647</v>
      </c>
      <c r="F46" s="113">
        <f>IFERROR('META - Reconciliation FY'!F24/'META - Income Statement FY'!F7,"")</f>
        <v>0.49020173155033964</v>
      </c>
      <c r="G46" s="113">
        <f>IFERROR('META - Reconciliation FY'!G24/'META - Income Statement FY'!G7,"")</f>
        <v>0.53083231547722909</v>
      </c>
      <c r="H46" s="113">
        <f>IFERROR('META - Reconciliation FY'!H24/'META - Income Statement FY'!H7,"")</f>
        <v>0.49963930576969318</v>
      </c>
    </row>
    <row r="47" spans="1:8" x14ac:dyDescent="0.25">
      <c r="A47" t="s">
        <v>535</v>
      </c>
      <c r="B47" s="113">
        <f>IFERROR(('META - Reconciliation FY'!B25+'META - Reconciliation FY'!B26)/'META - Income Statement FY'!B7,"")</f>
        <v>0.12208035190032145</v>
      </c>
      <c r="C47" s="113">
        <f>IFERROR(('META - Reconciliation FY'!C25+'META - Reconciliation FY'!C26)/'META - Income Statement FY'!C7,"")</f>
        <v>0.12555546774791643</v>
      </c>
      <c r="D47" s="113">
        <f>IFERROR(('META - Reconciliation FY'!D25+'META - Reconciliation FY'!D26)/'META - Income Statement FY'!D7,"")</f>
        <v>0.15894501193458954</v>
      </c>
      <c r="E47" s="113">
        <f>IFERROR(('META - Reconciliation FY'!E25+'META - Reconciliation FY'!E26)/'META - Income Statement FY'!E7,"")</f>
        <v>0.1818298759100927</v>
      </c>
      <c r="F47" s="113">
        <f>IFERROR(('META - Reconciliation FY'!F25+'META - Reconciliation FY'!F26)/'META - Income Statement FY'!F7,"")</f>
        <v>0.16816050335371283</v>
      </c>
      <c r="G47" s="113">
        <f>IFERROR(('META - Reconciliation FY'!G25+'META - Reconciliation FY'!G26)/'META - Income Statement FY'!G7,"")</f>
        <v>0.22884895015413251</v>
      </c>
      <c r="H47" s="113">
        <f>IFERROR(('META - Reconciliation FY'!H25+'META - Reconciliation FY'!H26)/'META - Income Statement FY'!H7,"")</f>
        <v>0.27736679067004255</v>
      </c>
    </row>
    <row r="48" spans="1:8" x14ac:dyDescent="0.25">
      <c r="A48" t="s">
        <v>536</v>
      </c>
      <c r="B48" s="113">
        <f>IFERROR(('META - Reconciliation FY'!B27+'META - Reconciliation FY'!B28+'META - Reconciliation FY'!B29+'META - Reconciliation FY'!B30)/'META - Income Statement FY'!B7,"")</f>
        <v>2.2187832767731855E-2</v>
      </c>
      <c r="C48" s="113">
        <f>IFERROR(('META - Reconciliation FY'!C27+'META - Reconciliation FY'!C28+'META - Reconciliation FY'!C29+'META - Reconciliation FY'!C30)/'META - Income Statement FY'!C7,"")</f>
        <v>9.6467498677819591E-2</v>
      </c>
      <c r="D48" s="113">
        <f>IFERROR(('META - Reconciliation FY'!D27+'META - Reconciliation FY'!D28+'META - Reconciliation FY'!D29+'META - Reconciliation FY'!D30)/'META - Income Statement FY'!D7,"")</f>
        <v>8.7500555959140705E-2</v>
      </c>
      <c r="E48" s="113">
        <f>IFERROR(('META - Reconciliation FY'!E27+'META - Reconciliation FY'!E28+'META - Reconciliation FY'!E29+'META - Reconciliation FY'!E30)/'META - Income Statement FY'!E7,"")</f>
        <v>0.10333679218585186</v>
      </c>
      <c r="F48" s="113">
        <f>IFERROR(('META - Reconciliation FY'!F27+'META - Reconciliation FY'!F28+'META - Reconciliation FY'!F29+'META - Reconciliation FY'!F30)/'META - Income Statement FY'!F7,"")</f>
        <v>6.9406168118104961E-2</v>
      </c>
      <c r="G48" s="113">
        <f>IFERROR(('META - Reconciliation FY'!G27+'META - Reconciliation FY'!G28+'META - Reconciliation FY'!G29+'META - Reconciliation FY'!G30)/'META - Income Statement FY'!G7,"")</f>
        <v>7.1668702378875127E-2</v>
      </c>
      <c r="H48" s="113">
        <f>IFERROR(('META - Reconciliation FY'!H27+'META - Reconciliation FY'!H28+'META - Reconciliation FY'!H29+'META - Reconciliation FY'!H30)/'META - Income Statement FY'!H7,"")</f>
        <v>6.7980253758999673E-2</v>
      </c>
    </row>
    <row r="49" spans="1:8" x14ac:dyDescent="0.25">
      <c r="A49" t="s">
        <v>537</v>
      </c>
      <c r="B49" s="113">
        <f>IFERROR('META - Reconciliation FY'!B32/'META - Income Statement FY'!B7,"")</f>
        <v>0.98139645512176188</v>
      </c>
      <c r="C49" s="113">
        <f>IFERROR('META - Reconciliation FY'!C32/'META - Income Statement FY'!C7,"")</f>
        <v>0.9228577333876391</v>
      </c>
      <c r="D49" s="113">
        <f>IFERROR('META - Reconciliation FY'!D32/'META - Income Statement FY'!D7,"")</f>
        <v>0.90618404471394054</v>
      </c>
      <c r="E49" s="113">
        <f>IFERROR('META - Reconciliation FY'!E32/'META - Income Statement FY'!E7,"")</f>
        <v>0.92946667924431214</v>
      </c>
      <c r="F49" s="113">
        <f>IFERROR('META - Reconciliation FY'!F32/'META - Income Statement FY'!F7,"")</f>
        <v>0.73704160978215705</v>
      </c>
      <c r="G49" s="113">
        <f>IFERROR('META - Reconciliation FY'!G32/'META - Income Statement FY'!G7,"")</f>
        <v>0.84916303146629446</v>
      </c>
      <c r="H49" s="113">
        <f>IFERROR('META - Reconciliation FY'!H32/'META - Income Statement FY'!H7,"")</f>
        <v>0.82498465281412225</v>
      </c>
    </row>
    <row r="51" spans="1:8" x14ac:dyDescent="0.25">
      <c r="A51" s="24" t="s">
        <v>512</v>
      </c>
      <c r="B51" s="24"/>
      <c r="C51" s="24"/>
      <c r="D51" s="24"/>
      <c r="E51" s="24"/>
      <c r="F51" s="24"/>
      <c r="G51" s="24"/>
      <c r="H51" s="24"/>
    </row>
    <row r="52" spans="1:8" x14ac:dyDescent="0.25">
      <c r="A52" s="9" t="s">
        <v>506</v>
      </c>
      <c r="B52" s="9" t="s">
        <v>523</v>
      </c>
      <c r="C52" s="9" t="s">
        <v>524</v>
      </c>
      <c r="D52" s="9" t="s">
        <v>525</v>
      </c>
      <c r="E52" s="9" t="s">
        <v>1466</v>
      </c>
      <c r="F52" s="9" t="s">
        <v>1462</v>
      </c>
    </row>
    <row r="53" spans="1:8" x14ac:dyDescent="0.25">
      <c r="A53" t="s">
        <v>533</v>
      </c>
      <c r="B53" s="134">
        <f>IFERROR(AVERAGE(B45:D45),"")</f>
        <v>-4.4566359721678418E-2</v>
      </c>
      <c r="C53" s="134">
        <f>IFERROR(AVERAGE(B45:H45),"")</f>
        <v>-2.3462059371861427E-2</v>
      </c>
      <c r="D53" s="134">
        <f>IFERROR(MEDIAN(B45:H45),"")</f>
        <v>-3.6826402271110809E-2</v>
      </c>
      <c r="E53" s="113">
        <f>CHOOSE('Valuation Dashboard'!$B$148,B53,C53,D53,F53)</f>
        <v>-4.4566359721678418E-2</v>
      </c>
      <c r="F53" s="123">
        <v>-4.4566359721678397E-2</v>
      </c>
    </row>
    <row r="54" spans="1:8" x14ac:dyDescent="0.25">
      <c r="A54" t="s">
        <v>534</v>
      </c>
      <c r="B54" s="134">
        <f>IFERROR(AVERAGE(B46:D46),"")</f>
        <v>0.77713353113361894</v>
      </c>
      <c r="C54" s="134">
        <f>IFERROR(AVERAGE(B46:H46),"")</f>
        <v>0.64771340951656076</v>
      </c>
      <c r="D54" s="134">
        <f>IFERROR(MEDIAN(B46:H46),"")</f>
        <v>0.68191992041780647</v>
      </c>
      <c r="E54" s="113">
        <f>CHOOSE('Valuation Dashboard'!$B$148,B54,C54,D54,F54)</f>
        <v>0.77713353113361894</v>
      </c>
      <c r="F54" s="123">
        <v>0.77713353113361905</v>
      </c>
    </row>
    <row r="55" spans="1:8" x14ac:dyDescent="0.25">
      <c r="A55" t="s">
        <v>535</v>
      </c>
      <c r="B55" s="134">
        <f>IFERROR(AVERAGE(B47:D47),"")</f>
        <v>0.13552694386094247</v>
      </c>
      <c r="C55" s="134">
        <f>IFERROR(AVERAGE(B47:H47),"")</f>
        <v>0.18039813595297258</v>
      </c>
      <c r="D55" s="134">
        <f>IFERROR(MEDIAN(B47:H47),"")</f>
        <v>0.16816050335371283</v>
      </c>
      <c r="E55" s="113">
        <f>CHOOSE('Valuation Dashboard'!$B$148,B55,C55,D55,F55)</f>
        <v>0.13552694386094247</v>
      </c>
      <c r="F55" s="123">
        <v>0.135526943860942</v>
      </c>
    </row>
    <row r="56" spans="1:8" x14ac:dyDescent="0.25">
      <c r="A56" t="s">
        <v>536</v>
      </c>
      <c r="B56" s="134">
        <f>IFERROR(AVERAGE(B48:D48),"")</f>
        <v>6.8718629134897388E-2</v>
      </c>
      <c r="C56" s="134">
        <f>IFERROR(AVERAGE(B48:H48),"")</f>
        <v>7.4078257692360538E-2</v>
      </c>
      <c r="D56" s="134">
        <f>IFERROR(MEDIAN(B48:H48),"")</f>
        <v>7.1668702378875127E-2</v>
      </c>
      <c r="E56" s="113">
        <f>CHOOSE('Valuation Dashboard'!$B$148,B56,C56,D56,F56)</f>
        <v>6.8718629134897388E-2</v>
      </c>
      <c r="F56" s="123">
        <v>6.8718629134897402E-2</v>
      </c>
    </row>
    <row r="58" spans="1:8" x14ac:dyDescent="0.25">
      <c r="A58" s="24" t="s">
        <v>538</v>
      </c>
      <c r="B58" s="24"/>
      <c r="C58" s="24"/>
      <c r="D58" s="24"/>
      <c r="E58" s="24"/>
      <c r="F58" s="24"/>
      <c r="G58" s="24"/>
      <c r="H58" s="24"/>
    </row>
    <row r="59" spans="1:8" x14ac:dyDescent="0.25">
      <c r="A59" s="9" t="s">
        <v>514</v>
      </c>
      <c r="B59" s="168">
        <f>B24</f>
        <v>46387</v>
      </c>
      <c r="C59" s="168">
        <f>C24</f>
        <v>46752</v>
      </c>
      <c r="D59" s="168">
        <f>D24</f>
        <v>47118</v>
      </c>
      <c r="E59" s="168">
        <f>E24</f>
        <v>47483</v>
      </c>
      <c r="F59" s="168">
        <f>F24</f>
        <v>47848</v>
      </c>
    </row>
    <row r="60" spans="1:8" x14ac:dyDescent="0.25">
      <c r="A60" t="s">
        <v>235</v>
      </c>
      <c r="B60" s="119">
        <f>B25*B82</f>
        <v>-9355.1052440292915</v>
      </c>
      <c r="C60" s="119">
        <f>C25*C82</f>
        <v>-10616.447149158548</v>
      </c>
      <c r="D60" s="119">
        <f>D25*D82</f>
        <v>-11932.896668382251</v>
      </c>
      <c r="E60" s="119">
        <f>E25*E82</f>
        <v>-13283.419728559107</v>
      </c>
      <c r="F60" s="119">
        <f>F25*F82</f>
        <v>-14643.053451436052</v>
      </c>
    </row>
    <row r="61" spans="1:8" x14ac:dyDescent="0.25">
      <c r="A61" t="s">
        <v>236</v>
      </c>
      <c r="B61" s="119">
        <f>B25*B83</f>
        <v>197862.06408816061</v>
      </c>
      <c r="C61" s="119">
        <f>C25*C83</f>
        <v>219827.60136309383</v>
      </c>
      <c r="D61" s="119">
        <f>D25*D83</f>
        <v>241889.74363989723</v>
      </c>
      <c r="E61" s="119">
        <f>E25*E83</f>
        <v>263588.98448795074</v>
      </c>
      <c r="F61" s="119">
        <f>F25*F83</f>
        <v>284426.35382423236</v>
      </c>
    </row>
    <row r="62" spans="1:8" x14ac:dyDescent="0.25">
      <c r="A62" t="s">
        <v>539</v>
      </c>
      <c r="B62" s="119">
        <f>B25*B84</f>
        <v>28144.740560291753</v>
      </c>
      <c r="C62" s="119">
        <f>C25*C84</f>
        <v>31980.756457969394</v>
      </c>
      <c r="D62" s="119">
        <f>D25*D84</f>
        <v>35991.927745163863</v>
      </c>
      <c r="E62" s="119">
        <f>E25*E84</f>
        <v>40115.101813071582</v>
      </c>
      <c r="F62" s="119">
        <f>F25*F84</f>
        <v>44274.924037482946</v>
      </c>
    </row>
    <row r="63" spans="1:8" x14ac:dyDescent="0.25">
      <c r="A63" t="s">
        <v>540</v>
      </c>
      <c r="B63" s="119">
        <f>B25*B85</f>
        <v>6120.5626745684112</v>
      </c>
      <c r="C63" s="119">
        <f>C25*C85</f>
        <v>8072.4881856059956</v>
      </c>
      <c r="D63" s="119">
        <f>D25*D85</f>
        <v>10316.058431315098</v>
      </c>
      <c r="E63" s="119">
        <f>E25*E85</f>
        <v>12841.010593801822</v>
      </c>
      <c r="F63" s="119">
        <f>F25*F85</f>
        <v>15624.07882649907</v>
      </c>
    </row>
    <row r="64" spans="1:8" x14ac:dyDescent="0.25">
      <c r="A64" s="9" t="s">
        <v>541</v>
      </c>
      <c r="B64" s="147">
        <f>SUM(B60:B63)</f>
        <v>222772.26207899148</v>
      </c>
      <c r="C64" s="147">
        <f>SUM(C60:C63)</f>
        <v>249264.39885751068</v>
      </c>
      <c r="D64" s="147">
        <f>SUM(D60:D63)</f>
        <v>276264.83314799395</v>
      </c>
      <c r="E64" s="147">
        <f>SUM(E60:E63)</f>
        <v>303261.67716626503</v>
      </c>
      <c r="F64" s="147">
        <f>SUM(F60:F63)</f>
        <v>329682.3032367783</v>
      </c>
    </row>
    <row r="66" spans="1:8" x14ac:dyDescent="0.25">
      <c r="A66" s="24" t="s">
        <v>542</v>
      </c>
      <c r="B66" s="24"/>
      <c r="C66" s="24"/>
      <c r="D66" s="24"/>
      <c r="E66" s="24"/>
      <c r="F66" s="24"/>
      <c r="G66" s="24"/>
      <c r="H66" s="24"/>
    </row>
    <row r="67" spans="1:8" x14ac:dyDescent="0.25">
      <c r="A67" t="s">
        <v>259</v>
      </c>
      <c r="B67" s="119">
        <f>B40</f>
        <v>75300.26148401176</v>
      </c>
      <c r="C67" s="119">
        <f>C40</f>
        <v>84233.296111731703</v>
      </c>
      <c r="D67" s="119">
        <f>D40</f>
        <v>93333.221732180187</v>
      </c>
      <c r="E67" s="119">
        <f>E40</f>
        <v>102426.94547534626</v>
      </c>
      <c r="F67" s="119">
        <f>F40</f>
        <v>111321.04436714735</v>
      </c>
    </row>
    <row r="68" spans="1:8" x14ac:dyDescent="0.25">
      <c r="A68" t="s">
        <v>266</v>
      </c>
      <c r="B68" s="119">
        <f>B36</f>
        <v>21094.522685615284</v>
      </c>
      <c r="C68" s="119">
        <f>C36</f>
        <v>23673.596869794397</v>
      </c>
      <c r="D68" s="119">
        <f>D36</f>
        <v>26310.597403118223</v>
      </c>
      <c r="E68" s="119">
        <f>E36</f>
        <v>28955.360133936159</v>
      </c>
      <c r="F68" s="119">
        <f>F36</f>
        <v>31551.359278855198</v>
      </c>
    </row>
    <row r="69" spans="1:8" x14ac:dyDescent="0.25">
      <c r="A69" s="9" t="s">
        <v>267</v>
      </c>
      <c r="B69" s="147">
        <f>B67+B68</f>
        <v>96394.784169627048</v>
      </c>
      <c r="C69" s="147">
        <f>C67+C68</f>
        <v>107906.89298152609</v>
      </c>
      <c r="D69" s="147">
        <f>D67+D68</f>
        <v>119643.81913529841</v>
      </c>
      <c r="E69" s="147">
        <f>E67+E68</f>
        <v>131382.30560928243</v>
      </c>
      <c r="F69" s="147">
        <f>F67+F68</f>
        <v>142872.40364600255</v>
      </c>
    </row>
    <row r="70" spans="1:8" x14ac:dyDescent="0.25">
      <c r="A70" t="s">
        <v>543</v>
      </c>
      <c r="B70" s="109">
        <f>-(B60-'META - Reconciliation FY'!$B$22)</f>
        <v>1189.4252440292912</v>
      </c>
      <c r="C70" s="119">
        <f>-(C60-B60)</f>
        <v>1261.3419051292567</v>
      </c>
      <c r="D70" s="119">
        <f>-(D60-C60)</f>
        <v>1316.4495192237027</v>
      </c>
      <c r="E70" s="119">
        <f>-(E60-D60)</f>
        <v>1350.5230601768562</v>
      </c>
      <c r="F70" s="119">
        <f>-(F60-E60)</f>
        <v>1359.6337228769444</v>
      </c>
    </row>
    <row r="71" spans="1:8" x14ac:dyDescent="0.25">
      <c r="A71" t="s">
        <v>269</v>
      </c>
      <c r="B71" s="109">
        <f>-((B61-'META - Reconciliation FY'!$B$24)+B68)</f>
        <v>-42556.586773775896</v>
      </c>
      <c r="C71" s="119">
        <f>-((C61-B61)+C68)</f>
        <v>-45639.134144727614</v>
      </c>
      <c r="D71" s="119">
        <f>-((D61-C61)+D68)</f>
        <v>-48372.739679921637</v>
      </c>
      <c r="E71" s="119">
        <f>-((E61-D61)+E68)</f>
        <v>-50654.600981989672</v>
      </c>
      <c r="F71" s="119">
        <f>-((F61-E61)+F68)</f>
        <v>-52388.72861513681</v>
      </c>
    </row>
    <row r="72" spans="1:8" x14ac:dyDescent="0.25">
      <c r="A72" t="s">
        <v>544</v>
      </c>
      <c r="B72" s="109">
        <f>-((B62+B63)-('META - Reconciliation FY'!$B$25+'META - Reconciliation FY'!$B$26+'META - Reconciliation FY'!$B$27+'META - Reconciliation FY'!$B$28+'META - Reconciliation FY'!$B$29+'META - Reconciliation FY'!$B$30))</f>
        <v>-5272.3032348601628</v>
      </c>
      <c r="C72" s="119">
        <f>-((C62+C63)-(B62+B63))</f>
        <v>-5787.9414087152254</v>
      </c>
      <c r="D72" s="119">
        <f>-((D62+D63)-(C62+C63))</f>
        <v>-6254.7415329035721</v>
      </c>
      <c r="E72" s="119">
        <f>-((E62+E63)-(D62+D63))</f>
        <v>-6648.1262303944459</v>
      </c>
      <c r="F72" s="119">
        <f>-((F62+F63)-(E62+E63))</f>
        <v>-6942.8904571086096</v>
      </c>
    </row>
    <row r="73" spans="1:8" x14ac:dyDescent="0.25">
      <c r="A73" s="9" t="s">
        <v>270</v>
      </c>
      <c r="B73" s="147">
        <f>B69+B70+B71+B72</f>
        <v>49755.31940502028</v>
      </c>
      <c r="C73" s="147">
        <f>C69+C70+C71+C72</f>
        <v>57741.159333212512</v>
      </c>
      <c r="D73" s="147">
        <f>D69+D70+D71+D72</f>
        <v>66332.787441696913</v>
      </c>
      <c r="E73" s="147">
        <f>E69+E70+E71+E72</f>
        <v>75430.101457075158</v>
      </c>
      <c r="F73" s="147">
        <f>F69+F70+F71+F72</f>
        <v>84900.418296634074</v>
      </c>
    </row>
    <row r="75" spans="1:8" x14ac:dyDescent="0.25">
      <c r="A75" s="24" t="s">
        <v>552</v>
      </c>
      <c r="B75" s="24"/>
      <c r="C75" s="24"/>
      <c r="D75" s="24"/>
      <c r="E75" s="24"/>
      <c r="F75" s="24"/>
      <c r="G75" s="24"/>
      <c r="H75" s="24"/>
    </row>
    <row r="76" spans="1:8" x14ac:dyDescent="0.25">
      <c r="A76" s="9" t="s">
        <v>506</v>
      </c>
      <c r="B76" s="168">
        <f>B24</f>
        <v>46387</v>
      </c>
      <c r="C76" s="168">
        <f>C24</f>
        <v>46752</v>
      </c>
      <c r="D76" s="168">
        <f>D24</f>
        <v>47118</v>
      </c>
      <c r="E76" s="168">
        <f>E24</f>
        <v>47483</v>
      </c>
      <c r="F76" s="168">
        <f>F24</f>
        <v>47848</v>
      </c>
    </row>
    <row r="77" spans="1:8" x14ac:dyDescent="0.25">
      <c r="A77" t="s">
        <v>507</v>
      </c>
      <c r="B77" s="134">
        <f>$B$6+($E$16-$B$6)*MIN(1/$B$3,1)</f>
        <v>0.18053110178572029</v>
      </c>
      <c r="C77" s="134">
        <f>$B$6+($E$16-$B$6)*MIN(2/$B$3,1)</f>
        <v>0.18105663048942669</v>
      </c>
      <c r="D77" s="134">
        <f>$B$6+($E$16-$B$6)*MIN(3/$B$3,1)</f>
        <v>0.18158215919313309</v>
      </c>
      <c r="E77" s="134">
        <f>$B$6+($E$16-$B$6)*MIN(4/$B$3,1)</f>
        <v>0.18210768789683951</v>
      </c>
      <c r="F77" s="134">
        <f>$B$6+($E$16-$B$6)*MIN(5/$B$3,1)</f>
        <v>0.18263321660054593</v>
      </c>
    </row>
    <row r="78" spans="1:8" x14ac:dyDescent="0.25">
      <c r="A78" t="s">
        <v>318</v>
      </c>
      <c r="B78" s="134">
        <f>$B$7+($E$17-$B$7)*MIN(1/$B$3,1)</f>
        <v>0.28484804732884927</v>
      </c>
      <c r="C78" s="134">
        <f>$B$7+($E$17-$B$7)*MIN(2/$B$3,1)</f>
        <v>0.28421496849705447</v>
      </c>
      <c r="D78" s="134">
        <f>$B$7+($E$17-$B$7)*MIN(3/$B$3,1)</f>
        <v>0.2835818896652596</v>
      </c>
      <c r="E78" s="134">
        <f>$B$7+($E$17-$B$7)*MIN(4/$B$3,1)</f>
        <v>0.28294881083346479</v>
      </c>
      <c r="F78" s="134">
        <f>$B$7+($E$17-$B$7)*MIN(5/$B$3,1)</f>
        <v>0.28231573200166998</v>
      </c>
    </row>
    <row r="79" spans="1:8" x14ac:dyDescent="0.25">
      <c r="A79" t="s">
        <v>319</v>
      </c>
      <c r="B79" s="134">
        <f>$B$8+($E$18-$B$8)*MIN(1/$B$3,1)</f>
        <v>0.1222570150225388</v>
      </c>
      <c r="C79" s="134">
        <f>$B$8+($E$18-$B$8)*MIN(2/$B$3,1)</f>
        <v>0.12437928088352787</v>
      </c>
      <c r="D79" s="134">
        <f>$B$8+($E$18-$B$8)*MIN(3/$B$3,1)</f>
        <v>0.12650154674451694</v>
      </c>
      <c r="E79" s="134">
        <f>$B$8+($E$18-$B$8)*MIN(4/$B$3,1)</f>
        <v>0.12862381260550604</v>
      </c>
      <c r="F79" s="134">
        <f>$B$8+($E$18-$B$8)*MIN(5/$B$3,1)</f>
        <v>0.13074607846649511</v>
      </c>
    </row>
    <row r="80" spans="1:8" x14ac:dyDescent="0.25">
      <c r="A80" t="s">
        <v>508</v>
      </c>
      <c r="B80" s="134">
        <f>$B$9+($E$19-$B$9)*MIN(1/$B$3,1)</f>
        <v>0</v>
      </c>
      <c r="C80" s="134">
        <f>$B$9+($E$19-$B$9)*MIN(2/$B$3,1)</f>
        <v>0</v>
      </c>
      <c r="D80" s="134">
        <f>$B$9+($E$19-$B$9)*MIN(3/$B$3,1)</f>
        <v>0</v>
      </c>
      <c r="E80" s="134">
        <f>$B$9+($E$19-$B$9)*MIN(4/$B$3,1)</f>
        <v>0</v>
      </c>
      <c r="F80" s="134">
        <f>$B$9+($E$19-$B$9)*MIN(5/$B$3,1)</f>
        <v>0</v>
      </c>
    </row>
    <row r="81" spans="1:8" x14ac:dyDescent="0.25">
      <c r="A81" t="s">
        <v>509</v>
      </c>
      <c r="B81" s="134">
        <f>$B$10+($E$20-$B$10)*MIN(1/$B$3,1)</f>
        <v>0.10661226437128585</v>
      </c>
      <c r="C81" s="134">
        <f>$B$10+($E$20-$B$10)*MIN(2/$B$3,1)</f>
        <v>0.10769164892397759</v>
      </c>
      <c r="D81" s="134">
        <f>$B$10+($E$20-$B$10)*MIN(3/$B$3,1)</f>
        <v>0.10877103347666933</v>
      </c>
      <c r="E81" s="134">
        <f>$B$10+($E$20-$B$10)*MIN(4/$B$3,1)</f>
        <v>0.10985041802936107</v>
      </c>
      <c r="F81" s="134">
        <f>$B$10+($E$20-$B$10)*MIN(5/$B$3,1)</f>
        <v>0.11092980258205282</v>
      </c>
    </row>
    <row r="82" spans="1:8" x14ac:dyDescent="0.25">
      <c r="A82" t="s">
        <v>533</v>
      </c>
      <c r="B82" s="134">
        <f>$B$45+($E$53-$B$45)*MIN(1/$B$3,1)</f>
        <v>-4.1025568030326934E-2</v>
      </c>
      <c r="C82" s="134">
        <f>$B$45+($E$53-$B$45)*MIN(2/$B$3,1)</f>
        <v>-4.1418989329365989E-2</v>
      </c>
      <c r="D82" s="134">
        <f>$B$45+($E$53-$B$45)*MIN(3/$B$3,1)</f>
        <v>-4.1812410628405038E-2</v>
      </c>
      <c r="E82" s="134">
        <f>$B$45+($E$53-$B$45)*MIN(4/$B$3,1)</f>
        <v>-4.2205831927444093E-2</v>
      </c>
      <c r="F82" s="134">
        <f>$B$45+($E$53-$B$45)*MIN(5/$B$3,1)</f>
        <v>-4.2599253226483148E-2</v>
      </c>
    </row>
    <row r="83" spans="1:8" x14ac:dyDescent="0.25">
      <c r="A83" t="s">
        <v>534</v>
      </c>
      <c r="B83" s="134">
        <f>$B$46+($E$54-$B$46)*MIN(1/$B$3,1)</f>
        <v>0.86769772857985872</v>
      </c>
      <c r="C83" s="134">
        <f>$B$46+($E$54-$B$46)*MIN(2/$B$3,1)</f>
        <v>0.8576350399747209</v>
      </c>
      <c r="D83" s="134">
        <f>$B$46+($E$54-$B$46)*MIN(3/$B$3,1)</f>
        <v>0.8475723513695832</v>
      </c>
      <c r="E83" s="134">
        <f>$B$46+($E$54-$B$46)*MIN(4/$B$3,1)</f>
        <v>0.83750966276444538</v>
      </c>
      <c r="F83" s="134">
        <f>$B$46+($E$54-$B$46)*MIN(5/$B$3,1)</f>
        <v>0.82744697415930768</v>
      </c>
    </row>
    <row r="84" spans="1:8" x14ac:dyDescent="0.25">
      <c r="A84" t="s">
        <v>535</v>
      </c>
      <c r="B84" s="134">
        <f>$B$47+($E$55-$B$47)*MIN(1/$B$3,1)</f>
        <v>0.12342501109638354</v>
      </c>
      <c r="C84" s="134">
        <f>$B$47+($E$55-$B$47)*MIN(2/$B$3,1)</f>
        <v>0.12476967029244565</v>
      </c>
      <c r="D84" s="134">
        <f>$B$47+($E$55-$B$47)*MIN(3/$B$3,1)</f>
        <v>0.12611432948850776</v>
      </c>
      <c r="E84" s="134">
        <f>$B$47+($E$55-$B$47)*MIN(4/$B$3,1)</f>
        <v>0.12745898868456984</v>
      </c>
      <c r="F84" s="134">
        <f>$B$47+($E$55-$B$47)*MIN(5/$B$3,1)</f>
        <v>0.12880364788063195</v>
      </c>
    </row>
    <row r="85" spans="1:8" x14ac:dyDescent="0.25">
      <c r="A85" t="s">
        <v>536</v>
      </c>
      <c r="B85" s="134">
        <f>$B$48+($E$56-$B$48)*MIN(1/$B$3,1)</f>
        <v>2.6840912404448407E-2</v>
      </c>
      <c r="C85" s="134">
        <f>$B$48+($E$56-$B$48)*MIN(2/$B$3,1)</f>
        <v>3.1493992041164959E-2</v>
      </c>
      <c r="D85" s="134">
        <f>$B$48+($E$56-$B$48)*MIN(3/$B$3,1)</f>
        <v>3.6147071677881518E-2</v>
      </c>
      <c r="E85" s="134">
        <f>$B$48+($E$56-$B$48)*MIN(4/$B$3,1)</f>
        <v>4.080015131459807E-2</v>
      </c>
      <c r="F85" s="134">
        <f>$B$48+($E$56-$B$48)*MIN(5/$B$3,1)</f>
        <v>4.5453230951314622E-2</v>
      </c>
    </row>
    <row r="87" spans="1:8" x14ac:dyDescent="0.25">
      <c r="A87" s="24" t="s">
        <v>553</v>
      </c>
      <c r="B87" s="24"/>
      <c r="C87" s="24"/>
      <c r="D87" s="24"/>
      <c r="E87" s="24"/>
      <c r="F87" s="24"/>
      <c r="G87" s="24"/>
      <c r="H87" s="24"/>
    </row>
    <row r="88" spans="1:8" x14ac:dyDescent="0.25">
      <c r="A88" s="9" t="s">
        <v>514</v>
      </c>
      <c r="B88" s="168">
        <f>B24</f>
        <v>46387</v>
      </c>
      <c r="C88" s="168">
        <f>C24</f>
        <v>46752</v>
      </c>
      <c r="D88" s="168">
        <f>D24</f>
        <v>47118</v>
      </c>
      <c r="E88" s="168">
        <f>E24</f>
        <v>47483</v>
      </c>
      <c r="F88" s="168">
        <f>F24</f>
        <v>47848</v>
      </c>
    </row>
    <row r="89" spans="1:8" x14ac:dyDescent="0.25">
      <c r="A89" t="s">
        <v>541</v>
      </c>
      <c r="B89" s="119">
        <f>B64</f>
        <v>222772.26207899148</v>
      </c>
      <c r="C89" s="119">
        <f>C64</f>
        <v>249264.39885751068</v>
      </c>
      <c r="D89" s="119">
        <f>D64</f>
        <v>276264.83314799395</v>
      </c>
      <c r="E89" s="119">
        <f>E64</f>
        <v>303261.67716626503</v>
      </c>
      <c r="F89" s="119">
        <f>F64</f>
        <v>329682.3032367783</v>
      </c>
    </row>
    <row r="90" spans="1:8" x14ac:dyDescent="0.25">
      <c r="A90" t="s">
        <v>554</v>
      </c>
      <c r="B90" s="109">
        <f>'META - Reconciliation FY'!$B$40</f>
        <v>105096.68</v>
      </c>
      <c r="C90" s="109">
        <f>'META - Reconciliation FY'!$B$40</f>
        <v>105096.68</v>
      </c>
      <c r="D90" s="109">
        <f>'META - Reconciliation FY'!$B$40</f>
        <v>105096.68</v>
      </c>
      <c r="E90" s="109">
        <f>'META - Reconciliation FY'!$B$40</f>
        <v>105096.68</v>
      </c>
      <c r="F90" s="109">
        <f>'META - Reconciliation FY'!$B$40</f>
        <v>105096.68</v>
      </c>
    </row>
    <row r="91" spans="1:8" x14ac:dyDescent="0.25">
      <c r="A91" s="9" t="s">
        <v>555</v>
      </c>
      <c r="B91" s="147">
        <f>B89+B90</f>
        <v>327868.94207899144</v>
      </c>
      <c r="C91" s="147">
        <f>C89+C90</f>
        <v>354361.0788575107</v>
      </c>
      <c r="D91" s="147">
        <f>D89+D90</f>
        <v>381361.51314799394</v>
      </c>
      <c r="E91" s="147">
        <f>E89+E90</f>
        <v>408358.35716626502</v>
      </c>
      <c r="F91" s="147">
        <f>F89+F90</f>
        <v>434778.98323677829</v>
      </c>
    </row>
    <row r="92" spans="1:8" x14ac:dyDescent="0.25">
      <c r="A92" t="s">
        <v>565</v>
      </c>
      <c r="B92" s="109">
        <f>'META - Reconciliation FY'!$B$47+'META - Reconciliation FY'!$B$49</f>
        <v>58744</v>
      </c>
      <c r="C92" s="109">
        <f>'META - Reconciliation FY'!$B$47+'META - Reconciliation FY'!$B$49</f>
        <v>58744</v>
      </c>
      <c r="D92" s="109">
        <f>'META - Reconciliation FY'!$B$47+'META - Reconciliation FY'!$B$49</f>
        <v>58744</v>
      </c>
      <c r="E92" s="109">
        <f>'META - Reconciliation FY'!$B$47+'META - Reconciliation FY'!$B$49</f>
        <v>58744</v>
      </c>
      <c r="F92" s="109">
        <f>'META - Reconciliation FY'!$B$47+'META - Reconciliation FY'!$B$49</f>
        <v>58744</v>
      </c>
    </row>
    <row r="93" spans="1:8" x14ac:dyDescent="0.25">
      <c r="A93" t="s">
        <v>556</v>
      </c>
      <c r="B93" s="119">
        <f>B91-B92</f>
        <v>269124.94207899144</v>
      </c>
      <c r="C93" s="119">
        <f>C91-C92</f>
        <v>295617.0788575107</v>
      </c>
      <c r="D93" s="119">
        <f>D91-D92</f>
        <v>322617.51314799394</v>
      </c>
      <c r="E93" s="119">
        <f>E91-E92</f>
        <v>349614.35716626502</v>
      </c>
      <c r="F93" s="119">
        <f>F91-F92</f>
        <v>376034.98323677829</v>
      </c>
    </row>
    <row r="94" spans="1:8" x14ac:dyDescent="0.25">
      <c r="A94" t="s">
        <v>557</v>
      </c>
      <c r="B94" s="119">
        <f>B91-(B92+B93)</f>
        <v>0</v>
      </c>
      <c r="C94" s="119">
        <f>C91-(C92+C93)</f>
        <v>0</v>
      </c>
      <c r="D94" s="119">
        <f>D91-(D92+D93)</f>
        <v>0</v>
      </c>
      <c r="E94" s="119">
        <f>E91-(E92+E93)</f>
        <v>0</v>
      </c>
      <c r="F94" s="119">
        <f>F91-(F92+F93)</f>
        <v>0</v>
      </c>
    </row>
    <row r="96" spans="1:8" x14ac:dyDescent="0.25">
      <c r="A96" s="24" t="s">
        <v>558</v>
      </c>
      <c r="B96" s="24"/>
      <c r="C96" s="24"/>
      <c r="D96" s="24"/>
      <c r="E96" s="24"/>
      <c r="F96" s="24"/>
      <c r="G96" s="24"/>
      <c r="H96" s="24"/>
    </row>
    <row r="97" spans="1:11" x14ac:dyDescent="0.25">
      <c r="A97" s="9" t="s">
        <v>559</v>
      </c>
      <c r="B97" s="168">
        <f>B24</f>
        <v>46387</v>
      </c>
      <c r="C97" s="168">
        <f>C24</f>
        <v>46752</v>
      </c>
      <c r="D97" s="168">
        <f>D24</f>
        <v>47118</v>
      </c>
      <c r="E97" s="168">
        <f>E24</f>
        <v>47483</v>
      </c>
      <c r="F97" s="168">
        <f>F24</f>
        <v>47848</v>
      </c>
    </row>
    <row r="98" spans="1:11" x14ac:dyDescent="0.25">
      <c r="A98" t="s">
        <v>259</v>
      </c>
      <c r="B98" s="119">
        <f>B40</f>
        <v>75300.26148401176</v>
      </c>
      <c r="C98" s="119">
        <f>C40</f>
        <v>84233.296111731703</v>
      </c>
      <c r="D98" s="119">
        <f>D40</f>
        <v>93333.221732180187</v>
      </c>
      <c r="E98" s="119">
        <f>E40</f>
        <v>102426.94547534626</v>
      </c>
      <c r="F98" s="119">
        <f>F40</f>
        <v>111321.04436714735</v>
      </c>
    </row>
    <row r="99" spans="1:11" x14ac:dyDescent="0.25">
      <c r="A99" t="s">
        <v>560</v>
      </c>
      <c r="B99" s="109">
        <f>AVERAGE(B64,'META - Reconciliation FY'!$B$32)</f>
        <v>209999.79103949573</v>
      </c>
      <c r="C99" s="119">
        <f>AVERAGE(C64,B64)</f>
        <v>236018.33046825108</v>
      </c>
      <c r="D99" s="119">
        <f>AVERAGE(D64,C64)</f>
        <v>262764.61600275233</v>
      </c>
      <c r="E99" s="119">
        <f>AVERAGE(E64,D64)</f>
        <v>289763.25515712949</v>
      </c>
      <c r="F99" s="119">
        <f>AVERAGE(F64,E64)</f>
        <v>316471.99020152166</v>
      </c>
    </row>
    <row r="100" spans="1:11" x14ac:dyDescent="0.25">
      <c r="A100" s="9" t="s">
        <v>561</v>
      </c>
      <c r="B100" s="137">
        <f>B98/B99</f>
        <v>0.35857303053149064</v>
      </c>
      <c r="C100" s="137">
        <f>C98/C99</f>
        <v>0.35689302582818955</v>
      </c>
      <c r="D100" s="137">
        <f>D98/D99</f>
        <v>0.35519707010780543</v>
      </c>
      <c r="E100" s="137">
        <f>E98/E99</f>
        <v>0.35348493520961916</v>
      </c>
      <c r="F100" s="137">
        <f>F98/F99</f>
        <v>0.35175638860254527</v>
      </c>
    </row>
    <row r="101" spans="1:11" x14ac:dyDescent="0.25">
      <c r="A101" t="s">
        <v>311</v>
      </c>
      <c r="B101" s="109">
        <f>B64-'META - Reconciliation FY'!$B$32</f>
        <v>25544.942078991473</v>
      </c>
      <c r="C101" s="119">
        <f>C64-B64</f>
        <v>26492.136778519198</v>
      </c>
      <c r="D101" s="119">
        <f>D64-C64</f>
        <v>27000.434290483274</v>
      </c>
      <c r="E101" s="119">
        <f>E64-D64</f>
        <v>26996.844018271076</v>
      </c>
      <c r="F101" s="119">
        <f>F64-E64</f>
        <v>26420.626070513274</v>
      </c>
    </row>
    <row r="102" spans="1:11" x14ac:dyDescent="0.25">
      <c r="A102" t="s">
        <v>312</v>
      </c>
      <c r="B102" s="113">
        <f>IFERROR((B98-'META - Reconciliation FY'!$B$56)/B101,"")</f>
        <v>0.37237201222056165</v>
      </c>
      <c r="C102" s="134">
        <f>IFERROR((C98-B98)/C101,"")</f>
        <v>0.33719570083766048</v>
      </c>
      <c r="D102" s="134">
        <f>IFERROR((D98-C98)/D101,"")</f>
        <v>0.33702886118598085</v>
      </c>
      <c r="E102" s="134">
        <f>IFERROR((E98-D98)/E101,"")</f>
        <v>0.33684395616804597</v>
      </c>
      <c r="F102" s="134">
        <f>IFERROR((F98-E98)/F101,"")</f>
        <v>0.33663467580457296</v>
      </c>
    </row>
    <row r="103" spans="1:11" x14ac:dyDescent="0.25">
      <c r="A103" t="s">
        <v>562</v>
      </c>
      <c r="B103" s="134">
        <f>IFERROR(B101/B98,"")</f>
        <v>0.33924108064904052</v>
      </c>
      <c r="C103" s="134">
        <f>IFERROR(C101/C98,"")</f>
        <v>0.31450908371647435</v>
      </c>
      <c r="D103" s="134">
        <f>IFERROR(D101/D98,"")</f>
        <v>0.28929071331064793</v>
      </c>
      <c r="E103" s="134">
        <f>IFERROR(E101/E98,"")</f>
        <v>0.26357169876523462</v>
      </c>
      <c r="F103" s="134">
        <f>IFERROR(F101/F98,"")</f>
        <v>0.2373372098753902</v>
      </c>
    </row>
    <row r="104" spans="1:11" x14ac:dyDescent="0.25">
      <c r="A104" s="9" t="s">
        <v>563</v>
      </c>
      <c r="B104" s="137">
        <f>IFERROR(B102*B103,"")</f>
        <v>0.12632388382916104</v>
      </c>
      <c r="C104" s="137">
        <f>IFERROR(C102*C103,"")</f>
        <v>0.106051110903587</v>
      </c>
      <c r="D104" s="137">
        <f>IFERROR(D102*D103,"")</f>
        <v>9.749931965876775E-2</v>
      </c>
      <c r="E104" s="137">
        <f>IFERROR(E102*E103,"")</f>
        <v>8.8782533746014108E-2</v>
      </c>
      <c r="F104" s="137">
        <f>IFERROR(F102*F103,"")</f>
        <v>7.9895934702763877E-2</v>
      </c>
    </row>
    <row r="105" spans="1:11" x14ac:dyDescent="0.25">
      <c r="A105" t="s">
        <v>564</v>
      </c>
      <c r="B105" s="113">
        <f>IFERROR(B25/'META - Income Statement FY'!$B$7-1,"")</f>
        <v>0.1346750000000001</v>
      </c>
      <c r="C105" s="134">
        <f>IFERROR(C25/B25-1,"")</f>
        <v>0.12404999999999999</v>
      </c>
      <c r="D105" s="134">
        <f>IFERROR(D25/C25-1,"")</f>
        <v>0.11342499999999989</v>
      </c>
      <c r="E105" s="134">
        <f>IFERROR(E25/D25-1,"")</f>
        <v>0.1028</v>
      </c>
      <c r="F105" s="134">
        <f>IFERROR(F25/E25-1,"")</f>
        <v>9.2175000000000118E-2</v>
      </c>
    </row>
    <row r="107" spans="1:11" x14ac:dyDescent="0.25">
      <c r="A107" s="24" t="s">
        <v>600</v>
      </c>
      <c r="B107" s="24"/>
      <c r="C107" s="24"/>
      <c r="D107" s="24"/>
      <c r="E107" s="24"/>
      <c r="F107" s="24"/>
      <c r="G107" s="24"/>
      <c r="H107" s="24"/>
      <c r="I107" s="24"/>
      <c r="J107" s="24"/>
      <c r="K107" s="24"/>
    </row>
    <row r="108" spans="1:11" x14ac:dyDescent="0.25">
      <c r="A108" t="s">
        <v>601</v>
      </c>
      <c r="B108" s="146">
        <f>F33</f>
        <v>0.40994020973751488</v>
      </c>
    </row>
    <row r="109" spans="1:11" x14ac:dyDescent="0.25">
      <c r="A109" t="s">
        <v>602</v>
      </c>
      <c r="B109" s="169">
        <f>F25/F64</f>
        <v>1.0426391451414778</v>
      </c>
    </row>
    <row r="110" spans="1:11" x14ac:dyDescent="0.25">
      <c r="A110" s="9" t="s">
        <v>573</v>
      </c>
      <c r="B110" s="168">
        <f>EDATE(F24,12)</f>
        <v>48213</v>
      </c>
      <c r="C110" s="168">
        <f t="shared" ref="C110:K110" si="3">EDATE(B110,12)</f>
        <v>48579</v>
      </c>
      <c r="D110" s="168">
        <f t="shared" si="3"/>
        <v>48944</v>
      </c>
      <c r="E110" s="168">
        <f t="shared" si="3"/>
        <v>49309</v>
      </c>
      <c r="F110" s="168">
        <f t="shared" si="3"/>
        <v>49674</v>
      </c>
      <c r="G110" s="168">
        <f t="shared" si="3"/>
        <v>50040</v>
      </c>
      <c r="H110" s="168">
        <f t="shared" si="3"/>
        <v>50405</v>
      </c>
      <c r="I110" s="168">
        <f t="shared" si="3"/>
        <v>50770</v>
      </c>
      <c r="J110" s="168">
        <f t="shared" si="3"/>
        <v>51135</v>
      </c>
      <c r="K110" s="168">
        <f t="shared" si="3"/>
        <v>51501</v>
      </c>
    </row>
    <row r="111" spans="1:11" x14ac:dyDescent="0.25">
      <c r="A111" t="s">
        <v>603</v>
      </c>
      <c r="B111" s="113">
        <f>('META Rev Drivers &amp; Forecast'!$B$8+('META Rev Drivers &amp; Forecast'!$B$7-'META Rev Drivers &amp; Forecast'!$B$8)*MIN(6/'META Rev Drivers &amp; Forecast'!$B$10,1))+'META Rev Drivers &amp; Forecast'!$B$4</f>
        <v>8.1549999999999997E-2</v>
      </c>
      <c r="C111" s="113">
        <f>('META Rev Drivers &amp; Forecast'!$B$8+('META Rev Drivers &amp; Forecast'!$B$7-'META Rev Drivers &amp; Forecast'!$B$8)*MIN(7/'META Rev Drivers &amp; Forecast'!$B$10,1))+'META Rev Drivers &amp; Forecast'!$B$4</f>
        <v>7.0925000000000002E-2</v>
      </c>
      <c r="D111" s="113">
        <f>('META Rev Drivers &amp; Forecast'!$B$8+('META Rev Drivers &amp; Forecast'!$B$7-'META Rev Drivers &amp; Forecast'!$B$8)*MIN(8/'META Rev Drivers &amp; Forecast'!$B$10,1))+'META Rev Drivers &amp; Forecast'!$B$4</f>
        <v>6.0300000000000006E-2</v>
      </c>
      <c r="E111" s="113">
        <f>('META Rev Drivers &amp; Forecast'!$B$8+('META Rev Drivers &amp; Forecast'!$B$7-'META Rev Drivers &amp; Forecast'!$B$8)*MIN(9/'META Rev Drivers &amp; Forecast'!$B$10,1))+'META Rev Drivers &amp; Forecast'!$B$4</f>
        <v>6.0300000000000006E-2</v>
      </c>
      <c r="F111" s="113">
        <f>('META Rev Drivers &amp; Forecast'!$B$8+('META Rev Drivers &amp; Forecast'!$B$7-'META Rev Drivers &amp; Forecast'!$B$8)*MIN(10/'META Rev Drivers &amp; Forecast'!$B$10,1))+'META Rev Drivers &amp; Forecast'!$B$4</f>
        <v>6.0300000000000006E-2</v>
      </c>
      <c r="G111" s="113">
        <f>('META Rev Drivers &amp; Forecast'!$B$8+('META Rev Drivers &amp; Forecast'!$B$7-'META Rev Drivers &amp; Forecast'!$B$8)*MIN(11/'META Rev Drivers &amp; Forecast'!$B$10,1))+'META Rev Drivers &amp; Forecast'!$B$4</f>
        <v>6.0300000000000006E-2</v>
      </c>
      <c r="H111" s="113">
        <f>('META Rev Drivers &amp; Forecast'!$B$8+('META Rev Drivers &amp; Forecast'!$B$7-'META Rev Drivers &amp; Forecast'!$B$8)*MIN(12/'META Rev Drivers &amp; Forecast'!$B$10,1))+'META Rev Drivers &amp; Forecast'!$B$4</f>
        <v>6.0300000000000006E-2</v>
      </c>
      <c r="I111" s="113">
        <f>('META Rev Drivers &amp; Forecast'!$B$8+('META Rev Drivers &amp; Forecast'!$B$7-'META Rev Drivers &amp; Forecast'!$B$8)*MIN(13/'META Rev Drivers &amp; Forecast'!$B$10,1))+'META Rev Drivers &amp; Forecast'!$B$4</f>
        <v>6.0300000000000006E-2</v>
      </c>
      <c r="J111" s="113">
        <f>('META Rev Drivers &amp; Forecast'!$B$8+('META Rev Drivers &amp; Forecast'!$B$7-'META Rev Drivers &amp; Forecast'!$B$8)*MIN(14/'META Rev Drivers &amp; Forecast'!$B$10,1))+'META Rev Drivers &amp; Forecast'!$B$4</f>
        <v>6.0300000000000006E-2</v>
      </c>
      <c r="K111" s="113">
        <f>('META Rev Drivers &amp; Forecast'!$B$8+('META Rev Drivers &amp; Forecast'!$B$7-'META Rev Drivers &amp; Forecast'!$B$8)*MIN(15/'META Rev Drivers &amp; Forecast'!$B$10,1))+'META Rev Drivers &amp; Forecast'!$B$4</f>
        <v>6.0300000000000006E-2</v>
      </c>
    </row>
    <row r="112" spans="1:11" x14ac:dyDescent="0.25">
      <c r="A112" t="s">
        <v>31</v>
      </c>
      <c r="B112" s="119">
        <f>F25*(1+B111)</f>
        <v>371771.64529623673</v>
      </c>
      <c r="C112" s="119">
        <f t="shared" ref="C112:K112" si="4">B112*(1+C111)</f>
        <v>398139.54923887231</v>
      </c>
      <c r="D112" s="119">
        <f t="shared" si="4"/>
        <v>422147.36405797629</v>
      </c>
      <c r="E112" s="119">
        <f t="shared" si="4"/>
        <v>447602.85011067224</v>
      </c>
      <c r="F112" s="119">
        <f t="shared" si="4"/>
        <v>474593.3019723458</v>
      </c>
      <c r="G112" s="119">
        <f t="shared" si="4"/>
        <v>503211.27808127826</v>
      </c>
      <c r="H112" s="119">
        <f t="shared" si="4"/>
        <v>533554.91814957932</v>
      </c>
      <c r="I112" s="119">
        <f t="shared" si="4"/>
        <v>565728.27971399901</v>
      </c>
      <c r="J112" s="119">
        <f t="shared" si="4"/>
        <v>599841.69498075312</v>
      </c>
      <c r="K112" s="119">
        <f t="shared" si="4"/>
        <v>636012.14918809256</v>
      </c>
    </row>
    <row r="113" spans="1:11" x14ac:dyDescent="0.25">
      <c r="A113" t="s">
        <v>320</v>
      </c>
      <c r="B113" s="134">
        <f>$B$108+IF('Valuation Dashboard'!$B$151="Yes",'META - Reconciliation FY'!$B$152,0)</f>
        <v>0.41557544654374079</v>
      </c>
      <c r="C113" s="134">
        <f>$B$108+IF('Valuation Dashboard'!$B$151="Yes",'META - Reconciliation FY'!$B$152,0)</f>
        <v>0.41557544654374079</v>
      </c>
      <c r="D113" s="134">
        <f>$B$108+IF('Valuation Dashboard'!$B$151="Yes",'META - Reconciliation FY'!$B$152,0)</f>
        <v>0.41557544654374079</v>
      </c>
      <c r="E113" s="134">
        <f>$B$108+IF('Valuation Dashboard'!$B$151="Yes",'META - Reconciliation FY'!$B$152,0)</f>
        <v>0.41557544654374079</v>
      </c>
      <c r="F113" s="134">
        <f>$B$108+IF('Valuation Dashboard'!$B$151="Yes",'META - Reconciliation FY'!$B$152,0)</f>
        <v>0.41557544654374079</v>
      </c>
      <c r="G113" s="134">
        <f>$B$108+IF('Valuation Dashboard'!$B$151="Yes",'META - Reconciliation FY'!$B$152,0)</f>
        <v>0.41557544654374079</v>
      </c>
      <c r="H113" s="134">
        <f>$B$108+IF('Valuation Dashboard'!$B$151="Yes",'META - Reconciliation FY'!$B$152,0)</f>
        <v>0.41557544654374079</v>
      </c>
      <c r="I113" s="134">
        <f>$B$108+IF('Valuation Dashboard'!$B$151="Yes",'META - Reconciliation FY'!$B$152,0)</f>
        <v>0.41557544654374079</v>
      </c>
      <c r="J113" s="134">
        <f>$B$108+IF('Valuation Dashboard'!$B$151="Yes",'META - Reconciliation FY'!$B$152,0)</f>
        <v>0.41557544654374079</v>
      </c>
      <c r="K113" s="134">
        <f>$B$108+IF('Valuation Dashboard'!$B$151="Yes",'META - Reconciliation FY'!$B$152,0)</f>
        <v>0.41557544654374079</v>
      </c>
    </row>
    <row r="114" spans="1:11" x14ac:dyDescent="0.25">
      <c r="A114" t="s">
        <v>522</v>
      </c>
      <c r="B114" s="119">
        <f t="shared" ref="B114:K114" si="5">B112*B113</f>
        <v>154499.16750628478</v>
      </c>
      <c r="C114" s="119">
        <f t="shared" si="5"/>
        <v>165457.02096166802</v>
      </c>
      <c r="D114" s="119">
        <f t="shared" si="5"/>
        <v>175434.07932565661</v>
      </c>
      <c r="E114" s="119">
        <f t="shared" si="5"/>
        <v>186012.7543089937</v>
      </c>
      <c r="F114" s="119">
        <f t="shared" si="5"/>
        <v>197229.32339382602</v>
      </c>
      <c r="G114" s="119">
        <f t="shared" si="5"/>
        <v>209122.25159447372</v>
      </c>
      <c r="H114" s="119">
        <f t="shared" si="5"/>
        <v>221732.32336562048</v>
      </c>
      <c r="I114" s="119">
        <f t="shared" si="5"/>
        <v>235102.78246456743</v>
      </c>
      <c r="J114" s="119">
        <f t="shared" si="5"/>
        <v>249279.48024718085</v>
      </c>
      <c r="K114" s="119">
        <f t="shared" si="5"/>
        <v>264311.03290608583</v>
      </c>
    </row>
    <row r="115" spans="1:11" x14ac:dyDescent="0.25">
      <c r="A115" t="s">
        <v>259</v>
      </c>
      <c r="B115" s="119">
        <f t="shared" ref="B115:K115" si="6">B114*(1-$B$2)</f>
        <v>122054.34232996499</v>
      </c>
      <c r="C115" s="119">
        <f t="shared" si="6"/>
        <v>130711.04655971774</v>
      </c>
      <c r="D115" s="119">
        <f t="shared" si="6"/>
        <v>138592.92266726872</v>
      </c>
      <c r="E115" s="119">
        <f t="shared" si="6"/>
        <v>146950.07590410503</v>
      </c>
      <c r="F115" s="119">
        <f t="shared" si="6"/>
        <v>155811.16548112256</v>
      </c>
      <c r="G115" s="119">
        <f t="shared" si="6"/>
        <v>165206.57875963426</v>
      </c>
      <c r="H115" s="119">
        <f t="shared" si="6"/>
        <v>175168.5354588402</v>
      </c>
      <c r="I115" s="119">
        <f t="shared" si="6"/>
        <v>185731.19814700828</v>
      </c>
      <c r="J115" s="119">
        <f t="shared" si="6"/>
        <v>196930.78939527288</v>
      </c>
      <c r="K115" s="119">
        <f t="shared" si="6"/>
        <v>208805.71599580781</v>
      </c>
    </row>
    <row r="116" spans="1:11" x14ac:dyDescent="0.25">
      <c r="A116" t="s">
        <v>541</v>
      </c>
      <c r="B116" s="119">
        <f t="shared" ref="B116:K116" si="7">B112/$B$109</f>
        <v>356567.89506573754</v>
      </c>
      <c r="C116" s="119">
        <f t="shared" si="7"/>
        <v>381857.47302327491</v>
      </c>
      <c r="D116" s="119">
        <f t="shared" si="7"/>
        <v>404883.47864657838</v>
      </c>
      <c r="E116" s="119">
        <f t="shared" si="7"/>
        <v>429297.95240896707</v>
      </c>
      <c r="F116" s="119">
        <f t="shared" si="7"/>
        <v>455184.61893922777</v>
      </c>
      <c r="G116" s="119">
        <f t="shared" si="7"/>
        <v>482632.25146126322</v>
      </c>
      <c r="H116" s="119">
        <f t="shared" si="7"/>
        <v>511734.9762243774</v>
      </c>
      <c r="I116" s="119">
        <f t="shared" si="7"/>
        <v>542592.59529070742</v>
      </c>
      <c r="J116" s="119">
        <f t="shared" si="7"/>
        <v>575310.92878673703</v>
      </c>
      <c r="K116" s="119">
        <f t="shared" si="7"/>
        <v>610002.17779257731</v>
      </c>
    </row>
    <row r="117" spans="1:11" x14ac:dyDescent="0.25">
      <c r="A117" t="s">
        <v>604</v>
      </c>
      <c r="B117" s="119">
        <f>B116-F64</f>
        <v>26885.591828959237</v>
      </c>
      <c r="C117" s="119">
        <f t="shared" ref="C117:K117" si="8">C116-B116</f>
        <v>25289.577957537374</v>
      </c>
      <c r="D117" s="119">
        <f t="shared" si="8"/>
        <v>23026.00562330347</v>
      </c>
      <c r="E117" s="119">
        <f t="shared" si="8"/>
        <v>24414.47376238869</v>
      </c>
      <c r="F117" s="119">
        <f t="shared" si="8"/>
        <v>25886.6665302607</v>
      </c>
      <c r="G117" s="119">
        <f t="shared" si="8"/>
        <v>27447.632522035448</v>
      </c>
      <c r="H117" s="119">
        <f t="shared" si="8"/>
        <v>29102.72476311418</v>
      </c>
      <c r="I117" s="119">
        <f t="shared" si="8"/>
        <v>30857.619066330022</v>
      </c>
      <c r="J117" s="119">
        <f t="shared" si="8"/>
        <v>32718.333496029605</v>
      </c>
      <c r="K117" s="119">
        <f t="shared" si="8"/>
        <v>34691.249005840276</v>
      </c>
    </row>
    <row r="118" spans="1:11" x14ac:dyDescent="0.25">
      <c r="A118" s="9" t="s">
        <v>270</v>
      </c>
      <c r="B118" s="147">
        <f t="shared" ref="B118:K118" si="9">B115-B117</f>
        <v>95168.75050100575</v>
      </c>
      <c r="C118" s="147">
        <f t="shared" si="9"/>
        <v>105421.46860218036</v>
      </c>
      <c r="D118" s="147">
        <f t="shared" si="9"/>
        <v>115566.91704396525</v>
      </c>
      <c r="E118" s="147">
        <f t="shared" si="9"/>
        <v>122535.60214171634</v>
      </c>
      <c r="F118" s="147">
        <f t="shared" si="9"/>
        <v>129924.49895086186</v>
      </c>
      <c r="G118" s="147">
        <f t="shared" si="9"/>
        <v>137758.94623759881</v>
      </c>
      <c r="H118" s="147">
        <f t="shared" si="9"/>
        <v>146065.81069572602</v>
      </c>
      <c r="I118" s="147">
        <f t="shared" si="9"/>
        <v>154873.57908067826</v>
      </c>
      <c r="J118" s="147">
        <f t="shared" si="9"/>
        <v>164212.45589924327</v>
      </c>
      <c r="K118" s="147">
        <f t="shared" si="9"/>
        <v>174114.46698996754</v>
      </c>
    </row>
  </sheetData>
  <pageMargins left="0.7" right="0.7" top="0.75" bottom="0.75" header="0.3" footer="0.3"/>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FA9B50-C8CB-4772-A0E4-4EDB3E15E061}">
  <sheetPr>
    <tabColor rgb="FFB4C6E7"/>
  </sheetPr>
  <dimension ref="A1:K118"/>
  <sheetViews>
    <sheetView topLeftCell="A90" workbookViewId="0">
      <selection activeCell="A52" sqref="A52"/>
    </sheetView>
  </sheetViews>
  <sheetFormatPr defaultRowHeight="15" x14ac:dyDescent="0.25"/>
  <cols>
    <col min="1" max="1" width="53.85546875" bestFit="1" customWidth="1"/>
    <col min="2" max="3" width="10.42578125" bestFit="1" customWidth="1"/>
    <col min="4" max="4" width="11.5703125" bestFit="1" customWidth="1"/>
    <col min="5" max="5" width="14.5703125" bestFit="1" customWidth="1"/>
    <col min="6" max="8" width="10.42578125" bestFit="1" customWidth="1"/>
  </cols>
  <sheetData>
    <row r="1" spans="1:8" ht="15.75" x14ac:dyDescent="0.25">
      <c r="A1" s="15" t="s">
        <v>531</v>
      </c>
    </row>
    <row r="2" spans="1:8" x14ac:dyDescent="0.25">
      <c r="A2" t="s">
        <v>337</v>
      </c>
      <c r="B2" s="76">
        <f>'Valuation Dashboard'!$B$12</f>
        <v>0.21</v>
      </c>
    </row>
    <row r="3" spans="1:8" x14ac:dyDescent="0.25">
      <c r="A3" t="s">
        <v>551</v>
      </c>
      <c r="B3" s="50">
        <v>10</v>
      </c>
    </row>
    <row r="4" spans="1:8" x14ac:dyDescent="0.25">
      <c r="A4" s="24" t="s">
        <v>505</v>
      </c>
      <c r="B4" s="24"/>
      <c r="C4" s="24"/>
      <c r="D4" s="24"/>
      <c r="E4" s="24"/>
      <c r="F4" s="24"/>
      <c r="G4" s="24"/>
      <c r="H4" s="24"/>
    </row>
    <row r="5" spans="1:8" x14ac:dyDescent="0.25">
      <c r="A5" s="9" t="s">
        <v>506</v>
      </c>
      <c r="B5" s="167">
        <f>'TSLA - Income Statement FY'!B5</f>
        <v>46022</v>
      </c>
      <c r="C5" s="167">
        <f>'TSLA - Income Statement FY'!C5</f>
        <v>45657</v>
      </c>
      <c r="D5" s="167">
        <f>'TSLA - Income Statement FY'!D5</f>
        <v>45291</v>
      </c>
      <c r="E5" s="167">
        <f>'TSLA - Income Statement FY'!E5</f>
        <v>44926</v>
      </c>
      <c r="F5" s="167">
        <f>'TSLA - Income Statement FY'!F5</f>
        <v>44561</v>
      </c>
      <c r="G5" s="167">
        <f>'TSLA - Income Statement FY'!G5</f>
        <v>44196</v>
      </c>
      <c r="H5" s="167">
        <f>'TSLA - Income Statement FY'!H5</f>
        <v>43830</v>
      </c>
    </row>
    <row r="6" spans="1:8" x14ac:dyDescent="0.25">
      <c r="A6" t="s">
        <v>507</v>
      </c>
      <c r="B6" s="113">
        <f>IFERROR('TSLA - Income Statement FY'!B9/'TSLA - Income Statement FY'!B7,"")</f>
        <v>0.81973488563383845</v>
      </c>
      <c r="C6" s="113">
        <f>IFERROR('TSLA - Income Statement FY'!C9/'TSLA - Income Statement FY'!C7,"")</f>
        <v>0.82137373323779306</v>
      </c>
      <c r="D6" s="113">
        <f>IFERROR('TSLA - Income Statement FY'!D9/'TSLA - Income Statement FY'!D7,"")</f>
        <v>0.81751108263668582</v>
      </c>
      <c r="E6" s="113">
        <f>IFERROR('TSLA - Income Statement FY'!E9/'TSLA - Income Statement FY'!E7,"")</f>
        <v>0.74401561464240995</v>
      </c>
      <c r="F6" s="113">
        <f>IFERROR('TSLA - Income Statement FY'!F9/'TSLA - Income Statement FY'!F7,"")</f>
        <v>0.74720844248741247</v>
      </c>
      <c r="G6" s="113">
        <f>IFERROR('TSLA - Income Statement FY'!G9/'TSLA - Income Statement FY'!G7,"")</f>
        <v>0.7897640791476408</v>
      </c>
      <c r="H6" s="113">
        <f>IFERROR('TSLA - Income Statement FY'!H9/'TSLA - Income Statement FY'!H7,"")</f>
        <v>0.83444543901049717</v>
      </c>
    </row>
    <row r="7" spans="1:8" x14ac:dyDescent="0.25">
      <c r="A7" t="s">
        <v>318</v>
      </c>
      <c r="B7" s="113">
        <f>IFERROR('TSLA - Income Statement FY'!B13/'TSLA - Income Statement FY'!B7,"")</f>
        <v>6.7607327027112529E-2</v>
      </c>
      <c r="C7" s="113">
        <f>IFERROR('TSLA - Income Statement FY'!C13/'TSLA - Income Statement FY'!C7,"")</f>
        <v>4.6473538745009722E-2</v>
      </c>
      <c r="D7" s="113">
        <f>IFERROR('TSLA - Income Statement FY'!D13/'TSLA - Income Statement FY'!D7,"")</f>
        <v>4.1013505833238609E-2</v>
      </c>
      <c r="E7" s="113">
        <f>IFERROR('TSLA - Income Statement FY'!E13/'TSLA - Income Statement FY'!E7,"")</f>
        <v>3.7747661486337188E-2</v>
      </c>
      <c r="F7" s="113">
        <f>IFERROR('TSLA - Income Statement FY'!F13/'TSLA - Income Statement FY'!F7,"")</f>
        <v>4.817643015067908E-2</v>
      </c>
      <c r="G7" s="113">
        <f>IFERROR('TSLA - Income Statement FY'!G13/'TSLA - Income Statement FY'!G7,"")</f>
        <v>4.7279299847792999E-2</v>
      </c>
      <c r="H7" s="113">
        <f>IFERROR('TSLA - Income Statement FY'!H13/'TSLA - Income Statement FY'!H7,"")</f>
        <v>5.4642363088941333E-2</v>
      </c>
    </row>
    <row r="8" spans="1:8" x14ac:dyDescent="0.25">
      <c r="A8" t="s">
        <v>319</v>
      </c>
      <c r="B8" s="113">
        <f>IFERROR('TSLA - Income Statement FY'!B14/'TSLA - Income Statement FY'!B7,"")</f>
        <v>6.1522562139475045E-2</v>
      </c>
      <c r="C8" s="113">
        <f>IFERROR('TSLA - Income Statement FY'!C14/'TSLA - Income Statement FY'!C7,"")</f>
        <v>5.2717780734977994E-2</v>
      </c>
      <c r="D8" s="113">
        <f>IFERROR('TSLA - Income Statement FY'!D14/'TSLA - Income Statement FY'!D7,"")</f>
        <v>4.9600611740878139E-2</v>
      </c>
      <c r="E8" s="113">
        <f>IFERROR('TSLA - Income Statement FY'!E14/'TSLA - Income Statement FY'!E7,"")</f>
        <v>4.8439763325231394E-2</v>
      </c>
      <c r="F8" s="113">
        <f>IFERROR('TSLA - Income Statement FY'!F14/'TSLA - Income Statement FY'!F7,"")</f>
        <v>8.3923229845976624E-2</v>
      </c>
      <c r="G8" s="113">
        <f>IFERROR('TSLA - Income Statement FY'!G14/'TSLA - Income Statement FY'!G7,"")</f>
        <v>9.9727295788939629E-2</v>
      </c>
      <c r="H8" s="113">
        <f>IFERROR('TSLA - Income Statement FY'!H14/'TSLA - Income Statement FY'!H7,"")</f>
        <v>0.10765725445520384</v>
      </c>
    </row>
    <row r="9" spans="1:8" x14ac:dyDescent="0.25">
      <c r="A9" t="s">
        <v>508</v>
      </c>
      <c r="B9" s="113">
        <f>IFERROR('TSLA - Income Statement FY'!B17/'TSLA - Income Statement FY'!B7,"")</f>
        <v>5.2094867495544516E-3</v>
      </c>
      <c r="C9" s="113">
        <f>IFERROR('TSLA - Income Statement FY'!C17/'TSLA - Income Statement FY'!C7,"")</f>
        <v>7.0017401985873681E-3</v>
      </c>
      <c r="D9" s="113">
        <f>IFERROR('TSLA - Income Statement FY'!D17/'TSLA - Income Statement FY'!D7,"")</f>
        <v>0</v>
      </c>
      <c r="E9" s="113">
        <f>IFERROR('TSLA - Income Statement FY'!E17/'TSLA - Income Statement FY'!E7,"")</f>
        <v>2.160516559868405E-3</v>
      </c>
      <c r="F9" s="113">
        <f>IFERROR('TSLA - Income Statement FY'!F17/'TSLA - Income Statement FY'!F7,"")</f>
        <v>0</v>
      </c>
      <c r="G9" s="113">
        <f>IFERROR('TSLA - Income Statement FY'!G17/'TSLA - Income Statement FY'!G7,"")</f>
        <v>0</v>
      </c>
      <c r="H9" s="113">
        <f>IFERROR('TSLA - Income Statement FY'!H17/'TSLA - Income Statement FY'!H7,"")</f>
        <v>4.475547237366751E-4</v>
      </c>
    </row>
    <row r="10" spans="1:8" x14ac:dyDescent="0.25">
      <c r="A10" t="s">
        <v>509</v>
      </c>
      <c r="B10" s="113">
        <f>IFERROR('TSLA - Cash Flow FY'!B8/'TSLA - Balance Sheet FY'!B15,"")</f>
        <v>0.15126836109539157</v>
      </c>
      <c r="C10" s="113">
        <f>IFERROR('TSLA - Cash Flow FY'!C8/'TSLA - Balance Sheet FY'!C15,"")</f>
        <v>0.10421884404061584</v>
      </c>
      <c r="D10" s="113">
        <f>IFERROR('TSLA - Cash Flow FY'!D8/'TSLA - Balance Sheet FY'!D15,"")</f>
        <v>0.10342840679919331</v>
      </c>
      <c r="E10" s="113">
        <f>IFERROR('TSLA - Cash Flow FY'!E8/'TSLA - Balance Sheet FY'!E15,"")</f>
        <v>9.6710795687184381E-2</v>
      </c>
      <c r="F10" s="113">
        <f>IFERROR('TSLA - Cash Flow FY'!F8/'TSLA - Balance Sheet FY'!F15,"")</f>
        <v>9.3373107518604059E-2</v>
      </c>
      <c r="G10" s="113">
        <f>IFERROR('TSLA - Cash Flow FY'!G8/'TSLA - Balance Sheet FY'!G15,"")</f>
        <v>9.9324150911113018E-2</v>
      </c>
      <c r="H10" s="113">
        <f>IFERROR('TSLA - Cash Flow FY'!H8/'TSLA - Balance Sheet FY'!H15,"")</f>
        <v>0.10665478312537136</v>
      </c>
    </row>
    <row r="11" spans="1:8" x14ac:dyDescent="0.25">
      <c r="A11" t="s">
        <v>510</v>
      </c>
      <c r="B11" s="113">
        <f>IF('TSLA - Balance Sheet FY'!B51=0,"",'TSLA - Income Statement FY'!B23/'TSLA - Balance Sheet FY'!B51)</f>
        <v>4.0353390639923589E-2</v>
      </c>
      <c r="C11" s="113">
        <f>IF('TSLA - Balance Sheet FY'!C51=0,"",'TSLA - Income Statement FY'!C23/'TSLA - Balance Sheet FY'!C51)</f>
        <v>2.5691844674447625E-2</v>
      </c>
      <c r="D11" s="113">
        <f>IF('TSLA - Balance Sheet FY'!D51=0,"",'TSLA - Income Statement FY'!D23/'TSLA - Balance Sheet FY'!D51)</f>
        <v>1.6295832027577561E-2</v>
      </c>
      <c r="E11" s="113">
        <f>IF('TSLA - Balance Sheet FY'!E51=0,"",'TSLA - Income Statement FY'!E23/'TSLA - Balance Sheet FY'!E51)</f>
        <v>3.3228949199721643E-2</v>
      </c>
      <c r="F11" s="113">
        <f>IF('TSLA - Balance Sheet FY'!F51=0,"",'TSLA - Income Statement FY'!F23/'TSLA - Balance Sheet FY'!F51)</f>
        <v>4.1812239377887972E-2</v>
      </c>
      <c r="G11" s="113">
        <f>IF('TSLA - Balance Sheet FY'!G51=0,"",'TSLA - Income Statement FY'!G23/'TSLA - Balance Sheet FY'!G51)</f>
        <v>5.6329542887265605E-2</v>
      </c>
      <c r="H11" s="113">
        <f>IF('TSLA - Balance Sheet FY'!H51=0,"",'TSLA - Income Statement FY'!H23/'TSLA - Balance Sheet FY'!H51)</f>
        <v>4.6908169554201191E-2</v>
      </c>
    </row>
    <row r="12" spans="1:8" x14ac:dyDescent="0.25">
      <c r="A12" t="s">
        <v>511</v>
      </c>
      <c r="B12" s="113">
        <f>IFERROR('TSLA - Income Statement FY'!B25/'TSLA - Income Statement FY'!B7,"")</f>
        <v>4.5925738450019508E-2</v>
      </c>
      <c r="C12" s="113">
        <f>IFERROR('TSLA - Income Statement FY'!C25/'TSLA - Income Statement FY'!C7,"")</f>
        <v>7.2433207083631893E-2</v>
      </c>
      <c r="D12" s="113">
        <f>IFERROR('TSLA - Income Statement FY'!D25/'TSLA - Income Statement FY'!D7,"")</f>
        <v>9.1874799789197395E-2</v>
      </c>
      <c r="E12" s="113">
        <f>IFERROR('TSLA - Income Statement FY'!E25/'TSLA - Income Statement FY'!E7,"")</f>
        <v>0.16763644398615304</v>
      </c>
      <c r="F12" s="113">
        <f>IFERROR('TSLA - Income Statement FY'!F25/'TSLA - Income Statement FY'!F7,"")</f>
        <v>0.12119354179440016</v>
      </c>
      <c r="G12" s="113">
        <f>IFERROR('TSLA - Income Statement FY'!G25/'TSLA - Income Statement FY'!G7,"")</f>
        <v>6.3229325215626589E-2</v>
      </c>
      <c r="H12" s="113">
        <f>IFERROR('TSLA - Income Statement FY'!H25/'TSLA - Income Statement FY'!H7,"")</f>
        <v>-2.8073887216209618E-3</v>
      </c>
    </row>
    <row r="14" spans="1:8" x14ac:dyDescent="0.25">
      <c r="A14" s="24" t="s">
        <v>512</v>
      </c>
      <c r="B14" s="24"/>
      <c r="C14" s="24"/>
      <c r="D14" s="24"/>
      <c r="E14" s="24"/>
      <c r="F14" s="24"/>
      <c r="G14" s="24"/>
      <c r="H14" s="24"/>
    </row>
    <row r="15" spans="1:8" x14ac:dyDescent="0.25">
      <c r="A15" s="9" t="s">
        <v>506</v>
      </c>
      <c r="B15" s="9" t="s">
        <v>523</v>
      </c>
      <c r="C15" s="9" t="s">
        <v>524</v>
      </c>
      <c r="D15" s="9" t="s">
        <v>525</v>
      </c>
      <c r="E15" s="9" t="s">
        <v>1466</v>
      </c>
      <c r="F15" s="9" t="s">
        <v>1462</v>
      </c>
    </row>
    <row r="16" spans="1:8" x14ac:dyDescent="0.25">
      <c r="A16" t="s">
        <v>507</v>
      </c>
      <c r="B16" s="134">
        <f t="shared" ref="B16:B21" si="0">IFERROR(AVERAGE(B6:D6),"")</f>
        <v>0.81953990050277248</v>
      </c>
      <c r="C16" s="134">
        <f t="shared" ref="C16:C21" si="1">IFERROR(AVERAGE(B6:H6),"")</f>
        <v>0.79629332525661112</v>
      </c>
      <c r="D16" s="134">
        <f t="shared" ref="D16:D21" si="2">IFERROR(MEDIAN(B6:H6),"")</f>
        <v>0.81751108263668582</v>
      </c>
      <c r="E16" s="113">
        <f>CHOOSE('Valuation Dashboard'!$B$148,B16,C16,D16,F16)</f>
        <v>0.81953990050277248</v>
      </c>
      <c r="F16" s="123">
        <v>0.81953990050277203</v>
      </c>
    </row>
    <row r="17" spans="1:8" x14ac:dyDescent="0.25">
      <c r="A17" t="s">
        <v>318</v>
      </c>
      <c r="B17" s="134">
        <f t="shared" si="0"/>
        <v>5.1698123868453627E-2</v>
      </c>
      <c r="C17" s="134">
        <f t="shared" si="1"/>
        <v>4.8991446597015924E-2</v>
      </c>
      <c r="D17" s="134">
        <f t="shared" si="2"/>
        <v>4.7279299847792999E-2</v>
      </c>
      <c r="E17" s="113">
        <f>CHOOSE('Valuation Dashboard'!$B$148,B17,C17,D17,F17)</f>
        <v>5.1698123868453627E-2</v>
      </c>
      <c r="F17" s="123">
        <v>5.1698123868453599E-2</v>
      </c>
    </row>
    <row r="18" spans="1:8" x14ac:dyDescent="0.25">
      <c r="A18" t="s">
        <v>319</v>
      </c>
      <c r="B18" s="134">
        <f t="shared" si="0"/>
        <v>5.4613651538443719E-2</v>
      </c>
      <c r="C18" s="134">
        <f t="shared" si="1"/>
        <v>7.1941214004383233E-2</v>
      </c>
      <c r="D18" s="134">
        <f t="shared" si="2"/>
        <v>6.1522562139475045E-2</v>
      </c>
      <c r="E18" s="113">
        <f>CHOOSE('Valuation Dashboard'!$B$148,B18,C18,D18,F18)</f>
        <v>5.4613651538443719E-2</v>
      </c>
      <c r="F18" s="123">
        <v>5.4613651538443699E-2</v>
      </c>
    </row>
    <row r="19" spans="1:8" x14ac:dyDescent="0.25">
      <c r="A19" t="s">
        <v>508</v>
      </c>
      <c r="B19" s="134">
        <f t="shared" si="0"/>
        <v>4.0704089827139399E-3</v>
      </c>
      <c r="C19" s="134">
        <f t="shared" si="1"/>
        <v>2.1170426045352716E-3</v>
      </c>
      <c r="D19" s="134">
        <f t="shared" si="2"/>
        <v>4.475547237366751E-4</v>
      </c>
      <c r="E19" s="113">
        <f>CHOOSE('Valuation Dashboard'!$B$148,B19,C19,D19,F19)</f>
        <v>4.0704089827139399E-3</v>
      </c>
      <c r="F19" s="123">
        <v>4.0704089827139399E-3</v>
      </c>
    </row>
    <row r="20" spans="1:8" x14ac:dyDescent="0.25">
      <c r="A20" t="s">
        <v>509</v>
      </c>
      <c r="B20" s="134">
        <f t="shared" si="0"/>
        <v>0.11963853731173357</v>
      </c>
      <c r="C20" s="134">
        <f t="shared" si="1"/>
        <v>0.10785406416821051</v>
      </c>
      <c r="D20" s="134">
        <f t="shared" si="2"/>
        <v>0.10342840679919331</v>
      </c>
      <c r="E20" s="113">
        <f>CHOOSE('Valuation Dashboard'!$B$148,B20,C20,D20,F20)</f>
        <v>0.11963853731173357</v>
      </c>
      <c r="F20" s="123">
        <v>0.119638537311734</v>
      </c>
    </row>
    <row r="21" spans="1:8" x14ac:dyDescent="0.25">
      <c r="A21" t="s">
        <v>510</v>
      </c>
      <c r="B21" s="134">
        <f t="shared" si="0"/>
        <v>2.7447022447316258E-2</v>
      </c>
      <c r="C21" s="134">
        <f t="shared" si="1"/>
        <v>3.7231424051575028E-2</v>
      </c>
      <c r="D21" s="134">
        <f t="shared" si="2"/>
        <v>4.0353390639923589E-2</v>
      </c>
      <c r="E21" s="113">
        <f>CHOOSE('Valuation Dashboard'!$B$148,B21,C21,D21,F21)</f>
        <v>2.7447022447316258E-2</v>
      </c>
      <c r="F21" s="123">
        <v>2.74470224473163E-2</v>
      </c>
    </row>
    <row r="23" spans="1:8" x14ac:dyDescent="0.25">
      <c r="A23" s="24" t="s">
        <v>513</v>
      </c>
      <c r="B23" s="24"/>
      <c r="C23" s="24"/>
      <c r="D23" s="24"/>
      <c r="E23" s="24"/>
      <c r="F23" s="24"/>
      <c r="G23" s="24"/>
      <c r="H23" s="24"/>
    </row>
    <row r="24" spans="1:8" x14ac:dyDescent="0.25">
      <c r="A24" s="9" t="s">
        <v>514</v>
      </c>
      <c r="B24" s="167">
        <f>EDATE('TSLA - Income Statement FY'!B5,12)</f>
        <v>46387</v>
      </c>
      <c r="C24" s="168">
        <f>EDATE(B24,12)</f>
        <v>46752</v>
      </c>
      <c r="D24" s="168">
        <f>EDATE(C24,12)</f>
        <v>47118</v>
      </c>
      <c r="E24" s="168">
        <f>EDATE(D24,12)</f>
        <v>47483</v>
      </c>
      <c r="F24" s="168">
        <f>EDATE(E24,12)</f>
        <v>47848</v>
      </c>
    </row>
    <row r="25" spans="1:8" x14ac:dyDescent="0.25">
      <c r="A25" t="s">
        <v>515</v>
      </c>
      <c r="B25" s="109">
        <f>'TSLA Rev Drivers &amp; Forecast'!B39</f>
        <v>100959.936225</v>
      </c>
      <c r="C25" s="109">
        <f>'TSLA Rev Drivers &amp; Forecast'!C39</f>
        <v>107426.42014021124</v>
      </c>
      <c r="D25" s="109">
        <f>'TSLA Rev Drivers &amp; Forecast'!D39</f>
        <v>114239.94083760414</v>
      </c>
      <c r="E25" s="109">
        <f>'TSLA Rev Drivers &amp; Forecast'!E39</f>
        <v>121414.20912220568</v>
      </c>
      <c r="F25" s="109">
        <f>'TSLA Rev Drivers &amp; Forecast'!F39</f>
        <v>128963.13757437884</v>
      </c>
    </row>
    <row r="26" spans="1:8" x14ac:dyDescent="0.25">
      <c r="A26" t="s">
        <v>516</v>
      </c>
      <c r="B26" s="119">
        <f>B25*B77</f>
        <v>82758.413206360274</v>
      </c>
      <c r="C26" s="119">
        <f>C25*C77</f>
        <v>88056.994916766533</v>
      </c>
      <c r="D26" s="119">
        <f>D25*D77</f>
        <v>93639.782310378738</v>
      </c>
      <c r="E26" s="119">
        <f>E25*E77</f>
        <v>99517.993242922632</v>
      </c>
      <c r="F26" s="119">
        <f>F25*F77</f>
        <v>105703.00988337309</v>
      </c>
    </row>
    <row r="27" spans="1:8" x14ac:dyDescent="0.25">
      <c r="A27" s="9" t="s">
        <v>517</v>
      </c>
      <c r="B27" s="147">
        <f>B25-B26</f>
        <v>18201.523018639724</v>
      </c>
      <c r="C27" s="147">
        <f>C25-C26</f>
        <v>19369.425223444705</v>
      </c>
      <c r="D27" s="147">
        <f>D25-D26</f>
        <v>20600.158527225401</v>
      </c>
      <c r="E27" s="147">
        <f>E25-E26</f>
        <v>21896.215879283045</v>
      </c>
      <c r="F27" s="147">
        <f>F25-F26</f>
        <v>23260.12769100575</v>
      </c>
    </row>
    <row r="28" spans="1:8" x14ac:dyDescent="0.25">
      <c r="A28" t="s">
        <v>518</v>
      </c>
      <c r="B28" s="119">
        <f>B25*B78</f>
        <v>6665.0122113711232</v>
      </c>
      <c r="C28" s="119">
        <f>C25*C78</f>
        <v>6920.9993692476355</v>
      </c>
      <c r="D28" s="119">
        <f>D25*D78</f>
        <v>7178.2171114803059</v>
      </c>
      <c r="E28" s="119">
        <f>E25*E78</f>
        <v>7435.8488141539619</v>
      </c>
      <c r="F28" s="119">
        <f>F25*F78</f>
        <v>7693.0026386090985</v>
      </c>
    </row>
    <row r="29" spans="1:8" x14ac:dyDescent="0.25">
      <c r="A29" t="s">
        <v>519</v>
      </c>
      <c r="B29" s="119">
        <f>B25*B79</f>
        <v>6141.5616326335658</v>
      </c>
      <c r="C29" s="119">
        <f>C25*C79</f>
        <v>6460.708701909989</v>
      </c>
      <c r="D29" s="119">
        <f>D25*D79</f>
        <v>6791.551797497219</v>
      </c>
      <c r="E29" s="119">
        <f>E25*E79</f>
        <v>7134.1772587280202</v>
      </c>
      <c r="F29" s="119">
        <f>F25*F79</f>
        <v>7488.6452509564479</v>
      </c>
    </row>
    <row r="30" spans="1:8" x14ac:dyDescent="0.25">
      <c r="A30" t="s">
        <v>520</v>
      </c>
      <c r="B30" s="119">
        <f>B25*B80</f>
        <v>514.44932813044659</v>
      </c>
      <c r="C30" s="119">
        <f>C25*C80</f>
        <v>535.16310292190349</v>
      </c>
      <c r="D30" s="119">
        <f>D25*D80</f>
        <v>556.09300505539613</v>
      </c>
      <c r="E30" s="119">
        <f>E25*E80</f>
        <v>577.18562315391216</v>
      </c>
      <c r="F30" s="119">
        <f>F25*F80</f>
        <v>598.38223499820981</v>
      </c>
    </row>
    <row r="31" spans="1:8" x14ac:dyDescent="0.25">
      <c r="A31" s="9" t="s">
        <v>521</v>
      </c>
      <c r="B31" s="147">
        <f>SUM(B28:B30)</f>
        <v>13321.023172135134</v>
      </c>
      <c r="C31" s="147">
        <f>SUM(C28:C30)</f>
        <v>13916.871174079528</v>
      </c>
      <c r="D31" s="147">
        <f>SUM(D28:D30)</f>
        <v>14525.861914032921</v>
      </c>
      <c r="E31" s="147">
        <f>SUM(E28:E30)</f>
        <v>15147.211696035893</v>
      </c>
      <c r="F31" s="147">
        <f>SUM(F28:F30)</f>
        <v>15780.030124563755</v>
      </c>
    </row>
    <row r="32" spans="1:8" x14ac:dyDescent="0.25">
      <c r="A32" s="9" t="s">
        <v>522</v>
      </c>
      <c r="B32" s="147">
        <f>B27-B31+B25*IF('Valuation Dashboard'!$B$151="Yes",'TSLA - Reconciliation FY'!$B$152,0)</f>
        <v>5230.03264900459</v>
      </c>
      <c r="C32" s="147">
        <f>C27-C31+C25*IF('Valuation Dashboard'!$B$151="Yes",'TSLA - Reconciliation FY'!$B$152,0)</f>
        <v>5824.4744278653015</v>
      </c>
      <c r="D32" s="147">
        <f>D27-D31+D25*IF('Valuation Dashboard'!$B$151="Yes",'TSLA - Reconciliation FY'!$B$152,0)</f>
        <v>6469.8060416989756</v>
      </c>
      <c r="E32" s="147">
        <f>E27-E31+E25*IF('Valuation Dashboard'!$B$151="Yes",'TSLA - Reconciliation FY'!$B$152,0)</f>
        <v>7169.3516038638554</v>
      </c>
      <c r="F32" s="147">
        <f>F27-F31+F25*IF('Valuation Dashboard'!$B$151="Yes",'TSLA - Reconciliation FY'!$B$152,0)</f>
        <v>7926.580087935542</v>
      </c>
    </row>
    <row r="33" spans="1:8" x14ac:dyDescent="0.25">
      <c r="A33" t="s">
        <v>320</v>
      </c>
      <c r="B33" s="134">
        <f>B32/B25</f>
        <v>5.1803050245088349E-2</v>
      </c>
      <c r="C33" s="134">
        <f>C32/C25</f>
        <v>5.4218267910848106E-2</v>
      </c>
      <c r="D33" s="134">
        <f>D32/D25</f>
        <v>5.6633485576607738E-2</v>
      </c>
      <c r="E33" s="134">
        <f>E32/E25</f>
        <v>5.9048703242367363E-2</v>
      </c>
      <c r="F33" s="134">
        <f>F32/F25</f>
        <v>6.1463920908127155E-2</v>
      </c>
    </row>
    <row r="35" spans="1:8" x14ac:dyDescent="0.25">
      <c r="A35" t="s">
        <v>545</v>
      </c>
      <c r="B35" s="119">
        <f>B61</f>
        <v>43730.358394529903</v>
      </c>
      <c r="C35" s="119">
        <f>C61</f>
        <v>47019.444589497827</v>
      </c>
      <c r="D35" s="119">
        <f>D61</f>
        <v>50520.770943606731</v>
      </c>
      <c r="E35" s="119">
        <f>E61</f>
        <v>54245.194055373286</v>
      </c>
      <c r="F35" s="119">
        <f>F61</f>
        <v>58203.910802229577</v>
      </c>
    </row>
    <row r="36" spans="1:8" x14ac:dyDescent="0.25">
      <c r="A36" t="s">
        <v>266</v>
      </c>
      <c r="B36" s="119">
        <f>B35*B81</f>
        <v>6476.7012914531188</v>
      </c>
      <c r="C36" s="119">
        <f>C35*C81</f>
        <v>6815.110973314655</v>
      </c>
      <c r="D36" s="119">
        <f>D35*D81</f>
        <v>7162.8052972068199</v>
      </c>
      <c r="E36" s="119">
        <f>E35*E81</f>
        <v>7519.2752304250789</v>
      </c>
      <c r="F36" s="119">
        <f>F35*F81</f>
        <v>7883.9204752984897</v>
      </c>
    </row>
    <row r="37" spans="1:8" x14ac:dyDescent="0.25">
      <c r="A37" s="9" t="s">
        <v>406</v>
      </c>
      <c r="B37" s="147">
        <f>B32+B36</f>
        <v>11706.733940457709</v>
      </c>
      <c r="C37" s="147">
        <f>C32+C36</f>
        <v>12639.585401179957</v>
      </c>
      <c r="D37" s="147">
        <f>D32+D36</f>
        <v>13632.611338905795</v>
      </c>
      <c r="E37" s="147">
        <f>E32+E36</f>
        <v>14688.626834288934</v>
      </c>
      <c r="F37" s="147">
        <f>F32+F36</f>
        <v>15810.500563234033</v>
      </c>
    </row>
    <row r="39" spans="1:8" x14ac:dyDescent="0.25">
      <c r="A39" t="s">
        <v>261</v>
      </c>
      <c r="B39" s="119">
        <f>B32*$B$2</f>
        <v>1098.3068562909639</v>
      </c>
      <c r="C39" s="119">
        <f>C32*$B$2</f>
        <v>1223.1396298517134</v>
      </c>
      <c r="D39" s="119">
        <f>D32*$B$2</f>
        <v>1358.6592687567847</v>
      </c>
      <c r="E39" s="119">
        <f>E32*$B$2</f>
        <v>1505.5638368114096</v>
      </c>
      <c r="F39" s="119">
        <f>F32*$B$2</f>
        <v>1664.5818184664638</v>
      </c>
    </row>
    <row r="40" spans="1:8" x14ac:dyDescent="0.25">
      <c r="A40" s="9" t="s">
        <v>259</v>
      </c>
      <c r="B40" s="147">
        <f>B32-B39</f>
        <v>4131.7257927136261</v>
      </c>
      <c r="C40" s="147">
        <f>C32-C39</f>
        <v>4601.3347980135877</v>
      </c>
      <c r="D40" s="147">
        <f>D32-D39</f>
        <v>5111.1467729421911</v>
      </c>
      <c r="E40" s="147">
        <f>E32-E39</f>
        <v>5663.7877670524458</v>
      </c>
      <c r="F40" s="147">
        <f>F32-F39</f>
        <v>6261.998269469078</v>
      </c>
    </row>
    <row r="41" spans="1:8" x14ac:dyDescent="0.25">
      <c r="A41" t="s">
        <v>278</v>
      </c>
      <c r="B41" s="134">
        <f>B40/B25</f>
        <v>4.0924409693619795E-2</v>
      </c>
      <c r="C41" s="134">
        <f>C40/C25</f>
        <v>4.2832431649569999E-2</v>
      </c>
      <c r="D41" s="134">
        <f>D40/D25</f>
        <v>4.474045360552012E-2</v>
      </c>
      <c r="E41" s="134">
        <f>E40/E25</f>
        <v>4.6648475561470219E-2</v>
      </c>
      <c r="F41" s="134">
        <f>F40/F25</f>
        <v>4.8556497517420451E-2</v>
      </c>
    </row>
    <row r="43" spans="1:8" x14ac:dyDescent="0.25">
      <c r="A43" s="24" t="s">
        <v>532</v>
      </c>
      <c r="B43" s="24"/>
      <c r="C43" s="24"/>
      <c r="D43" s="24"/>
      <c r="E43" s="24"/>
      <c r="F43" s="24"/>
      <c r="G43" s="24"/>
      <c r="H43" s="24"/>
    </row>
    <row r="44" spans="1:8" x14ac:dyDescent="0.25">
      <c r="A44" s="9" t="s">
        <v>506</v>
      </c>
      <c r="B44" s="167">
        <f>'TSLA - Income Statement FY'!B5</f>
        <v>46022</v>
      </c>
      <c r="C44" s="167">
        <f>'TSLA - Income Statement FY'!C5</f>
        <v>45657</v>
      </c>
      <c r="D44" s="167">
        <f>'TSLA - Income Statement FY'!D5</f>
        <v>45291</v>
      </c>
      <c r="E44" s="167">
        <f>'TSLA - Income Statement FY'!E5</f>
        <v>44926</v>
      </c>
      <c r="F44" s="167">
        <f>'TSLA - Income Statement FY'!F5</f>
        <v>44561</v>
      </c>
      <c r="G44" s="167">
        <f>'TSLA - Income Statement FY'!G5</f>
        <v>44196</v>
      </c>
      <c r="H44" s="167">
        <f>'TSLA - Income Statement FY'!H5</f>
        <v>43830</v>
      </c>
    </row>
    <row r="45" spans="1:8" x14ac:dyDescent="0.25">
      <c r="A45" t="s">
        <v>533</v>
      </c>
      <c r="B45" s="113">
        <f>IFERROR('TSLA - Reconciliation FY'!B22/'TSLA - Income Statement FY'!B7,"")</f>
        <v>-2.7096291140708859E-2</v>
      </c>
      <c r="C45" s="113">
        <f>IFERROR('TSLA - Reconciliation FY'!C22/'TSLA - Income Statement FY'!C7,"")</f>
        <v>-9.0817893336063125E-3</v>
      </c>
      <c r="D45" s="113">
        <f>IFERROR('TSLA - Reconciliation FY'!D22/'TSLA - Income Statement FY'!D7,"")</f>
        <v>-2.2480857263906265E-2</v>
      </c>
      <c r="E45" s="113">
        <f>IFERROR('TSLA - Reconciliation FY'!E22/'TSLA - Income Statement FY'!E7,"")</f>
        <v>-4.1611548943065506E-2</v>
      </c>
      <c r="F45" s="113">
        <f>IFERROR('TSLA - Reconciliation FY'!F22/'TSLA - Income Statement FY'!F7,"")</f>
        <v>-0.11908552105977001</v>
      </c>
      <c r="G45" s="113">
        <f>IFERROR('TSLA - Reconciliation FY'!G22/'TSLA - Income Statement FY'!G7,"")</f>
        <v>-0.1016704718417047</v>
      </c>
      <c r="H45" s="113">
        <f>IFERROR('TSLA - Reconciliation FY'!H22/'TSLA - Income Statement FY'!H7,"")</f>
        <v>-6.9714378712669889E-2</v>
      </c>
    </row>
    <row r="46" spans="1:8" x14ac:dyDescent="0.25">
      <c r="A46" t="s">
        <v>534</v>
      </c>
      <c r="B46" s="113">
        <f>IFERROR('TSLA - Reconciliation FY'!B24/'TSLA - Income Statement FY'!B7,"")</f>
        <v>0.42860155862781696</v>
      </c>
      <c r="C46" s="113">
        <f>IFERROR('TSLA - Reconciliation FY'!C24/'TSLA - Income Statement FY'!C7,"")</f>
        <v>0.52724946258573036</v>
      </c>
      <c r="D46" s="113">
        <f>IFERROR('TSLA - Reconciliation FY'!D24/'TSLA - Income Statement FY'!D7,"")</f>
        <v>0.46627675074659253</v>
      </c>
      <c r="E46" s="113">
        <f>IFERROR('TSLA - Reconciliation FY'!E24/'TSLA - Income Statement FY'!E7,"")</f>
        <v>0.4497188873339717</v>
      </c>
      <c r="F46" s="113">
        <f>IFERROR('TSLA - Reconciliation FY'!F24/'TSLA - Income Statement FY'!F7,"")</f>
        <v>0.5792319268714119</v>
      </c>
      <c r="G46" s="113">
        <f>IFERROR('TSLA - Reconciliation FY'!G24/'TSLA - Income Statement FY'!G7,"")</f>
        <v>0.74131151699644848</v>
      </c>
      <c r="H46" s="113">
        <f>IFERROR('TSLA - Reconciliation FY'!H24/'TSLA - Income Statement FY'!H7,"")</f>
        <v>0.82171047278053544</v>
      </c>
    </row>
    <row r="47" spans="1:8" x14ac:dyDescent="0.25">
      <c r="A47" t="s">
        <v>535</v>
      </c>
      <c r="B47" s="113">
        <f>IFERROR(('TSLA - Reconciliation FY'!B25+'TSLA - Reconciliation FY'!B26)/'TSLA - Income Statement FY'!B7,"")</f>
        <v>4.1338437364885532E-3</v>
      </c>
      <c r="C47" s="113">
        <f>IFERROR(('TSLA - Reconciliation FY'!C25+'TSLA - Reconciliation FY'!C26)/'TSLA - Income Statement FY'!C7,"")</f>
        <v>1.5047599549595659E-2</v>
      </c>
      <c r="D47" s="113">
        <f>IFERROR(('TSLA - Reconciliation FY'!D25+'TSLA - Reconciliation FY'!D26)/'TSLA - Income Statement FY'!D7,"")</f>
        <v>6.3550783793000117E-3</v>
      </c>
      <c r="E47" s="113">
        <f>IFERROR(('TSLA - Reconciliation FY'!E25+'TSLA - Reconciliation FY'!E26)/'TSLA - Income Statement FY'!E7,"")</f>
        <v>7.2794677272838872E-3</v>
      </c>
      <c r="F47" s="113">
        <f>IFERROR(('TSLA - Reconciliation FY'!F25+'TSLA - Reconciliation FY'!F26)/'TSLA - Income Statement FY'!F7,"")</f>
        <v>3.1900860227040487E-2</v>
      </c>
      <c r="G47" s="113">
        <f>IFERROR(('TSLA - Reconciliation FY'!G25+'TSLA - Reconciliation FY'!G26)/'TSLA - Income Statement FY'!G7,"")</f>
        <v>1.6489091831557584E-2</v>
      </c>
      <c r="H47" s="113">
        <f>IFERROR(('TSLA - Reconciliation FY'!H25+'TSLA - Reconciliation FY'!H26)/'TSLA - Income Statement FY'!H7,"")</f>
        <v>2.1848807876963139E-2</v>
      </c>
    </row>
    <row r="48" spans="1:8" x14ac:dyDescent="0.25">
      <c r="A48" t="s">
        <v>536</v>
      </c>
      <c r="B48" s="113">
        <f>IFERROR(('TSLA - Reconciliation FY'!B27+'TSLA - Reconciliation FY'!B28+'TSLA - Reconciliation FY'!B29+'TSLA - Reconciliation FY'!B30)/'TSLA - Income Statement FY'!B7,"")</f>
        <v>0.10813375937233066</v>
      </c>
      <c r="C48" s="113">
        <f>IFERROR(('TSLA - Reconciliation FY'!C27+'TSLA - Reconciliation FY'!C28+'TSLA - Reconciliation FY'!C29+'TSLA - Reconciliation FY'!C30)/'TSLA - Income Statement FY'!C7,"")</f>
        <v>-1.7299621250895689E-3</v>
      </c>
      <c r="D48" s="113">
        <f>IFERROR(('TSLA - Reconciliation FY'!D27+'TSLA - Reconciliation FY'!D28+'TSLA - Reconciliation FY'!D29+'TSLA - Reconciliation FY'!D30)/'TSLA - Income Statement FY'!D7,"")</f>
        <v>6.6650822026805001E-3</v>
      </c>
      <c r="E48" s="113">
        <f>IFERROR(('TSLA - Reconciliation FY'!E27+'TSLA - Reconciliation FY'!E28+'TSLA - Reconciliation FY'!E29+'TSLA - Reconciliation FY'!E30)/'TSLA - Income Statement FY'!E7,"")</f>
        <v>-3.6826986815938721E-4</v>
      </c>
      <c r="F48" s="113">
        <f>IFERROR(('TSLA - Reconciliation FY'!F27+'TSLA - Reconciliation FY'!F28+'TSLA - Reconciliation FY'!F29+'TSLA - Reconciliation FY'!F30)/'TSLA - Income Statement FY'!F7,"")</f>
        <v>6.4470579492038717E-3</v>
      </c>
      <c r="G48" s="113">
        <f>IFERROR(('TSLA - Reconciliation FY'!G27+'TSLA - Reconciliation FY'!G28+'TSLA - Reconciliation FY'!G29+'TSLA - Reconciliation FY'!G30)/'TSLA - Income Statement FY'!G7,"")</f>
        <v>-2.822171486555048E-3</v>
      </c>
      <c r="H48" s="113">
        <f>IFERROR(('TSLA - Reconciliation FY'!H27+'TSLA - Reconciliation FY'!H28+'TSLA - Reconciliation FY'!H29+'TSLA - Reconciliation FY'!H30)/'TSLA - Income Statement FY'!H7,"")</f>
        <v>2.9091057042883881E-2</v>
      </c>
    </row>
    <row r="49" spans="1:8" x14ac:dyDescent="0.25">
      <c r="A49" t="s">
        <v>537</v>
      </c>
      <c r="B49" s="113">
        <f>IFERROR('TSLA - Reconciliation FY'!B32/'TSLA - Income Statement FY'!B7,"")</f>
        <v>0.51377287059592736</v>
      </c>
      <c r="C49" s="113">
        <f>IFERROR('TSLA - Reconciliation FY'!C32/'TSLA - Income Statement FY'!C7,"")</f>
        <v>0.53148531067663018</v>
      </c>
      <c r="D49" s="113">
        <f>IFERROR('TSLA - Reconciliation FY'!D32/'TSLA - Income Statement FY'!D7,"")</f>
        <v>0.4568160540646668</v>
      </c>
      <c r="E49" s="113">
        <f>IFERROR('TSLA - Reconciliation FY'!E32/'TSLA - Income Statement FY'!E7,"")</f>
        <v>0.41501853625003066</v>
      </c>
      <c r="F49" s="113">
        <f>IFERROR('TSLA - Reconciliation FY'!F32/'TSLA - Income Statement FY'!F7,"")</f>
        <v>0.49849432398788618</v>
      </c>
      <c r="G49" s="113">
        <f>IFERROR('TSLA - Reconciliation FY'!G32/'TSLA - Income Statement FY'!G7,"")</f>
        <v>0.65330796549974635</v>
      </c>
      <c r="H49" s="113">
        <f>IFERROR('TSLA - Reconciliation FY'!H32/'TSLA - Income Statement FY'!H7,"")</f>
        <v>0.80293595898771253</v>
      </c>
    </row>
    <row r="51" spans="1:8" x14ac:dyDescent="0.25">
      <c r="A51" s="24" t="s">
        <v>512</v>
      </c>
      <c r="B51" s="24"/>
      <c r="C51" s="24"/>
      <c r="D51" s="24"/>
      <c r="E51" s="24"/>
      <c r="F51" s="24"/>
      <c r="G51" s="24"/>
      <c r="H51" s="24"/>
    </row>
    <row r="52" spans="1:8" x14ac:dyDescent="0.25">
      <c r="A52" s="9" t="s">
        <v>506</v>
      </c>
      <c r="B52" s="9" t="s">
        <v>523</v>
      </c>
      <c r="C52" s="9" t="s">
        <v>524</v>
      </c>
      <c r="D52" s="9" t="s">
        <v>525</v>
      </c>
      <c r="E52" s="9" t="s">
        <v>1466</v>
      </c>
      <c r="F52" s="9" t="s">
        <v>1462</v>
      </c>
    </row>
    <row r="53" spans="1:8" x14ac:dyDescent="0.25">
      <c r="A53" t="s">
        <v>533</v>
      </c>
      <c r="B53" s="134">
        <f>IFERROR(AVERAGE(B45:D45),"")</f>
        <v>-1.9552979246073812E-2</v>
      </c>
      <c r="C53" s="134">
        <f>IFERROR(AVERAGE(B45:H45),"")</f>
        <v>-5.5820122613633075E-2</v>
      </c>
      <c r="D53" s="134">
        <f>IFERROR(MEDIAN(B45:H45),"")</f>
        <v>-4.1611548943065506E-2</v>
      </c>
      <c r="E53" s="113">
        <f>CHOOSE('Valuation Dashboard'!$B$148,B53,C53,D53,F53)</f>
        <v>-1.9552979246073812E-2</v>
      </c>
      <c r="F53" s="123">
        <v>-1.9552979246073798E-2</v>
      </c>
    </row>
    <row r="54" spans="1:8" x14ac:dyDescent="0.25">
      <c r="A54" t="s">
        <v>534</v>
      </c>
      <c r="B54" s="134">
        <f>IFERROR(AVERAGE(B46:D46),"")</f>
        <v>0.47404259065338</v>
      </c>
      <c r="C54" s="134">
        <f>IFERROR(AVERAGE(B46:H46),"")</f>
        <v>0.57344293942035818</v>
      </c>
      <c r="D54" s="134">
        <f>IFERROR(MEDIAN(B46:H46),"")</f>
        <v>0.52724946258573036</v>
      </c>
      <c r="E54" s="113">
        <f>CHOOSE('Valuation Dashboard'!$B$148,B54,C54,D54,F54)</f>
        <v>0.47404259065338</v>
      </c>
      <c r="F54" s="123">
        <v>0.47404259065338</v>
      </c>
    </row>
    <row r="55" spans="1:8" x14ac:dyDescent="0.25">
      <c r="A55" t="s">
        <v>535</v>
      </c>
      <c r="B55" s="134">
        <f>IFERROR(AVERAGE(B47:D47),"")</f>
        <v>8.5121738884614082E-3</v>
      </c>
      <c r="C55" s="134">
        <f>IFERROR(AVERAGE(B47:H47),"")</f>
        <v>1.4722107046889903E-2</v>
      </c>
      <c r="D55" s="134">
        <f>IFERROR(MEDIAN(B47:H47),"")</f>
        <v>1.5047599549595659E-2</v>
      </c>
      <c r="E55" s="113">
        <f>CHOOSE('Valuation Dashboard'!$B$148,B55,C55,D55,F55)</f>
        <v>8.5121738884614082E-3</v>
      </c>
      <c r="F55" s="123">
        <v>8.51217388846141E-3</v>
      </c>
    </row>
    <row r="56" spans="1:8" x14ac:dyDescent="0.25">
      <c r="A56" t="s">
        <v>536</v>
      </c>
      <c r="B56" s="134">
        <f>IFERROR(AVERAGE(B48:D48),"")</f>
        <v>3.7689626483307197E-2</v>
      </c>
      <c r="C56" s="134">
        <f>IFERROR(AVERAGE(B48:H48),"")</f>
        <v>2.0773793298184989E-2</v>
      </c>
      <c r="D56" s="134">
        <f>IFERROR(MEDIAN(B48:H48),"")</f>
        <v>6.4470579492038717E-3</v>
      </c>
      <c r="E56" s="113">
        <f>CHOOSE('Valuation Dashboard'!$B$148,B56,C56,D56,F56)</f>
        <v>3.7689626483307197E-2</v>
      </c>
      <c r="F56" s="123">
        <v>3.7689626483307197E-2</v>
      </c>
    </row>
    <row r="58" spans="1:8" x14ac:dyDescent="0.25">
      <c r="A58" s="24" t="s">
        <v>538</v>
      </c>
      <c r="B58" s="24"/>
      <c r="C58" s="24"/>
      <c r="D58" s="24"/>
      <c r="E58" s="24"/>
      <c r="F58" s="24"/>
      <c r="G58" s="24"/>
      <c r="H58" s="24"/>
    </row>
    <row r="59" spans="1:8" x14ac:dyDescent="0.25">
      <c r="A59" s="9" t="s">
        <v>514</v>
      </c>
      <c r="B59" s="168">
        <f>B24</f>
        <v>46387</v>
      </c>
      <c r="C59" s="168">
        <f>C24</f>
        <v>46752</v>
      </c>
      <c r="D59" s="168">
        <f>D24</f>
        <v>47118</v>
      </c>
      <c r="E59" s="168">
        <f>E24</f>
        <v>47483</v>
      </c>
      <c r="F59" s="168">
        <f>F24</f>
        <v>47848</v>
      </c>
    </row>
    <row r="60" spans="1:8" x14ac:dyDescent="0.25">
      <c r="A60" t="s">
        <v>235</v>
      </c>
      <c r="B60" s="119">
        <f>B25*B82</f>
        <v>-2659.4825967192351</v>
      </c>
      <c r="C60" s="119">
        <f>C25*C82</f>
        <v>-2748.7873577549303</v>
      </c>
      <c r="D60" s="119">
        <f>D25*D82</f>
        <v>-2836.9544454642664</v>
      </c>
      <c r="E60" s="119">
        <f>E25*E82</f>
        <v>-2923.5286598544976</v>
      </c>
      <c r="F60" s="119">
        <f>F25*F82</f>
        <v>-3008.0181373175251</v>
      </c>
    </row>
    <row r="61" spans="1:8" x14ac:dyDescent="0.25">
      <c r="A61" t="s">
        <v>236</v>
      </c>
      <c r="B61" s="119">
        <f>B25*B83</f>
        <v>43730.358394529903</v>
      </c>
      <c r="C61" s="119">
        <f>C25*C83</f>
        <v>47019.444589497827</v>
      </c>
      <c r="D61" s="119">
        <f>D25*D83</f>
        <v>50520.770943606731</v>
      </c>
      <c r="E61" s="119">
        <f>E25*E83</f>
        <v>54245.194055373286</v>
      </c>
      <c r="F61" s="119">
        <f>F25*F83</f>
        <v>58203.910802229577</v>
      </c>
    </row>
    <row r="62" spans="1:8" x14ac:dyDescent="0.25">
      <c r="A62" t="s">
        <v>539</v>
      </c>
      <c r="B62" s="119">
        <f>B25*B84</f>
        <v>461.55619329151745</v>
      </c>
      <c r="C62" s="119">
        <f>C25*C84</f>
        <v>538.15370091367822</v>
      </c>
      <c r="D62" s="119">
        <f>D25*D84</f>
        <v>622.30411714701597</v>
      </c>
      <c r="E62" s="119">
        <f>E25*E84</f>
        <v>714.5439649716177</v>
      </c>
      <c r="F62" s="119">
        <f>F25*F84</f>
        <v>815.4350553672208</v>
      </c>
    </row>
    <row r="63" spans="1:8" x14ac:dyDescent="0.25">
      <c r="A63" t="s">
        <v>540</v>
      </c>
      <c r="B63" s="119">
        <f>B25*B85</f>
        <v>10205.973933609876</v>
      </c>
      <c r="C63" s="119">
        <f>C25*C85</f>
        <v>10102.910462442676</v>
      </c>
      <c r="D63" s="119">
        <f>D25*D85</f>
        <v>9938.9342011632671</v>
      </c>
      <c r="E63" s="119">
        <f>E25*E85</f>
        <v>9707.8074007942869</v>
      </c>
      <c r="F63" s="119">
        <f>F25*F85</f>
        <v>9402.9206858311773</v>
      </c>
    </row>
    <row r="64" spans="1:8" x14ac:dyDescent="0.25">
      <c r="A64" s="9" t="s">
        <v>541</v>
      </c>
      <c r="B64" s="147">
        <f>SUM(B60:B63)</f>
        <v>51738.40592471206</v>
      </c>
      <c r="C64" s="147">
        <f>SUM(C60:C63)</f>
        <v>54911.721395099252</v>
      </c>
      <c r="D64" s="147">
        <f>SUM(D60:D63)</f>
        <v>58245.05481645275</v>
      </c>
      <c r="E64" s="147">
        <f>SUM(E60:E63)</f>
        <v>61744.016761284693</v>
      </c>
      <c r="F64" s="147">
        <f>SUM(F60:F63)</f>
        <v>65414.248406110448</v>
      </c>
    </row>
    <row r="66" spans="1:8" x14ac:dyDescent="0.25">
      <c r="A66" s="24" t="s">
        <v>542</v>
      </c>
      <c r="B66" s="24"/>
      <c r="C66" s="24"/>
      <c r="D66" s="24"/>
      <c r="E66" s="24"/>
      <c r="F66" s="24"/>
      <c r="G66" s="24"/>
      <c r="H66" s="24"/>
    </row>
    <row r="67" spans="1:8" x14ac:dyDescent="0.25">
      <c r="A67" t="s">
        <v>259</v>
      </c>
      <c r="B67" s="119">
        <f>B40</f>
        <v>4131.7257927136261</v>
      </c>
      <c r="C67" s="119">
        <f>C40</f>
        <v>4601.3347980135877</v>
      </c>
      <c r="D67" s="119">
        <f>D40</f>
        <v>5111.1467729421911</v>
      </c>
      <c r="E67" s="119">
        <f>E40</f>
        <v>5663.7877670524458</v>
      </c>
      <c r="F67" s="119">
        <f>F40</f>
        <v>6261.998269469078</v>
      </c>
    </row>
    <row r="68" spans="1:8" x14ac:dyDescent="0.25">
      <c r="A68" t="s">
        <v>266</v>
      </c>
      <c r="B68" s="119">
        <f>B36</f>
        <v>6476.7012914531188</v>
      </c>
      <c r="C68" s="119">
        <f>C36</f>
        <v>6815.110973314655</v>
      </c>
      <c r="D68" s="119">
        <f>D36</f>
        <v>7162.8052972068199</v>
      </c>
      <c r="E68" s="119">
        <f>E36</f>
        <v>7519.2752304250789</v>
      </c>
      <c r="F68" s="119">
        <f>F36</f>
        <v>7883.9204752984897</v>
      </c>
    </row>
    <row r="69" spans="1:8" x14ac:dyDescent="0.25">
      <c r="A69" s="9" t="s">
        <v>267</v>
      </c>
      <c r="B69" s="147">
        <f>B67+B68</f>
        <v>10608.427084166746</v>
      </c>
      <c r="C69" s="147">
        <f>C67+C68</f>
        <v>11416.445771328243</v>
      </c>
      <c r="D69" s="147">
        <f>D67+D68</f>
        <v>12273.952070149011</v>
      </c>
      <c r="E69" s="147">
        <f>E67+E68</f>
        <v>13183.062997477526</v>
      </c>
      <c r="F69" s="147">
        <f>F67+F68</f>
        <v>14145.918744767569</v>
      </c>
    </row>
    <row r="70" spans="1:8" x14ac:dyDescent="0.25">
      <c r="A70" t="s">
        <v>543</v>
      </c>
      <c r="B70" s="109">
        <f>-(B60-'TSLA - Reconciliation FY'!$B$22)</f>
        <v>90.022596719235935</v>
      </c>
      <c r="C70" s="119">
        <f>-(C60-B60)</f>
        <v>89.304761035695265</v>
      </c>
      <c r="D70" s="119">
        <f>-(D60-C60)</f>
        <v>88.167087709336101</v>
      </c>
      <c r="E70" s="119">
        <f>-(E60-D60)</f>
        <v>86.574214390231191</v>
      </c>
      <c r="F70" s="119">
        <f>-(F60-E60)</f>
        <v>84.48947746302747</v>
      </c>
    </row>
    <row r="71" spans="1:8" x14ac:dyDescent="0.25">
      <c r="A71" t="s">
        <v>269</v>
      </c>
      <c r="B71" s="109">
        <f>-((B61-'TSLA - Reconciliation FY'!$B$24)+B68)</f>
        <v>-9564.0596859830221</v>
      </c>
      <c r="C71" s="119">
        <f>-((C61-B61)+C68)</f>
        <v>-10104.197168282579</v>
      </c>
      <c r="D71" s="119">
        <f>-((D61-C61)+D68)</f>
        <v>-10664.131651315724</v>
      </c>
      <c r="E71" s="119">
        <f>-((E61-D61)+E68)</f>
        <v>-11243.698342191634</v>
      </c>
      <c r="F71" s="119">
        <f>-((F61-E61)+F68)</f>
        <v>-11842.637222154781</v>
      </c>
    </row>
    <row r="72" spans="1:8" x14ac:dyDescent="0.25">
      <c r="A72" t="s">
        <v>544</v>
      </c>
      <c r="B72" s="109">
        <f>-((B62+B63)-('TSLA - Reconciliation FY'!$B$25+'TSLA - Reconciliation FY'!$B$26+'TSLA - Reconciliation FY'!$B$27+'TSLA - Reconciliation FY'!$B$28+'TSLA - Reconciliation FY'!$B$29+'TSLA - Reconciliation FY'!$B$30))</f>
        <v>-21.530126901392578</v>
      </c>
      <c r="C72" s="119">
        <f>-((C62+C63)-(B62+B63))</f>
        <v>26.465963545038903</v>
      </c>
      <c r="D72" s="119">
        <f>-((D62+D63)-(C62+C63))</f>
        <v>79.825845046070754</v>
      </c>
      <c r="E72" s="119">
        <f>-((E62+E63)-(D62+D63))</f>
        <v>138.8869525443788</v>
      </c>
      <c r="F72" s="119">
        <f>-((F62+F63)-(E62+E63))</f>
        <v>203.99562456750573</v>
      </c>
    </row>
    <row r="73" spans="1:8" x14ac:dyDescent="0.25">
      <c r="A73" s="9" t="s">
        <v>270</v>
      </c>
      <c r="B73" s="147">
        <f>B69+B70+B71+B72</f>
        <v>1112.8598680015675</v>
      </c>
      <c r="C73" s="147">
        <f>C69+C70+C71+C72</f>
        <v>1428.0193276263981</v>
      </c>
      <c r="D73" s="147">
        <f>D69+D70+D71+D72</f>
        <v>1777.8133515886948</v>
      </c>
      <c r="E73" s="147">
        <f>E69+E70+E71+E72</f>
        <v>2164.8258222205022</v>
      </c>
      <c r="F73" s="147">
        <f>F69+F70+F71+F72</f>
        <v>2591.76662464332</v>
      </c>
    </row>
    <row r="75" spans="1:8" x14ac:dyDescent="0.25">
      <c r="A75" s="24" t="s">
        <v>552</v>
      </c>
      <c r="B75" s="24"/>
      <c r="C75" s="24"/>
      <c r="D75" s="24"/>
      <c r="E75" s="24"/>
      <c r="F75" s="24"/>
      <c r="G75" s="24"/>
      <c r="H75" s="24"/>
    </row>
    <row r="76" spans="1:8" x14ac:dyDescent="0.25">
      <c r="A76" s="9" t="s">
        <v>506</v>
      </c>
      <c r="B76" s="168">
        <f>B24</f>
        <v>46387</v>
      </c>
      <c r="C76" s="168">
        <f>C24</f>
        <v>46752</v>
      </c>
      <c r="D76" s="168">
        <f>D24</f>
        <v>47118</v>
      </c>
      <c r="E76" s="168">
        <f>E24</f>
        <v>47483</v>
      </c>
      <c r="F76" s="168">
        <f>F24</f>
        <v>47848</v>
      </c>
    </row>
    <row r="77" spans="1:8" x14ac:dyDescent="0.25">
      <c r="A77" t="s">
        <v>507</v>
      </c>
      <c r="B77" s="134">
        <f>$B$6+($E$16-$B$6)*MIN(1/$B$3,1)</f>
        <v>0.81971538712073189</v>
      </c>
      <c r="C77" s="134">
        <f>$B$6+($E$16-$B$6)*MIN(2/$B$3,1)</f>
        <v>0.81969588860762521</v>
      </c>
      <c r="D77" s="134">
        <f>$B$6+($E$16-$B$6)*MIN(3/$B$3,1)</f>
        <v>0.81967639009451865</v>
      </c>
      <c r="E77" s="134">
        <f>$B$6+($E$16-$B$6)*MIN(4/$B$3,1)</f>
        <v>0.81965689158141208</v>
      </c>
      <c r="F77" s="134">
        <f>$B$6+($E$16-$B$6)*MIN(5/$B$3,1)</f>
        <v>0.81963739306830541</v>
      </c>
    </row>
    <row r="78" spans="1:8" x14ac:dyDescent="0.25">
      <c r="A78" t="s">
        <v>318</v>
      </c>
      <c r="B78" s="134">
        <f>$B$7+($E$17-$B$7)*MIN(1/$B$3,1)</f>
        <v>6.6016406711246645E-2</v>
      </c>
      <c r="C78" s="134">
        <f>$B$7+($E$17-$B$7)*MIN(2/$B$3,1)</f>
        <v>6.4425486395380746E-2</v>
      </c>
      <c r="D78" s="134">
        <f>$B$7+($E$17-$B$7)*MIN(3/$B$3,1)</f>
        <v>6.2834566079514861E-2</v>
      </c>
      <c r="E78" s="134">
        <f>$B$7+($E$17-$B$7)*MIN(4/$B$3,1)</f>
        <v>6.124364576364897E-2</v>
      </c>
      <c r="F78" s="134">
        <f>$B$7+($E$17-$B$7)*MIN(5/$B$3,1)</f>
        <v>5.9652725447783078E-2</v>
      </c>
    </row>
    <row r="79" spans="1:8" x14ac:dyDescent="0.25">
      <c r="A79" t="s">
        <v>319</v>
      </c>
      <c r="B79" s="134">
        <f>$B$8+($E$18-$B$8)*MIN(1/$B$3,1)</f>
        <v>6.0831671079371916E-2</v>
      </c>
      <c r="C79" s="134">
        <f>$B$8+($E$18-$B$8)*MIN(2/$B$3,1)</f>
        <v>6.0140780019268779E-2</v>
      </c>
      <c r="D79" s="134">
        <f>$B$8+($E$18-$B$8)*MIN(3/$B$3,1)</f>
        <v>5.9449888959165649E-2</v>
      </c>
      <c r="E79" s="134">
        <f>$B$8+($E$18-$B$8)*MIN(4/$B$3,1)</f>
        <v>5.8758997899062512E-2</v>
      </c>
      <c r="F79" s="134">
        <f>$B$8+($E$18-$B$8)*MIN(5/$B$3,1)</f>
        <v>5.8068106838959382E-2</v>
      </c>
    </row>
    <row r="80" spans="1:8" x14ac:dyDescent="0.25">
      <c r="A80" t="s">
        <v>508</v>
      </c>
      <c r="B80" s="134">
        <f>$B$9+($E$19-$B$9)*MIN(1/$B$3,1)</f>
        <v>5.0955789728704005E-3</v>
      </c>
      <c r="C80" s="134">
        <f>$B$9+($E$19-$B$9)*MIN(2/$B$3,1)</f>
        <v>4.9816711961863493E-3</v>
      </c>
      <c r="D80" s="134">
        <f>$B$9+($E$19-$B$9)*MIN(3/$B$3,1)</f>
        <v>4.8677634195022981E-3</v>
      </c>
      <c r="E80" s="134">
        <f>$B$9+($E$19-$B$9)*MIN(4/$B$3,1)</f>
        <v>4.753855642818247E-3</v>
      </c>
      <c r="F80" s="134">
        <f>$B$9+($E$19-$B$9)*MIN(5/$B$3,1)</f>
        <v>4.6399478661341958E-3</v>
      </c>
    </row>
    <row r="81" spans="1:8" x14ac:dyDescent="0.25">
      <c r="A81" t="s">
        <v>509</v>
      </c>
      <c r="B81" s="134">
        <f>$B$10+($E$20-$B$10)*MIN(1/$B$3,1)</f>
        <v>0.14810537871702578</v>
      </c>
      <c r="C81" s="134">
        <f>$B$10+($E$20-$B$10)*MIN(2/$B$3,1)</f>
        <v>0.14494239633865996</v>
      </c>
      <c r="D81" s="134">
        <f>$B$10+($E$20-$B$10)*MIN(3/$B$3,1)</f>
        <v>0.14177941396029417</v>
      </c>
      <c r="E81" s="134">
        <f>$B$10+($E$20-$B$10)*MIN(4/$B$3,1)</f>
        <v>0.13861643158192838</v>
      </c>
      <c r="F81" s="134">
        <f>$B$10+($E$20-$B$10)*MIN(5/$B$3,1)</f>
        <v>0.13545344920356256</v>
      </c>
    </row>
    <row r="82" spans="1:8" x14ac:dyDescent="0.25">
      <c r="A82" t="s">
        <v>533</v>
      </c>
      <c r="B82" s="134">
        <f>$B$45+($E$53-$B$45)*MIN(1/$B$3,1)</f>
        <v>-2.6341959951245355E-2</v>
      </c>
      <c r="C82" s="134">
        <f>$B$45+($E$53-$B$45)*MIN(2/$B$3,1)</f>
        <v>-2.5587628761781851E-2</v>
      </c>
      <c r="D82" s="134">
        <f>$B$45+($E$53-$B$45)*MIN(3/$B$3,1)</f>
        <v>-2.4833297572318346E-2</v>
      </c>
      <c r="E82" s="134">
        <f>$B$45+($E$53-$B$45)*MIN(4/$B$3,1)</f>
        <v>-2.4078966382854838E-2</v>
      </c>
      <c r="F82" s="134">
        <f>$B$45+($E$53-$B$45)*MIN(5/$B$3,1)</f>
        <v>-2.3324635193391334E-2</v>
      </c>
    </row>
    <row r="83" spans="1:8" x14ac:dyDescent="0.25">
      <c r="A83" t="s">
        <v>534</v>
      </c>
      <c r="B83" s="134">
        <f>$B$46+($E$54-$B$46)*MIN(1/$B$3,1)</f>
        <v>0.43314566183037329</v>
      </c>
      <c r="C83" s="134">
        <f>$B$46+($E$54-$B$46)*MIN(2/$B$3,1)</f>
        <v>0.43768976503292956</v>
      </c>
      <c r="D83" s="134">
        <f>$B$46+($E$54-$B$46)*MIN(3/$B$3,1)</f>
        <v>0.44223386823548588</v>
      </c>
      <c r="E83" s="134">
        <f>$B$46+($E$54-$B$46)*MIN(4/$B$3,1)</f>
        <v>0.44677797143804215</v>
      </c>
      <c r="F83" s="134">
        <f>$B$46+($E$54-$B$46)*MIN(5/$B$3,1)</f>
        <v>0.45132207464059848</v>
      </c>
    </row>
    <row r="84" spans="1:8" x14ac:dyDescent="0.25">
      <c r="A84" t="s">
        <v>535</v>
      </c>
      <c r="B84" s="134">
        <f>$B$47+($E$55-$B$47)*MIN(1/$B$3,1)</f>
        <v>4.5716767516858388E-3</v>
      </c>
      <c r="C84" s="134">
        <f>$B$47+($E$55-$B$47)*MIN(2/$B$3,1)</f>
        <v>5.0095097668831244E-3</v>
      </c>
      <c r="D84" s="134">
        <f>$B$47+($E$55-$B$47)*MIN(3/$B$3,1)</f>
        <v>5.44734278208041E-3</v>
      </c>
      <c r="E84" s="134">
        <f>$B$47+($E$55-$B$47)*MIN(4/$B$3,1)</f>
        <v>5.8851757972776956E-3</v>
      </c>
      <c r="F84" s="134">
        <f>$B$47+($E$55-$B$47)*MIN(5/$B$3,1)</f>
        <v>6.3230088124749811E-3</v>
      </c>
    </row>
    <row r="85" spans="1:8" x14ac:dyDescent="0.25">
      <c r="A85" t="s">
        <v>536</v>
      </c>
      <c r="B85" s="134">
        <f>$B$48+($E$56-$B$48)*MIN(1/$B$3,1)</f>
        <v>0.10108934608342832</v>
      </c>
      <c r="C85" s="134">
        <f>$B$48+($E$56-$B$48)*MIN(2/$B$3,1)</f>
        <v>9.4044932794525971E-2</v>
      </c>
      <c r="D85" s="134">
        <f>$B$48+($E$56-$B$48)*MIN(3/$B$3,1)</f>
        <v>8.7000519505623625E-2</v>
      </c>
      <c r="E85" s="134">
        <f>$B$48+($E$56-$B$48)*MIN(4/$B$3,1)</f>
        <v>7.9956106216721279E-2</v>
      </c>
      <c r="F85" s="134">
        <f>$B$48+($E$56-$B$48)*MIN(5/$B$3,1)</f>
        <v>7.2911692927818933E-2</v>
      </c>
    </row>
    <row r="87" spans="1:8" x14ac:dyDescent="0.25">
      <c r="A87" s="24" t="s">
        <v>553</v>
      </c>
      <c r="B87" s="24"/>
      <c r="C87" s="24"/>
      <c r="D87" s="24"/>
      <c r="E87" s="24"/>
      <c r="F87" s="24"/>
      <c r="G87" s="24"/>
      <c r="H87" s="24"/>
    </row>
    <row r="88" spans="1:8" x14ac:dyDescent="0.25">
      <c r="A88" s="9" t="s">
        <v>514</v>
      </c>
      <c r="B88" s="168">
        <f>B24</f>
        <v>46387</v>
      </c>
      <c r="C88" s="168">
        <f>C24</f>
        <v>46752</v>
      </c>
      <c r="D88" s="168">
        <f>D24</f>
        <v>47118</v>
      </c>
      <c r="E88" s="168">
        <f>E24</f>
        <v>47483</v>
      </c>
      <c r="F88" s="168">
        <f>F24</f>
        <v>47848</v>
      </c>
    </row>
    <row r="89" spans="1:8" x14ac:dyDescent="0.25">
      <c r="A89" t="s">
        <v>541</v>
      </c>
      <c r="B89" s="119">
        <f>B64</f>
        <v>51738.40592471206</v>
      </c>
      <c r="C89" s="119">
        <f>C64</f>
        <v>54911.721395099252</v>
      </c>
      <c r="D89" s="119">
        <f>D64</f>
        <v>58245.05481645275</v>
      </c>
      <c r="E89" s="119">
        <f>E64</f>
        <v>61744.016761284693</v>
      </c>
      <c r="F89" s="119">
        <f>F64</f>
        <v>65414.248406110448</v>
      </c>
    </row>
    <row r="90" spans="1:8" x14ac:dyDescent="0.25">
      <c r="A90" t="s">
        <v>554</v>
      </c>
      <c r="B90" s="109">
        <f>'TSLA - Reconciliation FY'!$B$40</f>
        <v>49087.46</v>
      </c>
      <c r="C90" s="109">
        <f>'TSLA - Reconciliation FY'!$B$40</f>
        <v>49087.46</v>
      </c>
      <c r="D90" s="109">
        <f>'TSLA - Reconciliation FY'!$B$40</f>
        <v>49087.46</v>
      </c>
      <c r="E90" s="109">
        <f>'TSLA - Reconciliation FY'!$B$40</f>
        <v>49087.46</v>
      </c>
      <c r="F90" s="109">
        <f>'TSLA - Reconciliation FY'!$B$40</f>
        <v>49087.46</v>
      </c>
    </row>
    <row r="91" spans="1:8" x14ac:dyDescent="0.25">
      <c r="A91" s="9" t="s">
        <v>555</v>
      </c>
      <c r="B91" s="147">
        <f>B89+B90</f>
        <v>100825.86592471207</v>
      </c>
      <c r="C91" s="147">
        <f>C89+C90</f>
        <v>103999.18139509925</v>
      </c>
      <c r="D91" s="147">
        <f>D89+D90</f>
        <v>107332.51481645275</v>
      </c>
      <c r="E91" s="147">
        <f>E89+E90</f>
        <v>110831.47676128469</v>
      </c>
      <c r="F91" s="147">
        <f>F89+F90</f>
        <v>114501.70840611044</v>
      </c>
    </row>
    <row r="92" spans="1:8" x14ac:dyDescent="0.25">
      <c r="A92" t="s">
        <v>565</v>
      </c>
      <c r="B92" s="109">
        <f>'TSLA - Reconciliation FY'!$B$47+'TSLA - Reconciliation FY'!$B$49</f>
        <v>9104</v>
      </c>
      <c r="C92" s="109">
        <f>'TSLA - Reconciliation FY'!$B$47+'TSLA - Reconciliation FY'!$B$49</f>
        <v>9104</v>
      </c>
      <c r="D92" s="109">
        <f>'TSLA - Reconciliation FY'!$B$47+'TSLA - Reconciliation FY'!$B$49</f>
        <v>9104</v>
      </c>
      <c r="E92" s="109">
        <f>'TSLA - Reconciliation FY'!$B$47+'TSLA - Reconciliation FY'!$B$49</f>
        <v>9104</v>
      </c>
      <c r="F92" s="109">
        <f>'TSLA - Reconciliation FY'!$B$47+'TSLA - Reconciliation FY'!$B$49</f>
        <v>9104</v>
      </c>
    </row>
    <row r="93" spans="1:8" x14ac:dyDescent="0.25">
      <c r="A93" t="s">
        <v>556</v>
      </c>
      <c r="B93" s="119">
        <f>B91-B92</f>
        <v>91721.865924712067</v>
      </c>
      <c r="C93" s="119">
        <f>C91-C92</f>
        <v>94895.181395099251</v>
      </c>
      <c r="D93" s="119">
        <f>D91-D92</f>
        <v>98228.514816452749</v>
      </c>
      <c r="E93" s="119">
        <f>E91-E92</f>
        <v>101727.47676128469</v>
      </c>
      <c r="F93" s="119">
        <f>F91-F92</f>
        <v>105397.70840611044</v>
      </c>
    </row>
    <row r="94" spans="1:8" x14ac:dyDescent="0.25">
      <c r="A94" t="s">
        <v>557</v>
      </c>
      <c r="B94" s="119">
        <f>B91-(B92+B93)</f>
        <v>0</v>
      </c>
      <c r="C94" s="119">
        <f>C91-(C92+C93)</f>
        <v>0</v>
      </c>
      <c r="D94" s="119">
        <f>D91-(D92+D93)</f>
        <v>0</v>
      </c>
      <c r="E94" s="119">
        <f>E91-(E92+E93)</f>
        <v>0</v>
      </c>
      <c r="F94" s="119">
        <f>F91-(F92+F93)</f>
        <v>0</v>
      </c>
    </row>
    <row r="96" spans="1:8" x14ac:dyDescent="0.25">
      <c r="A96" s="24" t="s">
        <v>558</v>
      </c>
      <c r="B96" s="24"/>
      <c r="C96" s="24"/>
      <c r="D96" s="24"/>
      <c r="E96" s="24"/>
      <c r="F96" s="24"/>
      <c r="G96" s="24"/>
      <c r="H96" s="24"/>
    </row>
    <row r="97" spans="1:11" x14ac:dyDescent="0.25">
      <c r="A97" s="9" t="s">
        <v>559</v>
      </c>
      <c r="B97" s="168">
        <f>B24</f>
        <v>46387</v>
      </c>
      <c r="C97" s="168">
        <f>C24</f>
        <v>46752</v>
      </c>
      <c r="D97" s="168">
        <f>D24</f>
        <v>47118</v>
      </c>
      <c r="E97" s="168">
        <f>E24</f>
        <v>47483</v>
      </c>
      <c r="F97" s="168">
        <f>F24</f>
        <v>47848</v>
      </c>
    </row>
    <row r="98" spans="1:11" x14ac:dyDescent="0.25">
      <c r="A98" t="s">
        <v>259</v>
      </c>
      <c r="B98" s="119">
        <f>B40</f>
        <v>4131.7257927136261</v>
      </c>
      <c r="C98" s="119">
        <f>C40</f>
        <v>4601.3347980135877</v>
      </c>
      <c r="D98" s="119">
        <f>D40</f>
        <v>5111.1467729421911</v>
      </c>
      <c r="E98" s="119">
        <f>E40</f>
        <v>5663.7877670524458</v>
      </c>
      <c r="F98" s="119">
        <f>F40</f>
        <v>6261.998269469078</v>
      </c>
    </row>
    <row r="99" spans="1:11" x14ac:dyDescent="0.25">
      <c r="A99" t="s">
        <v>560</v>
      </c>
      <c r="B99" s="109">
        <f>AVERAGE(B64,'TSLA - Reconciliation FY'!$B$32)</f>
        <v>50228.972962356027</v>
      </c>
      <c r="C99" s="119">
        <f>AVERAGE(C64,B64)</f>
        <v>53325.06365990566</v>
      </c>
      <c r="D99" s="119">
        <f>AVERAGE(D64,C64)</f>
        <v>56578.388105776001</v>
      </c>
      <c r="E99" s="119">
        <f>AVERAGE(E64,D64)</f>
        <v>59994.535788868721</v>
      </c>
      <c r="F99" s="119">
        <f>AVERAGE(F64,E64)</f>
        <v>63579.132583697574</v>
      </c>
    </row>
    <row r="100" spans="1:11" x14ac:dyDescent="0.25">
      <c r="A100" s="9" t="s">
        <v>561</v>
      </c>
      <c r="B100" s="137">
        <f>B98/B99</f>
        <v>8.2257819522014455E-2</v>
      </c>
      <c r="C100" s="137">
        <f>C98/C99</f>
        <v>8.6288407030506081E-2</v>
      </c>
      <c r="D100" s="137">
        <f>D98/D99</f>
        <v>9.0337440568060326E-2</v>
      </c>
      <c r="E100" s="137">
        <f>E98/E99</f>
        <v>9.440506027056042E-2</v>
      </c>
      <c r="F100" s="137">
        <f>F98/F99</f>
        <v>9.8491407715032703E-2</v>
      </c>
    </row>
    <row r="101" spans="1:11" x14ac:dyDescent="0.25">
      <c r="A101" t="s">
        <v>311</v>
      </c>
      <c r="B101" s="109">
        <f>B64-'TSLA - Reconciliation FY'!$B$32</f>
        <v>3018.8659247120595</v>
      </c>
      <c r="C101" s="119">
        <f>C64-B64</f>
        <v>3173.3154703871915</v>
      </c>
      <c r="D101" s="119">
        <f>D64-C64</f>
        <v>3333.3334213534981</v>
      </c>
      <c r="E101" s="119">
        <f>E64-D64</f>
        <v>3498.9619448319427</v>
      </c>
      <c r="F101" s="119">
        <f>F64-E64</f>
        <v>3670.2316448257552</v>
      </c>
    </row>
    <row r="102" spans="1:11" x14ac:dyDescent="0.25">
      <c r="A102" t="s">
        <v>312</v>
      </c>
      <c r="B102" s="113">
        <f>IFERROR((B98-'TSLA - Reconciliation FY'!$B$56)/B101,"")</f>
        <v>0.22898525802518388</v>
      </c>
      <c r="C102" s="134">
        <f>IFERROR((C98-B98)/C101,"")</f>
        <v>0.14798686411176837</v>
      </c>
      <c r="D102" s="134">
        <f>IFERROR((D98-C98)/D101,"")</f>
        <v>0.15294358843994504</v>
      </c>
      <c r="E102" s="134">
        <f>IFERROR((E98-D98)/E101,"")</f>
        <v>0.15794427113633511</v>
      </c>
      <c r="F102" s="134">
        <f>IFERROR((F98-E98)/F101,"")</f>
        <v>0.16298984922654175</v>
      </c>
    </row>
    <row r="103" spans="1:11" x14ac:dyDescent="0.25">
      <c r="A103" t="s">
        <v>562</v>
      </c>
      <c r="B103" s="134">
        <f>IFERROR(B101/B98,"")</f>
        <v>0.73065495537866643</v>
      </c>
      <c r="C103" s="134">
        <f>IFERROR(C101/C98,"")</f>
        <v>0.68965107076258025</v>
      </c>
      <c r="D103" s="134">
        <f>IFERROR(D101/D98,"")</f>
        <v>0.65216937987376389</v>
      </c>
      <c r="E103" s="134">
        <f>IFERROR(E101/E98,"")</f>
        <v>0.61777772909963324</v>
      </c>
      <c r="F103" s="134">
        <f>IFERROR(F101/F98,"")</f>
        <v>0.58611189062767577</v>
      </c>
    </row>
    <row r="104" spans="1:11" x14ac:dyDescent="0.25">
      <c r="A104" s="9" t="s">
        <v>563</v>
      </c>
      <c r="B104" s="137">
        <f>IFERROR(B102*B103,"")</f>
        <v>0.16730921348476316</v>
      </c>
      <c r="C104" s="137">
        <f>IFERROR(C102*C103,"")</f>
        <v>0.10205929929347751</v>
      </c>
      <c r="D104" s="137">
        <f>IFERROR(D102*D103,"")</f>
        <v>9.974512522854713E-2</v>
      </c>
      <c r="E104" s="137">
        <f>IFERROR(E102*E103,"")</f>
        <v>9.7574453146901857E-2</v>
      </c>
      <c r="F104" s="137">
        <f>IFERROR(F102*F103,"")</f>
        <v>9.5530288683288209E-2</v>
      </c>
    </row>
    <row r="105" spans="1:11" x14ac:dyDescent="0.25">
      <c r="A105" t="s">
        <v>564</v>
      </c>
      <c r="B105" s="113">
        <f>IFERROR(B25/'TSLA - Income Statement FY'!$B$7-1,"")</f>
        <v>6.4675000000000038E-2</v>
      </c>
      <c r="C105" s="134">
        <f>IFERROR(C25/B25-1,"")</f>
        <v>6.404999999999994E-2</v>
      </c>
      <c r="D105" s="134">
        <f>IFERROR(D25/C25-1,"")</f>
        <v>6.3425000000000065E-2</v>
      </c>
      <c r="E105" s="134">
        <f>IFERROR(E25/D25-1,"")</f>
        <v>6.2799999999999967E-2</v>
      </c>
      <c r="F105" s="134">
        <f>IFERROR(F25/E25-1,"")</f>
        <v>6.2175000000000091E-2</v>
      </c>
    </row>
    <row r="107" spans="1:11" x14ac:dyDescent="0.25">
      <c r="A107" s="24" t="s">
        <v>600</v>
      </c>
      <c r="B107" s="24"/>
      <c r="C107" s="24"/>
      <c r="D107" s="24"/>
      <c r="E107" s="24"/>
      <c r="F107" s="24"/>
      <c r="G107" s="24"/>
      <c r="H107" s="24"/>
      <c r="I107" s="24"/>
      <c r="J107" s="24"/>
      <c r="K107" s="24"/>
    </row>
    <row r="108" spans="1:11" x14ac:dyDescent="0.25">
      <c r="A108" t="s">
        <v>601</v>
      </c>
      <c r="B108" s="146">
        <f>F33</f>
        <v>6.1463920908127155E-2</v>
      </c>
    </row>
    <row r="109" spans="1:11" x14ac:dyDescent="0.25">
      <c r="A109" t="s">
        <v>602</v>
      </c>
      <c r="B109" s="169">
        <f>F25/F64</f>
        <v>1.9714839001701683</v>
      </c>
    </row>
    <row r="110" spans="1:11" x14ac:dyDescent="0.25">
      <c r="A110" s="9" t="s">
        <v>573</v>
      </c>
      <c r="B110" s="168">
        <f>EDATE(F24,12)</f>
        <v>48213</v>
      </c>
      <c r="C110" s="168">
        <f t="shared" ref="C110:K110" si="3">EDATE(B110,12)</f>
        <v>48579</v>
      </c>
      <c r="D110" s="168">
        <f t="shared" si="3"/>
        <v>48944</v>
      </c>
      <c r="E110" s="168">
        <f t="shared" si="3"/>
        <v>49309</v>
      </c>
      <c r="F110" s="168">
        <f t="shared" si="3"/>
        <v>49674</v>
      </c>
      <c r="G110" s="168">
        <f t="shared" si="3"/>
        <v>50040</v>
      </c>
      <c r="H110" s="168">
        <f t="shared" si="3"/>
        <v>50405</v>
      </c>
      <c r="I110" s="168">
        <f t="shared" si="3"/>
        <v>50770</v>
      </c>
      <c r="J110" s="168">
        <f t="shared" si="3"/>
        <v>51135</v>
      </c>
      <c r="K110" s="168">
        <f t="shared" si="3"/>
        <v>51501</v>
      </c>
    </row>
    <row r="111" spans="1:11" x14ac:dyDescent="0.25">
      <c r="A111" t="s">
        <v>603</v>
      </c>
      <c r="B111" s="113">
        <f>('TSLA Rev Drivers &amp; Forecast'!$B$8+('TSLA Rev Drivers &amp; Forecast'!$B$7-'TSLA Rev Drivers &amp; Forecast'!$B$8)*MIN(6/'TSLA Rev Drivers &amp; Forecast'!$B$10,1))+'TSLA Rev Drivers &amp; Forecast'!$B$4</f>
        <v>6.1550000000000007E-2</v>
      </c>
      <c r="C111" s="113">
        <f>('TSLA Rev Drivers &amp; Forecast'!$B$8+('TSLA Rev Drivers &amp; Forecast'!$B$7-'TSLA Rev Drivers &amp; Forecast'!$B$8)*MIN(7/'TSLA Rev Drivers &amp; Forecast'!$B$10,1))+'TSLA Rev Drivers &amp; Forecast'!$B$4</f>
        <v>6.0925000000000007E-2</v>
      </c>
      <c r="D111" s="113">
        <f>('TSLA Rev Drivers &amp; Forecast'!$B$8+('TSLA Rev Drivers &amp; Forecast'!$B$7-'TSLA Rev Drivers &amp; Forecast'!$B$8)*MIN(8/'TSLA Rev Drivers &amp; Forecast'!$B$10,1))+'TSLA Rev Drivers &amp; Forecast'!$B$4</f>
        <v>6.0300000000000006E-2</v>
      </c>
      <c r="E111" s="113">
        <f>('TSLA Rev Drivers &amp; Forecast'!$B$8+('TSLA Rev Drivers &amp; Forecast'!$B$7-'TSLA Rev Drivers &amp; Forecast'!$B$8)*MIN(9/'TSLA Rev Drivers &amp; Forecast'!$B$10,1))+'TSLA Rev Drivers &amp; Forecast'!$B$4</f>
        <v>6.0300000000000006E-2</v>
      </c>
      <c r="F111" s="113">
        <f>('TSLA Rev Drivers &amp; Forecast'!$B$8+('TSLA Rev Drivers &amp; Forecast'!$B$7-'TSLA Rev Drivers &amp; Forecast'!$B$8)*MIN(10/'TSLA Rev Drivers &amp; Forecast'!$B$10,1))+'TSLA Rev Drivers &amp; Forecast'!$B$4</f>
        <v>6.0300000000000006E-2</v>
      </c>
      <c r="G111" s="113">
        <f>('TSLA Rev Drivers &amp; Forecast'!$B$8+('TSLA Rev Drivers &amp; Forecast'!$B$7-'TSLA Rev Drivers &amp; Forecast'!$B$8)*MIN(11/'TSLA Rev Drivers &amp; Forecast'!$B$10,1))+'TSLA Rev Drivers &amp; Forecast'!$B$4</f>
        <v>6.0300000000000006E-2</v>
      </c>
      <c r="H111" s="113">
        <f>('TSLA Rev Drivers &amp; Forecast'!$B$8+('TSLA Rev Drivers &amp; Forecast'!$B$7-'TSLA Rev Drivers &amp; Forecast'!$B$8)*MIN(12/'TSLA Rev Drivers &amp; Forecast'!$B$10,1))+'TSLA Rev Drivers &amp; Forecast'!$B$4</f>
        <v>6.0300000000000006E-2</v>
      </c>
      <c r="I111" s="113">
        <f>('TSLA Rev Drivers &amp; Forecast'!$B$8+('TSLA Rev Drivers &amp; Forecast'!$B$7-'TSLA Rev Drivers &amp; Forecast'!$B$8)*MIN(13/'TSLA Rev Drivers &amp; Forecast'!$B$10,1))+'TSLA Rev Drivers &amp; Forecast'!$B$4</f>
        <v>6.0300000000000006E-2</v>
      </c>
      <c r="J111" s="113">
        <f>('TSLA Rev Drivers &amp; Forecast'!$B$8+('TSLA Rev Drivers &amp; Forecast'!$B$7-'TSLA Rev Drivers &amp; Forecast'!$B$8)*MIN(14/'TSLA Rev Drivers &amp; Forecast'!$B$10,1))+'TSLA Rev Drivers &amp; Forecast'!$B$4</f>
        <v>6.0300000000000006E-2</v>
      </c>
      <c r="K111" s="113">
        <f>('TSLA Rev Drivers &amp; Forecast'!$B$8+('TSLA Rev Drivers &amp; Forecast'!$B$7-'TSLA Rev Drivers &amp; Forecast'!$B$8)*MIN(15/'TSLA Rev Drivers &amp; Forecast'!$B$10,1))+'TSLA Rev Drivers &amp; Forecast'!$B$4</f>
        <v>6.0300000000000006E-2</v>
      </c>
    </row>
    <row r="112" spans="1:11" x14ac:dyDescent="0.25">
      <c r="A112" t="s">
        <v>31</v>
      </c>
      <c r="B112" s="119">
        <f>F25*(1+B111)</f>
        <v>136900.81869208184</v>
      </c>
      <c r="C112" s="119">
        <f t="shared" ref="C112:K112" si="4">B112*(1+C111)</f>
        <v>145241.50107089695</v>
      </c>
      <c r="D112" s="119">
        <f t="shared" si="4"/>
        <v>153999.56358547203</v>
      </c>
      <c r="E112" s="119">
        <f t="shared" si="4"/>
        <v>163285.737269676</v>
      </c>
      <c r="F112" s="119">
        <f t="shared" si="4"/>
        <v>173131.86722703747</v>
      </c>
      <c r="G112" s="119">
        <f t="shared" si="4"/>
        <v>183571.71882082784</v>
      </c>
      <c r="H112" s="119">
        <f t="shared" si="4"/>
        <v>194641.09346572377</v>
      </c>
      <c r="I112" s="119">
        <f t="shared" si="4"/>
        <v>206377.9514017069</v>
      </c>
      <c r="J112" s="119">
        <f t="shared" si="4"/>
        <v>218822.54187122983</v>
      </c>
      <c r="K112" s="119">
        <f t="shared" si="4"/>
        <v>232017.54114606499</v>
      </c>
    </row>
    <row r="113" spans="1:11" x14ac:dyDescent="0.25">
      <c r="A113" t="s">
        <v>320</v>
      </c>
      <c r="B113" s="134">
        <f>$B$108+IF('Valuation Dashboard'!$B$151="Yes",'TSLA - Reconciliation FY'!$B$152,0)</f>
        <v>6.4926015037436322E-2</v>
      </c>
      <c r="C113" s="134">
        <f>$B$108+IF('Valuation Dashboard'!$B$151="Yes",'TSLA - Reconciliation FY'!$B$152,0)</f>
        <v>6.4926015037436322E-2</v>
      </c>
      <c r="D113" s="134">
        <f>$B$108+IF('Valuation Dashboard'!$B$151="Yes",'TSLA - Reconciliation FY'!$B$152,0)</f>
        <v>6.4926015037436322E-2</v>
      </c>
      <c r="E113" s="134">
        <f>$B$108+IF('Valuation Dashboard'!$B$151="Yes",'TSLA - Reconciliation FY'!$B$152,0)</f>
        <v>6.4926015037436322E-2</v>
      </c>
      <c r="F113" s="134">
        <f>$B$108+IF('Valuation Dashboard'!$B$151="Yes",'TSLA - Reconciliation FY'!$B$152,0)</f>
        <v>6.4926015037436322E-2</v>
      </c>
      <c r="G113" s="134">
        <f>$B$108+IF('Valuation Dashboard'!$B$151="Yes",'TSLA - Reconciliation FY'!$B$152,0)</f>
        <v>6.4926015037436322E-2</v>
      </c>
      <c r="H113" s="134">
        <f>$B$108+IF('Valuation Dashboard'!$B$151="Yes",'TSLA - Reconciliation FY'!$B$152,0)</f>
        <v>6.4926015037436322E-2</v>
      </c>
      <c r="I113" s="134">
        <f>$B$108+IF('Valuation Dashboard'!$B$151="Yes",'TSLA - Reconciliation FY'!$B$152,0)</f>
        <v>6.4926015037436322E-2</v>
      </c>
      <c r="J113" s="134">
        <f>$B$108+IF('Valuation Dashboard'!$B$151="Yes",'TSLA - Reconciliation FY'!$B$152,0)</f>
        <v>6.4926015037436322E-2</v>
      </c>
      <c r="K113" s="134">
        <f>$B$108+IF('Valuation Dashboard'!$B$151="Yes",'TSLA - Reconciliation FY'!$B$152,0)</f>
        <v>6.4926015037436322E-2</v>
      </c>
    </row>
    <row r="114" spans="1:11" x14ac:dyDescent="0.25">
      <c r="A114" t="s">
        <v>522</v>
      </c>
      <c r="B114" s="119">
        <f t="shared" ref="B114:K114" si="5">B112*B113</f>
        <v>8888.4246130394495</v>
      </c>
      <c r="C114" s="119">
        <f t="shared" si="5"/>
        <v>9429.951882588879</v>
      </c>
      <c r="D114" s="119">
        <f t="shared" si="5"/>
        <v>9998.5779811089888</v>
      </c>
      <c r="E114" s="119">
        <f t="shared" si="5"/>
        <v>10601.49223336986</v>
      </c>
      <c r="F114" s="119">
        <f t="shared" si="5"/>
        <v>11240.762215042063</v>
      </c>
      <c r="G114" s="119">
        <f t="shared" si="5"/>
        <v>11918.580176609101</v>
      </c>
      <c r="H114" s="119">
        <f t="shared" si="5"/>
        <v>12637.270561258631</v>
      </c>
      <c r="I114" s="119">
        <f t="shared" si="5"/>
        <v>13399.297976102525</v>
      </c>
      <c r="J114" s="119">
        <f t="shared" si="5"/>
        <v>14207.275644061507</v>
      </c>
      <c r="K114" s="119">
        <f t="shared" si="5"/>
        <v>15063.974365398417</v>
      </c>
    </row>
    <row r="115" spans="1:11" x14ac:dyDescent="0.25">
      <c r="A115" t="s">
        <v>259</v>
      </c>
      <c r="B115" s="119">
        <f t="shared" ref="B115:K115" si="6">B114*(1-$B$2)</f>
        <v>7021.8554443011653</v>
      </c>
      <c r="C115" s="119">
        <f t="shared" si="6"/>
        <v>7449.6619872452147</v>
      </c>
      <c r="D115" s="119">
        <f t="shared" si="6"/>
        <v>7898.8766050761014</v>
      </c>
      <c r="E115" s="119">
        <f t="shared" si="6"/>
        <v>8375.1788643621894</v>
      </c>
      <c r="F115" s="119">
        <f t="shared" si="6"/>
        <v>8880.202149883231</v>
      </c>
      <c r="G115" s="119">
        <f t="shared" si="6"/>
        <v>9415.6783395211896</v>
      </c>
      <c r="H115" s="119">
        <f t="shared" si="6"/>
        <v>9983.4437433943185</v>
      </c>
      <c r="I115" s="119">
        <f t="shared" si="6"/>
        <v>10585.445401120996</v>
      </c>
      <c r="J115" s="119">
        <f t="shared" si="6"/>
        <v>11223.747758808591</v>
      </c>
      <c r="K115" s="119">
        <f t="shared" si="6"/>
        <v>11900.539748664751</v>
      </c>
    </row>
    <row r="116" spans="1:11" x14ac:dyDescent="0.25">
      <c r="A116" t="s">
        <v>541</v>
      </c>
      <c r="B116" s="119">
        <f t="shared" ref="B116:K116" si="7">B112/$B$109</f>
        <v>69440.495395506543</v>
      </c>
      <c r="C116" s="119">
        <f t="shared" si="7"/>
        <v>73671.157577477788</v>
      </c>
      <c r="D116" s="119">
        <f t="shared" si="7"/>
        <v>78113.528379399693</v>
      </c>
      <c r="E116" s="119">
        <f t="shared" si="7"/>
        <v>82823.774140677502</v>
      </c>
      <c r="F116" s="119">
        <f t="shared" si="7"/>
        <v>87818.047721360359</v>
      </c>
      <c r="G116" s="119">
        <f t="shared" si="7"/>
        <v>93113.475998958384</v>
      </c>
      <c r="H116" s="119">
        <f t="shared" si="7"/>
        <v>98728.218601695582</v>
      </c>
      <c r="I116" s="119">
        <f t="shared" si="7"/>
        <v>104681.53018337782</v>
      </c>
      <c r="J116" s="119">
        <f t="shared" si="7"/>
        <v>110993.82645343551</v>
      </c>
      <c r="K116" s="119">
        <f t="shared" si="7"/>
        <v>117686.75418857767</v>
      </c>
    </row>
    <row r="117" spans="1:11" x14ac:dyDescent="0.25">
      <c r="A117" t="s">
        <v>604</v>
      </c>
      <c r="B117" s="119">
        <f>B116-F64</f>
        <v>4026.2469893960952</v>
      </c>
      <c r="C117" s="119">
        <f t="shared" ref="C117:K117" si="8">C116-B116</f>
        <v>4230.6621819712454</v>
      </c>
      <c r="D117" s="119">
        <f t="shared" si="8"/>
        <v>4442.3708019219048</v>
      </c>
      <c r="E117" s="119">
        <f t="shared" si="8"/>
        <v>4710.2457612778089</v>
      </c>
      <c r="F117" s="119">
        <f t="shared" si="8"/>
        <v>4994.2735806828568</v>
      </c>
      <c r="G117" s="119">
        <f t="shared" si="8"/>
        <v>5295.4282775980246</v>
      </c>
      <c r="H117" s="119">
        <f t="shared" si="8"/>
        <v>5614.7426027371985</v>
      </c>
      <c r="I117" s="119">
        <f t="shared" si="8"/>
        <v>5953.3115816822392</v>
      </c>
      <c r="J117" s="119">
        <f t="shared" si="8"/>
        <v>6312.29627005769</v>
      </c>
      <c r="K117" s="119">
        <f t="shared" si="8"/>
        <v>6692.9277351421624</v>
      </c>
    </row>
    <row r="118" spans="1:11" x14ac:dyDescent="0.25">
      <c r="A118" s="9" t="s">
        <v>270</v>
      </c>
      <c r="B118" s="147">
        <f t="shared" ref="B118:K118" si="9">B115-B117</f>
        <v>2995.6084549050702</v>
      </c>
      <c r="C118" s="147">
        <f t="shared" si="9"/>
        <v>3218.9998052739693</v>
      </c>
      <c r="D118" s="147">
        <f t="shared" si="9"/>
        <v>3456.5058031541967</v>
      </c>
      <c r="E118" s="147">
        <f t="shared" si="9"/>
        <v>3664.9331030843805</v>
      </c>
      <c r="F118" s="147">
        <f t="shared" si="9"/>
        <v>3885.9285692003741</v>
      </c>
      <c r="G118" s="147">
        <f t="shared" si="9"/>
        <v>4120.250061923165</v>
      </c>
      <c r="H118" s="147">
        <f t="shared" si="9"/>
        <v>4368.70114065712</v>
      </c>
      <c r="I118" s="147">
        <f t="shared" si="9"/>
        <v>4632.1338194387572</v>
      </c>
      <c r="J118" s="147">
        <f t="shared" si="9"/>
        <v>4911.4514887509013</v>
      </c>
      <c r="K118" s="147">
        <f t="shared" si="9"/>
        <v>5207.6120135225883</v>
      </c>
    </row>
  </sheetData>
  <pageMargins left="0.7" right="0.7" top="0.75" bottom="0.75" header="0.3" footer="0.3"/>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72823E-4ADF-4676-BF21-13FA3FA86DF5}">
  <sheetPr>
    <tabColor rgb="FFC00000"/>
  </sheetPr>
  <dimension ref="A1"/>
  <sheetViews>
    <sheetView workbookViewId="0"/>
  </sheetViews>
  <sheetFormatPr defaultRowHeight="15" x14ac:dyDescent="0.25"/>
  <sheetData>
    <row r="1" spans="1:1" ht="18.75" x14ac:dyDescent="0.3">
      <c r="A1" s="46" t="s">
        <v>566</v>
      </c>
    </row>
  </sheetData>
  <pageMargins left="0.7" right="0.7" top="0.75" bottom="0.75" header="0.3" footer="0.3"/>
</worksheet>
</file>

<file path=xl/worksheets/sheet7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3C6C0B-CE09-4DA8-A515-1B82A2D782BD}">
  <sheetPr>
    <tabColor rgb="FFF4B7B7"/>
  </sheetPr>
  <dimension ref="A1:P139"/>
  <sheetViews>
    <sheetView topLeftCell="B9" workbookViewId="0">
      <selection activeCell="H78" sqref="H78"/>
    </sheetView>
  </sheetViews>
  <sheetFormatPr defaultRowHeight="15" x14ac:dyDescent="0.25"/>
  <cols>
    <col min="1" max="1" width="57.140625" customWidth="1"/>
    <col min="2" max="2" width="11.7109375" bestFit="1" customWidth="1"/>
  </cols>
  <sheetData>
    <row r="1" spans="1:16" ht="15.75" x14ac:dyDescent="0.25">
      <c r="A1" s="15" t="s">
        <v>567</v>
      </c>
    </row>
    <row r="3" spans="1:16" x14ac:dyDescent="0.25">
      <c r="A3" s="24" t="s">
        <v>568</v>
      </c>
      <c r="B3" s="24"/>
      <c r="C3" s="24"/>
      <c r="D3" s="24"/>
      <c r="E3" s="24"/>
      <c r="F3" s="24"/>
    </row>
    <row r="4" spans="1:16" x14ac:dyDescent="0.25">
      <c r="A4" t="s">
        <v>792</v>
      </c>
      <c r="B4" s="78" t="str">
        <f>'Valuation Dashboard'!B22</f>
        <v>Base</v>
      </c>
      <c r="C4" s="170">
        <f>MATCH($B$4,{"Base","Worst","Best"},0)</f>
        <v>1</v>
      </c>
    </row>
    <row r="5" spans="1:16" x14ac:dyDescent="0.25">
      <c r="A5" s="9" t="s">
        <v>449</v>
      </c>
      <c r="B5" s="9" t="s">
        <v>590</v>
      </c>
      <c r="C5" s="9" t="s">
        <v>591</v>
      </c>
      <c r="D5" s="9" t="s">
        <v>592</v>
      </c>
      <c r="E5" s="9" t="s">
        <v>593</v>
      </c>
    </row>
    <row r="6" spans="1:16" x14ac:dyDescent="0.25">
      <c r="A6" t="s">
        <v>569</v>
      </c>
      <c r="B6" s="76">
        <f>'Valuation Dashboard'!B23</f>
        <v>0.04</v>
      </c>
      <c r="C6" s="76">
        <f>'Valuation Dashboard'!$B$15</f>
        <v>0.01</v>
      </c>
      <c r="D6" s="76">
        <f>MAX($B$6,'Valuation Dashboard'!$B$16)</f>
        <v>0.154</v>
      </c>
      <c r="E6" s="134" cm="1">
        <f t="array" ref="E6">INDEX(B6:D6,$C$4)</f>
        <v>0.04</v>
      </c>
    </row>
    <row r="7" spans="1:16" x14ac:dyDescent="0.25">
      <c r="A7" t="s">
        <v>570</v>
      </c>
      <c r="B7" s="76">
        <f>'Valuation Dashboard'!$B$19</f>
        <v>0</v>
      </c>
      <c r="C7" s="76">
        <f>'Valuation Dashboard'!$B$224</f>
        <v>-3.1914626857002845E-2</v>
      </c>
      <c r="D7" s="76">
        <f>'Valuation Dashboard'!$B$225</f>
        <v>0</v>
      </c>
      <c r="E7" s="134" cm="1">
        <f t="array" ref="E7">INDEX(B7:D7,$C$4)</f>
        <v>0</v>
      </c>
    </row>
    <row r="8" spans="1:16" x14ac:dyDescent="0.25">
      <c r="A8" t="s">
        <v>605</v>
      </c>
      <c r="B8" s="76">
        <f>'AAPL Rev Drivers &amp; Forecast'!$B$7+'AAPL Rev Drivers &amp; Forecast'!$B$4</f>
        <v>6.0300000000000006E-2</v>
      </c>
      <c r="C8" s="76">
        <f>'AAPL Rev Drivers &amp; Forecast'!$B$7+'AAPL Rev Drivers &amp; Forecast'!$B$4-0.015</f>
        <v>4.5300000000000007E-2</v>
      </c>
      <c r="D8" s="76">
        <f>'AAPL Rev Drivers &amp; Forecast'!$B$7+'AAPL Rev Drivers &amp; Forecast'!$B$4</f>
        <v>6.0300000000000006E-2</v>
      </c>
      <c r="E8" s="134" cm="1">
        <f t="array" ref="E8">INDEX(B8:D8,$C$4)</f>
        <v>6.0300000000000006E-2</v>
      </c>
    </row>
    <row r="9" spans="1:16" x14ac:dyDescent="0.25">
      <c r="A9" t="s">
        <v>1552</v>
      </c>
      <c r="B9" s="76">
        <f>'Valuation Dashboard'!$B$206</f>
        <v>0.76066419225578408</v>
      </c>
      <c r="C9" s="76">
        <f>'Valuation Dashboard'!$B$206</f>
        <v>0.76066419225578408</v>
      </c>
      <c r="D9" s="76">
        <f>'Valuation Dashboard'!$B$206</f>
        <v>0.76066419225578408</v>
      </c>
      <c r="E9" s="134" cm="1">
        <f t="array" ref="E9">INDEX(B9:D9,$C$4)</f>
        <v>0.76066419225578408</v>
      </c>
    </row>
    <row r="10" spans="1:16" x14ac:dyDescent="0.25">
      <c r="A10" t="s">
        <v>1553</v>
      </c>
      <c r="B10" s="76">
        <f>'Valuation Dashboard'!$B$205</f>
        <v>0.15</v>
      </c>
    </row>
    <row r="11" spans="1:16" x14ac:dyDescent="0.25">
      <c r="A11" s="24" t="s">
        <v>571</v>
      </c>
      <c r="B11" s="24"/>
      <c r="C11" s="24"/>
      <c r="D11" s="24"/>
      <c r="E11" s="24"/>
      <c r="F11" s="24"/>
    </row>
    <row r="12" spans="1:16" x14ac:dyDescent="0.25">
      <c r="A12" t="s">
        <v>572</v>
      </c>
      <c r="B12" s="79">
        <f ca="1">WACC!C48</f>
        <v>9.669456809382776E-2</v>
      </c>
    </row>
    <row r="14" spans="1:16" x14ac:dyDescent="0.25">
      <c r="A14" s="24" t="s">
        <v>1014</v>
      </c>
      <c r="B14" s="24"/>
      <c r="C14" s="24"/>
      <c r="D14" s="24"/>
      <c r="E14" s="24"/>
      <c r="F14" s="24"/>
      <c r="G14" s="24"/>
      <c r="H14" s="24"/>
      <c r="I14" s="24"/>
      <c r="J14" s="24"/>
      <c r="K14" s="24"/>
      <c r="L14" s="24"/>
      <c r="M14" s="24"/>
      <c r="N14" s="24"/>
      <c r="O14" s="24"/>
      <c r="P14" s="24"/>
    </row>
    <row r="15" spans="1:16" x14ac:dyDescent="0.25">
      <c r="A15" s="9" t="s">
        <v>573</v>
      </c>
      <c r="B15" s="167">
        <f>'AAPL Forecast'!B24</f>
        <v>46292</v>
      </c>
      <c r="C15" s="167">
        <f>'AAPL Forecast'!C24</f>
        <v>46657</v>
      </c>
      <c r="D15" s="167">
        <f>'AAPL Forecast'!D24</f>
        <v>47023</v>
      </c>
      <c r="E15" s="167">
        <f>'AAPL Forecast'!E24</f>
        <v>47388</v>
      </c>
      <c r="F15" s="167">
        <f>'AAPL Forecast'!F24</f>
        <v>47753</v>
      </c>
      <c r="G15" s="167">
        <f>'AAPL Forecast'!B110</f>
        <v>48118</v>
      </c>
      <c r="H15" s="167">
        <f>'AAPL Forecast'!C110</f>
        <v>48484</v>
      </c>
      <c r="I15" s="167">
        <f>'AAPL Forecast'!D110</f>
        <v>48849</v>
      </c>
      <c r="J15" s="167">
        <f>'AAPL Forecast'!E110</f>
        <v>49214</v>
      </c>
      <c r="K15" s="167">
        <f>'AAPL Forecast'!F110</f>
        <v>49579</v>
      </c>
      <c r="L15" s="49"/>
      <c r="M15" s="49"/>
      <c r="N15" s="49"/>
      <c r="O15" s="49"/>
      <c r="P15" s="49"/>
    </row>
    <row r="16" spans="1:16" x14ac:dyDescent="0.25">
      <c r="A16" t="s">
        <v>270</v>
      </c>
      <c r="B16" s="109">
        <f>'AAPL Forecast'!B73</f>
        <v>110555.87988968249</v>
      </c>
      <c r="C16" s="109">
        <f>'AAPL Forecast'!C73</f>
        <v>117482.76327905129</v>
      </c>
      <c r="D16" s="109">
        <f>'AAPL Forecast'!D73</f>
        <v>124767.50470117948</v>
      </c>
      <c r="E16" s="109">
        <f>'AAPL Forecast'!E73</f>
        <v>132423.06962854048</v>
      </c>
      <c r="F16" s="109">
        <f>'AAPL Forecast'!F73</f>
        <v>140462.51219608024</v>
      </c>
      <c r="G16" s="109">
        <f>'AAPL Forecast'!B118</f>
        <v>146976.13685319782</v>
      </c>
      <c r="H16" s="109">
        <f>'AAPL Forecast'!C118</f>
        <v>155968.92804838371</v>
      </c>
      <c r="I16" s="109">
        <f>'AAPL Forecast'!D118</f>
        <v>165414.47998913936</v>
      </c>
      <c r="J16" s="109">
        <f>'AAPL Forecast'!E118</f>
        <v>175388.97313248453</v>
      </c>
      <c r="K16" s="109">
        <f>'AAPL Forecast'!F118</f>
        <v>185964.92821237328</v>
      </c>
      <c r="L16" s="26"/>
      <c r="M16" s="26"/>
      <c r="N16" s="26"/>
      <c r="O16" s="26"/>
      <c r="P16" s="26"/>
    </row>
    <row r="17" spans="1:16" x14ac:dyDescent="0.25">
      <c r="A17" t="s">
        <v>574</v>
      </c>
      <c r="B17" s="140">
        <f ca="1">1/(1+$B$12)^1</f>
        <v>0.91183090451346605</v>
      </c>
      <c r="C17" s="140">
        <f ca="1">1/(1+$B$12)^2</f>
        <v>0.83143559842584569</v>
      </c>
      <c r="D17" s="140">
        <f ca="1">1/(1+$B$12)^3</f>
        <v>0.75812867375733384</v>
      </c>
      <c r="E17" s="140">
        <f ca="1">1/(1+$B$12)^4</f>
        <v>0.69128515432974413</v>
      </c>
      <c r="F17" s="140">
        <f ca="1">1/(1+$B$12)^5</f>
        <v>0.63033516754922159</v>
      </c>
      <c r="G17" s="140">
        <f ca="1">1/(1+$B$12)^6</f>
        <v>0.57475908597305392</v>
      </c>
      <c r="H17" s="140">
        <f ca="1">1/(1+$B$12)^7</f>
        <v>0.52408309724014279</v>
      </c>
      <c r="I17" s="140">
        <f ca="1">1/(1+$B$12)^8</f>
        <v>0.47787516459669821</v>
      </c>
      <c r="J17" s="140">
        <f ca="1">1/(1+$B$12)^9</f>
        <v>0.43574134357872879</v>
      </c>
      <c r="K17" s="140">
        <f ca="1">1/(1+$B$12)^10</f>
        <v>0.3973224234493053</v>
      </c>
      <c r="L17" s="51"/>
      <c r="M17" s="51"/>
      <c r="N17" s="51"/>
      <c r="O17" s="51"/>
      <c r="P17" s="51"/>
    </row>
    <row r="18" spans="1:16" x14ac:dyDescent="0.25">
      <c r="A18" t="s">
        <v>575</v>
      </c>
      <c r="B18" s="119">
        <f t="shared" ref="B18:K18" ca="1" si="0">B16*B17</f>
        <v>100808.26795909129</v>
      </c>
      <c r="C18" s="119">
        <f t="shared" ca="1" si="0"/>
        <v>97679.351591639977</v>
      </c>
      <c r="D18" s="119">
        <f t="shared" ca="1" si="0"/>
        <v>94589.822867117109</v>
      </c>
      <c r="E18" s="119">
        <f t="shared" ca="1" si="0"/>
        <v>91542.102124984056</v>
      </c>
      <c r="F18" s="119">
        <f t="shared" ca="1" si="0"/>
        <v>88538.461159500817</v>
      </c>
      <c r="G18" s="119">
        <f t="shared" ca="1" si="0"/>
        <v>84475.87007759446</v>
      </c>
      <c r="H18" s="119">
        <f t="shared" ca="1" si="0"/>
        <v>81740.678884821915</v>
      </c>
      <c r="I18" s="119">
        <f t="shared" ca="1" si="0"/>
        <v>79047.471851487222</v>
      </c>
      <c r="J18" s="119">
        <f t="shared" ca="1" si="0"/>
        <v>76424.226801642377</v>
      </c>
      <c r="K18" s="119">
        <f t="shared" ca="1" si="0"/>
        <v>73888.035953916245</v>
      </c>
      <c r="L18" s="26"/>
      <c r="M18" s="26"/>
      <c r="N18" s="26"/>
      <c r="O18" s="26"/>
      <c r="P18" s="26"/>
    </row>
    <row r="19" spans="1:16" x14ac:dyDescent="0.25">
      <c r="A19" s="9" t="s">
        <v>576</v>
      </c>
      <c r="B19" s="147">
        <f ca="1">SUM(B18:K18)</f>
        <v>868734.28927179542</v>
      </c>
    </row>
    <row r="21" spans="1:16" x14ac:dyDescent="0.25">
      <c r="A21" s="24" t="s">
        <v>1015</v>
      </c>
      <c r="B21" s="24"/>
      <c r="C21" s="24"/>
      <c r="D21" s="24"/>
      <c r="E21" s="24"/>
      <c r="F21" s="24"/>
    </row>
    <row r="22" spans="1:16" x14ac:dyDescent="0.25">
      <c r="A22" t="s">
        <v>1596</v>
      </c>
      <c r="B22" s="113">
        <f>'AAPL Forecast'!F113+$E$7</f>
        <v>0.31759988165420938</v>
      </c>
    </row>
    <row r="23" spans="1:16" x14ac:dyDescent="0.25">
      <c r="A23" t="s">
        <v>577</v>
      </c>
      <c r="B23" s="109">
        <f>'AAPL Forecast'!F112*(1+$E$8)</f>
        <v>805629.09378335858</v>
      </c>
    </row>
    <row r="24" spans="1:16" x14ac:dyDescent="0.25">
      <c r="A24" t="s">
        <v>578</v>
      </c>
      <c r="B24" s="109">
        <f>B23*B22*(1-'AAPL Forecast'!$B$2)</f>
        <v>202135.48682579829</v>
      </c>
    </row>
    <row r="25" spans="1:16" x14ac:dyDescent="0.25">
      <c r="A25" t="s">
        <v>579</v>
      </c>
      <c r="B25" s="119">
        <f ca="1">B24*(1-$E$8/$E$9)/($B$12-$E$8)</f>
        <v>5113720.1329653328</v>
      </c>
    </row>
    <row r="26" spans="1:16" x14ac:dyDescent="0.25">
      <c r="A26" t="s">
        <v>574</v>
      </c>
      <c r="B26" s="140">
        <f ca="1">1/(1+$B$12)^10</f>
        <v>0.3973224234493053</v>
      </c>
    </row>
    <row r="27" spans="1:16" x14ac:dyDescent="0.25">
      <c r="A27" t="s">
        <v>580</v>
      </c>
      <c r="B27" s="119">
        <f ca="1">B25*B26</f>
        <v>2031795.6760712897</v>
      </c>
    </row>
    <row r="28" spans="1:16" x14ac:dyDescent="0.25">
      <c r="A28" t="s">
        <v>607</v>
      </c>
      <c r="B28" s="134">
        <f ca="1">B27/(B19+B27)</f>
        <v>0.70049118621360684</v>
      </c>
    </row>
    <row r="29" spans="1:16" x14ac:dyDescent="0.25">
      <c r="A29" t="s">
        <v>606</v>
      </c>
      <c r="B29" s="140">
        <f ca="1">(1+$B$12)^0.5</f>
        <v>1.0472318597587775</v>
      </c>
    </row>
    <row r="30" spans="1:16" x14ac:dyDescent="0.25">
      <c r="A30" s="24" t="s">
        <v>581</v>
      </c>
      <c r="B30" s="24"/>
      <c r="C30" s="24"/>
      <c r="D30" s="24"/>
      <c r="E30" s="24"/>
      <c r="F30" s="24"/>
    </row>
    <row r="31" spans="1:16" x14ac:dyDescent="0.25">
      <c r="A31" s="9" t="s">
        <v>582</v>
      </c>
      <c r="B31" s="147">
        <f ca="1">(B19+B27)*B29</f>
        <v>3037527.3898923015</v>
      </c>
    </row>
    <row r="32" spans="1:16" x14ac:dyDescent="0.25">
      <c r="A32" t="s">
        <v>832</v>
      </c>
      <c r="B32" s="109">
        <f>'AAPL - Reconciliation FY'!B35</f>
        <v>27610.78</v>
      </c>
    </row>
    <row r="33" spans="1:3" x14ac:dyDescent="0.25">
      <c r="A33" t="s">
        <v>833</v>
      </c>
      <c r="B33" s="109">
        <f>'AAPL - Reconciliation FY'!B40-'AAPL - Reconciliation FY'!B35</f>
        <v>117263</v>
      </c>
    </row>
    <row r="34" spans="1:3" x14ac:dyDescent="0.25">
      <c r="A34" t="s">
        <v>583</v>
      </c>
      <c r="B34" s="109">
        <f>-'AAPL - Reconciliation FY'!B47</f>
        <v>-112377</v>
      </c>
    </row>
    <row r="35" spans="1:3" x14ac:dyDescent="0.25">
      <c r="A35" t="s">
        <v>911</v>
      </c>
      <c r="B35" s="109">
        <f>-WACC!C36</f>
        <v>-13720</v>
      </c>
    </row>
    <row r="36" spans="1:3" x14ac:dyDescent="0.25">
      <c r="A36" t="s">
        <v>584</v>
      </c>
      <c r="B36" s="109">
        <f>-'AAPL - Reconciliation FY'!B49</f>
        <v>0</v>
      </c>
    </row>
    <row r="37" spans="1:3" x14ac:dyDescent="0.25">
      <c r="A37" t="s">
        <v>791</v>
      </c>
      <c r="B37" s="165">
        <v>-21800</v>
      </c>
    </row>
    <row r="38" spans="1:3" x14ac:dyDescent="0.25">
      <c r="A38" s="9" t="s">
        <v>585</v>
      </c>
      <c r="B38" s="147">
        <f ca="1">SUM(B31:B37)</f>
        <v>3034504.1698923013</v>
      </c>
    </row>
    <row r="39" spans="1:3" x14ac:dyDescent="0.25">
      <c r="A39" t="s">
        <v>586</v>
      </c>
      <c r="B39" s="109">
        <f ca="1">WACC!C33</f>
        <v>14594.18</v>
      </c>
    </row>
    <row r="40" spans="1:3" x14ac:dyDescent="0.25">
      <c r="A40" s="9" t="s">
        <v>587</v>
      </c>
      <c r="B40" s="147">
        <f ca="1">B38/B39</f>
        <v>207.92563678756198</v>
      </c>
    </row>
    <row r="41" spans="1:3" x14ac:dyDescent="0.25">
      <c r="A41" t="s">
        <v>588</v>
      </c>
      <c r="B41" s="109">
        <f ca="1">WACC!C32</f>
        <v>305.93</v>
      </c>
    </row>
    <row r="42" spans="1:3" x14ac:dyDescent="0.25">
      <c r="A42" t="s">
        <v>589</v>
      </c>
      <c r="B42" s="134">
        <f ca="1">B40/B41-1</f>
        <v>-0.32034897921889982</v>
      </c>
    </row>
    <row r="44" spans="1:3" x14ac:dyDescent="0.25">
      <c r="A44" s="33" t="s">
        <v>610</v>
      </c>
      <c r="B44" s="171">
        <f ca="1">'Ticker Sheet'!C1</f>
        <v>35.125399999999999</v>
      </c>
    </row>
    <row r="45" spans="1:3" x14ac:dyDescent="0.25">
      <c r="A45" s="33" t="s">
        <v>611</v>
      </c>
      <c r="B45" s="172">
        <f ca="1">B44*B40/B41</f>
        <v>23.873013965344455</v>
      </c>
    </row>
    <row r="47" spans="1:3" x14ac:dyDescent="0.25">
      <c r="A47" s="24" t="s">
        <v>618</v>
      </c>
      <c r="B47" s="24" t="s">
        <v>590</v>
      </c>
      <c r="C47" s="24" t="s">
        <v>620</v>
      </c>
    </row>
    <row r="48" spans="1:3" x14ac:dyDescent="0.25">
      <c r="A48" t="s">
        <v>582</v>
      </c>
      <c r="B48" s="135">
        <f>0</f>
        <v>0</v>
      </c>
      <c r="C48" s="135">
        <f ca="1">B31</f>
        <v>3037527.3898923015</v>
      </c>
    </row>
    <row r="49" spans="1:3" x14ac:dyDescent="0.25">
      <c r="A49" t="s">
        <v>245</v>
      </c>
      <c r="B49" s="135">
        <f ca="1">B31</f>
        <v>3037527.3898923015</v>
      </c>
      <c r="C49" s="135">
        <f>B32</f>
        <v>27610.78</v>
      </c>
    </row>
    <row r="50" spans="1:3" x14ac:dyDescent="0.25">
      <c r="A50" t="s">
        <v>834</v>
      </c>
      <c r="B50" s="135">
        <f ca="1">B31+B32</f>
        <v>3065138.1698923013</v>
      </c>
      <c r="C50" s="135">
        <f>B33</f>
        <v>117263</v>
      </c>
    </row>
    <row r="51" spans="1:3" x14ac:dyDescent="0.25">
      <c r="A51" t="s">
        <v>255</v>
      </c>
      <c r="B51" s="135">
        <f ca="1">B31+B32+B33+B34</f>
        <v>3070024.1698923013</v>
      </c>
      <c r="C51" s="135">
        <f>-B34</f>
        <v>112377</v>
      </c>
    </row>
    <row r="52" spans="1:3" x14ac:dyDescent="0.25">
      <c r="A52" t="s">
        <v>912</v>
      </c>
      <c r="B52" s="135">
        <f ca="1">B31+B32+B33+B34+B35</f>
        <v>3056304.1698923013</v>
      </c>
      <c r="C52" s="135">
        <f>-B35</f>
        <v>13720</v>
      </c>
    </row>
    <row r="53" spans="1:3" x14ac:dyDescent="0.25">
      <c r="A53" t="s">
        <v>619</v>
      </c>
      <c r="B53" s="135">
        <f ca="1">B38</f>
        <v>3034504.1698923013</v>
      </c>
      <c r="C53" s="135">
        <f>-(B36+B37)</f>
        <v>21800</v>
      </c>
    </row>
    <row r="54" spans="1:3" x14ac:dyDescent="0.25">
      <c r="A54" t="s">
        <v>585</v>
      </c>
      <c r="B54" s="135">
        <f>0</f>
        <v>0</v>
      </c>
      <c r="C54" s="135">
        <f ca="1">B38</f>
        <v>3034504.1698923013</v>
      </c>
    </row>
    <row r="69" spans="1:16" x14ac:dyDescent="0.25">
      <c r="A69" s="54" t="s">
        <v>827</v>
      </c>
      <c r="B69" s="54"/>
      <c r="C69" s="54"/>
      <c r="D69" s="54"/>
      <c r="E69" s="54"/>
      <c r="F69" s="54"/>
    </row>
    <row r="70" spans="1:16" x14ac:dyDescent="0.25">
      <c r="A70" s="9" t="s">
        <v>828</v>
      </c>
      <c r="B70" s="117">
        <f>$E$8+-0.01</f>
        <v>5.0300000000000004E-2</v>
      </c>
      <c r="C70" s="117">
        <f>$E$8+-0.005</f>
        <v>5.5300000000000009E-2</v>
      </c>
      <c r="D70" s="117">
        <f>$E$8+0</f>
        <v>6.0300000000000006E-2</v>
      </c>
      <c r="E70" s="117">
        <f>$E$8+0.005</f>
        <v>6.5300000000000011E-2</v>
      </c>
      <c r="F70" s="117">
        <f>$E$8+0.01</f>
        <v>7.0300000000000001E-2</v>
      </c>
    </row>
    <row r="71" spans="1:16" x14ac:dyDescent="0.25">
      <c r="A71" s="117">
        <f ca="1">$B$12+-0.015</f>
        <v>8.169456809382776E-2</v>
      </c>
      <c r="B71" s="119" cm="1">
        <f t="array" aca="1" ref="B71" ca="1">IFERROR(((SUMPRODUCT($B$16:$K$16,1/(1+$A71)^(COLUMN($B$16:$K$16)-COLUMN($B$16)+1))+$B$24*(1-B$70/$E$9)/($A71-B$70)/(1+$A71)^10)*(1+$A71)^0.5+$B$32+$B$33+$B$34+$B$35+$B$36+$B$37)/$B$39,"")</f>
        <v>261.75063279298723</v>
      </c>
      <c r="C71" s="119" cm="1">
        <f t="array" aca="1" ref="C71" ca="1">IFERROR(((SUMPRODUCT($B$16:$K$16,1/(1+$A71)^(COLUMN($B$16:$K$16)-COLUMN($B$16)+1))+$B$24*(1-C$70/$E$9)/($A71-C$70)/(1+$A71)^10)*(1+$A71)^0.5+$B$32+$B$33+$B$34+$B$35+$B$36+$B$37)/$B$39,"")</f>
        <v>297.1281219751524</v>
      </c>
      <c r="D71" s="119" cm="1">
        <f t="array" aca="1" ref="D71" ca="1">IFERROR(((SUMPRODUCT($B$16:$K$16,1/(1+$A71)^(COLUMN($B$16:$K$16)-COLUMN($B$16)+1))+$B$24*(1-D$70/$E$9)/($A71-D$70)/(1+$A71)^10)*(1+$A71)^0.5+$B$32+$B$33+$B$34+$B$35+$B$36+$B$37)/$B$39,"")</f>
        <v>349.04134538060919</v>
      </c>
      <c r="E71" s="119" cm="1">
        <f t="array" aca="1" ref="E71" ca="1">IFERROR(((SUMPRODUCT($B$16:$K$16,1/(1+$A71)^(COLUMN($B$16:$K$16)-COLUMN($B$16)+1))+$B$24*(1-E$70/$E$9)/($A71-E$70)/(1+$A71)^10)*(1+$A71)^0.5+$B$32+$B$33+$B$34+$B$35+$B$36+$B$37)/$B$39,"")</f>
        <v>432.61946115062995</v>
      </c>
      <c r="F71" s="119" cm="1">
        <f t="array" aca="1" ref="F71" ca="1">IFERROR(((SUMPRODUCT($B$16:$K$16,1/(1+$A71)^(COLUMN($B$16:$K$16)-COLUMN($B$16)+1))+$B$24*(1-F$70/$E$9)/($A71-F$70)/(1+$A71)^10)*(1+$A71)^0.5+$B$32+$B$33+$B$34+$B$35+$B$36+$B$37)/$B$39,"")</f>
        <v>589.54666315349596</v>
      </c>
    </row>
    <row r="72" spans="1:16" x14ac:dyDescent="0.25">
      <c r="A72" s="117">
        <f ca="1">$B$12+-0.0075</f>
        <v>8.9194568093827753E-2</v>
      </c>
      <c r="B72" s="119" cm="1">
        <f t="array" aca="1" ref="B72" ca="1">IFERROR(((SUMPRODUCT($B$16:$K$16,1/(1+$A72)^(COLUMN($B$16:$K$16)-COLUMN($B$16)+1))+$B$24*(1-B$70/$E$9)/($A72-B$70)/(1+$A72)^10)*(1+$A72)^0.5+$B$32+$B$33+$B$34+$B$35+$B$36+$B$37)/$B$39,"")</f>
        <v>211.88407806702497</v>
      </c>
      <c r="C72" s="119" cm="1">
        <f t="array" aca="1" ref="C72" ca="1">IFERROR(((SUMPRODUCT($B$16:$K$16,1/(1+$A72)^(COLUMN($B$16:$K$16)-COLUMN($B$16)+1))+$B$24*(1-C$70/$E$9)/($A72-C$70)/(1+$A72)^10)*(1+$A72)^0.5+$B$32+$B$33+$B$34+$B$35+$B$36+$B$37)/$B$39,"")</f>
        <v>232.4782947018644</v>
      </c>
      <c r="D72" s="119" cm="1">
        <f t="array" aca="1" ref="D72" ca="1">IFERROR(((SUMPRODUCT($B$16:$K$16,1/(1+$A72)^(COLUMN($B$16:$K$16)-COLUMN($B$16)+1))+$B$24*(1-D$70/$E$9)/($A72-D$70)/(1+$A72)^10)*(1+$A72)^0.5+$B$32+$B$33+$B$34+$B$35+$B$36+$B$37)/$B$39,"")</f>
        <v>260.19987747969816</v>
      </c>
      <c r="E72" s="119" cm="1">
        <f t="array" aca="1" ref="E72" ca="1">IFERROR(((SUMPRODUCT($B$16:$K$16,1/(1+$A72)^(COLUMN($B$16:$K$16)-COLUMN($B$16)+1))+$B$24*(1-E$70/$E$9)/($A72-E$70)/(1+$A72)^10)*(1+$A72)^0.5+$B$32+$B$33+$B$34+$B$35+$B$36+$B$37)/$B$39,"")</f>
        <v>299.52308564325915</v>
      </c>
      <c r="F72" s="119" cm="1">
        <f t="array" aca="1" ref="F72" ca="1">IFERROR(((SUMPRODUCT($B$16:$K$16,1/(1+$A72)^(COLUMN($B$16:$K$16)-COLUMN($B$16)+1))+$B$24*(1-F$70/$E$9)/($A72-F$70)/(1+$A72)^10)*(1+$A72)^0.5+$B$32+$B$33+$B$34+$B$35+$B$36+$B$37)/$B$39,"")</f>
        <v>359.65820544633846</v>
      </c>
    </row>
    <row r="73" spans="1:16" x14ac:dyDescent="0.25">
      <c r="A73" s="117">
        <f ca="1">$B$12+0</f>
        <v>9.669456809382776E-2</v>
      </c>
      <c r="B73" s="119" cm="1">
        <f t="array" aca="1" ref="B73" ca="1">IFERROR(((SUMPRODUCT($B$16:$K$16,1/(1+$A73)^(COLUMN($B$16:$K$16)-COLUMN($B$16)+1))+$B$24*(1-B$70/$E$9)/($A73-B$70)/(1+$A73)^10)*(1+$A73)^0.5+$B$32+$B$33+$B$34+$B$35+$B$36+$B$37)/$B$39,"")</f>
        <v>178.13359138202151</v>
      </c>
      <c r="C73" s="119" cm="1">
        <f t="array" aca="1" ref="C73" ca="1">IFERROR(((SUMPRODUCT($B$16:$K$16,1/(1+$A73)^(COLUMN($B$16:$K$16)-COLUMN($B$16)+1))+$B$24*(1-C$70/$E$9)/($A73-C$70)/(1+$A73)^10)*(1+$A73)^0.5+$B$32+$B$33+$B$34+$B$35+$B$36+$B$37)/$B$39,"")</f>
        <v>191.23034145208717</v>
      </c>
      <c r="D73" s="173" cm="1">
        <f t="array" aca="1" ref="D73" ca="1">IFERROR(((SUMPRODUCT($B$16:$K$16,1/(1+$A73)^(COLUMN($B$16:$K$16)-COLUMN($B$16)+1))+$B$24*(1-D$70/$E$9)/($A73-D$70)/(1+$A73)^10)*(1+$A73)^0.5+$B$32+$B$33+$B$34+$B$35+$B$36+$B$37)/$B$39,"")</f>
        <v>207.92563678756198</v>
      </c>
      <c r="E73" s="119" cm="1">
        <f t="array" aca="1" ref="E73" ca="1">IFERROR(((SUMPRODUCT($B$16:$K$16,1/(1+$A73)^(COLUMN($B$16:$K$16)-COLUMN($B$16)+1))+$B$24*(1-E$70/$E$9)/($A73-E$70)/(1+$A73)^10)*(1+$A73)^0.5+$B$32+$B$33+$B$34+$B$35+$B$36+$B$37)/$B$39,"")</f>
        <v>229.9388251055357</v>
      </c>
      <c r="F73" s="119" cm="1">
        <f t="array" aca="1" ref="F73" ca="1">IFERROR(((SUMPRODUCT($B$16:$K$16,1/(1+$A73)^(COLUMN($B$16:$K$16)-COLUMN($B$16)+1))+$B$24*(1-F$70/$E$9)/($A73-F$70)/(1+$A73)^10)*(1+$A73)^0.5+$B$32+$B$33+$B$34+$B$35+$B$36+$B$37)/$B$39,"")</f>
        <v>260.29205832961304</v>
      </c>
    </row>
    <row r="74" spans="1:16" x14ac:dyDescent="0.25">
      <c r="A74" s="117">
        <f ca="1">$B$12+0.0075</f>
        <v>0.10419456809382777</v>
      </c>
      <c r="B74" s="119" cm="1">
        <f t="array" aca="1" ref="B74" ca="1">IFERROR(((SUMPRODUCT($B$16:$K$16,1/(1+$A74)^(COLUMN($B$16:$K$16)-COLUMN($B$16)+1))+$B$24*(1-B$70/$E$9)/($A74-B$70)/(1+$A74)^10)*(1+$A74)^0.5+$B$32+$B$33+$B$34+$B$35+$B$36+$B$37)/$B$39,"")</f>
        <v>153.77155729390583</v>
      </c>
      <c r="C74" s="119" cm="1">
        <f t="array" aca="1" ref="C74" ca="1">IFERROR(((SUMPRODUCT($B$16:$K$16,1/(1+$A74)^(COLUMN($B$16:$K$16)-COLUMN($B$16)+1))+$B$24*(1-C$70/$E$9)/($A74-C$70)/(1+$A74)^10)*(1+$A74)^0.5+$B$32+$B$33+$B$34+$B$35+$B$36+$B$37)/$B$39,"")</f>
        <v>162.61692034654561</v>
      </c>
      <c r="D74" s="119" cm="1">
        <f t="array" aca="1" ref="D74" ca="1">IFERROR(((SUMPRODUCT($B$16:$K$16,1/(1+$A74)^(COLUMN($B$16:$K$16)-COLUMN($B$16)+1))+$B$24*(1-D$70/$E$9)/($A74-D$70)/(1+$A74)^10)*(1+$A74)^0.5+$B$32+$B$33+$B$34+$B$35+$B$36+$B$37)/$B$39,"")</f>
        <v>173.47742181761845</v>
      </c>
      <c r="E74" s="119" cm="1">
        <f t="array" aca="1" ref="E74" ca="1">IFERROR(((SUMPRODUCT($B$16:$K$16,1/(1+$A74)^(COLUMN($B$16:$K$16)-COLUMN($B$16)+1))+$B$24*(1-E$70/$E$9)/($A74-E$70)/(1+$A74)^10)*(1+$A74)^0.5+$B$32+$B$33+$B$34+$B$35+$B$36+$B$37)/$B$39,"")</f>
        <v>187.13021588977466</v>
      </c>
      <c r="F74" s="119" cm="1">
        <f t="array" aca="1" ref="F74" ca="1">IFERROR(((SUMPRODUCT($B$16:$K$16,1/(1+$A74)^(COLUMN($B$16:$K$16)-COLUMN($B$16)+1))+$B$24*(1-F$70/$E$9)/($A74-F$70)/(1+$A74)^10)*(1+$A74)^0.5+$B$32+$B$33+$B$34+$B$35+$B$36+$B$37)/$B$39,"")</f>
        <v>204.8110282669177</v>
      </c>
    </row>
    <row r="75" spans="1:16" x14ac:dyDescent="0.25">
      <c r="A75" s="117">
        <f ca="1">$B$12+0.015</f>
        <v>0.11169456809382776</v>
      </c>
      <c r="B75" s="119" cm="1">
        <f t="array" aca="1" ref="B75" ca="1">IFERROR(((SUMPRODUCT($B$16:$K$16,1/(1+$A75)^(COLUMN($B$16:$K$16)-COLUMN($B$16)+1))+$B$24*(1-B$70/$E$9)/($A75-B$70)/(1+$A75)^10)*(1+$A75)^0.5+$B$32+$B$33+$B$34+$B$35+$B$36+$B$37)/$B$39,"")</f>
        <v>135.35771072336169</v>
      </c>
      <c r="C75" s="119" cm="1">
        <f t="array" aca="1" ref="C75" ca="1">IFERROR(((SUMPRODUCT($B$16:$K$16,1/(1+$A75)^(COLUMN($B$16:$K$16)-COLUMN($B$16)+1))+$B$24*(1-C$70/$E$9)/($A75-C$70)/(1+$A75)^10)*(1+$A75)^0.5+$B$32+$B$33+$B$34+$B$35+$B$36+$B$37)/$B$39,"")</f>
        <v>141.59843434498953</v>
      </c>
      <c r="D75" s="119" cm="1">
        <f t="array" aca="1" ref="D75" ca="1">IFERROR(((SUMPRODUCT($B$16:$K$16,1/(1+$A75)^(COLUMN($B$16:$K$16)-COLUMN($B$16)+1))+$B$24*(1-D$70/$E$9)/($A75-D$70)/(1+$A75)^10)*(1+$A75)^0.5+$B$32+$B$33+$B$34+$B$35+$B$36+$B$37)/$B$39,"")</f>
        <v>149.05343485483539</v>
      </c>
      <c r="E75" s="119" cm="1">
        <f t="array" aca="1" ref="E75" ca="1">IFERROR(((SUMPRODUCT($B$16:$K$16,1/(1+$A75)^(COLUMN($B$16:$K$16)-COLUMN($B$16)+1))+$B$24*(1-E$70/$E$9)/($A75-E$70)/(1+$A75)^10)*(1+$A75)^0.5+$B$32+$B$33+$B$34+$B$35+$B$36+$B$37)/$B$39,"")</f>
        <v>158.11530462031672</v>
      </c>
      <c r="F75" s="119" cm="1">
        <f t="array" aca="1" ref="F75" ca="1">IFERROR(((SUMPRODUCT($B$16:$K$16,1/(1+$A75)^(COLUMN($B$16:$K$16)-COLUMN($B$16)+1))+$B$24*(1-F$70/$E$9)/($A75-F$70)/(1+$A75)^10)*(1+$A75)^0.5+$B$32+$B$33+$B$34+$B$35+$B$36+$B$37)/$B$39,"")</f>
        <v>169.3663190448124</v>
      </c>
    </row>
    <row r="78" spans="1:16" x14ac:dyDescent="0.25">
      <c r="A78" s="67" t="s">
        <v>961</v>
      </c>
    </row>
    <row r="79" spans="1:16" x14ac:dyDescent="0.25">
      <c r="A79" t="s">
        <v>573</v>
      </c>
      <c r="B79" s="174">
        <f t="shared" ref="B79:K79" si="1">B15</f>
        <v>46292</v>
      </c>
      <c r="C79" s="174">
        <f t="shared" si="1"/>
        <v>46657</v>
      </c>
      <c r="D79" s="174">
        <f t="shared" si="1"/>
        <v>47023</v>
      </c>
      <c r="E79" s="174">
        <f t="shared" si="1"/>
        <v>47388</v>
      </c>
      <c r="F79" s="174">
        <f t="shared" si="1"/>
        <v>47753</v>
      </c>
      <c r="G79" s="174">
        <f t="shared" si="1"/>
        <v>48118</v>
      </c>
      <c r="H79" s="174">
        <f t="shared" si="1"/>
        <v>48484</v>
      </c>
      <c r="I79" s="174">
        <f t="shared" si="1"/>
        <v>48849</v>
      </c>
      <c r="J79" s="174">
        <f t="shared" si="1"/>
        <v>49214</v>
      </c>
      <c r="K79" s="174">
        <f t="shared" si="1"/>
        <v>49579</v>
      </c>
      <c r="L79" s="98"/>
      <c r="M79" s="98"/>
      <c r="N79" s="98"/>
      <c r="O79" s="98"/>
      <c r="P79" s="98"/>
    </row>
    <row r="80" spans="1:16" x14ac:dyDescent="0.25">
      <c r="A80" t="s">
        <v>259</v>
      </c>
      <c r="B80" s="80">
        <f>'AAPL Forecast'!B67</f>
        <v>111995.28796563728</v>
      </c>
      <c r="C80" s="80">
        <f>'AAPL Forecast'!C67</f>
        <v>118844.55939153548</v>
      </c>
      <c r="D80" s="80">
        <f>'AAPL Forecast'!D67</f>
        <v>126037.69740486331</v>
      </c>
      <c r="E80" s="80">
        <f>'AAPL Forecast'!E67</f>
        <v>133586.64712697855</v>
      </c>
      <c r="F80" s="80">
        <f>'AAPL Forecast'!F67</f>
        <v>141503.40965325071</v>
      </c>
      <c r="G80" s="80">
        <f>'AAPL Forecast'!B115</f>
        <v>150744.97210642567</v>
      </c>
      <c r="H80" s="80">
        <f>'AAPL Forecast'!C115</f>
        <v>159929.10953200966</v>
      </c>
      <c r="I80" s="80">
        <f>'AAPL Forecast'!D115</f>
        <v>169572.83483678987</v>
      </c>
      <c r="J80" s="80">
        <f>'AAPL Forecast'!E115</f>
        <v>179798.07677744832</v>
      </c>
      <c r="K80" s="80">
        <f>'AAPL Forecast'!F115</f>
        <v>190639.90080712843</v>
      </c>
      <c r="L80" s="35"/>
      <c r="M80" s="35"/>
      <c r="N80" s="35"/>
      <c r="O80" s="35"/>
      <c r="P80" s="35"/>
    </row>
    <row r="81" spans="1:16" x14ac:dyDescent="0.25">
      <c r="A81" t="s">
        <v>962</v>
      </c>
      <c r="B81" s="80">
        <f>'AAPL Forecast'!B64</f>
        <v>56395.628075954795</v>
      </c>
      <c r="C81" s="80">
        <f>'AAPL Forecast'!C64</f>
        <v>57757.424188438992</v>
      </c>
      <c r="D81" s="80">
        <f>'AAPL Forecast'!D64</f>
        <v>59027.616892122845</v>
      </c>
      <c r="E81" s="80">
        <f>'AAPL Forecast'!E64</f>
        <v>60191.19439056093</v>
      </c>
      <c r="F81" s="80">
        <f>'AAPL Forecast'!F64</f>
        <v>61232.09184773139</v>
      </c>
      <c r="G81" s="80">
        <f>'AAPL Forecast'!B116</f>
        <v>65000.927100959256</v>
      </c>
      <c r="H81" s="80">
        <f>'AAPL Forecast'!C116</f>
        <v>68961.108584585207</v>
      </c>
      <c r="I81" s="80">
        <f>'AAPL Forecast'!D116</f>
        <v>73119.463432235701</v>
      </c>
      <c r="J81" s="80">
        <f>'AAPL Forecast'!E116</f>
        <v>77528.567077199506</v>
      </c>
      <c r="K81" s="80">
        <f>'AAPL Forecast'!F116</f>
        <v>82203.539671954641</v>
      </c>
      <c r="L81" s="35"/>
      <c r="M81" s="35"/>
      <c r="N81" s="35"/>
      <c r="O81" s="35"/>
      <c r="P81" s="35"/>
    </row>
    <row r="82" spans="1:16" x14ac:dyDescent="0.25">
      <c r="A82" t="s">
        <v>963</v>
      </c>
      <c r="B82" s="80">
        <f>'AAPL - Reconciliation FY'!B32</f>
        <v>54956.22</v>
      </c>
      <c r="C82" s="135">
        <f t="shared" ref="C82:K82" si="2">B81</f>
        <v>56395.628075954795</v>
      </c>
      <c r="D82" s="135">
        <f t="shared" si="2"/>
        <v>57757.424188438992</v>
      </c>
      <c r="E82" s="135">
        <f t="shared" si="2"/>
        <v>59027.616892122845</v>
      </c>
      <c r="F82" s="135">
        <f t="shared" si="2"/>
        <v>60191.19439056093</v>
      </c>
      <c r="G82" s="135">
        <f t="shared" si="2"/>
        <v>61232.09184773139</v>
      </c>
      <c r="H82" s="135">
        <f t="shared" si="2"/>
        <v>65000.927100959256</v>
      </c>
      <c r="I82" s="135">
        <f t="shared" si="2"/>
        <v>68961.108584585207</v>
      </c>
      <c r="J82" s="135">
        <f t="shared" si="2"/>
        <v>73119.463432235701</v>
      </c>
      <c r="K82" s="135">
        <f t="shared" si="2"/>
        <v>77528.567077199506</v>
      </c>
      <c r="L82" s="35"/>
      <c r="M82" s="35"/>
      <c r="N82" s="35"/>
      <c r="O82" s="35"/>
      <c r="P82" s="35"/>
    </row>
    <row r="83" spans="1:16" x14ac:dyDescent="0.25">
      <c r="A83" t="s">
        <v>964</v>
      </c>
      <c r="B83" s="135">
        <f t="shared" ref="B83:K83" ca="1" si="3">-$B$12*B82</f>
        <v>-5313.967956969379</v>
      </c>
      <c r="C83" s="135">
        <f t="shared" ca="1" si="3"/>
        <v>-5453.1508991845958</v>
      </c>
      <c r="D83" s="135">
        <f t="shared" ca="1" si="3"/>
        <v>-5584.8291861131083</v>
      </c>
      <c r="E83" s="135">
        <f t="shared" ca="1" si="3"/>
        <v>-5707.6499209917502</v>
      </c>
      <c r="F83" s="135">
        <f t="shared" ca="1" si="3"/>
        <v>-5820.1615446469177</v>
      </c>
      <c r="G83" s="135">
        <f t="shared" ca="1" si="3"/>
        <v>-5920.8106746979784</v>
      </c>
      <c r="H83" s="135">
        <f t="shared" ca="1" si="3"/>
        <v>-6285.2365717256389</v>
      </c>
      <c r="I83" s="135">
        <f t="shared" ca="1" si="3"/>
        <v>-6668.1646098580241</v>
      </c>
      <c r="J83" s="135">
        <f t="shared" ca="1" si="3"/>
        <v>-7070.2549358324641</v>
      </c>
      <c r="K83" s="135">
        <f t="shared" ca="1" si="3"/>
        <v>-7496.5913084631611</v>
      </c>
      <c r="L83" s="35"/>
      <c r="M83" s="35"/>
      <c r="N83" s="35"/>
      <c r="O83" s="35"/>
      <c r="P83" s="35"/>
    </row>
    <row r="84" spans="1:16" x14ac:dyDescent="0.25">
      <c r="A84" t="s">
        <v>965</v>
      </c>
      <c r="B84" s="135">
        <f t="shared" ref="B84:K84" ca="1" si="4">B80+B83</f>
        <v>106681.3200086679</v>
      </c>
      <c r="C84" s="135">
        <f t="shared" ca="1" si="4"/>
        <v>113391.40849235089</v>
      </c>
      <c r="D84" s="135">
        <f t="shared" ca="1" si="4"/>
        <v>120452.8682187502</v>
      </c>
      <c r="E84" s="135">
        <f t="shared" ca="1" si="4"/>
        <v>127878.9972059868</v>
      </c>
      <c r="F84" s="135">
        <f t="shared" ca="1" si="4"/>
        <v>135683.24810860379</v>
      </c>
      <c r="G84" s="135">
        <f t="shared" ca="1" si="4"/>
        <v>144824.1614317277</v>
      </c>
      <c r="H84" s="135">
        <f t="shared" ca="1" si="4"/>
        <v>153643.87296028403</v>
      </c>
      <c r="I84" s="135">
        <f t="shared" ca="1" si="4"/>
        <v>162904.67022693186</v>
      </c>
      <c r="J84" s="135">
        <f t="shared" ca="1" si="4"/>
        <v>172727.82184161586</v>
      </c>
      <c r="K84" s="135">
        <f t="shared" ca="1" si="4"/>
        <v>183143.30949866527</v>
      </c>
      <c r="L84" s="35"/>
      <c r="M84" s="35"/>
      <c r="N84" s="35"/>
      <c r="O84" s="35"/>
      <c r="P84" s="35"/>
    </row>
    <row r="85" spans="1:16" x14ac:dyDescent="0.25">
      <c r="A85" t="s">
        <v>574</v>
      </c>
      <c r="B85" s="140">
        <f t="shared" ref="B85:K85" ca="1" si="5">B17</f>
        <v>0.91183090451346605</v>
      </c>
      <c r="C85" s="140">
        <f t="shared" ca="1" si="5"/>
        <v>0.83143559842584569</v>
      </c>
      <c r="D85" s="140">
        <f t="shared" ca="1" si="5"/>
        <v>0.75812867375733384</v>
      </c>
      <c r="E85" s="140">
        <f t="shared" ca="1" si="5"/>
        <v>0.69128515432974413</v>
      </c>
      <c r="F85" s="140">
        <f t="shared" ca="1" si="5"/>
        <v>0.63033516754922159</v>
      </c>
      <c r="G85" s="140">
        <f t="shared" ca="1" si="5"/>
        <v>0.57475908597305392</v>
      </c>
      <c r="H85" s="140">
        <f t="shared" ca="1" si="5"/>
        <v>0.52408309724014279</v>
      </c>
      <c r="I85" s="140">
        <f t="shared" ca="1" si="5"/>
        <v>0.47787516459669821</v>
      </c>
      <c r="J85" s="140">
        <f t="shared" ca="1" si="5"/>
        <v>0.43574134357872879</v>
      </c>
      <c r="K85" s="140">
        <f t="shared" ca="1" si="5"/>
        <v>0.3973224234493053</v>
      </c>
      <c r="L85" s="51"/>
      <c r="M85" s="51"/>
      <c r="N85" s="51"/>
      <c r="O85" s="51"/>
      <c r="P85" s="51"/>
    </row>
    <row r="86" spans="1:16" x14ac:dyDescent="0.25">
      <c r="A86" t="s">
        <v>966</v>
      </c>
      <c r="B86" s="135">
        <f t="shared" ref="B86:K86" ca="1" si="6">B84*B85</f>
        <v>97275.324518194175</v>
      </c>
      <c r="C86" s="135">
        <f t="shared" ca="1" si="6"/>
        <v>94277.65357618728</v>
      </c>
      <c r="D86" s="135">
        <f t="shared" ca="1" si="6"/>
        <v>91318.773232947991</v>
      </c>
      <c r="E86" s="135">
        <f t="shared" ca="1" si="6"/>
        <v>88400.8523190735</v>
      </c>
      <c r="F86" s="135">
        <f t="shared" ca="1" si="6"/>
        <v>85525.922930159373</v>
      </c>
      <c r="G86" s="135">
        <f t="shared" ca="1" si="6"/>
        <v>83239.002651313815</v>
      </c>
      <c r="H86" s="135">
        <f t="shared" ca="1" si="6"/>
        <v>80522.156812996676</v>
      </c>
      <c r="I86" s="135">
        <f t="shared" ca="1" si="6"/>
        <v>77848.096098265902</v>
      </c>
      <c r="J86" s="135">
        <f t="shared" ca="1" si="6"/>
        <v>75264.653162692994</v>
      </c>
      <c r="K86" s="135">
        <f t="shared" ca="1" si="6"/>
        <v>72766.943568535862</v>
      </c>
      <c r="L86" s="35"/>
      <c r="M86" s="35"/>
      <c r="N86" s="35"/>
      <c r="O86" s="35"/>
      <c r="P86" s="35"/>
    </row>
    <row r="87" spans="1:16" x14ac:dyDescent="0.25">
      <c r="A87" t="s">
        <v>576</v>
      </c>
      <c r="B87" s="135">
        <f ca="1">SUM(B86:K86)</f>
        <v>846439.37887036765</v>
      </c>
    </row>
    <row r="89" spans="1:16" x14ac:dyDescent="0.25">
      <c r="A89" s="67" t="s">
        <v>1593</v>
      </c>
    </row>
    <row r="90" spans="1:16" x14ac:dyDescent="0.25">
      <c r="A90" t="s">
        <v>1594</v>
      </c>
      <c r="B90" s="135">
        <f>$B$24</f>
        <v>202135.48682579829</v>
      </c>
    </row>
    <row r="91" spans="1:16" x14ac:dyDescent="0.25">
      <c r="A91" t="s">
        <v>1595</v>
      </c>
      <c r="B91" s="135">
        <f>K81</f>
        <v>82203.539671954641</v>
      </c>
    </row>
    <row r="92" spans="1:16" x14ac:dyDescent="0.25">
      <c r="A92" t="s">
        <v>967</v>
      </c>
      <c r="B92" s="135">
        <f ca="1">B90-$B$12*B91</f>
        <v>194186.85106143481</v>
      </c>
    </row>
    <row r="93" spans="1:16" x14ac:dyDescent="0.25">
      <c r="A93" t="s">
        <v>968</v>
      </c>
      <c r="B93" s="135">
        <f ca="1">B92/$B$12+(B90*($E$8/$E$9)*($E$9-$B$12))/($B$12*($B$12-$E$8))</f>
        <v>5031516.5932933781</v>
      </c>
    </row>
    <row r="94" spans="1:16" x14ac:dyDescent="0.25">
      <c r="A94" t="s">
        <v>969</v>
      </c>
      <c r="B94" s="135">
        <f ca="1">B93*$B$26</f>
        <v>1999134.3664727176</v>
      </c>
    </row>
    <row r="96" spans="1:16" x14ac:dyDescent="0.25">
      <c r="A96" s="67" t="s">
        <v>970</v>
      </c>
    </row>
    <row r="97" spans="1:2" x14ac:dyDescent="0.25">
      <c r="A97" t="s">
        <v>971</v>
      </c>
      <c r="B97" s="80">
        <f>'AAPL - Reconciliation FY'!B32</f>
        <v>54956.22</v>
      </c>
    </row>
    <row r="98" spans="1:2" x14ac:dyDescent="0.25">
      <c r="A98" t="s">
        <v>972</v>
      </c>
      <c r="B98" s="135">
        <f ca="1">B87</f>
        <v>846439.37887036765</v>
      </c>
    </row>
    <row r="99" spans="1:2" x14ac:dyDescent="0.25">
      <c r="A99" t="s">
        <v>969</v>
      </c>
      <c r="B99" s="135">
        <f ca="1">B94</f>
        <v>1999134.3664727176</v>
      </c>
    </row>
    <row r="100" spans="1:2" x14ac:dyDescent="0.25">
      <c r="A100" t="s">
        <v>973</v>
      </c>
      <c r="B100" s="135">
        <f ca="1">SUM(B97:B99)</f>
        <v>2900529.9653430851</v>
      </c>
    </row>
    <row r="101" spans="1:2" x14ac:dyDescent="0.25">
      <c r="A101" t="s">
        <v>974</v>
      </c>
      <c r="B101" s="135">
        <f ca="1">B19+B27</f>
        <v>2900529.9653430851</v>
      </c>
    </row>
    <row r="102" spans="1:2" x14ac:dyDescent="0.25">
      <c r="A102" t="s">
        <v>975</v>
      </c>
      <c r="B102" s="135">
        <f ca="1">B100-B101</f>
        <v>0</v>
      </c>
    </row>
    <row r="103" spans="1:2" x14ac:dyDescent="0.25">
      <c r="A103" t="s">
        <v>976</v>
      </c>
      <c r="B103" s="133" t="str">
        <f ca="1">IF(ABS(B102)&lt;MAX(1,ABS(B101)*0.0001),"OK - methods agree","MISMATCH - investigate")</f>
        <v>OK - methods agree</v>
      </c>
    </row>
    <row r="105" spans="1:2" x14ac:dyDescent="0.25">
      <c r="A105" s="67" t="s">
        <v>977</v>
      </c>
    </row>
    <row r="106" spans="1:2" x14ac:dyDescent="0.25">
      <c r="A106" t="s">
        <v>1016</v>
      </c>
      <c r="B106" s="111">
        <f>IFERROR(J16/I16-1,"n/a")</f>
        <v>6.0300000000000464E-2</v>
      </c>
    </row>
    <row r="107" spans="1:2" x14ac:dyDescent="0.25">
      <c r="A107" t="s">
        <v>1017</v>
      </c>
      <c r="B107" s="111">
        <f>IFERROR(K16/J16-1,"n/a")</f>
        <v>6.0299999999999576E-2</v>
      </c>
    </row>
    <row r="108" spans="1:2" x14ac:dyDescent="0.25">
      <c r="A108" t="s">
        <v>978</v>
      </c>
      <c r="B108" s="111">
        <f>IFERROR(B107-B106,"n/a")</f>
        <v>-8.8817841970012523E-16</v>
      </c>
    </row>
    <row r="109" spans="1:2" x14ac:dyDescent="0.25">
      <c r="A109" t="s">
        <v>1018</v>
      </c>
      <c r="B109" s="79">
        <f>'AAPL Forecast'!F111</f>
        <v>6.0300000000000006E-2</v>
      </c>
    </row>
    <row r="110" spans="1:2" x14ac:dyDescent="0.25">
      <c r="A110" t="s">
        <v>979</v>
      </c>
      <c r="B110" s="111">
        <f>$E$8</f>
        <v>6.0300000000000006E-2</v>
      </c>
    </row>
    <row r="111" spans="1:2" x14ac:dyDescent="0.25">
      <c r="A111" t="s">
        <v>980</v>
      </c>
      <c r="B111" s="111">
        <f>B109-B110</f>
        <v>0</v>
      </c>
    </row>
    <row r="112" spans="1:2" x14ac:dyDescent="0.25">
      <c r="A112" t="s">
        <v>1019</v>
      </c>
      <c r="B112" s="111">
        <f>IFERROR(J80/J82,"n/a")</f>
        <v>2.4589632956494305</v>
      </c>
    </row>
    <row r="113" spans="1:6" x14ac:dyDescent="0.25">
      <c r="A113" t="s">
        <v>1020</v>
      </c>
      <c r="B113" s="111">
        <f>IFERROR(K80/K82,"n/a")</f>
        <v>2.4589632956494305</v>
      </c>
    </row>
    <row r="114" spans="1:6" x14ac:dyDescent="0.25">
      <c r="A114" t="s">
        <v>978</v>
      </c>
      <c r="B114" s="111">
        <f>IFERROR(B113-B112,"n/a")</f>
        <v>0</v>
      </c>
    </row>
    <row r="115" spans="1:6" x14ac:dyDescent="0.25">
      <c r="A115" t="s">
        <v>976</v>
      </c>
      <c r="B115" s="133" t="str">
        <f>IF(AND(ABS(B108)&lt;0.005,ABS(B111)&lt;0.005,ABS(B114)&lt;0.005),"OK - steady state reached","NOT STEADY - see notes")</f>
        <v>OK - steady state reached</v>
      </c>
    </row>
    <row r="118" spans="1:6" x14ac:dyDescent="0.25">
      <c r="A118" s="67" t="s">
        <v>1602</v>
      </c>
    </row>
    <row r="119" spans="1:6" x14ac:dyDescent="0.25">
      <c r="A119" t="s">
        <v>1603</v>
      </c>
      <c r="B119" s="28">
        <f>$E$9*0.6</f>
        <v>0.45639851535347042</v>
      </c>
      <c r="C119" s="28">
        <f>$E$9*0.8</f>
        <v>0.60853135380462731</v>
      </c>
      <c r="D119" s="28">
        <f>$E$9*1</f>
        <v>0.76066419225578408</v>
      </c>
      <c r="E119" s="28">
        <f>$E$9*1.2</f>
        <v>0.91279703070694085</v>
      </c>
      <c r="F119" s="28">
        <f>$E$9*1.4</f>
        <v>1.0649298691580977</v>
      </c>
    </row>
    <row r="120" spans="1:6" x14ac:dyDescent="0.25">
      <c r="A120" s="3">
        <f ca="1">$B$12+-0.015</f>
        <v>8.169456809382776E-2</v>
      </c>
      <c r="B120" s="26" cm="1">
        <f t="array" aca="1" ref="B120" ca="1">IFERROR(((SUMPRODUCT($B$16:$K$16,1/(1+$A120)^(COLUMN($B$16:$K$16)-COLUMN($B$16)+1))+$B$24*(1-$E$8/B$119)/($A120-$E$8)/(1+$A120)^10)*(1+$A120)^0.5+$B$32+$B$33+$B$34+$B$35+$B$36+$B$37)/$B$39,"")</f>
        <v>332.81583900517023</v>
      </c>
      <c r="C120" s="26" cm="1">
        <f t="array" aca="1" ref="C120" ca="1">IFERROR(((SUMPRODUCT($B$16:$K$16,1/(1+$A120)^(COLUMN($B$16:$K$16)-COLUMN($B$16)+1))+$B$24*(1-$E$8/C$119)/($A120-$E$8)/(1+$A120)^10)*(1+$A120)^0.5+$B$32+$B$33+$B$34+$B$35+$B$36+$B$37)/$B$39,"")</f>
        <v>342.95678048981961</v>
      </c>
      <c r="D120" s="26" cm="1">
        <f t="array" aca="1" ref="D120" ca="1">IFERROR(((SUMPRODUCT($B$16:$K$16,1/(1+$A120)^(COLUMN($B$16:$K$16)-COLUMN($B$16)+1))+$B$24*(1-$E$8/D$119)/($A120-$E$8)/(1+$A120)^10)*(1+$A120)^0.5+$B$32+$B$33+$B$34+$B$35+$B$36+$B$37)/$B$39,"")</f>
        <v>349.04134538060919</v>
      </c>
      <c r="E120" s="26" cm="1">
        <f t="array" aca="1" ref="E120" ca="1">IFERROR(((SUMPRODUCT($B$16:$K$16,1/(1+$A120)^(COLUMN($B$16:$K$16)-COLUMN($B$16)+1))+$B$24*(1-$E$8/E$119)/($A120-$E$8)/(1+$A120)^10)*(1+$A120)^0.5+$B$32+$B$33+$B$34+$B$35+$B$36+$B$37)/$B$39,"")</f>
        <v>353.09772197446893</v>
      </c>
      <c r="F120" s="26" cm="1">
        <f t="array" aca="1" ref="F120" ca="1">IFERROR(((SUMPRODUCT($B$16:$K$16,1/(1+$A120)^(COLUMN($B$16:$K$16)-COLUMN($B$16)+1))+$B$24*(1-$E$8/F$119)/($A120-$E$8)/(1+$A120)^10)*(1+$A120)^0.5+$B$32+$B$33+$B$34+$B$35+$B$36+$B$37)/$B$39,"")</f>
        <v>355.99513382722586</v>
      </c>
    </row>
    <row r="121" spans="1:6" x14ac:dyDescent="0.25">
      <c r="A121" s="3">
        <f ca="1">$B$12+-0.0075</f>
        <v>8.9194568093827753E-2</v>
      </c>
      <c r="B121" s="26" cm="1">
        <f t="array" aca="1" ref="B121" ca="1">IFERROR(((SUMPRODUCT($B$16:$K$16,1/(1+$A121)^(COLUMN($B$16:$K$16)-COLUMN($B$16)+1))+$B$24*(1-$E$8/B$119)/($A121-$E$8)/(1+$A121)^10)*(1+$A121)^0.5+$B$32+$B$33+$B$34+$B$35+$B$36+$B$37)/$B$39,"")</f>
        <v>248.94922253981227</v>
      </c>
      <c r="C121" s="26" cm="1">
        <f t="array" aca="1" ref="C121" ca="1">IFERROR(((SUMPRODUCT($B$16:$K$16,1/(1+$A121)^(COLUMN($B$16:$K$16)-COLUMN($B$16)+1))+$B$24*(1-$E$8/C$119)/($A121-$E$8)/(1+$A121)^10)*(1+$A121)^0.5+$B$32+$B$33+$B$34+$B$35+$B$36+$B$37)/$B$39,"")</f>
        <v>255.98088187724093</v>
      </c>
      <c r="D121" s="26" cm="1">
        <f t="array" aca="1" ref="D121" ca="1">IFERROR(((SUMPRODUCT($B$16:$K$16,1/(1+$A121)^(COLUMN($B$16:$K$16)-COLUMN($B$16)+1))+$B$24*(1-$E$8/D$119)/($A121-$E$8)/(1+$A121)^10)*(1+$A121)^0.5+$B$32+$B$33+$B$34+$B$35+$B$36+$B$37)/$B$39,"")</f>
        <v>260.19987747969816</v>
      </c>
      <c r="E121" s="26" cm="1">
        <f t="array" aca="1" ref="E121" ca="1">IFERROR(((SUMPRODUCT($B$16:$K$16,1/(1+$A121)^(COLUMN($B$16:$K$16)-COLUMN($B$16)+1))+$B$24*(1-$E$8/E$119)/($A121-$E$8)/(1+$A121)^10)*(1+$A121)^0.5+$B$32+$B$33+$B$34+$B$35+$B$36+$B$37)/$B$39,"")</f>
        <v>263.01254121466962</v>
      </c>
      <c r="F121" s="26" cm="1">
        <f t="array" aca="1" ref="F121" ca="1">IFERROR(((SUMPRODUCT($B$16:$K$16,1/(1+$A121)^(COLUMN($B$16:$K$16)-COLUMN($B$16)+1))+$B$24*(1-$E$8/F$119)/($A121-$E$8)/(1+$A121)^10)*(1+$A121)^0.5+$B$32+$B$33+$B$34+$B$35+$B$36+$B$37)/$B$39,"")</f>
        <v>265.02158673964931</v>
      </c>
    </row>
    <row r="122" spans="1:6" x14ac:dyDescent="0.25">
      <c r="A122" s="3">
        <f ca="1">$B$12+0</f>
        <v>9.669456809382776E-2</v>
      </c>
      <c r="B122" s="26" cm="1">
        <f t="array" aca="1" ref="B122" ca="1">IFERROR(((SUMPRODUCT($B$16:$K$16,1/(1+$A122)^(COLUMN($B$16:$K$16)-COLUMN($B$16)+1))+$B$24*(1-$E$8/B$119)/($A122-$E$8)/(1+$A122)^10)*(1+$A122)^0.5+$B$32+$B$33+$B$34+$B$35+$B$36+$B$37)/$B$39,"")</f>
        <v>199.55718152052387</v>
      </c>
      <c r="C122" s="26" cm="1">
        <f t="array" aca="1" ref="C122" ca="1">IFERROR(((SUMPRODUCT($B$16:$K$16,1/(1+$A122)^(COLUMN($B$16:$K$16)-COLUMN($B$16)+1))+$B$24*(1-$E$8/C$119)/($A122-$E$8)/(1+$A122)^10)*(1+$A122)^0.5+$B$32+$B$33+$B$34+$B$35+$B$36+$B$37)/$B$39,"")</f>
        <v>204.78746606242274</v>
      </c>
      <c r="D122" s="235" cm="1">
        <f t="array" aca="1" ref="D122" ca="1">IFERROR(((SUMPRODUCT($B$16:$K$16,1/(1+$A122)^(COLUMN($B$16:$K$16)-COLUMN($B$16)+1))+$B$24*(1-$E$8/D$119)/($A122-$E$8)/(1+$A122)^10)*(1+$A122)^0.5+$B$32+$B$33+$B$34+$B$35+$B$36+$B$37)/$B$39,"")</f>
        <v>207.92563678756198</v>
      </c>
      <c r="E122" s="26" cm="1">
        <f t="array" aca="1" ref="E122" ca="1">IFERROR(((SUMPRODUCT($B$16:$K$16,1/(1+$A122)^(COLUMN($B$16:$K$16)-COLUMN($B$16)+1))+$B$24*(1-$E$8/E$119)/($A122-$E$8)/(1+$A122)^10)*(1+$A122)^0.5+$B$32+$B$33+$B$34+$B$35+$B$36+$B$37)/$B$39,"")</f>
        <v>210.01775060432152</v>
      </c>
      <c r="F122" s="26" cm="1">
        <f t="array" aca="1" ref="F122" ca="1">IFERROR(((SUMPRODUCT($B$16:$K$16,1/(1+$A122)^(COLUMN($B$16:$K$16)-COLUMN($B$16)+1))+$B$24*(1-$E$8/F$119)/($A122-$E$8)/(1+$A122)^10)*(1+$A122)^0.5+$B$32+$B$33+$B$34+$B$35+$B$36+$B$37)/$B$39,"")</f>
        <v>211.51211761629264</v>
      </c>
    </row>
    <row r="123" spans="1:6" x14ac:dyDescent="0.25">
      <c r="A123" s="3">
        <f ca="1">$B$12+0.0075</f>
        <v>0.10419456809382777</v>
      </c>
      <c r="B123" s="26" cm="1">
        <f t="array" aca="1" ref="B123" ca="1">IFERROR(((SUMPRODUCT($B$16:$K$16,1/(1+$A123)^(COLUMN($B$16:$K$16)-COLUMN($B$16)+1))+$B$24*(1-$E$8/B$119)/($A123-$E$8)/(1+$A123)^10)*(1+$A123)^0.5+$B$32+$B$33+$B$34+$B$35+$B$36+$B$37)/$B$39,"")</f>
        <v>166.9738505118134</v>
      </c>
      <c r="C123" s="26" cm="1">
        <f t="array" aca="1" ref="C123" ca="1">IFERROR(((SUMPRODUCT($B$16:$K$16,1/(1+$A123)^(COLUMN($B$16:$K$16)-COLUMN($B$16)+1))+$B$24*(1-$E$8/C$119)/($A123-$E$8)/(1+$A123)^10)*(1+$A123)^0.5+$B$32+$B$33+$B$34+$B$35+$B$36+$B$37)/$B$39,"")</f>
        <v>171.03858257794155</v>
      </c>
      <c r="D123" s="26" cm="1">
        <f t="array" aca="1" ref="D123" ca="1">IFERROR(((SUMPRODUCT($B$16:$K$16,1/(1+$A123)^(COLUMN($B$16:$K$16)-COLUMN($B$16)+1))+$B$24*(1-$E$8/D$119)/($A123-$E$8)/(1+$A123)^10)*(1+$A123)^0.5+$B$32+$B$33+$B$34+$B$35+$B$36+$B$37)/$B$39,"")</f>
        <v>173.47742181761845</v>
      </c>
      <c r="E123" s="26" cm="1">
        <f t="array" aca="1" ref="E123" ca="1">IFERROR(((SUMPRODUCT($B$16:$K$16,1/(1+$A123)^(COLUMN($B$16:$K$16)-COLUMN($B$16)+1))+$B$24*(1-$E$8/E$119)/($A123-$E$8)/(1+$A123)^10)*(1+$A123)^0.5+$B$32+$B$33+$B$34+$B$35+$B$36+$B$37)/$B$39,"")</f>
        <v>175.10331464406968</v>
      </c>
      <c r="F123" s="26" cm="1">
        <f t="array" aca="1" ref="F123" ca="1">IFERROR(((SUMPRODUCT($B$16:$K$16,1/(1+$A123)^(COLUMN($B$16:$K$16)-COLUMN($B$16)+1))+$B$24*(1-$E$8/F$119)/($A123-$E$8)/(1+$A123)^10)*(1+$A123)^0.5+$B$32+$B$33+$B$34+$B$35+$B$36+$B$37)/$B$39,"")</f>
        <v>176.26466666296346</v>
      </c>
    </row>
    <row r="124" spans="1:6" x14ac:dyDescent="0.25">
      <c r="A124" s="3">
        <f ca="1">$B$12+0.015</f>
        <v>0.11169456809382776</v>
      </c>
      <c r="B124" s="26" cm="1">
        <f t="array" aca="1" ref="B124" ca="1">IFERROR(((SUMPRODUCT($B$16:$K$16,1/(1+$A124)^(COLUMN($B$16:$K$16)-COLUMN($B$16)+1))+$B$24*(1-$E$8/B$119)/($A124-$E$8)/(1+$A124)^10)*(1+$A124)^0.5+$B$32+$B$33+$B$34+$B$35+$B$36+$B$37)/$B$39,"")</f>
        <v>143.84488732557801</v>
      </c>
      <c r="C124" s="26" cm="1">
        <f t="array" aca="1" ref="C124" ca="1">IFERROR(((SUMPRODUCT($B$16:$K$16,1/(1+$A124)^(COLUMN($B$16:$K$16)-COLUMN($B$16)+1))+$B$24*(1-$E$8/C$119)/($A124-$E$8)/(1+$A124)^10)*(1+$A124)^0.5+$B$32+$B$33+$B$34+$B$35+$B$36+$B$37)/$B$39,"")</f>
        <v>147.10022953136385</v>
      </c>
      <c r="D124" s="26" cm="1">
        <f t="array" aca="1" ref="D124" ca="1">IFERROR(((SUMPRODUCT($B$16:$K$16,1/(1+$A124)^(COLUMN($B$16:$K$16)-COLUMN($B$16)+1))+$B$24*(1-$E$8/D$119)/($A124-$E$8)/(1+$A124)^10)*(1+$A124)^0.5+$B$32+$B$33+$B$34+$B$35+$B$36+$B$37)/$B$39,"")</f>
        <v>149.05343485483539</v>
      </c>
      <c r="E124" s="26" cm="1">
        <f t="array" aca="1" ref="E124" ca="1">IFERROR(((SUMPRODUCT($B$16:$K$16,1/(1+$A124)^(COLUMN($B$16:$K$16)-COLUMN($B$16)+1))+$B$24*(1-$E$8/E$119)/($A124-$E$8)/(1+$A124)^10)*(1+$A124)^0.5+$B$32+$B$33+$B$34+$B$35+$B$36+$B$37)/$B$39,"")</f>
        <v>150.35557173714972</v>
      </c>
      <c r="F124" s="26" cm="1">
        <f t="array" aca="1" ref="F124" ca="1">IFERROR(((SUMPRODUCT($B$16:$K$16,1/(1+$A124)^(COLUMN($B$16:$K$16)-COLUMN($B$16)+1))+$B$24*(1-$E$8/F$119)/($A124-$E$8)/(1+$A124)^10)*(1+$A124)^0.5+$B$32+$B$33+$B$34+$B$35+$B$36+$B$37)/$B$39,"")</f>
        <v>151.2856695102314</v>
      </c>
    </row>
    <row r="127" spans="1:6" x14ac:dyDescent="0.25">
      <c r="A127" s="67" t="s">
        <v>1604</v>
      </c>
    </row>
    <row r="128" spans="1:6" x14ac:dyDescent="0.25">
      <c r="A128" t="s">
        <v>1605</v>
      </c>
      <c r="B128" s="28">
        <f>$B$22+-0.04</f>
        <v>0.2775998816542094</v>
      </c>
      <c r="C128" s="28">
        <f>$B$22+-0.02</f>
        <v>0.29759988165420936</v>
      </c>
      <c r="D128" s="28">
        <f>$B$22+0</f>
        <v>0.31759988165420938</v>
      </c>
      <c r="E128" s="28">
        <f>$B$22+0.02</f>
        <v>0.3375998816542094</v>
      </c>
      <c r="F128" s="28">
        <f>$B$22+0.04</f>
        <v>0.35759988165420936</v>
      </c>
    </row>
    <row r="129" spans="1:6" x14ac:dyDescent="0.25">
      <c r="A129" s="3">
        <f ca="1">$B$12+-0.015</f>
        <v>8.169456809382776E-2</v>
      </c>
      <c r="B129" s="26" cm="1">
        <f t="array" aca="1" ref="B129" ca="1">IFERROR(((SUMPRODUCT($B$16:$K$16,1/(1+$A129)^(COLUMN($B$16:$K$16)-COLUMN($B$16)+1))+($B$23*B$128*(1-'AAPL Forecast'!$B$2))*(1-$E$8/$E$9)/($A129-$E$8)/(1+$A129)^10)*(1+$A129)^0.5+$B$32+$B$33+$B$34+$B$35+$B$36+$B$37)/$B$39,"")</f>
        <v>313.4392303230174</v>
      </c>
      <c r="C129" s="26" cm="1">
        <f t="array" aca="1" ref="C129" ca="1">IFERROR(((SUMPRODUCT($B$16:$K$16,1/(1+$A129)^(COLUMN($B$16:$K$16)-COLUMN($B$16)+1))+($B$23*C$128*(1-'AAPL Forecast'!$B$2))*(1-$E$8/$E$9)/($A129-$E$8)/(1+$A129)^10)*(1+$A129)^0.5+$B$32+$B$33+$B$34+$B$35+$B$36+$B$37)/$B$39,"")</f>
        <v>331.24028785181326</v>
      </c>
      <c r="D129" s="26" cm="1">
        <f t="array" aca="1" ref="D129" ca="1">IFERROR(((SUMPRODUCT($B$16:$K$16,1/(1+$A129)^(COLUMN($B$16:$K$16)-COLUMN($B$16)+1))+($B$23*D$128*(1-'AAPL Forecast'!$B$2))*(1-$E$8/$E$9)/($A129-$E$8)/(1+$A129)^10)*(1+$A129)^0.5+$B$32+$B$33+$B$34+$B$35+$B$36+$B$37)/$B$39,"")</f>
        <v>349.04134538060919</v>
      </c>
      <c r="E129" s="26" cm="1">
        <f t="array" aca="1" ref="E129" ca="1">IFERROR(((SUMPRODUCT($B$16:$K$16,1/(1+$A129)^(COLUMN($B$16:$K$16)-COLUMN($B$16)+1))+($B$23*E$128*(1-'AAPL Forecast'!$B$2))*(1-$E$8/$E$9)/($A129-$E$8)/(1+$A129)^10)*(1+$A129)^0.5+$B$32+$B$33+$B$34+$B$35+$B$36+$B$37)/$B$39,"")</f>
        <v>366.84240290940517</v>
      </c>
      <c r="F129" s="26" cm="1">
        <f t="array" aca="1" ref="F129" ca="1">IFERROR(((SUMPRODUCT($B$16:$K$16,1/(1+$A129)^(COLUMN($B$16:$K$16)-COLUMN($B$16)+1))+($B$23*F$128*(1-'AAPL Forecast'!$B$2))*(1-$E$8/$E$9)/($A129-$E$8)/(1+$A129)^10)*(1+$A129)^0.5+$B$32+$B$33+$B$34+$B$35+$B$36+$B$37)/$B$39,"")</f>
        <v>384.64346043820092</v>
      </c>
    </row>
    <row r="130" spans="1:6" x14ac:dyDescent="0.25">
      <c r="A130" s="3">
        <f ca="1">$B$12+-0.0075</f>
        <v>8.9194568093827753E-2</v>
      </c>
      <c r="B130" s="26" cm="1">
        <f t="array" aca="1" ref="B130" ca="1">IFERROR(((SUMPRODUCT($B$16:$K$16,1/(1+$A130)^(COLUMN($B$16:$K$16)-COLUMN($B$16)+1))+($B$23*B$128*(1-'AAPL Forecast'!$B$2))*(1-$E$8/$E$9)/($A130-$E$8)/(1+$A130)^10)*(1+$A130)^0.5+$B$32+$B$33+$B$34+$B$35+$B$36+$B$37)/$B$39,"")</f>
        <v>235.51361485251741</v>
      </c>
      <c r="C130" s="26" cm="1">
        <f t="array" aca="1" ref="C130" ca="1">IFERROR(((SUMPRODUCT($B$16:$K$16,1/(1+$A130)^(COLUMN($B$16:$K$16)-COLUMN($B$16)+1))+($B$23*C$128*(1-'AAPL Forecast'!$B$2))*(1-$E$8/$E$9)/($A130-$E$8)/(1+$A130)^10)*(1+$A130)^0.5+$B$32+$B$33+$B$34+$B$35+$B$36+$B$37)/$B$39,"")</f>
        <v>247.85674616610777</v>
      </c>
      <c r="D130" s="26" cm="1">
        <f t="array" aca="1" ref="D130" ca="1">IFERROR(((SUMPRODUCT($B$16:$K$16,1/(1+$A130)^(COLUMN($B$16:$K$16)-COLUMN($B$16)+1))+($B$23*D$128*(1-'AAPL Forecast'!$B$2))*(1-$E$8/$E$9)/($A130-$E$8)/(1+$A130)^10)*(1+$A130)^0.5+$B$32+$B$33+$B$34+$B$35+$B$36+$B$37)/$B$39,"")</f>
        <v>260.19987747969816</v>
      </c>
      <c r="E130" s="26" cm="1">
        <f t="array" aca="1" ref="E130" ca="1">IFERROR(((SUMPRODUCT($B$16:$K$16,1/(1+$A130)^(COLUMN($B$16:$K$16)-COLUMN($B$16)+1))+($B$23*E$128*(1-'AAPL Forecast'!$B$2))*(1-$E$8/$E$9)/($A130-$E$8)/(1+$A130)^10)*(1+$A130)^0.5+$B$32+$B$33+$B$34+$B$35+$B$36+$B$37)/$B$39,"")</f>
        <v>272.54300879328855</v>
      </c>
      <c r="F130" s="26" cm="1">
        <f t="array" aca="1" ref="F130" ca="1">IFERROR(((SUMPRODUCT($B$16:$K$16,1/(1+$A130)^(COLUMN($B$16:$K$16)-COLUMN($B$16)+1))+($B$23*F$128*(1-'AAPL Forecast'!$B$2))*(1-$E$8/$E$9)/($A130-$E$8)/(1+$A130)^10)*(1+$A130)^0.5+$B$32+$B$33+$B$34+$B$35+$B$36+$B$37)/$B$39,"")</f>
        <v>284.88614010687877</v>
      </c>
    </row>
    <row r="131" spans="1:6" x14ac:dyDescent="0.25">
      <c r="A131" s="3">
        <f ca="1">$B$12+0</f>
        <v>9.669456809382776E-2</v>
      </c>
      <c r="B131" s="26" cm="1">
        <f t="array" aca="1" ref="B131" ca="1">IFERROR(((SUMPRODUCT($B$16:$K$16,1/(1+$A131)^(COLUMN($B$16:$K$16)-COLUMN($B$16)+1))+($B$23*B$128*(1-'AAPL Forecast'!$B$2))*(1-$E$8/$E$9)/($A131-$E$8)/(1+$A131)^10)*(1+$A131)^0.5+$B$32+$B$33+$B$34+$B$35+$B$36+$B$37)/$B$39,"")</f>
        <v>189.56351603905981</v>
      </c>
      <c r="C131" s="26" cm="1">
        <f t="array" aca="1" ref="C131" ca="1">IFERROR(((SUMPRODUCT($B$16:$K$16,1/(1+$A131)^(COLUMN($B$16:$K$16)-COLUMN($B$16)+1))+($B$23*C$128*(1-'AAPL Forecast'!$B$2))*(1-$E$8/$E$9)/($A131-$E$8)/(1+$A131)^10)*(1+$A131)^0.5+$B$32+$B$33+$B$34+$B$35+$B$36+$B$37)/$B$39,"")</f>
        <v>198.74457641331088</v>
      </c>
      <c r="D131" s="235" cm="1">
        <f t="array" aca="1" ref="D131" ca="1">IFERROR(((SUMPRODUCT($B$16:$K$16,1/(1+$A131)^(COLUMN($B$16:$K$16)-COLUMN($B$16)+1))+($B$23*D$128*(1-'AAPL Forecast'!$B$2))*(1-$E$8/$E$9)/($A131-$E$8)/(1+$A131)^10)*(1+$A131)^0.5+$B$32+$B$33+$B$34+$B$35+$B$36+$B$37)/$B$39,"")</f>
        <v>207.92563678756198</v>
      </c>
      <c r="E131" s="26" cm="1">
        <f t="array" aca="1" ref="E131" ca="1">IFERROR(((SUMPRODUCT($B$16:$K$16,1/(1+$A131)^(COLUMN($B$16:$K$16)-COLUMN($B$16)+1))+($B$23*E$128*(1-'AAPL Forecast'!$B$2))*(1-$E$8/$E$9)/($A131-$E$8)/(1+$A131)^10)*(1+$A131)^0.5+$B$32+$B$33+$B$34+$B$35+$B$36+$B$37)/$B$39,"")</f>
        <v>217.10669716181309</v>
      </c>
      <c r="F131" s="26" cm="1">
        <f t="array" aca="1" ref="F131" ca="1">IFERROR(((SUMPRODUCT($B$16:$K$16,1/(1+$A131)^(COLUMN($B$16:$K$16)-COLUMN($B$16)+1))+($B$23*F$128*(1-'AAPL Forecast'!$B$2))*(1-$E$8/$E$9)/($A131-$E$8)/(1+$A131)^10)*(1+$A131)^0.5+$B$32+$B$33+$B$34+$B$35+$B$36+$B$37)/$B$39,"")</f>
        <v>226.28775753606416</v>
      </c>
    </row>
    <row r="132" spans="1:6" x14ac:dyDescent="0.25">
      <c r="A132" s="3">
        <f ca="1">$B$12+0.0075</f>
        <v>0.10419456809382777</v>
      </c>
      <c r="B132" s="26" cm="1">
        <f t="array" aca="1" ref="B132" ca="1">IFERROR(((SUMPRODUCT($B$16:$K$16,1/(1+$A132)^(COLUMN($B$16:$K$16)-COLUMN($B$16)+1))+($B$23*B$128*(1-'AAPL Forecast'!$B$2))*(1-$E$8/$E$9)/($A132-$E$8)/(1+$A132)^10)*(1+$A132)^0.5+$B$32+$B$33+$B$34+$B$35+$B$36+$B$37)/$B$39,"")</f>
        <v>159.20724198119655</v>
      </c>
      <c r="C132" s="26" cm="1">
        <f t="array" aca="1" ref="C132" ca="1">IFERROR(((SUMPRODUCT($B$16:$K$16,1/(1+$A132)^(COLUMN($B$16:$K$16)-COLUMN($B$16)+1))+($B$23*C$128*(1-'AAPL Forecast'!$B$2))*(1-$E$8/$E$9)/($A132-$E$8)/(1+$A132)^10)*(1+$A132)^0.5+$B$32+$B$33+$B$34+$B$35+$B$36+$B$37)/$B$39,"")</f>
        <v>166.3423318994075</v>
      </c>
      <c r="D132" s="26" cm="1">
        <f t="array" aca="1" ref="D132" ca="1">IFERROR(((SUMPRODUCT($B$16:$K$16,1/(1+$A132)^(COLUMN($B$16:$K$16)-COLUMN($B$16)+1))+($B$23*D$128*(1-'AAPL Forecast'!$B$2))*(1-$E$8/$E$9)/($A132-$E$8)/(1+$A132)^10)*(1+$A132)^0.5+$B$32+$B$33+$B$34+$B$35+$B$36+$B$37)/$B$39,"")</f>
        <v>173.47742181761845</v>
      </c>
      <c r="E132" s="26" cm="1">
        <f t="array" aca="1" ref="E132" ca="1">IFERROR(((SUMPRODUCT($B$16:$K$16,1/(1+$A132)^(COLUMN($B$16:$K$16)-COLUMN($B$16)+1))+($B$23*E$128*(1-'AAPL Forecast'!$B$2))*(1-$E$8/$E$9)/($A132-$E$8)/(1+$A132)^10)*(1+$A132)^0.5+$B$32+$B$33+$B$34+$B$35+$B$36+$B$37)/$B$39,"")</f>
        <v>180.6125117358294</v>
      </c>
      <c r="F132" s="26" cm="1">
        <f t="array" aca="1" ref="F132" ca="1">IFERROR(((SUMPRODUCT($B$16:$K$16,1/(1+$A132)^(COLUMN($B$16:$K$16)-COLUMN($B$16)+1))+($B$23*F$128*(1-'AAPL Forecast'!$B$2))*(1-$E$8/$E$9)/($A132-$E$8)/(1+$A132)^10)*(1+$A132)^0.5+$B$32+$B$33+$B$34+$B$35+$B$36+$B$37)/$B$39,"")</f>
        <v>187.7476016540403</v>
      </c>
    </row>
    <row r="133" spans="1:6" x14ac:dyDescent="0.25">
      <c r="A133" s="3">
        <f ca="1">$B$12+0.015</f>
        <v>0.11169456809382776</v>
      </c>
      <c r="B133" s="26" cm="1">
        <f t="array" aca="1" ref="B133" ca="1">IFERROR(((SUMPRODUCT($B$16:$K$16,1/(1+$A133)^(COLUMN($B$16:$K$16)-COLUMN($B$16)+1))+($B$23*B$128*(1-'AAPL Forecast'!$B$2))*(1-$E$8/$E$9)/($A133-$E$8)/(1+$A133)^10)*(1+$A133)^0.5+$B$32+$B$33+$B$34+$B$35+$B$36+$B$37)/$B$39,"")</f>
        <v>137.62480488614261</v>
      </c>
      <c r="C133" s="26" cm="1">
        <f t="array" aca="1" ref="C133" ca="1">IFERROR(((SUMPRODUCT($B$16:$K$16,1/(1+$A133)^(COLUMN($B$16:$K$16)-COLUMN($B$16)+1))+($B$23*C$128*(1-'AAPL Forecast'!$B$2))*(1-$E$8/$E$9)/($A133-$E$8)/(1+$A133)^10)*(1+$A133)^0.5+$B$32+$B$33+$B$34+$B$35+$B$36+$B$37)/$B$39,"")</f>
        <v>143.33911987048899</v>
      </c>
      <c r="D133" s="26" cm="1">
        <f t="array" aca="1" ref="D133" ca="1">IFERROR(((SUMPRODUCT($B$16:$K$16,1/(1+$A133)^(COLUMN($B$16:$K$16)-COLUMN($B$16)+1))+($B$23*D$128*(1-'AAPL Forecast'!$B$2))*(1-$E$8/$E$9)/($A133-$E$8)/(1+$A133)^10)*(1+$A133)^0.5+$B$32+$B$33+$B$34+$B$35+$B$36+$B$37)/$B$39,"")</f>
        <v>149.05343485483539</v>
      </c>
      <c r="E133" s="26" cm="1">
        <f t="array" aca="1" ref="E133" ca="1">IFERROR(((SUMPRODUCT($B$16:$K$16,1/(1+$A133)^(COLUMN($B$16:$K$16)-COLUMN($B$16)+1))+($B$23*E$128*(1-'AAPL Forecast'!$B$2))*(1-$E$8/$E$9)/($A133-$E$8)/(1+$A133)^10)*(1+$A133)^0.5+$B$32+$B$33+$B$34+$B$35+$B$36+$B$37)/$B$39,"")</f>
        <v>154.76774983918176</v>
      </c>
      <c r="F133" s="26" cm="1">
        <f t="array" aca="1" ref="F133" ca="1">IFERROR(((SUMPRODUCT($B$16:$K$16,1/(1+$A133)^(COLUMN($B$16:$K$16)-COLUMN($B$16)+1))+($B$23*F$128*(1-'AAPL Forecast'!$B$2))*(1-$E$8/$E$9)/($A133-$E$8)/(1+$A133)^10)*(1+$A133)^0.5+$B$32+$B$33+$B$34+$B$35+$B$36+$B$37)/$B$39,"")</f>
        <v>160.48206482352813</v>
      </c>
    </row>
    <row r="136" spans="1:6" x14ac:dyDescent="0.25">
      <c r="A136" s="233" t="s">
        <v>1606</v>
      </c>
    </row>
    <row r="137" spans="1:6" x14ac:dyDescent="0.25">
      <c r="A137" t="s">
        <v>569</v>
      </c>
      <c r="B137" s="28">
        <v>0</v>
      </c>
      <c r="C137" s="28">
        <v>0.05</v>
      </c>
      <c r="D137" s="28">
        <v>0.1</v>
      </c>
      <c r="E137" s="28">
        <v>0.15</v>
      </c>
      <c r="F137" s="28">
        <v>0.2</v>
      </c>
    </row>
    <row r="138" spans="1:6" x14ac:dyDescent="0.25">
      <c r="A138" t="s">
        <v>1607</v>
      </c>
      <c r="B138" s="165">
        <v>182.84437527502499</v>
      </c>
      <c r="C138" s="165">
        <v>212.89660097902001</v>
      </c>
      <c r="D138" s="165">
        <v>247.06691527708901</v>
      </c>
      <c r="E138" s="165">
        <v>285.799704428567</v>
      </c>
      <c r="F138" s="165">
        <v>329.575079873498</v>
      </c>
    </row>
    <row r="139" spans="1:6" x14ac:dyDescent="0.25">
      <c r="A139" s="234" t="s">
        <v>1608</v>
      </c>
    </row>
  </sheetData>
  <conditionalFormatting sqref="B71:F75">
    <cfRule type="colorScale" priority="1">
      <colorScale>
        <cfvo type="min"/>
        <cfvo type="percentile" val="50"/>
        <cfvo type="max"/>
        <color rgb="FFF8696B"/>
        <color rgb="FFFFEB84"/>
        <color rgb="FF63BE7B"/>
      </colorScale>
    </cfRule>
  </conditionalFormatting>
  <conditionalFormatting sqref="B120:F124">
    <cfRule type="colorScale" priority="2">
      <colorScale>
        <cfvo type="min"/>
        <cfvo type="percentile" val="50"/>
        <cfvo type="max"/>
        <color rgb="FFF8696B"/>
        <color rgb="FFFFEB84"/>
        <color rgb="FF63BE7B"/>
      </colorScale>
    </cfRule>
  </conditionalFormatting>
  <conditionalFormatting sqref="B129:F133">
    <cfRule type="colorScale" priority="3">
      <colorScale>
        <cfvo type="min"/>
        <cfvo type="percentile" val="50"/>
        <cfvo type="max"/>
        <color rgb="FFF8696B"/>
        <color rgb="FFFFEB84"/>
        <color rgb="FF63BE7B"/>
      </colorScale>
    </cfRule>
  </conditionalFormatting>
  <conditionalFormatting sqref="B138:F138">
    <cfRule type="colorScale" priority="4">
      <colorScale>
        <cfvo type="min"/>
        <cfvo type="percentile" val="50"/>
        <cfvo type="max"/>
        <color rgb="FFF8696B"/>
        <color rgb="FFFFEB84"/>
        <color rgb="FF63BE7B"/>
      </colorScale>
    </cfRule>
  </conditionalFormatting>
  <pageMargins left="0.7" right="0.7" top="0.75" bottom="0.75" header="0.3" footer="0.3"/>
  <drawing r:id="rId1"/>
  <legacyDrawing r:id="rId2"/>
</worksheet>
</file>

<file path=xl/worksheets/sheet7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9C1631-15CC-4203-A3C9-BB152CCB2706}">
  <sheetPr>
    <tabColor rgb="FFF4B7B7"/>
  </sheetPr>
  <dimension ref="A1:P139"/>
  <sheetViews>
    <sheetView topLeftCell="B3" workbookViewId="0">
      <selection activeCell="D108" sqref="D108"/>
    </sheetView>
  </sheetViews>
  <sheetFormatPr defaultRowHeight="15" x14ac:dyDescent="0.25"/>
  <cols>
    <col min="1" max="1" width="57.140625" customWidth="1"/>
    <col min="2" max="2" width="11.7109375" bestFit="1" customWidth="1"/>
  </cols>
  <sheetData>
    <row r="1" spans="1:16" ht="15.75" x14ac:dyDescent="0.25">
      <c r="A1" s="15" t="s">
        <v>594</v>
      </c>
    </row>
    <row r="3" spans="1:16" x14ac:dyDescent="0.25">
      <c r="A3" s="24" t="s">
        <v>568</v>
      </c>
      <c r="B3" s="24"/>
      <c r="C3" s="24"/>
      <c r="D3" s="24"/>
      <c r="E3" s="24"/>
      <c r="F3" s="24"/>
    </row>
    <row r="4" spans="1:16" x14ac:dyDescent="0.25">
      <c r="A4" t="s">
        <v>792</v>
      </c>
      <c r="B4" s="78" t="str">
        <f>'Valuation Dashboard'!C22</f>
        <v>Base</v>
      </c>
      <c r="C4" s="170">
        <f>MATCH($B$4,{"Base","Worst","Best"},0)</f>
        <v>1</v>
      </c>
    </row>
    <row r="5" spans="1:16" x14ac:dyDescent="0.25">
      <c r="A5" s="9" t="s">
        <v>449</v>
      </c>
      <c r="B5" s="9" t="s">
        <v>590</v>
      </c>
      <c r="C5" s="9" t="s">
        <v>591</v>
      </c>
      <c r="D5" s="9" t="s">
        <v>592</v>
      </c>
      <c r="E5" s="9" t="s">
        <v>593</v>
      </c>
    </row>
    <row r="6" spans="1:16" x14ac:dyDescent="0.25">
      <c r="A6" t="s">
        <v>569</v>
      </c>
      <c r="B6" s="76">
        <f>'Valuation Dashboard'!C23</f>
        <v>0.1</v>
      </c>
      <c r="C6" s="76">
        <f>'Valuation Dashboard'!$B$15</f>
        <v>0.01</v>
      </c>
      <c r="D6" s="76">
        <f>MAX($B$6,'Valuation Dashboard'!$B$16)</f>
        <v>0.154</v>
      </c>
      <c r="E6" s="134" cm="1">
        <f t="array" ref="E6">INDEX(B6:D6,$C$4)</f>
        <v>0.1</v>
      </c>
    </row>
    <row r="7" spans="1:16" x14ac:dyDescent="0.25">
      <c r="A7" t="s">
        <v>570</v>
      </c>
      <c r="B7" s="76">
        <f>'Valuation Dashboard'!$B$19</f>
        <v>0</v>
      </c>
      <c r="C7" s="76">
        <f>'Valuation Dashboard'!$C$224</f>
        <v>-4.0735777296910199E-2</v>
      </c>
      <c r="D7" s="76">
        <f>'Valuation Dashboard'!$C$225</f>
        <v>0</v>
      </c>
      <c r="E7" s="134" cm="1">
        <f t="array" ref="E7">INDEX(B7:D7,$C$4)</f>
        <v>0</v>
      </c>
    </row>
    <row r="8" spans="1:16" x14ac:dyDescent="0.25">
      <c r="A8" t="s">
        <v>605</v>
      </c>
      <c r="B8" s="76">
        <f>'MSFT Rev Drivers &amp; Forecast'!$B$7+'MSFT Rev Drivers &amp; Forecast'!$B$4</f>
        <v>6.0300000000000006E-2</v>
      </c>
      <c r="C8" s="76">
        <f>'MSFT Rev Drivers &amp; Forecast'!$B$7+'MSFT Rev Drivers &amp; Forecast'!$B$4-0.015</f>
        <v>4.5300000000000007E-2</v>
      </c>
      <c r="D8" s="76">
        <f>'MSFT Rev Drivers &amp; Forecast'!$B$7+'MSFT Rev Drivers &amp; Forecast'!$B$4</f>
        <v>6.0300000000000006E-2</v>
      </c>
      <c r="E8" s="134" cm="1">
        <f t="array" ref="E8">INDEX(B8:D8,$C$4)</f>
        <v>6.0300000000000006E-2</v>
      </c>
    </row>
    <row r="9" spans="1:16" x14ac:dyDescent="0.25">
      <c r="A9" t="s">
        <v>1552</v>
      </c>
      <c r="B9" s="76">
        <f>'Valuation Dashboard'!$C$206</f>
        <v>0.24687129987976841</v>
      </c>
      <c r="C9" s="76">
        <f>'Valuation Dashboard'!$C$206</f>
        <v>0.24687129987976841</v>
      </c>
      <c r="D9" s="76">
        <f>'Valuation Dashboard'!$C$206</f>
        <v>0.24687129987976841</v>
      </c>
      <c r="E9" s="134" cm="1">
        <f t="array" ref="E9">INDEX(B9:D9,$C$4)</f>
        <v>0.24687129987976841</v>
      </c>
    </row>
    <row r="10" spans="1:16" x14ac:dyDescent="0.25">
      <c r="A10" t="s">
        <v>1553</v>
      </c>
      <c r="B10" s="76">
        <f>'Valuation Dashboard'!$C$205</f>
        <v>0.15</v>
      </c>
    </row>
    <row r="11" spans="1:16" x14ac:dyDescent="0.25">
      <c r="A11" s="24" t="s">
        <v>571</v>
      </c>
      <c r="B11" s="24"/>
      <c r="C11" s="24"/>
      <c r="D11" s="24"/>
      <c r="E11" s="24"/>
      <c r="F11" s="24"/>
    </row>
    <row r="12" spans="1:16" x14ac:dyDescent="0.25">
      <c r="A12" t="s">
        <v>572</v>
      </c>
      <c r="B12" s="79">
        <f ca="1">WACC!D48</f>
        <v>9.7212466744806408E-2</v>
      </c>
    </row>
    <row r="14" spans="1:16" x14ac:dyDescent="0.25">
      <c r="A14" s="24" t="s">
        <v>1014</v>
      </c>
      <c r="B14" s="24"/>
      <c r="C14" s="24"/>
      <c r="D14" s="24"/>
      <c r="E14" s="24"/>
      <c r="F14" s="24"/>
      <c r="G14" s="24"/>
      <c r="H14" s="24"/>
      <c r="I14" s="24"/>
      <c r="J14" s="24"/>
      <c r="K14" s="24"/>
      <c r="L14" s="24"/>
      <c r="M14" s="24"/>
      <c r="N14" s="24"/>
      <c r="O14" s="24"/>
      <c r="P14" s="24"/>
    </row>
    <row r="15" spans="1:16" x14ac:dyDescent="0.25">
      <c r="A15" s="9" t="s">
        <v>573</v>
      </c>
      <c r="B15" s="167">
        <f>'MSFT Forecast'!B24</f>
        <v>46203</v>
      </c>
      <c r="C15" s="167">
        <f>'MSFT Forecast'!C24</f>
        <v>46568</v>
      </c>
      <c r="D15" s="167">
        <f>'MSFT Forecast'!D24</f>
        <v>46934</v>
      </c>
      <c r="E15" s="167">
        <f>'MSFT Forecast'!E24</f>
        <v>47299</v>
      </c>
      <c r="F15" s="167">
        <f>'MSFT Forecast'!F24</f>
        <v>47664</v>
      </c>
      <c r="G15" s="167">
        <f>'MSFT Forecast'!B110</f>
        <v>48029</v>
      </c>
      <c r="H15" s="167">
        <f>'MSFT Forecast'!C110</f>
        <v>48395</v>
      </c>
      <c r="I15" s="167">
        <f>'MSFT Forecast'!D110</f>
        <v>48760</v>
      </c>
      <c r="J15" s="167">
        <f>'MSFT Forecast'!E110</f>
        <v>49125</v>
      </c>
      <c r="K15" s="167">
        <f>'MSFT Forecast'!F110</f>
        <v>49490</v>
      </c>
      <c r="L15" s="49"/>
      <c r="M15" s="49"/>
      <c r="N15" s="49"/>
      <c r="O15" s="49"/>
      <c r="P15" s="49"/>
    </row>
    <row r="16" spans="1:16" x14ac:dyDescent="0.25">
      <c r="A16" t="s">
        <v>270</v>
      </c>
      <c r="B16" s="109">
        <f>'MSFT Forecast'!B73</f>
        <v>79781.299240476059</v>
      </c>
      <c r="C16" s="109">
        <f>'MSFT Forecast'!C73</f>
        <v>91522.736901136537</v>
      </c>
      <c r="D16" s="109">
        <f>'MSFT Forecast'!D73</f>
        <v>104060.34321231916</v>
      </c>
      <c r="E16" s="109">
        <f>'MSFT Forecast'!E73</f>
        <v>117270.99269896504</v>
      </c>
      <c r="F16" s="109">
        <f>'MSFT Forecast'!F73</f>
        <v>130996.76535160991</v>
      </c>
      <c r="G16" s="109">
        <f>'MSFT Forecast'!B118</f>
        <v>139984.74263453964</v>
      </c>
      <c r="H16" s="109">
        <f>'MSFT Forecast'!C118</f>
        <v>153838.6671529664</v>
      </c>
      <c r="I16" s="109">
        <f>'MSFT Forecast'!D118</f>
        <v>167717.89439990374</v>
      </c>
      <c r="J16" s="109">
        <f>'MSFT Forecast'!E118</f>
        <v>177831.28343221796</v>
      </c>
      <c r="K16" s="109">
        <f>'MSFT Forecast'!F118</f>
        <v>188554.50982318056</v>
      </c>
      <c r="L16" s="26"/>
      <c r="M16" s="26"/>
      <c r="N16" s="26"/>
      <c r="O16" s="26"/>
      <c r="P16" s="26"/>
    </row>
    <row r="17" spans="1:16" x14ac:dyDescent="0.25">
      <c r="A17" t="s">
        <v>574</v>
      </c>
      <c r="B17" s="140">
        <f ca="1">1/(1+$B$12)^1</f>
        <v>0.91140050838720876</v>
      </c>
      <c r="C17" s="140">
        <f ca="1">1/(1+$B$12)^2</f>
        <v>0.83065088668846254</v>
      </c>
      <c r="D17" s="140">
        <f ca="1">1/(1+$B$12)^3</f>
        <v>0.7570556404201505</v>
      </c>
      <c r="E17" s="140">
        <f ca="1">1/(1+$B$12)^4</f>
        <v>0.68998089555632902</v>
      </c>
      <c r="F17" s="140">
        <f ca="1">1/(1+$B$12)^5</f>
        <v>0.62884893898749983</v>
      </c>
      <c r="G17" s="140">
        <f ca="1">1/(1+$B$12)^6</f>
        <v>0.5731332426919642</v>
      </c>
      <c r="H17" s="140">
        <f ca="1">1/(1+$B$12)^7</f>
        <v>0.52235392876306563</v>
      </c>
      <c r="I17" s="140">
        <f ca="1">1/(1+$B$12)^8</f>
        <v>0.47607363623271387</v>
      </c>
      <c r="J17" s="140">
        <f ca="1">1/(1+$B$12)^9</f>
        <v>0.43389375409224257</v>
      </c>
      <c r="K17" s="140">
        <f ca="1">1/(1+$B$12)^10</f>
        <v>0.39545098806570439</v>
      </c>
      <c r="L17" s="51"/>
      <c r="M17" s="51"/>
      <c r="N17" s="51"/>
      <c r="O17" s="51"/>
      <c r="P17" s="51"/>
    </row>
    <row r="18" spans="1:16" x14ac:dyDescent="0.25">
      <c r="A18" t="s">
        <v>575</v>
      </c>
      <c r="B18" s="119">
        <f t="shared" ref="B18:K18" ca="1" si="0">B16*B17</f>
        <v>72712.716687561915</v>
      </c>
      <c r="C18" s="119">
        <f t="shared" ca="1" si="0"/>
        <v>76023.442559083938</v>
      </c>
      <c r="D18" s="119">
        <f t="shared" ca="1" si="0"/>
        <v>78779.469772942946</v>
      </c>
      <c r="E18" s="119">
        <f t="shared" ca="1" si="0"/>
        <v>80914.744565211615</v>
      </c>
      <c r="F18" s="119">
        <f t="shared" ca="1" si="0"/>
        <v>82377.176902154373</v>
      </c>
      <c r="G18" s="119">
        <f t="shared" ca="1" si="0"/>
        <v>80229.909473533757</v>
      </c>
      <c r="H18" s="119">
        <f t="shared" ca="1" si="0"/>
        <v>80358.232183025582</v>
      </c>
      <c r="I18" s="119">
        <f t="shared" ca="1" si="0"/>
        <v>79846.067848256498</v>
      </c>
      <c r="J18" s="119">
        <f t="shared" ca="1" si="0"/>
        <v>77159.883163446662</v>
      </c>
      <c r="K18" s="119">
        <f t="shared" ca="1" si="0"/>
        <v>74564.067213821312</v>
      </c>
      <c r="L18" s="26"/>
      <c r="M18" s="26"/>
      <c r="N18" s="26"/>
      <c r="O18" s="26"/>
      <c r="P18" s="26"/>
    </row>
    <row r="19" spans="1:16" x14ac:dyDescent="0.25">
      <c r="A19" s="9" t="s">
        <v>576</v>
      </c>
      <c r="B19" s="147">
        <f ca="1">SUM(B18:K18)</f>
        <v>782965.71036903863</v>
      </c>
    </row>
    <row r="21" spans="1:16" x14ac:dyDescent="0.25">
      <c r="A21" s="24" t="s">
        <v>1015</v>
      </c>
      <c r="B21" s="24"/>
      <c r="C21" s="24"/>
      <c r="D21" s="24"/>
      <c r="E21" s="24"/>
      <c r="F21" s="24"/>
    </row>
    <row r="22" spans="1:16" x14ac:dyDescent="0.25">
      <c r="A22" t="s">
        <v>1596</v>
      </c>
      <c r="B22" s="113">
        <f>'MSFT Forecast'!F113+$E$7</f>
        <v>0.46532764737418392</v>
      </c>
    </row>
    <row r="23" spans="1:16" x14ac:dyDescent="0.25">
      <c r="A23" t="s">
        <v>577</v>
      </c>
      <c r="B23" s="109">
        <f>'MSFT Forecast'!F112*(1+$E$8)</f>
        <v>662197.48018176749</v>
      </c>
    </row>
    <row r="24" spans="1:16" x14ac:dyDescent="0.25">
      <c r="A24" t="s">
        <v>578</v>
      </c>
      <c r="B24" s="109">
        <f>B23*B22*(1-'MSFT Forecast'!$B$2)</f>
        <v>243429.64848457478</v>
      </c>
    </row>
    <row r="25" spans="1:16" x14ac:dyDescent="0.25">
      <c r="A25" t="s">
        <v>579</v>
      </c>
      <c r="B25" s="119">
        <f ca="1">B24*(1-$E$8/$E$9)/($B$12-$E$8)</f>
        <v>4983961.0178452339</v>
      </c>
    </row>
    <row r="26" spans="1:16" x14ac:dyDescent="0.25">
      <c r="A26" t="s">
        <v>574</v>
      </c>
      <c r="B26" s="140">
        <f ca="1">1/(1+$B$12)^10</f>
        <v>0.39545098806570439</v>
      </c>
    </row>
    <row r="27" spans="1:16" x14ac:dyDescent="0.25">
      <c r="A27" t="s">
        <v>580</v>
      </c>
      <c r="B27" s="119">
        <f ca="1">B25*B26</f>
        <v>1970912.3089878515</v>
      </c>
    </row>
    <row r="28" spans="1:16" x14ac:dyDescent="0.25">
      <c r="A28" t="s">
        <v>607</v>
      </c>
      <c r="B28" s="134">
        <f ca="1">B27/(B19+B27)</f>
        <v>0.71568613247732604</v>
      </c>
    </row>
    <row r="29" spans="1:16" x14ac:dyDescent="0.25">
      <c r="A29" t="s">
        <v>606</v>
      </c>
      <c r="B29" s="140">
        <f ca="1">(1+$B$12)^0.5</f>
        <v>1.0474791008630226</v>
      </c>
    </row>
    <row r="30" spans="1:16" x14ac:dyDescent="0.25">
      <c r="A30" s="24" t="s">
        <v>581</v>
      </c>
      <c r="B30" s="24"/>
      <c r="C30" s="24"/>
      <c r="D30" s="24"/>
      <c r="E30" s="24"/>
      <c r="F30" s="24"/>
    </row>
    <row r="31" spans="1:16" x14ac:dyDescent="0.25">
      <c r="A31" s="9" t="s">
        <v>582</v>
      </c>
      <c r="B31" s="147">
        <f ca="1">(B19+B27)*B29</f>
        <v>2884629.6716023968</v>
      </c>
    </row>
    <row r="32" spans="1:16" x14ac:dyDescent="0.25">
      <c r="A32" t="s">
        <v>832</v>
      </c>
      <c r="B32" s="109">
        <f>'MSFT - Reconciliation FY'!B35</f>
        <v>24607.52</v>
      </c>
    </row>
    <row r="33" spans="1:3" x14ac:dyDescent="0.25">
      <c r="A33" t="s">
        <v>833</v>
      </c>
      <c r="B33" s="109">
        <f>'MSFT - Reconciliation FY'!B40-'MSFT - Reconciliation FY'!B35</f>
        <v>79728</v>
      </c>
    </row>
    <row r="34" spans="1:3" x14ac:dyDescent="0.25">
      <c r="A34" t="s">
        <v>583</v>
      </c>
      <c r="B34" s="109">
        <f>-'MSFT - Reconciliation FY'!B47</f>
        <v>-43151</v>
      </c>
    </row>
    <row r="35" spans="1:3" x14ac:dyDescent="0.25">
      <c r="A35" t="s">
        <v>911</v>
      </c>
      <c r="B35" s="109">
        <f>-WACC!D36</f>
        <v>-69033</v>
      </c>
    </row>
    <row r="36" spans="1:3" x14ac:dyDescent="0.25">
      <c r="A36" t="s">
        <v>584</v>
      </c>
      <c r="B36" s="109">
        <f>-'MSFT - Reconciliation FY'!B49</f>
        <v>0</v>
      </c>
    </row>
    <row r="37" spans="1:3" x14ac:dyDescent="0.25">
      <c r="A37" t="s">
        <v>791</v>
      </c>
      <c r="B37" s="165">
        <v>-21600</v>
      </c>
    </row>
    <row r="38" spans="1:3" x14ac:dyDescent="0.25">
      <c r="A38" s="9" t="s">
        <v>585</v>
      </c>
      <c r="B38" s="147">
        <f ca="1">SUM(B31:B37)</f>
        <v>2855181.1916023968</v>
      </c>
    </row>
    <row r="39" spans="1:3" x14ac:dyDescent="0.25">
      <c r="A39" t="s">
        <v>586</v>
      </c>
      <c r="B39" s="109">
        <f ca="1">WACC!D33</f>
        <v>7425.5450000000001</v>
      </c>
    </row>
    <row r="40" spans="1:3" x14ac:dyDescent="0.25">
      <c r="A40" s="9" t="s">
        <v>587</v>
      </c>
      <c r="B40" s="147">
        <f ca="1">B38/B39</f>
        <v>384.50796427769234</v>
      </c>
    </row>
    <row r="41" spans="1:3" x14ac:dyDescent="0.25">
      <c r="A41" t="s">
        <v>588</v>
      </c>
      <c r="B41" s="109">
        <f ca="1">WACC!D32</f>
        <v>495.4</v>
      </c>
    </row>
    <row r="42" spans="1:3" x14ac:dyDescent="0.25">
      <c r="A42" t="s">
        <v>589</v>
      </c>
      <c r="B42" s="134">
        <f ca="1">B40/B41-1</f>
        <v>-0.22384343100990645</v>
      </c>
    </row>
    <row r="44" spans="1:3" x14ac:dyDescent="0.25">
      <c r="A44" s="33" t="s">
        <v>610</v>
      </c>
      <c r="B44" s="171">
        <f ca="1">'Ticker Sheet'!C2</f>
        <v>27.603999999999999</v>
      </c>
    </row>
    <row r="45" spans="1:3" x14ac:dyDescent="0.25">
      <c r="A45" s="33" t="s">
        <v>611</v>
      </c>
      <c r="B45" s="172">
        <f ca="1">B44*B40/B41</f>
        <v>21.425025930402544</v>
      </c>
    </row>
    <row r="47" spans="1:3" x14ac:dyDescent="0.25">
      <c r="A47" s="24" t="s">
        <v>618</v>
      </c>
      <c r="B47" s="24" t="s">
        <v>590</v>
      </c>
      <c r="C47" s="24" t="s">
        <v>620</v>
      </c>
    </row>
    <row r="48" spans="1:3" x14ac:dyDescent="0.25">
      <c r="A48" t="s">
        <v>582</v>
      </c>
      <c r="B48" s="135">
        <f>0</f>
        <v>0</v>
      </c>
      <c r="C48" s="135">
        <f ca="1">B31</f>
        <v>2884629.6716023968</v>
      </c>
    </row>
    <row r="49" spans="1:3" x14ac:dyDescent="0.25">
      <c r="A49" t="s">
        <v>245</v>
      </c>
      <c r="B49" s="135">
        <f ca="1">B31</f>
        <v>2884629.6716023968</v>
      </c>
      <c r="C49" s="135">
        <f>B32</f>
        <v>24607.52</v>
      </c>
    </row>
    <row r="50" spans="1:3" x14ac:dyDescent="0.25">
      <c r="A50" t="s">
        <v>834</v>
      </c>
      <c r="B50" s="135">
        <f ca="1">B31+B32</f>
        <v>2909237.1916023968</v>
      </c>
      <c r="C50" s="135">
        <f>B33</f>
        <v>79728</v>
      </c>
    </row>
    <row r="51" spans="1:3" x14ac:dyDescent="0.25">
      <c r="A51" t="s">
        <v>255</v>
      </c>
      <c r="B51" s="135">
        <f ca="1">B31+B32+B33+B34</f>
        <v>2945814.1916023968</v>
      </c>
      <c r="C51" s="135">
        <f>-B34</f>
        <v>43151</v>
      </c>
    </row>
    <row r="52" spans="1:3" x14ac:dyDescent="0.25">
      <c r="A52" t="s">
        <v>912</v>
      </c>
      <c r="B52" s="135">
        <f ca="1">B31+B32+B33+B34+B35</f>
        <v>2876781.1916023968</v>
      </c>
      <c r="C52" s="135">
        <f>-B35</f>
        <v>69033</v>
      </c>
    </row>
    <row r="53" spans="1:3" x14ac:dyDescent="0.25">
      <c r="A53" t="s">
        <v>619</v>
      </c>
      <c r="B53" s="135">
        <f ca="1">B38</f>
        <v>2855181.1916023968</v>
      </c>
      <c r="C53" s="135">
        <f>-(B36+B37)</f>
        <v>21600</v>
      </c>
    </row>
    <row r="54" spans="1:3" x14ac:dyDescent="0.25">
      <c r="A54" t="s">
        <v>585</v>
      </c>
      <c r="B54" s="135">
        <f>0</f>
        <v>0</v>
      </c>
      <c r="C54" s="135">
        <f ca="1">B38</f>
        <v>2855181.1916023968</v>
      </c>
    </row>
    <row r="69" spans="1:16" x14ac:dyDescent="0.25">
      <c r="A69" s="54" t="s">
        <v>827</v>
      </c>
      <c r="B69" s="54"/>
      <c r="C69" s="54"/>
      <c r="D69" s="54"/>
      <c r="E69" s="54"/>
      <c r="F69" s="54"/>
    </row>
    <row r="70" spans="1:16" x14ac:dyDescent="0.25">
      <c r="A70" s="9" t="s">
        <v>828</v>
      </c>
      <c r="B70" s="117">
        <f>$E$8+-0.01</f>
        <v>5.0300000000000004E-2</v>
      </c>
      <c r="C70" s="117">
        <f>$E$8+-0.005</f>
        <v>5.5300000000000009E-2</v>
      </c>
      <c r="D70" s="117">
        <f>$E$8+0</f>
        <v>6.0300000000000006E-2</v>
      </c>
      <c r="E70" s="117">
        <f>$E$8+0.005</f>
        <v>6.5300000000000011E-2</v>
      </c>
      <c r="F70" s="117">
        <f>$E$8+0.01</f>
        <v>7.0300000000000001E-2</v>
      </c>
    </row>
    <row r="71" spans="1:16" x14ac:dyDescent="0.25">
      <c r="A71" s="117">
        <f ca="1">$B$12+-0.015</f>
        <v>8.2212466744806409E-2</v>
      </c>
      <c r="B71" s="119" cm="1">
        <f t="array" aca="1" ref="B71" ca="1">IFERROR(((SUMPRODUCT($B$16:$K$16,1/(1+$A71)^(COLUMN($B$16:$K$16)-COLUMN($B$16)+1))+$B$24*(1-B$70/$E$9)/($A71-B$70)/(1+$A71)^10)*(1+$A71)^0.5+$B$32+$B$33+$B$34+$B$35+$B$36+$B$37)/$B$39,"")</f>
        <v>500.62705952176339</v>
      </c>
      <c r="C71" s="119" cm="1">
        <f t="array" aca="1" ref="C71" ca="1">IFERROR(((SUMPRODUCT($B$16:$K$16,1/(1+$A71)^(COLUMN($B$16:$K$16)-COLUMN($B$16)+1))+$B$24*(1-C$70/$E$9)/($A71-C$70)/(1+$A71)^10)*(1+$A71)^0.5+$B$32+$B$33+$B$34+$B$35+$B$36+$B$37)/$B$39,"")</f>
        <v>560.72320683851672</v>
      </c>
      <c r="D71" s="119" cm="1">
        <f t="array" aca="1" ref="D71" ca="1">IFERROR(((SUMPRODUCT($B$16:$K$16,1/(1+$A71)^(COLUMN($B$16:$K$16)-COLUMN($B$16)+1))+$B$24*(1-D$70/$E$9)/($A71-D$70)/(1+$A71)^10)*(1+$A71)^0.5+$B$32+$B$33+$B$34+$B$35+$B$36+$B$37)/$B$39,"")</f>
        <v>648.2449051060762</v>
      </c>
      <c r="E71" s="119" cm="1">
        <f t="array" aca="1" ref="E71" ca="1">IFERROR(((SUMPRODUCT($B$16:$K$16,1/(1+$A71)^(COLUMN($B$16:$K$16)-COLUMN($B$16)+1))+$B$24*(1-E$70/$E$9)/($A71-E$70)/(1+$A71)^10)*(1+$A71)^0.5+$B$32+$B$33+$B$34+$B$35+$B$36+$B$37)/$B$39,"")</f>
        <v>787.51641585704317</v>
      </c>
      <c r="F71" s="119" cm="1">
        <f t="array" aca="1" ref="F71" ca="1">IFERROR(((SUMPRODUCT($B$16:$K$16,1/(1+$A71)^(COLUMN($B$16:$K$16)-COLUMN($B$16)+1))+$B$24*(1-F$70/$E$9)/($A71-F$70)/(1+$A71)^10)*(1+$A71)^0.5+$B$32+$B$33+$B$34+$B$35+$B$36+$B$37)/$B$39,"")</f>
        <v>1043.7003291645044</v>
      </c>
    </row>
    <row r="72" spans="1:16" x14ac:dyDescent="0.25">
      <c r="A72" s="117">
        <f ca="1">$B$12+-0.0075</f>
        <v>8.9712466744806402E-2</v>
      </c>
      <c r="B72" s="119" cm="1">
        <f t="array" aca="1" ref="B72" ca="1">IFERROR(((SUMPRODUCT($B$16:$K$16,1/(1+$A72)^(COLUMN($B$16:$K$16)-COLUMN($B$16)+1))+$B$24*(1-B$70/$E$9)/($A72-B$70)/(1+$A72)^10)*(1+$A72)^0.5+$B$32+$B$33+$B$34+$B$35+$B$36+$B$37)/$B$39,"")</f>
        <v>403.18874690741222</v>
      </c>
      <c r="C72" s="119" cm="1">
        <f t="array" aca="1" ref="C72" ca="1">IFERROR(((SUMPRODUCT($B$16:$K$16,1/(1+$A72)^(COLUMN($B$16:$K$16)-COLUMN($B$16)+1))+$B$24*(1-C$70/$E$9)/($A72-C$70)/(1+$A72)^10)*(1+$A72)^0.5+$B$32+$B$33+$B$34+$B$35+$B$36+$B$37)/$B$39,"")</f>
        <v>437.203762722487</v>
      </c>
      <c r="D72" s="119" cm="1">
        <f t="array" aca="1" ref="D72" ca="1">IFERROR(((SUMPRODUCT($B$16:$K$16,1/(1+$A72)^(COLUMN($B$16:$K$16)-COLUMN($B$16)+1))+$B$24*(1-D$70/$E$9)/($A72-D$70)/(1+$A72)^10)*(1+$A72)^0.5+$B$32+$B$33+$B$34+$B$35+$B$36+$B$37)/$B$39,"")</f>
        <v>482.78360787003538</v>
      </c>
      <c r="E72" s="119" cm="1">
        <f t="array" aca="1" ref="E72" ca="1">IFERROR(((SUMPRODUCT($B$16:$K$16,1/(1+$A72)^(COLUMN($B$16:$K$16)-COLUMN($B$16)+1))+$B$24*(1-E$70/$E$9)/($A72-E$70)/(1+$A72)^10)*(1+$A72)^0.5+$B$32+$B$33+$B$34+$B$35+$B$36+$B$37)/$B$39,"")</f>
        <v>547.03417794842073</v>
      </c>
      <c r="F72" s="119" cm="1">
        <f t="array" aca="1" ref="F72" ca="1">IFERROR(((SUMPRODUCT($B$16:$K$16,1/(1+$A72)^(COLUMN($B$16:$K$16)-COLUMN($B$16)+1))+$B$24*(1-F$70/$E$9)/($A72-F$70)/(1+$A72)^10)*(1+$A72)^0.5+$B$32+$B$33+$B$34+$B$35+$B$36+$B$37)/$B$39,"")</f>
        <v>644.38232955676517</v>
      </c>
    </row>
    <row r="73" spans="1:16" x14ac:dyDescent="0.25">
      <c r="A73" s="117">
        <f ca="1">$B$12+0</f>
        <v>9.7212466744806408E-2</v>
      </c>
      <c r="B73" s="119" cm="1">
        <f t="array" aca="1" ref="B73" ca="1">IFERROR(((SUMPRODUCT($B$16:$K$16,1/(1+$A73)^(COLUMN($B$16:$K$16)-COLUMN($B$16)+1))+$B$24*(1-B$70/$E$9)/($A73-B$70)/(1+$A73)^10)*(1+$A73)^0.5+$B$32+$B$33+$B$34+$B$35+$B$36+$B$37)/$B$39,"")</f>
        <v>336.96857676180775</v>
      </c>
      <c r="C73" s="119" cm="1">
        <f t="array" aca="1" ref="C73" ca="1">IFERROR(((SUMPRODUCT($B$16:$K$16,1/(1+$A73)^(COLUMN($B$16:$K$16)-COLUMN($B$16)+1))+$B$24*(1-C$70/$E$9)/($A73-C$70)/(1+$A73)^10)*(1+$A73)^0.5+$B$32+$B$33+$B$34+$B$35+$B$36+$B$37)/$B$39,"")</f>
        <v>357.90263525367641</v>
      </c>
      <c r="D73" s="173" cm="1">
        <f t="array" aca="1" ref="D73" ca="1">IFERROR(((SUMPRODUCT($B$16:$K$16,1/(1+$A73)^(COLUMN($B$16:$K$16)-COLUMN($B$16)+1))+$B$24*(1-D$70/$E$9)/($A73-D$70)/(1+$A73)^10)*(1+$A73)^0.5+$B$32+$B$33+$B$34+$B$35+$B$36+$B$37)/$B$39,"")</f>
        <v>384.50796427769234</v>
      </c>
      <c r="E73" s="119" cm="1">
        <f t="array" aca="1" ref="E73" ca="1">IFERROR(((SUMPRODUCT($B$16:$K$16,1/(1+$A73)^(COLUMN($B$16:$K$16)-COLUMN($B$16)+1))+$B$24*(1-E$70/$E$9)/($A73-E$70)/(1+$A73)^10)*(1+$A73)^0.5+$B$32+$B$33+$B$34+$B$35+$B$36+$B$37)/$B$39,"")</f>
        <v>419.45026368910271</v>
      </c>
      <c r="F73" s="119" cm="1">
        <f t="array" aca="1" ref="F73" ca="1">IFERROR(((SUMPRODUCT($B$16:$K$16,1/(1+$A73)^(COLUMN($B$16:$K$16)-COLUMN($B$16)+1))+$B$24*(1-F$70/$E$9)/($A73-F$70)/(1+$A73)^10)*(1+$A73)^0.5+$B$32+$B$33+$B$34+$B$35+$B$36+$B$37)/$B$39,"")</f>
        <v>467.37624822411954</v>
      </c>
    </row>
    <row r="74" spans="1:16" x14ac:dyDescent="0.25">
      <c r="A74" s="117">
        <f ca="1">$B$12+0.0075</f>
        <v>0.10471246674480642</v>
      </c>
      <c r="B74" s="119" cm="1">
        <f t="array" aca="1" ref="B74" ca="1">IFERROR(((SUMPRODUCT($B$16:$K$16,1/(1+$A74)^(COLUMN($B$16:$K$16)-COLUMN($B$16)+1))+$B$24*(1-B$70/$E$9)/($A74-B$70)/(1+$A74)^10)*(1+$A74)^0.5+$B$32+$B$33+$B$34+$B$35+$B$36+$B$37)/$B$39,"")</f>
        <v>289.05537141343103</v>
      </c>
      <c r="C74" s="119" cm="1">
        <f t="array" aca="1" ref="C74" ca="1">IFERROR(((SUMPRODUCT($B$16:$K$16,1/(1+$A74)^(COLUMN($B$16:$K$16)-COLUMN($B$16)+1))+$B$24*(1-C$70/$E$9)/($A74-C$70)/(1+$A74)^10)*(1+$A74)^0.5+$B$32+$B$33+$B$34+$B$35+$B$36+$B$37)/$B$39,"")</f>
        <v>302.68598842182138</v>
      </c>
      <c r="D74" s="119" cm="1">
        <f t="array" aca="1" ref="D74" ca="1">IFERROR(((SUMPRODUCT($B$16:$K$16,1/(1+$A74)^(COLUMN($B$16:$K$16)-COLUMN($B$16)+1))+$B$24*(1-D$70/$E$9)/($A74-D$70)/(1+$A74)^10)*(1+$A74)^0.5+$B$32+$B$33+$B$34+$B$35+$B$36+$B$37)/$B$39,"")</f>
        <v>319.38570246702159</v>
      </c>
      <c r="E74" s="119" cm="1">
        <f t="array" aca="1" ref="E74" ca="1">IFERROR(((SUMPRODUCT($B$16:$K$16,1/(1+$A74)^(COLUMN($B$16:$K$16)-COLUMN($B$16)+1))+$B$24*(1-E$70/$E$9)/($A74-E$70)/(1+$A74)^10)*(1+$A74)^0.5+$B$32+$B$33+$B$34+$B$35+$B$36+$B$37)/$B$39,"")</f>
        <v>340.32258191304021</v>
      </c>
      <c r="F74" s="119" cm="1">
        <f t="array" aca="1" ref="F74" ca="1">IFERROR(((SUMPRODUCT($B$16:$K$16,1/(1+$A74)^(COLUMN($B$16:$K$16)-COLUMN($B$16)+1))+$B$24*(1-F$70/$E$9)/($A74-F$70)/(1+$A74)^10)*(1+$A74)^0.5+$B$32+$B$33+$B$34+$B$35+$B$36+$B$37)/$B$39,"")</f>
        <v>367.34355861406851</v>
      </c>
    </row>
    <row r="75" spans="1:16" x14ac:dyDescent="0.25">
      <c r="A75" s="117">
        <f ca="1">$B$12+0.015</f>
        <v>0.11221246674480641</v>
      </c>
      <c r="B75" s="119" cm="1">
        <f t="array" aca="1" ref="B75" ca="1">IFERROR(((SUMPRODUCT($B$16:$K$16,1/(1+$A75)^(COLUMN($B$16:$K$16)-COLUMN($B$16)+1))+$B$24*(1-B$70/$E$9)/($A75-B$70)/(1+$A75)^10)*(1+$A75)^0.5+$B$32+$B$33+$B$34+$B$35+$B$36+$B$37)/$B$39,"")</f>
        <v>252.79421341722951</v>
      </c>
      <c r="C75" s="119" cm="1">
        <f t="array" aca="1" ref="C75" ca="1">IFERROR(((SUMPRODUCT($B$16:$K$16,1/(1+$A75)^(COLUMN($B$16:$K$16)-COLUMN($B$16)+1))+$B$24*(1-C$70/$E$9)/($A75-C$70)/(1+$A75)^10)*(1+$A75)^0.5+$B$32+$B$33+$B$34+$B$35+$B$36+$B$37)/$B$39,"")</f>
        <v>262.03289841281935</v>
      </c>
      <c r="D75" s="119" cm="1">
        <f t="array" aca="1" ref="D75" ca="1">IFERROR(((SUMPRODUCT($B$16:$K$16,1/(1+$A75)^(COLUMN($B$16:$K$16)-COLUMN($B$16)+1))+$B$24*(1-D$70/$E$9)/($A75-D$70)/(1+$A75)^10)*(1+$A75)^0.5+$B$32+$B$33+$B$34+$B$35+$B$36+$B$37)/$B$39,"")</f>
        <v>273.05124936822682</v>
      </c>
      <c r="E75" s="119" cm="1">
        <f t="array" aca="1" ref="E75" ca="1">IFERROR(((SUMPRODUCT($B$16:$K$16,1/(1+$A75)^(COLUMN($B$16:$K$16)-COLUMN($B$16)+1))+$B$24*(1-E$70/$E$9)/($A75-E$70)/(1+$A75)^10)*(1+$A75)^0.5+$B$32+$B$33+$B$34+$B$35+$B$36+$B$37)/$B$39,"")</f>
        <v>286.4183045636704</v>
      </c>
      <c r="F75" s="119" cm="1">
        <f t="array" aca="1" ref="F75" ca="1">IFERROR(((SUMPRODUCT($B$16:$K$16,1/(1+$A75)^(COLUMN($B$16:$K$16)-COLUMN($B$16)+1))+$B$24*(1-F$70/$E$9)/($A75-F$70)/(1+$A75)^10)*(1+$A75)^0.5+$B$32+$B$33+$B$34+$B$35+$B$36+$B$37)/$B$39,"")</f>
        <v>302.97463880509133</v>
      </c>
    </row>
    <row r="78" spans="1:16" x14ac:dyDescent="0.25">
      <c r="A78" s="67" t="s">
        <v>961</v>
      </c>
    </row>
    <row r="79" spans="1:16" x14ac:dyDescent="0.25">
      <c r="A79" t="s">
        <v>573</v>
      </c>
      <c r="B79" s="174">
        <f t="shared" ref="B79:K79" si="1">B15</f>
        <v>46203</v>
      </c>
      <c r="C79" s="174">
        <f t="shared" si="1"/>
        <v>46568</v>
      </c>
      <c r="D79" s="174">
        <f t="shared" si="1"/>
        <v>46934</v>
      </c>
      <c r="E79" s="174">
        <f t="shared" si="1"/>
        <v>47299</v>
      </c>
      <c r="F79" s="174">
        <f t="shared" si="1"/>
        <v>47664</v>
      </c>
      <c r="G79" s="174">
        <f t="shared" si="1"/>
        <v>48029</v>
      </c>
      <c r="H79" s="174">
        <f t="shared" si="1"/>
        <v>48395</v>
      </c>
      <c r="I79" s="174">
        <f t="shared" si="1"/>
        <v>48760</v>
      </c>
      <c r="J79" s="174">
        <f t="shared" si="1"/>
        <v>49125</v>
      </c>
      <c r="K79" s="174">
        <f t="shared" si="1"/>
        <v>49490</v>
      </c>
      <c r="L79" s="98"/>
      <c r="M79" s="98"/>
      <c r="N79" s="98"/>
      <c r="O79" s="98"/>
      <c r="P79" s="98"/>
    </row>
    <row r="80" spans="1:16" x14ac:dyDescent="0.25">
      <c r="A80" t="s">
        <v>259</v>
      </c>
      <c r="B80" s="80">
        <f>'MSFT Forecast'!B67</f>
        <v>115167.11309722597</v>
      </c>
      <c r="C80" s="80">
        <f>'MSFT Forecast'!C67</f>
        <v>127282.42172104931</v>
      </c>
      <c r="D80" s="80">
        <f>'MSFT Forecast'!D67</f>
        <v>139639.95817769418</v>
      </c>
      <c r="E80" s="80">
        <f>'MSFT Forecast'!E67</f>
        <v>152064.77692755687</v>
      </c>
      <c r="F80" s="80">
        <f>'MSFT Forecast'!F67</f>
        <v>164361.8956235481</v>
      </c>
      <c r="G80" s="80">
        <f>'MSFT Forecast'!B115</f>
        <v>180266.23358285325</v>
      </c>
      <c r="H80" s="80">
        <f>'MSFT Forecast'!C115</f>
        <v>192600.95061575997</v>
      </c>
      <c r="I80" s="80">
        <f>'MSFT Forecast'!D115</f>
        <v>204214.7879378903</v>
      </c>
      <c r="J80" s="80">
        <f>'MSFT Forecast'!E115</f>
        <v>216528.93965054507</v>
      </c>
      <c r="K80" s="80">
        <f>'MSFT Forecast'!F115</f>
        <v>229585.63471147296</v>
      </c>
      <c r="L80" s="35"/>
      <c r="M80" s="35"/>
      <c r="N80" s="35"/>
      <c r="O80" s="35"/>
      <c r="P80" s="35"/>
    </row>
    <row r="81" spans="1:16" x14ac:dyDescent="0.25">
      <c r="A81" t="s">
        <v>962</v>
      </c>
      <c r="B81" s="80">
        <f>'MSFT Forecast'!B64</f>
        <v>386713.29385674995</v>
      </c>
      <c r="C81" s="80">
        <f>'MSFT Forecast'!C64</f>
        <v>422472.97867666266</v>
      </c>
      <c r="D81" s="80">
        <f>'MSFT Forecast'!D64</f>
        <v>458052.59364203777</v>
      </c>
      <c r="E81" s="80">
        <f>'MSFT Forecast'!E64</f>
        <v>492846.37787062954</v>
      </c>
      <c r="F81" s="80">
        <f>'MSFT Forecast'!F64</f>
        <v>526211.50814256771</v>
      </c>
      <c r="G81" s="80">
        <f>'MSFT Forecast'!B116</f>
        <v>566492.99909088132</v>
      </c>
      <c r="H81" s="80">
        <f>'MSFT Forecast'!C116</f>
        <v>605255.28255367489</v>
      </c>
      <c r="I81" s="80">
        <f>'MSFT Forecast'!D116</f>
        <v>641752.17609166144</v>
      </c>
      <c r="J81" s="80">
        <f>'MSFT Forecast'!E116</f>
        <v>680449.83230998856</v>
      </c>
      <c r="K81" s="80">
        <f>'MSFT Forecast'!F116</f>
        <v>721480.95719828096</v>
      </c>
      <c r="L81" s="35"/>
      <c r="M81" s="35"/>
      <c r="N81" s="35"/>
      <c r="O81" s="35"/>
      <c r="P81" s="35"/>
    </row>
    <row r="82" spans="1:16" x14ac:dyDescent="0.25">
      <c r="A82" t="s">
        <v>963</v>
      </c>
      <c r="B82" s="80">
        <f>'MSFT - Reconciliation FY'!B32</f>
        <v>351327.48</v>
      </c>
      <c r="C82" s="135">
        <f t="shared" ref="C82:K82" si="2">B81</f>
        <v>386713.29385674995</v>
      </c>
      <c r="D82" s="135">
        <f t="shared" si="2"/>
        <v>422472.97867666266</v>
      </c>
      <c r="E82" s="135">
        <f t="shared" si="2"/>
        <v>458052.59364203777</v>
      </c>
      <c r="F82" s="135">
        <f t="shared" si="2"/>
        <v>492846.37787062954</v>
      </c>
      <c r="G82" s="135">
        <f t="shared" si="2"/>
        <v>526211.50814256771</v>
      </c>
      <c r="H82" s="135">
        <f t="shared" si="2"/>
        <v>566492.99909088132</v>
      </c>
      <c r="I82" s="135">
        <f t="shared" si="2"/>
        <v>605255.28255367489</v>
      </c>
      <c r="J82" s="135">
        <f t="shared" si="2"/>
        <v>641752.17609166144</v>
      </c>
      <c r="K82" s="135">
        <f t="shared" si="2"/>
        <v>680449.83230998856</v>
      </c>
      <c r="L82" s="35"/>
      <c r="M82" s="35"/>
      <c r="N82" s="35"/>
      <c r="O82" s="35"/>
      <c r="P82" s="35"/>
    </row>
    <row r="83" spans="1:16" x14ac:dyDescent="0.25">
      <c r="A83" t="s">
        <v>964</v>
      </c>
      <c r="B83" s="135">
        <f t="shared" ref="B83:K83" ca="1" si="3">-$B$12*B82</f>
        <v>-34153.410966036638</v>
      </c>
      <c r="C83" s="135">
        <f t="shared" ca="1" si="3"/>
        <v>-37593.353218823853</v>
      </c>
      <c r="D83" s="135">
        <f t="shared" ca="1" si="3"/>
        <v>-41069.640390184373</v>
      </c>
      <c r="E83" s="135">
        <f t="shared" ca="1" si="3"/>
        <v>-44528.422526798917</v>
      </c>
      <c r="F83" s="135">
        <f t="shared" ca="1" si="3"/>
        <v>-47910.812119046866</v>
      </c>
      <c r="G83" s="135">
        <f t="shared" ca="1" si="3"/>
        <v>-51154.318736043788</v>
      </c>
      <c r="H83" s="135">
        <f t="shared" ca="1" si="3"/>
        <v>-55070.181835287949</v>
      </c>
      <c r="I83" s="135">
        <f t="shared" ca="1" si="3"/>
        <v>-58838.359027367529</v>
      </c>
      <c r="J83" s="135">
        <f t="shared" ca="1" si="3"/>
        <v>-62386.312076717782</v>
      </c>
      <c r="K83" s="135">
        <f t="shared" ca="1" si="3"/>
        <v>-66148.206694943859</v>
      </c>
      <c r="L83" s="35"/>
      <c r="M83" s="35"/>
      <c r="N83" s="35"/>
      <c r="O83" s="35"/>
      <c r="P83" s="35"/>
    </row>
    <row r="84" spans="1:16" x14ac:dyDescent="0.25">
      <c r="A84" t="s">
        <v>965</v>
      </c>
      <c r="B84" s="135">
        <f t="shared" ref="B84:K84" ca="1" si="4">B80+B83</f>
        <v>81013.702131189333</v>
      </c>
      <c r="C84" s="135">
        <f t="shared" ca="1" si="4"/>
        <v>89689.068502225447</v>
      </c>
      <c r="D84" s="135">
        <f t="shared" ca="1" si="4"/>
        <v>98570.317787509804</v>
      </c>
      <c r="E84" s="135">
        <f t="shared" ca="1" si="4"/>
        <v>107536.35440075796</v>
      </c>
      <c r="F84" s="135">
        <f t="shared" ca="1" si="4"/>
        <v>116451.08350450124</v>
      </c>
      <c r="G84" s="135">
        <f t="shared" ca="1" si="4"/>
        <v>129111.91484680946</v>
      </c>
      <c r="H84" s="135">
        <f t="shared" ca="1" si="4"/>
        <v>137530.76878047202</v>
      </c>
      <c r="I84" s="135">
        <f t="shared" ca="1" si="4"/>
        <v>145376.42891052278</v>
      </c>
      <c r="J84" s="135">
        <f t="shared" ca="1" si="4"/>
        <v>154142.62757382728</v>
      </c>
      <c r="K84" s="135">
        <f t="shared" ca="1" si="4"/>
        <v>163437.4280165291</v>
      </c>
      <c r="L84" s="35"/>
      <c r="M84" s="35"/>
      <c r="N84" s="35"/>
      <c r="O84" s="35"/>
      <c r="P84" s="35"/>
    </row>
    <row r="85" spans="1:16" x14ac:dyDescent="0.25">
      <c r="A85" t="s">
        <v>574</v>
      </c>
      <c r="B85" s="140">
        <f t="shared" ref="B85:K85" ca="1" si="5">B17</f>
        <v>0.91140050838720876</v>
      </c>
      <c r="C85" s="140">
        <f t="shared" ca="1" si="5"/>
        <v>0.83065088668846254</v>
      </c>
      <c r="D85" s="140">
        <f t="shared" ca="1" si="5"/>
        <v>0.7570556404201505</v>
      </c>
      <c r="E85" s="140">
        <f t="shared" ca="1" si="5"/>
        <v>0.68998089555632902</v>
      </c>
      <c r="F85" s="140">
        <f t="shared" ca="1" si="5"/>
        <v>0.62884893898749983</v>
      </c>
      <c r="G85" s="140">
        <f t="shared" ca="1" si="5"/>
        <v>0.5731332426919642</v>
      </c>
      <c r="H85" s="140">
        <f t="shared" ca="1" si="5"/>
        <v>0.52235392876306563</v>
      </c>
      <c r="I85" s="140">
        <f t="shared" ca="1" si="5"/>
        <v>0.47607363623271387</v>
      </c>
      <c r="J85" s="140">
        <f t="shared" ca="1" si="5"/>
        <v>0.43389375409224257</v>
      </c>
      <c r="K85" s="140">
        <f t="shared" ca="1" si="5"/>
        <v>0.39545098806570439</v>
      </c>
      <c r="L85" s="51"/>
      <c r="M85" s="51"/>
      <c r="N85" s="51"/>
      <c r="O85" s="51"/>
      <c r="P85" s="51"/>
    </row>
    <row r="86" spans="1:16" x14ac:dyDescent="0.25">
      <c r="A86" t="s">
        <v>966</v>
      </c>
      <c r="B86" s="135">
        <f t="shared" ref="B86:K86" ca="1" si="6">B84*B85</f>
        <v>73835.92930869585</v>
      </c>
      <c r="C86" s="135">
        <f t="shared" ca="1" si="6"/>
        <v>74500.30427763582</v>
      </c>
      <c r="D86" s="135">
        <f t="shared" ca="1" si="6"/>
        <v>74623.215059040987</v>
      </c>
      <c r="E86" s="135">
        <f t="shared" ca="1" si="6"/>
        <v>74198.030114297755</v>
      </c>
      <c r="F86" s="135">
        <f t="shared" ca="1" si="6"/>
        <v>73230.140305750348</v>
      </c>
      <c r="G86" s="135">
        <f t="shared" ca="1" si="6"/>
        <v>73998.330426320666</v>
      </c>
      <c r="H86" s="135">
        <f t="shared" ca="1" si="6"/>
        <v>71839.737398284327</v>
      </c>
      <c r="I86" s="135">
        <f t="shared" ca="1" si="6"/>
        <v>69209.885133959207</v>
      </c>
      <c r="J86" s="135">
        <f t="shared" ca="1" si="6"/>
        <v>66881.523343650348</v>
      </c>
      <c r="K86" s="135">
        <f t="shared" ca="1" si="6"/>
        <v>64631.492396053865</v>
      </c>
      <c r="L86" s="35"/>
      <c r="M86" s="35"/>
      <c r="N86" s="35"/>
      <c r="O86" s="35"/>
      <c r="P86" s="35"/>
    </row>
    <row r="87" spans="1:16" x14ac:dyDescent="0.25">
      <c r="A87" t="s">
        <v>576</v>
      </c>
      <c r="B87" s="135">
        <f ca="1">SUM(B86:K86)</f>
        <v>716948.58776368923</v>
      </c>
    </row>
    <row r="89" spans="1:16" x14ac:dyDescent="0.25">
      <c r="A89" s="67" t="s">
        <v>1593</v>
      </c>
    </row>
    <row r="90" spans="1:16" x14ac:dyDescent="0.25">
      <c r="A90" t="s">
        <v>1594</v>
      </c>
      <c r="B90" s="135">
        <f>$B$24</f>
        <v>243429.64848457478</v>
      </c>
    </row>
    <row r="91" spans="1:16" x14ac:dyDescent="0.25">
      <c r="A91" t="s">
        <v>1595</v>
      </c>
      <c r="B91" s="135">
        <f>K81</f>
        <v>721480.95719828096</v>
      </c>
    </row>
    <row r="92" spans="1:16" x14ac:dyDescent="0.25">
      <c r="A92" t="s">
        <v>967</v>
      </c>
      <c r="B92" s="135">
        <f ca="1">B90-$B$12*B91</f>
        <v>173292.70492592579</v>
      </c>
    </row>
    <row r="93" spans="1:16" x14ac:dyDescent="0.25">
      <c r="A93" t="s">
        <v>968</v>
      </c>
      <c r="B93" s="135">
        <f ca="1">B92/$B$12+(B90*($E$8/$E$9)*($E$9-$B$12))/($B$12*($B$12-$E$8))</f>
        <v>4262480.0606469531</v>
      </c>
    </row>
    <row r="94" spans="1:16" x14ac:dyDescent="0.25">
      <c r="A94" t="s">
        <v>969</v>
      </c>
      <c r="B94" s="135">
        <f ca="1">B93*$B$26</f>
        <v>1685601.9515932011</v>
      </c>
    </row>
    <row r="96" spans="1:16" x14ac:dyDescent="0.25">
      <c r="A96" s="67" t="s">
        <v>970</v>
      </c>
    </row>
    <row r="97" spans="1:2" x14ac:dyDescent="0.25">
      <c r="A97" t="s">
        <v>971</v>
      </c>
      <c r="B97" s="80">
        <f>'MSFT - Reconciliation FY'!B32</f>
        <v>351327.48</v>
      </c>
    </row>
    <row r="98" spans="1:2" x14ac:dyDescent="0.25">
      <c r="A98" t="s">
        <v>972</v>
      </c>
      <c r="B98" s="135">
        <f ca="1">B87</f>
        <v>716948.58776368923</v>
      </c>
    </row>
    <row r="99" spans="1:2" x14ac:dyDescent="0.25">
      <c r="A99" t="s">
        <v>969</v>
      </c>
      <c r="B99" s="135">
        <f ca="1">B94</f>
        <v>1685601.9515932011</v>
      </c>
    </row>
    <row r="100" spans="1:2" x14ac:dyDescent="0.25">
      <c r="A100" t="s">
        <v>973</v>
      </c>
      <c r="B100" s="135">
        <f ca="1">SUM(B97:B99)</f>
        <v>2753878.0193568906</v>
      </c>
    </row>
    <row r="101" spans="1:2" x14ac:dyDescent="0.25">
      <c r="A101" t="s">
        <v>974</v>
      </c>
      <c r="B101" s="135">
        <f ca="1">B19+B27</f>
        <v>2753878.0193568901</v>
      </c>
    </row>
    <row r="102" spans="1:2" x14ac:dyDescent="0.25">
      <c r="A102" t="s">
        <v>975</v>
      </c>
      <c r="B102" s="135">
        <f ca="1">B100-B101</f>
        <v>0</v>
      </c>
    </row>
    <row r="103" spans="1:2" x14ac:dyDescent="0.25">
      <c r="A103" t="s">
        <v>976</v>
      </c>
      <c r="B103" s="133" t="str">
        <f ca="1">IF(ABS(B102)&lt;MAX(1,ABS(B101)*0.0001),"OK - methods agree","MISMATCH - investigate")</f>
        <v>OK - methods agree</v>
      </c>
    </row>
    <row r="105" spans="1:2" x14ac:dyDescent="0.25">
      <c r="A105" s="67" t="s">
        <v>977</v>
      </c>
    </row>
    <row r="106" spans="1:2" x14ac:dyDescent="0.25">
      <c r="A106" t="s">
        <v>1016</v>
      </c>
      <c r="B106" s="111">
        <f>IFERROR(J16/I16-1,"n/a")</f>
        <v>6.030000000000002E-2</v>
      </c>
    </row>
    <row r="107" spans="1:2" x14ac:dyDescent="0.25">
      <c r="A107" t="s">
        <v>1017</v>
      </c>
      <c r="B107" s="111">
        <f>IFERROR(K16/J16-1,"n/a")</f>
        <v>6.0299999999999132E-2</v>
      </c>
    </row>
    <row r="108" spans="1:2" x14ac:dyDescent="0.25">
      <c r="A108" t="s">
        <v>978</v>
      </c>
      <c r="B108" s="111">
        <f>IFERROR(B107-B106,"n/a")</f>
        <v>-8.8817841970012523E-16</v>
      </c>
    </row>
    <row r="109" spans="1:2" x14ac:dyDescent="0.25">
      <c r="A109" t="s">
        <v>1018</v>
      </c>
      <c r="B109" s="79">
        <f>'MSFT Forecast'!F111</f>
        <v>6.0300000000000006E-2</v>
      </c>
    </row>
    <row r="110" spans="1:2" x14ac:dyDescent="0.25">
      <c r="A110" t="s">
        <v>979</v>
      </c>
      <c r="B110" s="111">
        <f>$E$8</f>
        <v>6.0300000000000006E-2</v>
      </c>
    </row>
    <row r="111" spans="1:2" x14ac:dyDescent="0.25">
      <c r="A111" t="s">
        <v>980</v>
      </c>
      <c r="B111" s="111">
        <f>B109-B110</f>
        <v>0</v>
      </c>
    </row>
    <row r="112" spans="1:2" x14ac:dyDescent="0.25">
      <c r="A112" t="s">
        <v>1019</v>
      </c>
      <c r="B112" s="111">
        <f>IFERROR(J80/J82,"n/a")</f>
        <v>0.33740273538179361</v>
      </c>
    </row>
    <row r="113" spans="1:6" x14ac:dyDescent="0.25">
      <c r="A113" t="s">
        <v>1020</v>
      </c>
      <c r="B113" s="111">
        <f>IFERROR(K80/K82,"n/a")</f>
        <v>0.33740273538179366</v>
      </c>
    </row>
    <row r="114" spans="1:6" x14ac:dyDescent="0.25">
      <c r="A114" t="s">
        <v>978</v>
      </c>
      <c r="B114" s="111">
        <f>IFERROR(B113-B112,"n/a")</f>
        <v>5.5511151231257827E-17</v>
      </c>
    </row>
    <row r="115" spans="1:6" x14ac:dyDescent="0.25">
      <c r="A115" t="s">
        <v>976</v>
      </c>
      <c r="B115" s="133" t="str">
        <f>IF(AND(ABS(B108)&lt;0.005,ABS(B111)&lt;0.005,ABS(B114)&lt;0.005),"OK - steady state reached","NOT STEADY - see notes")</f>
        <v>OK - steady state reached</v>
      </c>
    </row>
    <row r="118" spans="1:6" x14ac:dyDescent="0.25">
      <c r="A118" s="67" t="s">
        <v>1602</v>
      </c>
    </row>
    <row r="119" spans="1:6" x14ac:dyDescent="0.25">
      <c r="A119" t="s">
        <v>1603</v>
      </c>
      <c r="B119" s="28">
        <f>$E$9*0.6</f>
        <v>0.14812277992786105</v>
      </c>
      <c r="C119" s="28">
        <f>$E$9*0.8</f>
        <v>0.19749703990381473</v>
      </c>
      <c r="D119" s="28">
        <f>$E$9*1</f>
        <v>0.24687129987976841</v>
      </c>
      <c r="E119" s="28">
        <f>$E$9*1.2</f>
        <v>0.2962455598557221</v>
      </c>
      <c r="F119" s="28">
        <f>$E$9*1.4</f>
        <v>0.34561981983167578</v>
      </c>
    </row>
    <row r="120" spans="1:6" x14ac:dyDescent="0.25">
      <c r="A120" s="3">
        <f ca="1">$B$12+-0.015</f>
        <v>8.2212466744806409E-2</v>
      </c>
      <c r="B120" s="26" cm="1">
        <f t="array" aca="1" ref="B120" ca="1">IFERROR(((SUMPRODUCT($B$16:$K$16,1/(1+$A120)^(COLUMN($B$16:$K$16)-COLUMN($B$16)+1))+$B$24*(1-$E$8/B$119)/($A120-$E$8)/(1+$A120)^10)*(1+$A120)^0.5+$B$32+$B$33+$B$34+$B$35+$B$36+$B$37)/$B$39,"")</f>
        <v>533.23367258484097</v>
      </c>
      <c r="C120" s="26" cm="1">
        <f t="array" aca="1" ref="C120" ca="1">IFERROR(((SUMPRODUCT($B$16:$K$16,1/(1+$A120)^(COLUMN($B$16:$K$16)-COLUMN($B$16)+1))+$B$24*(1-$E$8/C$119)/($A120-$E$8)/(1+$A120)^10)*(1+$A120)^0.5+$B$32+$B$33+$B$34+$B$35+$B$36+$B$37)/$B$39,"")</f>
        <v>605.11569291061289</v>
      </c>
      <c r="D120" s="26" cm="1">
        <f t="array" aca="1" ref="D120" ca="1">IFERROR(((SUMPRODUCT($B$16:$K$16,1/(1+$A120)^(COLUMN($B$16:$K$16)-COLUMN($B$16)+1))+$B$24*(1-$E$8/D$119)/($A120-$E$8)/(1+$A120)^10)*(1+$A120)^0.5+$B$32+$B$33+$B$34+$B$35+$B$36+$B$37)/$B$39,"")</f>
        <v>648.2449051060762</v>
      </c>
      <c r="E120" s="26" cm="1">
        <f t="array" aca="1" ref="E120" ca="1">IFERROR(((SUMPRODUCT($B$16:$K$16,1/(1+$A120)^(COLUMN($B$16:$K$16)-COLUMN($B$16)+1))+$B$24*(1-$E$8/E$119)/($A120-$E$8)/(1+$A120)^10)*(1+$A120)^0.5+$B$32+$B$33+$B$34+$B$35+$B$36+$B$37)/$B$39,"")</f>
        <v>676.9977132363847</v>
      </c>
      <c r="F120" s="26" cm="1">
        <f t="array" aca="1" ref="F120" ca="1">IFERROR(((SUMPRODUCT($B$16:$K$16,1/(1+$A120)^(COLUMN($B$16:$K$16)-COLUMN($B$16)+1))+$B$24*(1-$E$8/F$119)/($A120-$E$8)/(1+$A120)^10)*(1+$A120)^0.5+$B$32+$B$33+$B$34+$B$35+$B$36+$B$37)/$B$39,"")</f>
        <v>697.53543332946242</v>
      </c>
    </row>
    <row r="121" spans="1:6" x14ac:dyDescent="0.25">
      <c r="A121" s="3">
        <f ca="1">$B$12+-0.0075</f>
        <v>8.9712466744806402E-2</v>
      </c>
      <c r="B121" s="26" cm="1">
        <f t="array" aca="1" ref="B121" ca="1">IFERROR(((SUMPRODUCT($B$16:$K$16,1/(1+$A121)^(COLUMN($B$16:$K$16)-COLUMN($B$16)+1))+$B$24*(1-$E$8/B$119)/($A121-$E$8)/(1+$A121)^10)*(1+$A121)^0.5+$B$32+$B$33+$B$34+$B$35+$B$36+$B$37)/$B$39,"")</f>
        <v>402.54083953405069</v>
      </c>
      <c r="C121" s="26" cm="1">
        <f t="array" aca="1" ref="C121" ca="1">IFERROR(((SUMPRODUCT($B$16:$K$16,1/(1+$A121)^(COLUMN($B$16:$K$16)-COLUMN($B$16)+1))+$B$24*(1-$E$8/C$119)/($A121-$E$8)/(1+$A121)^10)*(1+$A121)^0.5+$B$32+$B$33+$B$34+$B$35+$B$36+$B$37)/$B$39,"")</f>
        <v>452.69256974404107</v>
      </c>
      <c r="D121" s="26" cm="1">
        <f t="array" aca="1" ref="D121" ca="1">IFERROR(((SUMPRODUCT($B$16:$K$16,1/(1+$A121)^(COLUMN($B$16:$K$16)-COLUMN($B$16)+1))+$B$24*(1-$E$8/D$119)/($A121-$E$8)/(1+$A121)^10)*(1+$A121)^0.5+$B$32+$B$33+$B$34+$B$35+$B$36+$B$37)/$B$39,"")</f>
        <v>482.78360787003538</v>
      </c>
      <c r="E121" s="26" cm="1">
        <f t="array" aca="1" ref="E121" ca="1">IFERROR(((SUMPRODUCT($B$16:$K$16,1/(1+$A121)^(COLUMN($B$16:$K$16)-COLUMN($B$16)+1))+$B$24*(1-$E$8/E$119)/($A121-$E$8)/(1+$A121)^10)*(1+$A121)^0.5+$B$32+$B$33+$B$34+$B$35+$B$36+$B$37)/$B$39,"")</f>
        <v>502.8442999540315</v>
      </c>
      <c r="F121" s="26" cm="1">
        <f t="array" aca="1" ref="F121" ca="1">IFERROR(((SUMPRODUCT($B$16:$K$16,1/(1+$A121)^(COLUMN($B$16:$K$16)-COLUMN($B$16)+1))+$B$24*(1-$E$8/F$119)/($A121-$E$8)/(1+$A121)^10)*(1+$A121)^0.5+$B$32+$B$33+$B$34+$B$35+$B$36+$B$37)/$B$39,"")</f>
        <v>517.17336572831437</v>
      </c>
    </row>
    <row r="122" spans="1:6" x14ac:dyDescent="0.25">
      <c r="A122" s="3">
        <f ca="1">$B$12+0</f>
        <v>9.7212466744806408E-2</v>
      </c>
      <c r="B122" s="26" cm="1">
        <f t="array" aca="1" ref="B122" ca="1">IFERROR(((SUMPRODUCT($B$16:$K$16,1/(1+$A122)^(COLUMN($B$16:$K$16)-COLUMN($B$16)+1))+$B$24*(1-$E$8/B$119)/($A122-$E$8)/(1+$A122)^10)*(1+$A122)^0.5+$B$32+$B$33+$B$34+$B$35+$B$36+$B$37)/$B$39,"")</f>
        <v>324.60262254445291</v>
      </c>
      <c r="C122" s="26" cm="1">
        <f t="array" aca="1" ref="C122" ca="1">IFERROR(((SUMPRODUCT($B$16:$K$16,1/(1+$A122)^(COLUMN($B$16:$K$16)-COLUMN($B$16)+1))+$B$24*(1-$E$8/C$119)/($A122-$E$8)/(1+$A122)^10)*(1+$A122)^0.5+$B$32+$B$33+$B$34+$B$35+$B$36+$B$37)/$B$39,"")</f>
        <v>362.0434611277276</v>
      </c>
      <c r="D122" s="235" cm="1">
        <f t="array" aca="1" ref="D122" ca="1">IFERROR(((SUMPRODUCT($B$16:$K$16,1/(1+$A122)^(COLUMN($B$16:$K$16)-COLUMN($B$16)+1))+$B$24*(1-$E$8/D$119)/($A122-$E$8)/(1+$A122)^10)*(1+$A122)^0.5+$B$32+$B$33+$B$34+$B$35+$B$36+$B$37)/$B$39,"")</f>
        <v>384.50796427769234</v>
      </c>
      <c r="E122" s="26" cm="1">
        <f t="array" aca="1" ref="E122" ca="1">IFERROR(((SUMPRODUCT($B$16:$K$16,1/(1+$A122)^(COLUMN($B$16:$K$16)-COLUMN($B$16)+1))+$B$24*(1-$E$8/E$119)/($A122-$E$8)/(1+$A122)^10)*(1+$A122)^0.5+$B$32+$B$33+$B$34+$B$35+$B$36+$B$37)/$B$39,"")</f>
        <v>399.48429971100217</v>
      </c>
      <c r="F122" s="26" cm="1">
        <f t="array" aca="1" ref="F122" ca="1">IFERROR(((SUMPRODUCT($B$16:$K$16,1/(1+$A122)^(COLUMN($B$16:$K$16)-COLUMN($B$16)+1))+$B$24*(1-$E$8/F$119)/($A122-$E$8)/(1+$A122)^10)*(1+$A122)^0.5+$B$32+$B$33+$B$34+$B$35+$B$36+$B$37)/$B$39,"")</f>
        <v>410.18168216336636</v>
      </c>
    </row>
    <row r="123" spans="1:6" x14ac:dyDescent="0.25">
      <c r="A123" s="3">
        <f ca="1">$B$12+0.0075</f>
        <v>0.10471246674480642</v>
      </c>
      <c r="B123" s="26" cm="1">
        <f t="array" aca="1" ref="B123" ca="1">IFERROR(((SUMPRODUCT($B$16:$K$16,1/(1+$A123)^(COLUMN($B$16:$K$16)-COLUMN($B$16)+1))+$B$24*(1-$E$8/B$119)/($A123-$E$8)/(1+$A123)^10)*(1+$A123)^0.5+$B$32+$B$33+$B$34+$B$35+$B$36+$B$37)/$B$39,"")</f>
        <v>272.71678056086353</v>
      </c>
      <c r="C123" s="26" cm="1">
        <f t="array" aca="1" ref="C123" ca="1">IFERROR(((SUMPRODUCT($B$16:$K$16,1/(1+$A123)^(COLUMN($B$16:$K$16)-COLUMN($B$16)+1))+$B$24*(1-$E$8/C$119)/($A123-$E$8)/(1+$A123)^10)*(1+$A123)^0.5+$B$32+$B$33+$B$34+$B$35+$B$36+$B$37)/$B$39,"")</f>
        <v>301.88485675221233</v>
      </c>
      <c r="D123" s="26" cm="1">
        <f t="array" aca="1" ref="D123" ca="1">IFERROR(((SUMPRODUCT($B$16:$K$16,1/(1+$A123)^(COLUMN($B$16:$K$16)-COLUMN($B$16)+1))+$B$24*(1-$E$8/D$119)/($A123-$E$8)/(1+$A123)^10)*(1+$A123)^0.5+$B$32+$B$33+$B$34+$B$35+$B$36+$B$37)/$B$39,"")</f>
        <v>319.38570246702159</v>
      </c>
      <c r="E123" s="26" cm="1">
        <f t="array" aca="1" ref="E123" ca="1">IFERROR(((SUMPRODUCT($B$16:$K$16,1/(1+$A123)^(COLUMN($B$16:$K$16)-COLUMN($B$16)+1))+$B$24*(1-$E$8/E$119)/($A123-$E$8)/(1+$A123)^10)*(1+$A123)^0.5+$B$32+$B$33+$B$34+$B$35+$B$36+$B$37)/$B$39,"")</f>
        <v>331.05293294356107</v>
      </c>
      <c r="F123" s="26" cm="1">
        <f t="array" aca="1" ref="F123" ca="1">IFERROR(((SUMPRODUCT($B$16:$K$16,1/(1+$A123)^(COLUMN($B$16:$K$16)-COLUMN($B$16)+1))+$B$24*(1-$E$8/F$119)/($A123-$E$8)/(1+$A123)^10)*(1+$A123)^0.5+$B$32+$B$33+$B$34+$B$35+$B$36+$B$37)/$B$39,"")</f>
        <v>339.38666899823221</v>
      </c>
    </row>
    <row r="124" spans="1:6" x14ac:dyDescent="0.25">
      <c r="A124" s="3">
        <f ca="1">$B$12+0.015</f>
        <v>0.11221246674480641</v>
      </c>
      <c r="B124" s="26" cm="1">
        <f t="array" aca="1" ref="B124" ca="1">IFERROR(((SUMPRODUCT($B$16:$K$16,1/(1+$A124)^(COLUMN($B$16:$K$16)-COLUMN($B$16)+1))+$B$24*(1-$E$8/B$119)/($A124-$E$8)/(1+$A124)^10)*(1+$A124)^0.5+$B$32+$B$33+$B$34+$B$35+$B$36+$B$37)/$B$39,"")</f>
        <v>235.61044134564366</v>
      </c>
      <c r="C124" s="26" cm="1">
        <f t="array" aca="1" ref="C124" ca="1">IFERROR(((SUMPRODUCT($B$16:$K$16,1/(1+$A124)^(COLUMN($B$16:$K$16)-COLUMN($B$16)+1))+$B$24*(1-$E$8/C$119)/($A124-$E$8)/(1+$A124)^10)*(1+$A124)^0.5+$B$32+$B$33+$B$34+$B$35+$B$36+$B$37)/$B$39,"")</f>
        <v>259.01094635975818</v>
      </c>
      <c r="D124" s="26" cm="1">
        <f t="array" aca="1" ref="D124" ca="1">IFERROR(((SUMPRODUCT($B$16:$K$16,1/(1+$A124)^(COLUMN($B$16:$K$16)-COLUMN($B$16)+1))+$B$24*(1-$E$8/D$119)/($A124-$E$8)/(1+$A124)^10)*(1+$A124)^0.5+$B$32+$B$33+$B$34+$B$35+$B$36+$B$37)/$B$39,"")</f>
        <v>273.05124936822682</v>
      </c>
      <c r="E124" s="26" cm="1">
        <f t="array" aca="1" ref="E124" ca="1">IFERROR(((SUMPRODUCT($B$16:$K$16,1/(1+$A124)^(COLUMN($B$16:$K$16)-COLUMN($B$16)+1))+$B$24*(1-$E$8/E$119)/($A124-$E$8)/(1+$A124)^10)*(1+$A124)^0.5+$B$32+$B$33+$B$34+$B$35+$B$36+$B$37)/$B$39,"")</f>
        <v>282.41145137387269</v>
      </c>
      <c r="F124" s="26" cm="1">
        <f t="array" aca="1" ref="F124" ca="1">IFERROR(((SUMPRODUCT($B$16:$K$16,1/(1+$A124)^(COLUMN($B$16:$K$16)-COLUMN($B$16)+1))+$B$24*(1-$E$8/F$119)/($A124-$E$8)/(1+$A124)^10)*(1+$A124)^0.5+$B$32+$B$33+$B$34+$B$35+$B$36+$B$37)/$B$39,"")</f>
        <v>289.09730994933392</v>
      </c>
    </row>
    <row r="127" spans="1:6" x14ac:dyDescent="0.25">
      <c r="A127" s="67" t="s">
        <v>1604</v>
      </c>
    </row>
    <row r="128" spans="1:6" x14ac:dyDescent="0.25">
      <c r="A128" t="s">
        <v>1605</v>
      </c>
      <c r="B128" s="28">
        <f>$B$22+-0.04</f>
        <v>0.42532764737418394</v>
      </c>
      <c r="C128" s="28">
        <f>$B$22+-0.02</f>
        <v>0.4453276473741839</v>
      </c>
      <c r="D128" s="28">
        <f>$B$22+0</f>
        <v>0.46532764737418392</v>
      </c>
      <c r="E128" s="28">
        <f>$B$22+0.02</f>
        <v>0.48532764737418393</v>
      </c>
      <c r="F128" s="28">
        <f>$B$22+0.04</f>
        <v>0.5053276473741839</v>
      </c>
    </row>
    <row r="129" spans="1:6" x14ac:dyDescent="0.25">
      <c r="A129" s="3">
        <f ca="1">$B$12+-0.015</f>
        <v>8.2212466744806409E-2</v>
      </c>
      <c r="B129" s="26" cm="1">
        <f t="array" aca="1" ref="B129" ca="1">IFERROR(((SUMPRODUCT($B$16:$K$16,1/(1+$A129)^(COLUMN($B$16:$K$16)-COLUMN($B$16)+1))+($B$23*B$128*(1-'MSFT Forecast'!$B$2))*(1-$E$8/$E$9)/($A129-$E$8)/(1+$A129)^10)*(1+$A129)^0.5+$B$32+$B$33+$B$34+$B$35+$B$36+$B$37)/$B$39,"")</f>
        <v>602.36102076569523</v>
      </c>
      <c r="C129" s="26" cm="1">
        <f t="array" aca="1" ref="C129" ca="1">IFERROR(((SUMPRODUCT($B$16:$K$16,1/(1+$A129)^(COLUMN($B$16:$K$16)-COLUMN($B$16)+1))+($B$23*C$128*(1-'MSFT Forecast'!$B$2))*(1-$E$8/$E$9)/($A129-$E$8)/(1+$A129)^10)*(1+$A129)^0.5+$B$32+$B$33+$B$34+$B$35+$B$36+$B$37)/$B$39,"")</f>
        <v>625.30296293588549</v>
      </c>
      <c r="D129" s="26" cm="1">
        <f t="array" aca="1" ref="D129" ca="1">IFERROR(((SUMPRODUCT($B$16:$K$16,1/(1+$A129)^(COLUMN($B$16:$K$16)-COLUMN($B$16)+1))+($B$23*D$128*(1-'MSFT Forecast'!$B$2))*(1-$E$8/$E$9)/($A129-$E$8)/(1+$A129)^10)*(1+$A129)^0.5+$B$32+$B$33+$B$34+$B$35+$B$36+$B$37)/$B$39,"")</f>
        <v>648.2449051060762</v>
      </c>
      <c r="E129" s="26" cm="1">
        <f t="array" aca="1" ref="E129" ca="1">IFERROR(((SUMPRODUCT($B$16:$K$16,1/(1+$A129)^(COLUMN($B$16:$K$16)-COLUMN($B$16)+1))+($B$23*E$128*(1-'MSFT Forecast'!$B$2))*(1-$E$8/$E$9)/($A129-$E$8)/(1+$A129)^10)*(1+$A129)^0.5+$B$32+$B$33+$B$34+$B$35+$B$36+$B$37)/$B$39,"")</f>
        <v>671.18684727626646</v>
      </c>
      <c r="F129" s="26" cm="1">
        <f t="array" aca="1" ref="F129" ca="1">IFERROR(((SUMPRODUCT($B$16:$K$16,1/(1+$A129)^(COLUMN($B$16:$K$16)-COLUMN($B$16)+1))+($B$23*F$128*(1-'MSFT Forecast'!$B$2))*(1-$E$8/$E$9)/($A129-$E$8)/(1+$A129)^10)*(1+$A129)^0.5+$B$32+$B$33+$B$34+$B$35+$B$36+$B$37)/$B$39,"")</f>
        <v>694.12878944645706</v>
      </c>
    </row>
    <row r="130" spans="1:6" x14ac:dyDescent="0.25">
      <c r="A130" s="3">
        <f ca="1">$B$12+-0.0075</f>
        <v>8.9712466744806402E-2</v>
      </c>
      <c r="B130" s="26" cm="1">
        <f t="array" aca="1" ref="B130" ca="1">IFERROR(((SUMPRODUCT($B$16:$K$16,1/(1+$A130)^(COLUMN($B$16:$K$16)-COLUMN($B$16)+1))+($B$23*B$128*(1-'MSFT Forecast'!$B$2))*(1-$E$8/$E$9)/($A130-$E$8)/(1+$A130)^10)*(1+$A130)^0.5+$B$32+$B$33+$B$34+$B$35+$B$36+$B$37)/$B$39,"")</f>
        <v>450.77064860711732</v>
      </c>
      <c r="C130" s="26" cm="1">
        <f t="array" aca="1" ref="C130" ca="1">IFERROR(((SUMPRODUCT($B$16:$K$16,1/(1+$A130)^(COLUMN($B$16:$K$16)-COLUMN($B$16)+1))+($B$23*C$128*(1-'MSFT Forecast'!$B$2))*(1-$E$8/$E$9)/($A130-$E$8)/(1+$A130)^10)*(1+$A130)^0.5+$B$32+$B$33+$B$34+$B$35+$B$36+$B$37)/$B$39,"")</f>
        <v>466.77712823857632</v>
      </c>
      <c r="D130" s="26" cm="1">
        <f t="array" aca="1" ref="D130" ca="1">IFERROR(((SUMPRODUCT($B$16:$K$16,1/(1+$A130)^(COLUMN($B$16:$K$16)-COLUMN($B$16)+1))+($B$23*D$128*(1-'MSFT Forecast'!$B$2))*(1-$E$8/$E$9)/($A130-$E$8)/(1+$A130)^10)*(1+$A130)^0.5+$B$32+$B$33+$B$34+$B$35+$B$36+$B$37)/$B$39,"")</f>
        <v>482.78360787003538</v>
      </c>
      <c r="E130" s="26" cm="1">
        <f t="array" aca="1" ref="E130" ca="1">IFERROR(((SUMPRODUCT($B$16:$K$16,1/(1+$A130)^(COLUMN($B$16:$K$16)-COLUMN($B$16)+1))+($B$23*E$128*(1-'MSFT Forecast'!$B$2))*(1-$E$8/$E$9)/($A130-$E$8)/(1+$A130)^10)*(1+$A130)^0.5+$B$32+$B$33+$B$34+$B$35+$B$36+$B$37)/$B$39,"")</f>
        <v>498.79008750149438</v>
      </c>
      <c r="F130" s="26" cm="1">
        <f t="array" aca="1" ref="F130" ca="1">IFERROR(((SUMPRODUCT($B$16:$K$16,1/(1+$A130)^(COLUMN($B$16:$K$16)-COLUMN($B$16)+1))+($B$23*F$128*(1-'MSFT Forecast'!$B$2))*(1-$E$8/$E$9)/($A130-$E$8)/(1+$A130)^10)*(1+$A130)^0.5+$B$32+$B$33+$B$34+$B$35+$B$36+$B$37)/$B$39,"")</f>
        <v>514.79656713295344</v>
      </c>
    </row>
    <row r="131" spans="1:6" x14ac:dyDescent="0.25">
      <c r="A131" s="3">
        <f ca="1">$B$12+0</f>
        <v>9.7212466744806408E-2</v>
      </c>
      <c r="B131" s="26" cm="1">
        <f t="array" aca="1" ref="B131" ca="1">IFERROR(((SUMPRODUCT($B$16:$K$16,1/(1+$A131)^(COLUMN($B$16:$K$16)-COLUMN($B$16)+1))+($B$23*B$128*(1-'MSFT Forecast'!$B$2))*(1-$E$8/$E$9)/($A131-$E$8)/(1+$A131)^10)*(1+$A131)^0.5+$B$32+$B$33+$B$34+$B$35+$B$36+$B$37)/$B$39,"")</f>
        <v>360.60864843520329</v>
      </c>
      <c r="C131" s="26" cm="1">
        <f t="array" aca="1" ref="C131" ca="1">IFERROR(((SUMPRODUCT($B$16:$K$16,1/(1+$A131)^(COLUMN($B$16:$K$16)-COLUMN($B$16)+1))+($B$23*C$128*(1-'MSFT Forecast'!$B$2))*(1-$E$8/$E$9)/($A131-$E$8)/(1+$A131)^10)*(1+$A131)^0.5+$B$32+$B$33+$B$34+$B$35+$B$36+$B$37)/$B$39,"")</f>
        <v>372.5583063564477</v>
      </c>
      <c r="D131" s="235" cm="1">
        <f t="array" aca="1" ref="D131" ca="1">IFERROR(((SUMPRODUCT($B$16:$K$16,1/(1+$A131)^(COLUMN($B$16:$K$16)-COLUMN($B$16)+1))+($B$23*D$128*(1-'MSFT Forecast'!$B$2))*(1-$E$8/$E$9)/($A131-$E$8)/(1+$A131)^10)*(1+$A131)^0.5+$B$32+$B$33+$B$34+$B$35+$B$36+$B$37)/$B$39,"")</f>
        <v>384.50796427769234</v>
      </c>
      <c r="E131" s="26" cm="1">
        <f t="array" aca="1" ref="E131" ca="1">IFERROR(((SUMPRODUCT($B$16:$K$16,1/(1+$A131)^(COLUMN($B$16:$K$16)-COLUMN($B$16)+1))+($B$23*E$128*(1-'MSFT Forecast'!$B$2))*(1-$E$8/$E$9)/($A131-$E$8)/(1+$A131)^10)*(1+$A131)^0.5+$B$32+$B$33+$B$34+$B$35+$B$36+$B$37)/$B$39,"")</f>
        <v>396.45762219893692</v>
      </c>
      <c r="F131" s="26" cm="1">
        <f t="array" aca="1" ref="F131" ca="1">IFERROR(((SUMPRODUCT($B$16:$K$16,1/(1+$A131)^(COLUMN($B$16:$K$16)-COLUMN($B$16)+1))+($B$23*F$128*(1-'MSFT Forecast'!$B$2))*(1-$E$8/$E$9)/($A131-$E$8)/(1+$A131)^10)*(1+$A131)^0.5+$B$32+$B$33+$B$34+$B$35+$B$36+$B$37)/$B$39,"")</f>
        <v>408.4072801201815</v>
      </c>
    </row>
    <row r="132" spans="1:6" x14ac:dyDescent="0.25">
      <c r="A132" s="3">
        <f ca="1">$B$12+0.0075</f>
        <v>0.10471246674480642</v>
      </c>
      <c r="B132" s="26" cm="1">
        <f t="array" aca="1" ref="B132" ca="1">IFERROR(((SUMPRODUCT($B$16:$K$16,1/(1+$A132)^(COLUMN($B$16:$K$16)-COLUMN($B$16)+1))+($B$23*B$128*(1-'MSFT Forecast'!$B$2))*(1-$E$8/$E$9)/($A132-$E$8)/(1+$A132)^10)*(1+$A132)^0.5+$B$32+$B$33+$B$34+$B$35+$B$36+$B$37)/$B$39,"")</f>
        <v>300.76707393752503</v>
      </c>
      <c r="C132" s="26" cm="1">
        <f t="array" aca="1" ref="C132" ca="1">IFERROR(((SUMPRODUCT($B$16:$K$16,1/(1+$A132)^(COLUMN($B$16:$K$16)-COLUMN($B$16)+1))+($B$23*C$128*(1-'MSFT Forecast'!$B$2))*(1-$E$8/$E$9)/($A132-$E$8)/(1+$A132)^10)*(1+$A132)^0.5+$B$32+$B$33+$B$34+$B$35+$B$36+$B$37)/$B$39,"")</f>
        <v>310.07638820227334</v>
      </c>
      <c r="D132" s="26" cm="1">
        <f t="array" aca="1" ref="D132" ca="1">IFERROR(((SUMPRODUCT($B$16:$K$16,1/(1+$A132)^(COLUMN($B$16:$K$16)-COLUMN($B$16)+1))+($B$23*D$128*(1-'MSFT Forecast'!$B$2))*(1-$E$8/$E$9)/($A132-$E$8)/(1+$A132)^10)*(1+$A132)^0.5+$B$32+$B$33+$B$34+$B$35+$B$36+$B$37)/$B$39,"")</f>
        <v>319.38570246702159</v>
      </c>
      <c r="E132" s="26" cm="1">
        <f t="array" aca="1" ref="E132" ca="1">IFERROR(((SUMPRODUCT($B$16:$K$16,1/(1+$A132)^(COLUMN($B$16:$K$16)-COLUMN($B$16)+1))+($B$23*E$128*(1-'MSFT Forecast'!$B$2))*(1-$E$8/$E$9)/($A132-$E$8)/(1+$A132)^10)*(1+$A132)^0.5+$B$32+$B$33+$B$34+$B$35+$B$36+$B$37)/$B$39,"")</f>
        <v>328.69501673176984</v>
      </c>
      <c r="F132" s="26" cm="1">
        <f t="array" aca="1" ref="F132" ca="1">IFERROR(((SUMPRODUCT($B$16:$K$16,1/(1+$A132)^(COLUMN($B$16:$K$16)-COLUMN($B$16)+1))+($B$23*F$128*(1-'MSFT Forecast'!$B$2))*(1-$E$8/$E$9)/($A132-$E$8)/(1+$A132)^10)*(1+$A132)^0.5+$B$32+$B$33+$B$34+$B$35+$B$36+$B$37)/$B$39,"")</f>
        <v>338.00433099651815</v>
      </c>
    </row>
    <row r="133" spans="1:6" x14ac:dyDescent="0.25">
      <c r="A133" s="3">
        <f ca="1">$B$12+0.015</f>
        <v>0.11221246674480641</v>
      </c>
      <c r="B133" s="26" cm="1">
        <f t="array" aca="1" ref="B133" ca="1">IFERROR(((SUMPRODUCT($B$16:$K$16,1/(1+$A133)^(COLUMN($B$16:$K$16)-COLUMN($B$16)+1))+($B$23*B$128*(1-'MSFT Forecast'!$B$2))*(1-$E$8/$E$9)/($A133-$E$8)/(1+$A133)^10)*(1+$A133)^0.5+$B$32+$B$33+$B$34+$B$35+$B$36+$B$37)/$B$39,"")</f>
        <v>258.11418915889971</v>
      </c>
      <c r="C133" s="26" cm="1">
        <f t="array" aca="1" ref="C133" ca="1">IFERROR(((SUMPRODUCT($B$16:$K$16,1/(1+$A133)^(COLUMN($B$16:$K$16)-COLUMN($B$16)+1))+($B$23*C$128*(1-'MSFT Forecast'!$B$2))*(1-$E$8/$E$9)/($A133-$E$8)/(1+$A133)^10)*(1+$A133)^0.5+$B$32+$B$33+$B$34+$B$35+$B$36+$B$37)/$B$39,"")</f>
        <v>265.58271926356326</v>
      </c>
      <c r="D133" s="26" cm="1">
        <f t="array" aca="1" ref="D133" ca="1">IFERROR(((SUMPRODUCT($B$16:$K$16,1/(1+$A133)^(COLUMN($B$16:$K$16)-COLUMN($B$16)+1))+($B$23*D$128*(1-'MSFT Forecast'!$B$2))*(1-$E$8/$E$9)/($A133-$E$8)/(1+$A133)^10)*(1+$A133)^0.5+$B$32+$B$33+$B$34+$B$35+$B$36+$B$37)/$B$39,"")</f>
        <v>273.05124936822682</v>
      </c>
      <c r="E133" s="26" cm="1">
        <f t="array" aca="1" ref="E133" ca="1">IFERROR(((SUMPRODUCT($B$16:$K$16,1/(1+$A133)^(COLUMN($B$16:$K$16)-COLUMN($B$16)+1))+($B$23*E$128*(1-'MSFT Forecast'!$B$2))*(1-$E$8/$E$9)/($A133-$E$8)/(1+$A133)^10)*(1+$A133)^0.5+$B$32+$B$33+$B$34+$B$35+$B$36+$B$37)/$B$39,"")</f>
        <v>280.51977947289043</v>
      </c>
      <c r="F133" s="26" cm="1">
        <f t="array" aca="1" ref="F133" ca="1">IFERROR(((SUMPRODUCT($B$16:$K$16,1/(1+$A133)^(COLUMN($B$16:$K$16)-COLUMN($B$16)+1))+($B$23*F$128*(1-'MSFT Forecast'!$B$2))*(1-$E$8/$E$9)/($A133-$E$8)/(1+$A133)^10)*(1+$A133)^0.5+$B$32+$B$33+$B$34+$B$35+$B$36+$B$37)/$B$39,"")</f>
        <v>287.98830957755405</v>
      </c>
    </row>
    <row r="136" spans="1:6" x14ac:dyDescent="0.25">
      <c r="A136" s="233" t="s">
        <v>1606</v>
      </c>
    </row>
    <row r="137" spans="1:6" x14ac:dyDescent="0.25">
      <c r="A137" t="s">
        <v>569</v>
      </c>
      <c r="B137" s="28">
        <v>0</v>
      </c>
      <c r="C137" s="28">
        <v>0.05</v>
      </c>
      <c r="D137" s="28">
        <v>0.1</v>
      </c>
      <c r="E137" s="28">
        <v>0.15</v>
      </c>
      <c r="F137" s="28">
        <v>0.2</v>
      </c>
    </row>
    <row r="138" spans="1:6" x14ac:dyDescent="0.25">
      <c r="A138" t="s">
        <v>1607</v>
      </c>
      <c r="B138" s="165">
        <v>283.74065700933102</v>
      </c>
      <c r="C138" s="165">
        <v>324.27376543193799</v>
      </c>
      <c r="D138" s="165">
        <v>370.35301142879598</v>
      </c>
      <c r="E138" s="165">
        <v>422.57629200486599</v>
      </c>
      <c r="F138" s="165">
        <v>481.58953399266102</v>
      </c>
    </row>
    <row r="139" spans="1:6" x14ac:dyDescent="0.25">
      <c r="A139" s="234" t="s">
        <v>1608</v>
      </c>
    </row>
  </sheetData>
  <conditionalFormatting sqref="B71:F75">
    <cfRule type="colorScale" priority="1">
      <colorScale>
        <cfvo type="min"/>
        <cfvo type="percentile" val="50"/>
        <cfvo type="max"/>
        <color rgb="FFF8696B"/>
        <color rgb="FFFFEB84"/>
        <color rgb="FF63BE7B"/>
      </colorScale>
    </cfRule>
  </conditionalFormatting>
  <conditionalFormatting sqref="B120:F124">
    <cfRule type="colorScale" priority="2">
      <colorScale>
        <cfvo type="min"/>
        <cfvo type="percentile" val="50"/>
        <cfvo type="max"/>
        <color rgb="FFF8696B"/>
        <color rgb="FFFFEB84"/>
        <color rgb="FF63BE7B"/>
      </colorScale>
    </cfRule>
  </conditionalFormatting>
  <conditionalFormatting sqref="B129:F133">
    <cfRule type="colorScale" priority="3">
      <colorScale>
        <cfvo type="min"/>
        <cfvo type="percentile" val="50"/>
        <cfvo type="max"/>
        <color rgb="FFF8696B"/>
        <color rgb="FFFFEB84"/>
        <color rgb="FF63BE7B"/>
      </colorScale>
    </cfRule>
  </conditionalFormatting>
  <conditionalFormatting sqref="B138:F138">
    <cfRule type="colorScale" priority="4">
      <colorScale>
        <cfvo type="min"/>
        <cfvo type="percentile" val="50"/>
        <cfvo type="max"/>
        <color rgb="FFF8696B"/>
        <color rgb="FFFFEB84"/>
        <color rgb="FF63BE7B"/>
      </colorScale>
    </cfRule>
  </conditionalFormatting>
  <pageMargins left="0.7" right="0.7" top="0.75" bottom="0.75" header="0.3" footer="0.3"/>
  <drawing r:id="rId1"/>
  <legacyDrawing r:id="rId2"/>
</worksheet>
</file>

<file path=xl/worksheets/sheet8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4EE478-B3EE-4411-A6CA-071D250255D4}">
  <sheetPr>
    <tabColor rgb="FFF4B7B7"/>
  </sheetPr>
  <dimension ref="A1:P139"/>
  <sheetViews>
    <sheetView workbookViewId="0">
      <selection activeCell="A108" sqref="A108"/>
    </sheetView>
  </sheetViews>
  <sheetFormatPr defaultRowHeight="15" x14ac:dyDescent="0.25"/>
  <cols>
    <col min="1" max="1" width="57.140625" customWidth="1"/>
    <col min="2" max="2" width="11.7109375" bestFit="1" customWidth="1"/>
  </cols>
  <sheetData>
    <row r="1" spans="1:16" ht="15.75" x14ac:dyDescent="0.25">
      <c r="A1" s="15" t="s">
        <v>595</v>
      </c>
    </row>
    <row r="3" spans="1:16" x14ac:dyDescent="0.25">
      <c r="A3" s="24" t="s">
        <v>568</v>
      </c>
      <c r="B3" s="24"/>
      <c r="C3" s="24"/>
      <c r="D3" s="24"/>
      <c r="E3" s="24"/>
      <c r="F3" s="24"/>
    </row>
    <row r="4" spans="1:16" x14ac:dyDescent="0.25">
      <c r="A4" t="s">
        <v>792</v>
      </c>
      <c r="B4" s="78" t="str">
        <f>'Valuation Dashboard'!D22</f>
        <v>Base</v>
      </c>
      <c r="C4" s="170">
        <f>MATCH($B$4,{"Base","Worst","Best"},0)</f>
        <v>1</v>
      </c>
    </row>
    <row r="5" spans="1:16" x14ac:dyDescent="0.25">
      <c r="A5" s="9" t="s">
        <v>449</v>
      </c>
      <c r="B5" s="9" t="s">
        <v>590</v>
      </c>
      <c r="C5" s="9" t="s">
        <v>591</v>
      </c>
      <c r="D5" s="9" t="s">
        <v>592</v>
      </c>
      <c r="E5" s="9" t="s">
        <v>593</v>
      </c>
    </row>
    <row r="6" spans="1:16" x14ac:dyDescent="0.25">
      <c r="A6" t="s">
        <v>569</v>
      </c>
      <c r="B6" s="76">
        <f>'Valuation Dashboard'!D23</f>
        <v>0.1</v>
      </c>
      <c r="C6" s="76">
        <f>'Valuation Dashboard'!$B$15</f>
        <v>0.01</v>
      </c>
      <c r="D6" s="76">
        <f>MAX($B$6,'Valuation Dashboard'!$B$16)</f>
        <v>0.154</v>
      </c>
      <c r="E6" s="134" cm="1">
        <f t="array" ref="E6">INDEX(B6:D6,$C$4)</f>
        <v>0.1</v>
      </c>
    </row>
    <row r="7" spans="1:16" x14ac:dyDescent="0.25">
      <c r="A7" t="s">
        <v>570</v>
      </c>
      <c r="B7" s="76">
        <f>'Valuation Dashboard'!$B$19</f>
        <v>0</v>
      </c>
      <c r="C7" s="76">
        <f>'Valuation Dashboard'!$D$224</f>
        <v>-4.4099007575578518E-2</v>
      </c>
      <c r="D7" s="76">
        <f>'Valuation Dashboard'!$D$225</f>
        <v>7.7138619077671278E-4</v>
      </c>
      <c r="E7" s="134" cm="1">
        <f t="array" ref="E7">INDEX(B7:D7,$C$4)</f>
        <v>0</v>
      </c>
    </row>
    <row r="8" spans="1:16" x14ac:dyDescent="0.25">
      <c r="A8" t="s">
        <v>605</v>
      </c>
      <c r="B8" s="76">
        <f>'GOOGL Rev Drivers &amp; Forecast'!$B$7+'GOOGL Rev Drivers &amp; Forecast'!$B$4</f>
        <v>6.0300000000000006E-2</v>
      </c>
      <c r="C8" s="76">
        <f>'GOOGL Rev Drivers &amp; Forecast'!$B$7+'GOOGL Rev Drivers &amp; Forecast'!$B$4-0.015</f>
        <v>4.5300000000000007E-2</v>
      </c>
      <c r="D8" s="76">
        <f>'GOOGL Rev Drivers &amp; Forecast'!$B$7+'GOOGL Rev Drivers &amp; Forecast'!$B$4</f>
        <v>6.0300000000000006E-2</v>
      </c>
      <c r="E8" s="134" cm="1">
        <f t="array" ref="E8">INDEX(B8:D8,$C$4)</f>
        <v>6.0300000000000006E-2</v>
      </c>
    </row>
    <row r="9" spans="1:16" x14ac:dyDescent="0.25">
      <c r="A9" t="s">
        <v>1552</v>
      </c>
      <c r="B9" s="76">
        <f>'Valuation Dashboard'!$D$206</f>
        <v>0.270255345666576</v>
      </c>
      <c r="C9" s="76">
        <f>'Valuation Dashboard'!$D$206</f>
        <v>0.270255345666576</v>
      </c>
      <c r="D9" s="76">
        <f>'Valuation Dashboard'!$D$206</f>
        <v>0.270255345666576</v>
      </c>
      <c r="E9" s="134" cm="1">
        <f t="array" ref="E9">INDEX(B9:D9,$C$4)</f>
        <v>0.270255345666576</v>
      </c>
    </row>
    <row r="10" spans="1:16" x14ac:dyDescent="0.25">
      <c r="A10" t="s">
        <v>1553</v>
      </c>
      <c r="B10" s="76">
        <f>'Valuation Dashboard'!$D$205</f>
        <v>0.15</v>
      </c>
    </row>
    <row r="11" spans="1:16" x14ac:dyDescent="0.25">
      <c r="A11" s="24" t="s">
        <v>571</v>
      </c>
      <c r="B11" s="24"/>
      <c r="C11" s="24"/>
      <c r="D11" s="24"/>
      <c r="E11" s="24"/>
      <c r="F11" s="24"/>
    </row>
    <row r="12" spans="1:16" x14ac:dyDescent="0.25">
      <c r="A12" t="s">
        <v>572</v>
      </c>
      <c r="B12" s="79">
        <f ca="1">WACC!E48</f>
        <v>9.5075100642306412E-2</v>
      </c>
    </row>
    <row r="14" spans="1:16" x14ac:dyDescent="0.25">
      <c r="A14" s="24" t="s">
        <v>1014</v>
      </c>
      <c r="B14" s="24"/>
      <c r="C14" s="24"/>
      <c r="D14" s="24"/>
      <c r="E14" s="24"/>
      <c r="F14" s="24"/>
      <c r="G14" s="24"/>
      <c r="H14" s="24"/>
      <c r="I14" s="24"/>
      <c r="J14" s="24"/>
      <c r="K14" s="24"/>
      <c r="L14" s="24"/>
      <c r="M14" s="24"/>
      <c r="N14" s="24"/>
      <c r="O14" s="24"/>
      <c r="P14" s="24"/>
    </row>
    <row r="15" spans="1:16" x14ac:dyDescent="0.25">
      <c r="A15" s="9" t="s">
        <v>573</v>
      </c>
      <c r="B15" s="167">
        <f>'GOOGL Forecast'!B24</f>
        <v>46387</v>
      </c>
      <c r="C15" s="167">
        <f>'GOOGL Forecast'!C24</f>
        <v>46752</v>
      </c>
      <c r="D15" s="167">
        <f>'GOOGL Forecast'!D24</f>
        <v>47118</v>
      </c>
      <c r="E15" s="167">
        <f>'GOOGL Forecast'!E24</f>
        <v>47483</v>
      </c>
      <c r="F15" s="167">
        <f>'GOOGL Forecast'!F24</f>
        <v>47848</v>
      </c>
      <c r="G15" s="167">
        <f>'GOOGL Forecast'!B110</f>
        <v>48213</v>
      </c>
      <c r="H15" s="167">
        <f>'GOOGL Forecast'!C110</f>
        <v>48579</v>
      </c>
      <c r="I15" s="167">
        <f>'GOOGL Forecast'!D110</f>
        <v>48944</v>
      </c>
      <c r="J15" s="167">
        <f>'GOOGL Forecast'!E110</f>
        <v>49309</v>
      </c>
      <c r="K15" s="167">
        <f>'GOOGL Forecast'!F110</f>
        <v>49674</v>
      </c>
      <c r="L15" s="49"/>
      <c r="M15" s="49"/>
      <c r="N15" s="49"/>
      <c r="O15" s="49"/>
      <c r="P15" s="49"/>
    </row>
    <row r="16" spans="1:16" x14ac:dyDescent="0.25">
      <c r="A16" t="s">
        <v>270</v>
      </c>
      <c r="B16" s="109">
        <f>'GOOGL Forecast'!B73</f>
        <v>83153.330725296357</v>
      </c>
      <c r="C16" s="109">
        <f>'GOOGL Forecast'!C73</f>
        <v>94388.816186722397</v>
      </c>
      <c r="D16" s="109">
        <f>'GOOGL Forecast'!D73</f>
        <v>106282.74129408279</v>
      </c>
      <c r="E16" s="109">
        <f>'GOOGL Forecast'!E73</f>
        <v>118712.40677666728</v>
      </c>
      <c r="F16" s="109">
        <f>'GOOGL Forecast'!F73</f>
        <v>131525.23183896419</v>
      </c>
      <c r="G16" s="109">
        <f>'GOOGL Forecast'!B118</f>
        <v>140796.42039631854</v>
      </c>
      <c r="H16" s="109">
        <f>'GOOGL Forecast'!C118</f>
        <v>154069.45898364467</v>
      </c>
      <c r="I16" s="109">
        <f>'GOOGL Forecast'!D118</f>
        <v>167277.45966365308</v>
      </c>
      <c r="J16" s="109">
        <f>'GOOGL Forecast'!E118</f>
        <v>177364.29048137131</v>
      </c>
      <c r="K16" s="109">
        <f>'GOOGL Forecast'!F118</f>
        <v>188059.35719739809</v>
      </c>
      <c r="L16" s="26"/>
      <c r="M16" s="26"/>
      <c r="N16" s="26"/>
      <c r="O16" s="26"/>
      <c r="P16" s="26"/>
    </row>
    <row r="17" spans="1:16" x14ac:dyDescent="0.25">
      <c r="A17" t="s">
        <v>574</v>
      </c>
      <c r="B17" s="140">
        <f ca="1">1/(1+$B$12)^1</f>
        <v>0.91317937866860355</v>
      </c>
      <c r="C17" s="140">
        <f ca="1">1/(1+$B$12)^2</f>
        <v>0.83389657762557701</v>
      </c>
      <c r="D17" s="140">
        <f ca="1">1/(1+$B$12)^3</f>
        <v>0.76149715862999934</v>
      </c>
      <c r="E17" s="140">
        <f ca="1">1/(1+$B$12)^4</f>
        <v>0.69538350217564993</v>
      </c>
      <c r="F17" s="140">
        <f ca="1">1/(1+$B$12)^5</f>
        <v>0.63500987445315749</v>
      </c>
      <c r="G17" s="140">
        <f ca="1">1/(1+$B$12)^6</f>
        <v>0.57987792260156246</v>
      </c>
      <c r="H17" s="140">
        <f ca="1">1/(1+$B$12)^7</f>
        <v>0.5295325610649354</v>
      </c>
      <c r="I17" s="140">
        <f ca="1">1/(1+$B$12)^8</f>
        <v>0.48355821509807223</v>
      </c>
      <c r="J17" s="140">
        <f ca="1">1/(1+$B$12)^9</f>
        <v>0.44157539041335653</v>
      </c>
      <c r="K17" s="140">
        <f ca="1">1/(1+$B$12)^10</f>
        <v>0.40323754065301498</v>
      </c>
      <c r="L17" s="51"/>
      <c r="M17" s="51"/>
      <c r="N17" s="51"/>
      <c r="O17" s="51"/>
      <c r="P17" s="51"/>
    </row>
    <row r="18" spans="1:16" x14ac:dyDescent="0.25">
      <c r="A18" t="s">
        <v>575</v>
      </c>
      <c r="B18" s="119">
        <f t="shared" ref="B18:K18" ca="1" si="0">B16*B17</f>
        <v>75933.90688595103</v>
      </c>
      <c r="C18" s="119">
        <f t="shared" ca="1" si="0"/>
        <v>78710.510784237471</v>
      </c>
      <c r="D18" s="119">
        <f t="shared" ca="1" si="0"/>
        <v>80934.005506851347</v>
      </c>
      <c r="E18" s="119">
        <f t="shared" ca="1" si="0"/>
        <v>82550.649176059247</v>
      </c>
      <c r="F18" s="119">
        <f t="shared" ca="1" si="0"/>
        <v>83519.820957483083</v>
      </c>
      <c r="G18" s="119">
        <f t="shared" ca="1" si="0"/>
        <v>81644.735769153456</v>
      </c>
      <c r="H18" s="119">
        <f t="shared" ca="1" si="0"/>
        <v>81584.795197498388</v>
      </c>
      <c r="I18" s="119">
        <f t="shared" ca="1" si="0"/>
        <v>80888.389821095858</v>
      </c>
      <c r="J18" s="119">
        <f t="shared" ca="1" si="0"/>
        <v>78319.705814699511</v>
      </c>
      <c r="K18" s="119">
        <f t="shared" ca="1" si="0"/>
        <v>75832.592693065671</v>
      </c>
      <c r="L18" s="26"/>
      <c r="M18" s="26"/>
      <c r="N18" s="26"/>
      <c r="O18" s="26"/>
      <c r="P18" s="26"/>
    </row>
    <row r="19" spans="1:16" x14ac:dyDescent="0.25">
      <c r="A19" s="9" t="s">
        <v>576</v>
      </c>
      <c r="B19" s="147">
        <f ca="1">SUM(B18:K18)</f>
        <v>799919.11260609503</v>
      </c>
    </row>
    <row r="21" spans="1:16" x14ac:dyDescent="0.25">
      <c r="A21" s="24" t="s">
        <v>1015</v>
      </c>
      <c r="B21" s="24"/>
      <c r="C21" s="24"/>
      <c r="D21" s="24"/>
      <c r="E21" s="24"/>
      <c r="F21" s="24"/>
    </row>
    <row r="22" spans="1:16" x14ac:dyDescent="0.25">
      <c r="A22" t="s">
        <v>1596</v>
      </c>
      <c r="B22" s="113">
        <f>'GOOGL Forecast'!F113+$E$7</f>
        <v>0.31606839278378002</v>
      </c>
    </row>
    <row r="23" spans="1:16" x14ac:dyDescent="0.25">
      <c r="A23" t="s">
        <v>577</v>
      </c>
      <c r="B23" s="109">
        <f>'GOOGL Forecast'!F112*(1+$E$8)</f>
        <v>946873.47945685324</v>
      </c>
    </row>
    <row r="24" spans="1:16" x14ac:dyDescent="0.25">
      <c r="A24" t="s">
        <v>578</v>
      </c>
      <c r="B24" s="109">
        <f>B23*B22*(1-'GOOGL Forecast'!$B$2)</f>
        <v>236428.65526899541</v>
      </c>
    </row>
    <row r="25" spans="1:16" x14ac:dyDescent="0.25">
      <c r="A25" t="s">
        <v>579</v>
      </c>
      <c r="B25" s="119">
        <f ca="1">B24*(1-$E$8/$E$9)/($B$12-$E$8)</f>
        <v>5281829.2844946031</v>
      </c>
    </row>
    <row r="26" spans="1:16" x14ac:dyDescent="0.25">
      <c r="A26" t="s">
        <v>574</v>
      </c>
      <c r="B26" s="140">
        <f ca="1">1/(1+$B$12)^10</f>
        <v>0.40323754065301498</v>
      </c>
    </row>
    <row r="27" spans="1:16" x14ac:dyDescent="0.25">
      <c r="A27" t="s">
        <v>580</v>
      </c>
      <c r="B27" s="119">
        <f ca="1">B25*B26</f>
        <v>2129831.8508286774</v>
      </c>
    </row>
    <row r="28" spans="1:16" x14ac:dyDescent="0.25">
      <c r="A28" t="s">
        <v>607</v>
      </c>
      <c r="B28" s="134">
        <f ca="1">B27/(B19+B27)</f>
        <v>0.7269668573917667</v>
      </c>
    </row>
    <row r="29" spans="1:16" x14ac:dyDescent="0.25">
      <c r="A29" t="s">
        <v>606</v>
      </c>
      <c r="B29" s="140">
        <f ca="1">(1+$B$12)^0.5</f>
        <v>1.0464583606825006</v>
      </c>
    </row>
    <row r="30" spans="1:16" x14ac:dyDescent="0.25">
      <c r="A30" s="24" t="s">
        <v>581</v>
      </c>
      <c r="B30" s="24"/>
      <c r="C30" s="24"/>
      <c r="D30" s="24"/>
      <c r="E30" s="24"/>
      <c r="F30" s="24"/>
    </row>
    <row r="31" spans="1:16" x14ac:dyDescent="0.25">
      <c r="A31" s="9" t="s">
        <v>582</v>
      </c>
      <c r="B31" s="147">
        <f ca="1">(B19+B27)*B29</f>
        <v>3065862.3904039292</v>
      </c>
    </row>
    <row r="32" spans="1:16" x14ac:dyDescent="0.25">
      <c r="A32" t="s">
        <v>832</v>
      </c>
      <c r="B32" s="109">
        <f>'GOOGL - Reconciliation FY'!B35</f>
        <v>22651.279999999999</v>
      </c>
    </row>
    <row r="33" spans="1:3" x14ac:dyDescent="0.25">
      <c r="A33" t="s">
        <v>833</v>
      </c>
      <c r="B33" s="109">
        <f>'GOOGL - Reconciliation FY'!B40-'GOOGL - Reconciliation FY'!B35</f>
        <v>164822</v>
      </c>
    </row>
    <row r="34" spans="1:3" x14ac:dyDescent="0.25">
      <c r="A34" t="s">
        <v>583</v>
      </c>
      <c r="B34" s="109">
        <f>-'GOOGL - Reconciliation FY'!B47</f>
        <v>-46547</v>
      </c>
    </row>
    <row r="35" spans="1:3" x14ac:dyDescent="0.25">
      <c r="A35" t="s">
        <v>911</v>
      </c>
      <c r="B35" s="109">
        <f>-WACC!E36</f>
        <v>-18453</v>
      </c>
    </row>
    <row r="36" spans="1:3" x14ac:dyDescent="0.25">
      <c r="A36" t="s">
        <v>584</v>
      </c>
      <c r="B36" s="109">
        <f>-'GOOGL - Reconciliation FY'!B49</f>
        <v>0</v>
      </c>
    </row>
    <row r="37" spans="1:3" x14ac:dyDescent="0.25">
      <c r="A37" t="s">
        <v>791</v>
      </c>
      <c r="B37" s="165">
        <v>-42900</v>
      </c>
    </row>
    <row r="38" spans="1:3" x14ac:dyDescent="0.25">
      <c r="A38" s="9" t="s">
        <v>585</v>
      </c>
      <c r="B38" s="147">
        <f ca="1">SUM(B31:B37)</f>
        <v>3145435.670403929</v>
      </c>
    </row>
    <row r="39" spans="1:3" x14ac:dyDescent="0.25">
      <c r="A39" t="s">
        <v>586</v>
      </c>
      <c r="B39" s="109">
        <f ca="1">WACC!E33</f>
        <v>12230</v>
      </c>
    </row>
    <row r="40" spans="1:3" x14ac:dyDescent="0.25">
      <c r="A40" s="9" t="s">
        <v>587</v>
      </c>
      <c r="B40" s="147">
        <f ca="1">B38/B39</f>
        <v>257.19016111234089</v>
      </c>
    </row>
    <row r="41" spans="1:3" x14ac:dyDescent="0.25">
      <c r="A41" t="s">
        <v>588</v>
      </c>
      <c r="B41" s="109">
        <f ca="1">WACC!E32</f>
        <v>345.9</v>
      </c>
    </row>
    <row r="42" spans="1:3" x14ac:dyDescent="0.25">
      <c r="A42" t="s">
        <v>589</v>
      </c>
      <c r="B42" s="134">
        <f ca="1">B40/B41-1</f>
        <v>-0.25646093925313418</v>
      </c>
    </row>
    <row r="44" spans="1:3" x14ac:dyDescent="0.25">
      <c r="A44" s="33" t="s">
        <v>610</v>
      </c>
      <c r="B44" s="171">
        <f ca="1">'Ticker Sheet'!C3</f>
        <v>17.378799999999998</v>
      </c>
    </row>
    <row r="45" spans="1:3" x14ac:dyDescent="0.25">
      <c r="A45" s="33" t="s">
        <v>611</v>
      </c>
      <c r="B45" s="172">
        <f ca="1">B44*B40/B41</f>
        <v>12.921816628907631</v>
      </c>
    </row>
    <row r="47" spans="1:3" x14ac:dyDescent="0.25">
      <c r="A47" s="24" t="s">
        <v>618</v>
      </c>
      <c r="B47" s="24" t="s">
        <v>590</v>
      </c>
      <c r="C47" s="24" t="s">
        <v>620</v>
      </c>
    </row>
    <row r="48" spans="1:3" x14ac:dyDescent="0.25">
      <c r="A48" t="s">
        <v>582</v>
      </c>
      <c r="B48" s="135">
        <f>0</f>
        <v>0</v>
      </c>
      <c r="C48" s="135">
        <f ca="1">B31</f>
        <v>3065862.3904039292</v>
      </c>
    </row>
    <row r="49" spans="1:3" x14ac:dyDescent="0.25">
      <c r="A49" t="s">
        <v>245</v>
      </c>
      <c r="B49" s="135">
        <f ca="1">B31</f>
        <v>3065862.3904039292</v>
      </c>
      <c r="C49" s="135">
        <f>B32</f>
        <v>22651.279999999999</v>
      </c>
    </row>
    <row r="50" spans="1:3" x14ac:dyDescent="0.25">
      <c r="A50" t="s">
        <v>834</v>
      </c>
      <c r="B50" s="135">
        <f ca="1">B31+B32</f>
        <v>3088513.670403929</v>
      </c>
      <c r="C50" s="135">
        <f>B33</f>
        <v>164822</v>
      </c>
    </row>
    <row r="51" spans="1:3" x14ac:dyDescent="0.25">
      <c r="A51" t="s">
        <v>255</v>
      </c>
      <c r="B51" s="135">
        <f ca="1">B31+B32+B33+B34</f>
        <v>3206788.670403929</v>
      </c>
      <c r="C51" s="135">
        <f>-B34</f>
        <v>46547</v>
      </c>
    </row>
    <row r="52" spans="1:3" x14ac:dyDescent="0.25">
      <c r="A52" t="s">
        <v>912</v>
      </c>
      <c r="B52" s="135">
        <f ca="1">B31+B32+B33+B34+B35</f>
        <v>3188335.670403929</v>
      </c>
      <c r="C52" s="135">
        <f>-B35</f>
        <v>18453</v>
      </c>
    </row>
    <row r="53" spans="1:3" x14ac:dyDescent="0.25">
      <c r="A53" t="s">
        <v>619</v>
      </c>
      <c r="B53" s="135">
        <f ca="1">B38</f>
        <v>3145435.670403929</v>
      </c>
      <c r="C53" s="135">
        <f>-(B36+B37)</f>
        <v>42900</v>
      </c>
    </row>
    <row r="54" spans="1:3" x14ac:dyDescent="0.25">
      <c r="A54" t="s">
        <v>585</v>
      </c>
      <c r="B54" s="135">
        <f>0</f>
        <v>0</v>
      </c>
      <c r="C54" s="135">
        <f ca="1">B38</f>
        <v>3145435.670403929</v>
      </c>
    </row>
    <row r="69" spans="1:16" x14ac:dyDescent="0.25">
      <c r="A69" s="54" t="s">
        <v>827</v>
      </c>
      <c r="B69" s="54"/>
      <c r="C69" s="54"/>
      <c r="D69" s="54"/>
      <c r="E69" s="54"/>
      <c r="F69" s="54"/>
    </row>
    <row r="70" spans="1:16" x14ac:dyDescent="0.25">
      <c r="A70" s="9" t="s">
        <v>828</v>
      </c>
      <c r="B70" s="117">
        <f>$E$8+-0.01</f>
        <v>5.0300000000000004E-2</v>
      </c>
      <c r="C70" s="117">
        <f>$E$8+-0.005</f>
        <v>5.5300000000000009E-2</v>
      </c>
      <c r="D70" s="117">
        <f>$E$8+0</f>
        <v>6.0300000000000006E-2</v>
      </c>
      <c r="E70" s="117">
        <f>$E$8+0.005</f>
        <v>6.5300000000000011E-2</v>
      </c>
      <c r="F70" s="117">
        <f>$E$8+0.01</f>
        <v>7.0300000000000001E-2</v>
      </c>
    </row>
    <row r="71" spans="1:16" x14ac:dyDescent="0.25">
      <c r="A71" s="117">
        <f ca="1">$B$12+-0.015</f>
        <v>8.0075100642306413E-2</v>
      </c>
      <c r="B71" s="119" cm="1">
        <f t="array" aca="1" ref="B71" ca="1">IFERROR(((SUMPRODUCT($B$16:$K$16,1/(1+$A71)^(COLUMN($B$16:$K$16)-COLUMN($B$16)+1))+$B$24*(1-B$70/$E$9)/($A71-B$70)/(1+$A71)^10)*(1+$A71)^0.5+$B$32+$B$33+$B$34+$B$35+$B$36+$B$37)/$B$39,"")</f>
        <v>334.0841709987144</v>
      </c>
      <c r="C71" s="119" cm="1">
        <f t="array" aca="1" ref="C71" ca="1">IFERROR(((SUMPRODUCT($B$16:$K$16,1/(1+$A71)^(COLUMN($B$16:$K$16)-COLUMN($B$16)+1))+$B$24*(1-C$70/$E$9)/($A71-C$70)/(1+$A71)^10)*(1+$A71)^0.5+$B$32+$B$33+$B$34+$B$35+$B$36+$B$37)/$B$39,"")</f>
        <v>378.44028981059154</v>
      </c>
      <c r="D71" s="119" cm="1">
        <f t="array" aca="1" ref="D71" ca="1">IFERROR(((SUMPRODUCT($B$16:$K$16,1/(1+$A71)^(COLUMN($B$16:$K$16)-COLUMN($B$16)+1))+$B$24*(1-D$70/$E$9)/($A71-D$70)/(1+$A71)^10)*(1+$A71)^0.5+$B$32+$B$33+$B$34+$B$35+$B$36+$B$37)/$B$39,"")</f>
        <v>445.22669588835612</v>
      </c>
      <c r="E71" s="119" cm="1">
        <f t="array" aca="1" ref="E71" ca="1">IFERROR(((SUMPRODUCT($B$16:$K$16,1/(1+$A71)^(COLUMN($B$16:$K$16)-COLUMN($B$16)+1))+$B$24*(1-E$70/$E$9)/($A71-E$70)/(1+$A71)^10)*(1+$A71)^0.5+$B$32+$B$33+$B$34+$B$35+$B$36+$B$37)/$B$39,"")</f>
        <v>557.21509936337134</v>
      </c>
      <c r="F71" s="119" cm="1">
        <f t="array" aca="1" ref="F71" ca="1">IFERROR(((SUMPRODUCT($B$16:$K$16,1/(1+$A71)^(COLUMN($B$16:$K$16)-COLUMN($B$16)+1))+$B$24*(1-F$70/$E$9)/($A71-F$70)/(1+$A71)^10)*(1+$A71)^0.5+$B$32+$B$33+$B$34+$B$35+$B$36+$B$37)/$B$39,"")</f>
        <v>783.76846495277232</v>
      </c>
    </row>
    <row r="72" spans="1:16" x14ac:dyDescent="0.25">
      <c r="A72" s="117">
        <f ca="1">$B$12+-0.0075</f>
        <v>8.7575100642306419E-2</v>
      </c>
      <c r="B72" s="119" cm="1">
        <f t="array" aca="1" ref="B72" ca="1">IFERROR(((SUMPRODUCT($B$16:$K$16,1/(1+$A72)^(COLUMN($B$16:$K$16)-COLUMN($B$16)+1))+$B$24*(1-B$70/$E$9)/($A72-B$70)/(1+$A72)^10)*(1+$A72)^0.5+$B$32+$B$33+$B$34+$B$35+$B$36+$B$37)/$B$39,"")</f>
        <v>267.48559815749161</v>
      </c>
      <c r="C72" s="119" cm="1">
        <f t="array" aca="1" ref="C72" ca="1">IFERROR(((SUMPRODUCT($B$16:$K$16,1/(1+$A72)^(COLUMN($B$16:$K$16)-COLUMN($B$16)+1))+$B$24*(1-C$70/$E$9)/($A72-C$70)/(1+$A72)^10)*(1+$A72)^0.5+$B$32+$B$33+$B$34+$B$35+$B$36+$B$37)/$B$39,"")</f>
        <v>291.94870367996276</v>
      </c>
      <c r="D72" s="119" cm="1">
        <f t="array" aca="1" ref="D72" ca="1">IFERROR(((SUMPRODUCT($B$16:$K$16,1/(1+$A72)^(COLUMN($B$16:$K$16)-COLUMN($B$16)+1))+$B$24*(1-D$70/$E$9)/($A72-D$70)/(1+$A72)^10)*(1+$A72)^0.5+$B$32+$B$33+$B$34+$B$35+$B$36+$B$37)/$B$39,"")</f>
        <v>325.38083404428033</v>
      </c>
      <c r="E72" s="119" cm="1">
        <f t="array" aca="1" ref="E72" ca="1">IFERROR(((SUMPRODUCT($B$16:$K$16,1/(1+$A72)^(COLUMN($B$16:$K$16)-COLUMN($B$16)+1))+$B$24*(1-E$70/$E$9)/($A72-E$70)/(1+$A72)^10)*(1+$A72)^0.5+$B$32+$B$33+$B$34+$B$35+$B$36+$B$37)/$B$39,"")</f>
        <v>373.82170933019052</v>
      </c>
      <c r="F72" s="119" cm="1">
        <f t="array" aca="1" ref="F72" ca="1">IFERROR(((SUMPRODUCT($B$16:$K$16,1/(1+$A72)^(COLUMN($B$16:$K$16)-COLUMN($B$16)+1))+$B$24*(1-F$70/$E$9)/($A72-F$70)/(1+$A72)^10)*(1+$A72)^0.5+$B$32+$B$33+$B$34+$B$35+$B$36+$B$37)/$B$39,"")</f>
        <v>450.30344891490455</v>
      </c>
    </row>
    <row r="73" spans="1:16" x14ac:dyDescent="0.25">
      <c r="A73" s="117">
        <f ca="1">$B$12+0</f>
        <v>9.5075100642306412E-2</v>
      </c>
      <c r="B73" s="119" cm="1">
        <f t="array" aca="1" ref="B73" ca="1">IFERROR(((SUMPRODUCT($B$16:$K$16,1/(1+$A73)^(COLUMN($B$16:$K$16)-COLUMN($B$16)+1))+$B$24*(1-B$70/$E$9)/($A73-B$70)/(1+$A73)^10)*(1+$A73)^0.5+$B$32+$B$33+$B$34+$B$35+$B$36+$B$37)/$B$39,"")</f>
        <v>223.23057139803993</v>
      </c>
      <c r="C73" s="119" cm="1">
        <f t="array" aca="1" ref="C73" ca="1">IFERROR(((SUMPRODUCT($B$16:$K$16,1/(1+$A73)^(COLUMN($B$16:$K$16)-COLUMN($B$16)+1))+$B$24*(1-C$70/$E$9)/($A73-C$70)/(1+$A73)^10)*(1+$A73)^0.5+$B$32+$B$33+$B$34+$B$35+$B$36+$B$37)/$B$39,"")</f>
        <v>238.07589084432368</v>
      </c>
      <c r="D73" s="173" cm="1">
        <f t="array" aca="1" ref="D73" ca="1">IFERROR(((SUMPRODUCT($B$16:$K$16,1/(1+$A73)^(COLUMN($B$16:$K$16)-COLUMN($B$16)+1))+$B$24*(1-D$70/$E$9)/($A73-D$70)/(1+$A73)^10)*(1+$A73)^0.5+$B$32+$B$33+$B$34+$B$35+$B$36+$B$37)/$B$39,"")</f>
        <v>257.19016111234089</v>
      </c>
      <c r="E73" s="119" cm="1">
        <f t="array" aca="1" ref="E73" ca="1">IFERROR(((SUMPRODUCT($B$16:$K$16,1/(1+$A73)^(COLUMN($B$16:$K$16)-COLUMN($B$16)+1))+$B$24*(1-E$70/$E$9)/($A73-E$70)/(1+$A73)^10)*(1+$A73)^0.5+$B$32+$B$33+$B$34+$B$35+$B$36+$B$37)/$B$39,"")</f>
        <v>282.72397988084526</v>
      </c>
      <c r="F73" s="119" cm="1">
        <f t="array" aca="1" ref="F73" ca="1">IFERROR(((SUMPRODUCT($B$16:$K$16,1/(1+$A73)^(COLUMN($B$16:$K$16)-COLUMN($B$16)+1))+$B$24*(1-F$70/$E$9)/($A73-F$70)/(1+$A73)^10)*(1+$A73)^0.5+$B$32+$B$33+$B$34+$B$35+$B$36+$B$37)/$B$39,"")</f>
        <v>318.56404084676859</v>
      </c>
    </row>
    <row r="74" spans="1:16" x14ac:dyDescent="0.25">
      <c r="A74" s="117">
        <f ca="1">$B$12+0.0075</f>
        <v>0.1025751006423064</v>
      </c>
      <c r="B74" s="119" cm="1">
        <f t="array" aca="1" ref="B74" ca="1">IFERROR(((SUMPRODUCT($B$16:$K$16,1/(1+$A74)^(COLUMN($B$16:$K$16)-COLUMN($B$16)+1))+$B$24*(1-B$70/$E$9)/($A74-B$70)/(1+$A74)^10)*(1+$A74)^0.5+$B$32+$B$33+$B$34+$B$35+$B$36+$B$37)/$B$39,"")</f>
        <v>191.70106586237981</v>
      </c>
      <c r="C74" s="119" cm="1">
        <f t="array" aca="1" ref="C74" ca="1">IFERROR(((SUMPRODUCT($B$16:$K$16,1/(1+$A74)^(COLUMN($B$16:$K$16)-COLUMN($B$16)+1))+$B$24*(1-C$70/$E$9)/($A74-C$70)/(1+$A74)^10)*(1+$A74)^0.5+$B$32+$B$33+$B$34+$B$35+$B$36+$B$37)/$B$39,"")</f>
        <v>201.29830266360943</v>
      </c>
      <c r="D74" s="119" cm="1">
        <f t="array" aca="1" ref="D74" ca="1">IFERROR(((SUMPRODUCT($B$16:$K$16,1/(1+$A74)^(COLUMN($B$16:$K$16)-COLUMN($B$16)+1))+$B$24*(1-D$70/$E$9)/($A74-D$70)/(1+$A74)^10)*(1+$A74)^0.5+$B$32+$B$33+$B$34+$B$35+$B$36+$B$37)/$B$39,"")</f>
        <v>213.16572608897812</v>
      </c>
      <c r="E74" s="119" cm="1">
        <f t="array" aca="1" ref="E74" ca="1">IFERROR(((SUMPRODUCT($B$16:$K$16,1/(1+$A74)^(COLUMN($B$16:$K$16)-COLUMN($B$16)+1))+$B$24*(1-E$70/$E$9)/($A74-E$70)/(1+$A74)^10)*(1+$A74)^0.5+$B$32+$B$33+$B$34+$B$35+$B$36+$B$37)/$B$39,"")</f>
        <v>228.21688965746515</v>
      </c>
      <c r="F74" s="119" cm="1">
        <f t="array" aca="1" ref="F74" ca="1">IFERROR(((SUMPRODUCT($B$16:$K$16,1/(1+$A74)^(COLUMN($B$16:$K$16)-COLUMN($B$16)+1))+$B$24*(1-F$70/$E$9)/($A74-F$70)/(1+$A74)^10)*(1+$A74)^0.5+$B$32+$B$33+$B$34+$B$35+$B$36+$B$37)/$B$39,"")</f>
        <v>247.93145109891114</v>
      </c>
    </row>
    <row r="75" spans="1:16" x14ac:dyDescent="0.25">
      <c r="A75" s="117">
        <f ca="1">$B$12+0.015</f>
        <v>0.11007510064230641</v>
      </c>
      <c r="B75" s="119" cm="1">
        <f t="array" aca="1" ref="B75" ca="1">IFERROR(((SUMPRODUCT($B$16:$K$16,1/(1+$A75)^(COLUMN($B$16:$K$16)-COLUMN($B$16)+1))+$B$24*(1-B$70/$E$9)/($A75-B$70)/(1+$A75)^10)*(1+$A75)^0.5+$B$32+$B$33+$B$34+$B$35+$B$36+$B$37)/$B$39,"")</f>
        <v>168.10619125048504</v>
      </c>
      <c r="C75" s="119" cm="1">
        <f t="array" aca="1" ref="C75" ca="1">IFERROR(((SUMPRODUCT($B$16:$K$16,1/(1+$A75)^(COLUMN($B$16:$K$16)-COLUMN($B$16)+1))+$B$24*(1-C$70/$E$9)/($A75-C$70)/(1+$A75)^10)*(1+$A75)^0.5+$B$32+$B$33+$B$34+$B$35+$B$36+$B$37)/$B$39,"")</f>
        <v>174.59443842921684</v>
      </c>
      <c r="D75" s="119" cm="1">
        <f t="array" aca="1" ref="D75" ca="1">IFERROR(((SUMPRODUCT($B$16:$K$16,1/(1+$A75)^(COLUMN($B$16:$K$16)-COLUMN($B$16)+1))+$B$24*(1-D$70/$E$9)/($A75-D$70)/(1+$A75)^10)*(1+$A75)^0.5+$B$32+$B$33+$B$34+$B$35+$B$36+$B$37)/$B$39,"")</f>
        <v>182.38619822670918</v>
      </c>
      <c r="E75" s="119" cm="1">
        <f t="array" aca="1" ref="E75" ca="1">IFERROR(((SUMPRODUCT($B$16:$K$16,1/(1+$A75)^(COLUMN($B$16:$K$16)-COLUMN($B$16)+1))+$B$24*(1-E$70/$E$9)/($A75-E$70)/(1+$A75)^10)*(1+$A75)^0.5+$B$32+$B$33+$B$34+$B$35+$B$36+$B$37)/$B$39,"")</f>
        <v>191.9181573058822</v>
      </c>
      <c r="F75" s="119" cm="1">
        <f t="array" aca="1" ref="F75" ca="1">IFERROR(((SUMPRODUCT($B$16:$K$16,1/(1+$A75)^(COLUMN($B$16:$K$16)-COLUMN($B$16)+1))+$B$24*(1-F$70/$E$9)/($A75-F$70)/(1+$A75)^10)*(1+$A75)^0.5+$B$32+$B$33+$B$34+$B$35+$B$36+$B$37)/$B$39,"")</f>
        <v>203.84658023435958</v>
      </c>
    </row>
    <row r="78" spans="1:16" x14ac:dyDescent="0.25">
      <c r="A78" s="67" t="s">
        <v>961</v>
      </c>
    </row>
    <row r="79" spans="1:16" x14ac:dyDescent="0.25">
      <c r="A79" t="s">
        <v>573</v>
      </c>
      <c r="B79" s="174">
        <f t="shared" ref="B79:K79" si="1">B15</f>
        <v>46387</v>
      </c>
      <c r="C79" s="174">
        <f t="shared" si="1"/>
        <v>46752</v>
      </c>
      <c r="D79" s="174">
        <f t="shared" si="1"/>
        <v>47118</v>
      </c>
      <c r="E79" s="174">
        <f t="shared" si="1"/>
        <v>47483</v>
      </c>
      <c r="F79" s="174">
        <f t="shared" si="1"/>
        <v>47848</v>
      </c>
      <c r="G79" s="174">
        <f t="shared" si="1"/>
        <v>48213</v>
      </c>
      <c r="H79" s="174">
        <f t="shared" si="1"/>
        <v>48579</v>
      </c>
      <c r="I79" s="174">
        <f t="shared" si="1"/>
        <v>48944</v>
      </c>
      <c r="J79" s="174">
        <f t="shared" si="1"/>
        <v>49309</v>
      </c>
      <c r="K79" s="174">
        <f t="shared" si="1"/>
        <v>49674</v>
      </c>
      <c r="L79" s="98"/>
      <c r="M79" s="98"/>
      <c r="N79" s="98"/>
      <c r="O79" s="98"/>
      <c r="P79" s="98"/>
    </row>
    <row r="80" spans="1:16" x14ac:dyDescent="0.25">
      <c r="A80" t="s">
        <v>259</v>
      </c>
      <c r="B80" s="80">
        <f>'GOOGL Forecast'!B67</f>
        <v>113934.73361650352</v>
      </c>
      <c r="C80" s="80">
        <f>'GOOGL Forecast'!C67</f>
        <v>125763.43712279343</v>
      </c>
      <c r="D80" s="80">
        <f>'GOOGL Forecast'!D67</f>
        <v>137800.09371210757</v>
      </c>
      <c r="E80" s="80">
        <f>'GOOGL Forecast'!E67</f>
        <v>149871.0456078336</v>
      </c>
      <c r="F80" s="80">
        <f>'GOOGL Forecast'!F67</f>
        <v>161783.7763573151</v>
      </c>
      <c r="G80" s="80">
        <f>'GOOGL Forecast'!B115</f>
        <v>175081.80889930209</v>
      </c>
      <c r="H80" s="80">
        <f>'GOOGL Forecast'!C115</f>
        <v>187061.78167323687</v>
      </c>
      <c r="I80" s="80">
        <f>'GOOGL Forecast'!D115</f>
        <v>198341.60710813306</v>
      </c>
      <c r="J80" s="80">
        <f>'GOOGL Forecast'!E115</f>
        <v>210301.60601675345</v>
      </c>
      <c r="K80" s="80">
        <f>'GOOGL Forecast'!F115</f>
        <v>222982.79285956372</v>
      </c>
      <c r="L80" s="35"/>
      <c r="M80" s="35"/>
      <c r="N80" s="35"/>
      <c r="O80" s="35"/>
      <c r="P80" s="35"/>
    </row>
    <row r="81" spans="1:16" x14ac:dyDescent="0.25">
      <c r="A81" t="s">
        <v>962</v>
      </c>
      <c r="B81" s="80">
        <f>'GOOGL Forecast'!B64</f>
        <v>323573.12289120717</v>
      </c>
      <c r="C81" s="80">
        <f>'GOOGL Forecast'!C64</f>
        <v>354947.7438272782</v>
      </c>
      <c r="D81" s="80">
        <f>'GOOGL Forecast'!D64</f>
        <v>386465.09624530299</v>
      </c>
      <c r="E81" s="80">
        <f>'GOOGL Forecast'!E64</f>
        <v>417623.73507646931</v>
      </c>
      <c r="F81" s="80">
        <f>'GOOGL Forecast'!F64</f>
        <v>447882.27959482023</v>
      </c>
      <c r="G81" s="80">
        <f>'GOOGL Forecast'!B116</f>
        <v>482167.66809780378</v>
      </c>
      <c r="H81" s="80">
        <f>'GOOGL Forecast'!C116</f>
        <v>515159.99078739597</v>
      </c>
      <c r="I81" s="80">
        <f>'GOOGL Forecast'!D116</f>
        <v>546224.13823187596</v>
      </c>
      <c r="J81" s="80">
        <f>'GOOGL Forecast'!E116</f>
        <v>579161.45376725809</v>
      </c>
      <c r="K81" s="80">
        <f>'GOOGL Forecast'!F116</f>
        <v>614084.88942942373</v>
      </c>
      <c r="L81" s="35"/>
      <c r="M81" s="35"/>
      <c r="N81" s="35"/>
      <c r="O81" s="35"/>
      <c r="P81" s="35"/>
    </row>
    <row r="82" spans="1:16" x14ac:dyDescent="0.25">
      <c r="A82" t="s">
        <v>963</v>
      </c>
      <c r="B82" s="80">
        <f>'GOOGL - Reconciliation FY'!B32</f>
        <v>292791.71999999997</v>
      </c>
      <c r="C82" s="135">
        <f t="shared" ref="C82:K82" si="2">B81</f>
        <v>323573.12289120717</v>
      </c>
      <c r="D82" s="135">
        <f t="shared" si="2"/>
        <v>354947.7438272782</v>
      </c>
      <c r="E82" s="135">
        <f t="shared" si="2"/>
        <v>386465.09624530299</v>
      </c>
      <c r="F82" s="135">
        <f t="shared" si="2"/>
        <v>417623.73507646931</v>
      </c>
      <c r="G82" s="135">
        <f t="shared" si="2"/>
        <v>447882.27959482023</v>
      </c>
      <c r="H82" s="135">
        <f t="shared" si="2"/>
        <v>482167.66809780378</v>
      </c>
      <c r="I82" s="135">
        <f t="shared" si="2"/>
        <v>515159.99078739597</v>
      </c>
      <c r="J82" s="135">
        <f t="shared" si="2"/>
        <v>546224.13823187596</v>
      </c>
      <c r="K82" s="135">
        <f t="shared" si="2"/>
        <v>579161.45376725809</v>
      </c>
      <c r="L82" s="35"/>
      <c r="M82" s="35"/>
      <c r="N82" s="35"/>
      <c r="O82" s="35"/>
      <c r="P82" s="35"/>
    </row>
    <row r="83" spans="1:16" x14ac:dyDescent="0.25">
      <c r="A83" t="s">
        <v>964</v>
      </c>
      <c r="B83" s="135">
        <f t="shared" ref="B83:K83" ca="1" si="3">-$B$12*B82</f>
        <v>-27837.202246233996</v>
      </c>
      <c r="C83" s="135">
        <f t="shared" ca="1" si="3"/>
        <v>-30763.747224026902</v>
      </c>
      <c r="D83" s="135">
        <f t="shared" ca="1" si="3"/>
        <v>-33746.692467138069</v>
      </c>
      <c r="E83" s="135">
        <f t="shared" ca="1" si="3"/>
        <v>-36743.207920260815</v>
      </c>
      <c r="F83" s="135">
        <f t="shared" ca="1" si="3"/>
        <v>-39705.618643011228</v>
      </c>
      <c r="G83" s="135">
        <f t="shared" ca="1" si="3"/>
        <v>-42582.452808383154</v>
      </c>
      <c r="H83" s="135">
        <f t="shared" ca="1" si="3"/>
        <v>-45842.139570864885</v>
      </c>
      <c r="I83" s="135">
        <f t="shared" ca="1" si="3"/>
        <v>-48978.887971001313</v>
      </c>
      <c r="J83" s="135">
        <f t="shared" ca="1" si="3"/>
        <v>-51932.3149156527</v>
      </c>
      <c r="K83" s="135">
        <f t="shared" ca="1" si="3"/>
        <v>-55063.833505066556</v>
      </c>
      <c r="L83" s="35"/>
      <c r="M83" s="35"/>
      <c r="N83" s="35"/>
      <c r="O83" s="35"/>
      <c r="P83" s="35"/>
    </row>
    <row r="84" spans="1:16" x14ac:dyDescent="0.25">
      <c r="A84" t="s">
        <v>965</v>
      </c>
      <c r="B84" s="135">
        <f t="shared" ref="B84:K84" ca="1" si="4">B80+B83</f>
        <v>86097.531370269528</v>
      </c>
      <c r="C84" s="135">
        <f t="shared" ca="1" si="4"/>
        <v>94999.689898766534</v>
      </c>
      <c r="D84" s="135">
        <f t="shared" ca="1" si="4"/>
        <v>104053.4012449695</v>
      </c>
      <c r="E84" s="135">
        <f t="shared" ca="1" si="4"/>
        <v>113127.83768757278</v>
      </c>
      <c r="F84" s="135">
        <f t="shared" ca="1" si="4"/>
        <v>122078.15771430387</v>
      </c>
      <c r="G84" s="135">
        <f t="shared" ca="1" si="4"/>
        <v>132499.35609091894</v>
      </c>
      <c r="H84" s="135">
        <f t="shared" ca="1" si="4"/>
        <v>141219.64210237199</v>
      </c>
      <c r="I84" s="135">
        <f t="shared" ca="1" si="4"/>
        <v>149362.71913713176</v>
      </c>
      <c r="J84" s="135">
        <f t="shared" ca="1" si="4"/>
        <v>158369.29110110074</v>
      </c>
      <c r="K84" s="135">
        <f t="shared" ca="1" si="4"/>
        <v>167918.95935449717</v>
      </c>
      <c r="L84" s="35"/>
      <c r="M84" s="35"/>
      <c r="N84" s="35"/>
      <c r="O84" s="35"/>
      <c r="P84" s="35"/>
    </row>
    <row r="85" spans="1:16" x14ac:dyDescent="0.25">
      <c r="A85" t="s">
        <v>574</v>
      </c>
      <c r="B85" s="140">
        <f t="shared" ref="B85:K85" ca="1" si="5">B17</f>
        <v>0.91317937866860355</v>
      </c>
      <c r="C85" s="140">
        <f t="shared" ca="1" si="5"/>
        <v>0.83389657762557701</v>
      </c>
      <c r="D85" s="140">
        <f t="shared" ca="1" si="5"/>
        <v>0.76149715862999934</v>
      </c>
      <c r="E85" s="140">
        <f t="shared" ca="1" si="5"/>
        <v>0.69538350217564993</v>
      </c>
      <c r="F85" s="140">
        <f t="shared" ca="1" si="5"/>
        <v>0.63500987445315749</v>
      </c>
      <c r="G85" s="140">
        <f t="shared" ca="1" si="5"/>
        <v>0.57987792260156246</v>
      </c>
      <c r="H85" s="140">
        <f t="shared" ca="1" si="5"/>
        <v>0.5295325610649354</v>
      </c>
      <c r="I85" s="140">
        <f t="shared" ca="1" si="5"/>
        <v>0.48355821509807223</v>
      </c>
      <c r="J85" s="140">
        <f t="shared" ca="1" si="5"/>
        <v>0.44157539041335653</v>
      </c>
      <c r="K85" s="140">
        <f t="shared" ca="1" si="5"/>
        <v>0.40323754065301498</v>
      </c>
      <c r="L85" s="51"/>
      <c r="M85" s="51"/>
      <c r="N85" s="51"/>
      <c r="O85" s="51"/>
      <c r="P85" s="51"/>
    </row>
    <row r="86" spans="1:16" x14ac:dyDescent="0.25">
      <c r="A86" t="s">
        <v>966</v>
      </c>
      <c r="B86" s="135">
        <f t="shared" ref="B86:K86" ca="1" si="6">B84*B85</f>
        <v>78622.49020160333</v>
      </c>
      <c r="C86" s="135">
        <f t="shared" ca="1" si="6"/>
        <v>79219.916282072518</v>
      </c>
      <c r="D86" s="135">
        <f t="shared" ca="1" si="6"/>
        <v>79236.369393831512</v>
      </c>
      <c r="E86" s="135">
        <f t="shared" ca="1" si="6"/>
        <v>78667.231964742838</v>
      </c>
      <c r="F86" s="135">
        <f t="shared" ca="1" si="6"/>
        <v>77520.835603632862</v>
      </c>
      <c r="G86" s="135">
        <f t="shared" ca="1" si="6"/>
        <v>76833.45135604676</v>
      </c>
      <c r="H86" s="135">
        <f t="shared" ca="1" si="6"/>
        <v>74780.398755142611</v>
      </c>
      <c r="I86" s="135">
        <f t="shared" ca="1" si="6"/>
        <v>72225.569868146107</v>
      </c>
      <c r="J86" s="135">
        <f t="shared" ca="1" si="6"/>
        <v>69931.981547455071</v>
      </c>
      <c r="K86" s="135">
        <f t="shared" ca="1" si="6"/>
        <v>67711.228199121018</v>
      </c>
      <c r="L86" s="35"/>
      <c r="M86" s="35"/>
      <c r="N86" s="35"/>
      <c r="O86" s="35"/>
      <c r="P86" s="35"/>
    </row>
    <row r="87" spans="1:16" x14ac:dyDescent="0.25">
      <c r="A87" t="s">
        <v>576</v>
      </c>
      <c r="B87" s="135">
        <f ca="1">SUM(B86:K86)</f>
        <v>754749.47317179455</v>
      </c>
    </row>
    <row r="89" spans="1:16" x14ac:dyDescent="0.25">
      <c r="A89" s="67" t="s">
        <v>1593</v>
      </c>
    </row>
    <row r="90" spans="1:16" x14ac:dyDescent="0.25">
      <c r="A90" t="s">
        <v>1594</v>
      </c>
      <c r="B90" s="135">
        <f>$B$24</f>
        <v>236428.65526899541</v>
      </c>
    </row>
    <row r="91" spans="1:16" x14ac:dyDescent="0.25">
      <c r="A91" t="s">
        <v>1595</v>
      </c>
      <c r="B91" s="135">
        <f>K81</f>
        <v>614084.88942942373</v>
      </c>
    </row>
    <row r="92" spans="1:16" x14ac:dyDescent="0.25">
      <c r="A92" t="s">
        <v>967</v>
      </c>
      <c r="B92" s="135">
        <f ca="1">B90-$B$12*B91</f>
        <v>178044.47260357335</v>
      </c>
    </row>
    <row r="93" spans="1:16" x14ac:dyDescent="0.25">
      <c r="A93" t="s">
        <v>968</v>
      </c>
      <c r="B93" s="135">
        <f ca="1">B92/$B$12+(B90*($E$8/$E$9)*($E$9-$B$12))/($B$12*($B$12-$E$8))</f>
        <v>4667744.3950651791</v>
      </c>
    </row>
    <row r="94" spans="1:16" x14ac:dyDescent="0.25">
      <c r="A94" t="s">
        <v>969</v>
      </c>
      <c r="B94" s="135">
        <f ca="1">B93*$B$26</f>
        <v>1882209.770262978</v>
      </c>
    </row>
    <row r="96" spans="1:16" x14ac:dyDescent="0.25">
      <c r="A96" s="67" t="s">
        <v>970</v>
      </c>
    </row>
    <row r="97" spans="1:2" x14ac:dyDescent="0.25">
      <c r="A97" t="s">
        <v>971</v>
      </c>
      <c r="B97" s="80">
        <f>'GOOGL - Reconciliation FY'!B32</f>
        <v>292791.71999999997</v>
      </c>
    </row>
    <row r="98" spans="1:2" x14ac:dyDescent="0.25">
      <c r="A98" t="s">
        <v>972</v>
      </c>
      <c r="B98" s="135">
        <f ca="1">B87</f>
        <v>754749.47317179455</v>
      </c>
    </row>
    <row r="99" spans="1:2" x14ac:dyDescent="0.25">
      <c r="A99" t="s">
        <v>969</v>
      </c>
      <c r="B99" s="135">
        <f ca="1">B94</f>
        <v>1882209.770262978</v>
      </c>
    </row>
    <row r="100" spans="1:2" x14ac:dyDescent="0.25">
      <c r="A100" t="s">
        <v>973</v>
      </c>
      <c r="B100" s="135">
        <f ca="1">SUM(B97:B99)</f>
        <v>2929750.9634347726</v>
      </c>
    </row>
    <row r="101" spans="1:2" x14ac:dyDescent="0.25">
      <c r="A101" t="s">
        <v>974</v>
      </c>
      <c r="B101" s="135">
        <f ca="1">B19+B27</f>
        <v>2929750.9634347726</v>
      </c>
    </row>
    <row r="102" spans="1:2" x14ac:dyDescent="0.25">
      <c r="A102" t="s">
        <v>975</v>
      </c>
      <c r="B102" s="135">
        <f ca="1">B100-B101</f>
        <v>0</v>
      </c>
    </row>
    <row r="103" spans="1:2" x14ac:dyDescent="0.25">
      <c r="A103" t="s">
        <v>976</v>
      </c>
      <c r="B103" s="133" t="str">
        <f ca="1">IF(ABS(B102)&lt;MAX(1,ABS(B101)*0.0001),"OK - methods agree","MISMATCH - investigate")</f>
        <v>OK - methods agree</v>
      </c>
    </row>
    <row r="105" spans="1:2" x14ac:dyDescent="0.25">
      <c r="A105" s="67" t="s">
        <v>977</v>
      </c>
    </row>
    <row r="106" spans="1:2" x14ac:dyDescent="0.25">
      <c r="A106" t="s">
        <v>1016</v>
      </c>
      <c r="B106" s="111">
        <f>IFERROR(J16/I16-1,"n/a")</f>
        <v>6.0299999999999798E-2</v>
      </c>
    </row>
    <row r="107" spans="1:2" x14ac:dyDescent="0.25">
      <c r="A107" t="s">
        <v>1017</v>
      </c>
      <c r="B107" s="111">
        <f>IFERROR(K16/J16-1,"n/a")</f>
        <v>6.0300000000000464E-2</v>
      </c>
    </row>
    <row r="108" spans="1:2" x14ac:dyDescent="0.25">
      <c r="A108" t="s">
        <v>978</v>
      </c>
      <c r="B108" s="111">
        <f>IFERROR(B107-B106,"n/a")</f>
        <v>6.6613381477509392E-16</v>
      </c>
    </row>
    <row r="109" spans="1:2" x14ac:dyDescent="0.25">
      <c r="A109" t="s">
        <v>1018</v>
      </c>
      <c r="B109" s="79">
        <f>'GOOGL Forecast'!F111</f>
        <v>6.0300000000000006E-2</v>
      </c>
    </row>
    <row r="110" spans="1:2" x14ac:dyDescent="0.25">
      <c r="A110" t="s">
        <v>979</v>
      </c>
      <c r="B110" s="111">
        <f>$E$8</f>
        <v>6.0300000000000006E-2</v>
      </c>
    </row>
    <row r="111" spans="1:2" x14ac:dyDescent="0.25">
      <c r="A111" t="s">
        <v>980</v>
      </c>
      <c r="B111" s="111">
        <f>B109-B110</f>
        <v>0</v>
      </c>
    </row>
    <row r="112" spans="1:2" x14ac:dyDescent="0.25">
      <c r="A112" t="s">
        <v>1019</v>
      </c>
      <c r="B112" s="111">
        <f>IFERROR(J80/J82,"n/a")</f>
        <v>0.38500972640553455</v>
      </c>
    </row>
    <row r="113" spans="1:6" x14ac:dyDescent="0.25">
      <c r="A113" t="s">
        <v>1020</v>
      </c>
      <c r="B113" s="111">
        <f>IFERROR(K80/K82,"n/a")</f>
        <v>0.3850097264055346</v>
      </c>
    </row>
    <row r="114" spans="1:6" x14ac:dyDescent="0.25">
      <c r="A114" t="s">
        <v>978</v>
      </c>
      <c r="B114" s="111">
        <f>IFERROR(B113-B112,"n/a")</f>
        <v>5.5511151231257827E-17</v>
      </c>
    </row>
    <row r="115" spans="1:6" x14ac:dyDescent="0.25">
      <c r="A115" t="s">
        <v>976</v>
      </c>
      <c r="B115" s="133" t="str">
        <f>IF(AND(ABS(B108)&lt;0.005,ABS(B111)&lt;0.005,ABS(B114)&lt;0.005),"OK - steady state reached","NOT STEADY - see notes")</f>
        <v>OK - steady state reached</v>
      </c>
    </row>
    <row r="118" spans="1:6" x14ac:dyDescent="0.25">
      <c r="A118" s="67" t="s">
        <v>1602</v>
      </c>
    </row>
    <row r="119" spans="1:6" x14ac:dyDescent="0.25">
      <c r="A119" t="s">
        <v>1603</v>
      </c>
      <c r="B119" s="28">
        <f>$E$9*0.6</f>
        <v>0.1621532073999456</v>
      </c>
      <c r="C119" s="28">
        <f>$E$9*0.8</f>
        <v>0.2162042765332608</v>
      </c>
      <c r="D119" s="28">
        <f>$E$9*1</f>
        <v>0.270255345666576</v>
      </c>
      <c r="E119" s="28">
        <f>$E$9*1.2</f>
        <v>0.3243064147998912</v>
      </c>
      <c r="F119" s="28">
        <f>$E$9*1.4</f>
        <v>0.3783574839332064</v>
      </c>
    </row>
    <row r="120" spans="1:6" x14ac:dyDescent="0.25">
      <c r="A120" s="3">
        <f ca="1">$B$12+-0.015</f>
        <v>8.0075100642306413E-2</v>
      </c>
      <c r="B120" s="26" cm="1">
        <f t="array" aca="1" ref="B120" ca="1">IFERROR(((SUMPRODUCT($B$16:$K$16,1/(1+$A120)^(COLUMN($B$16:$K$16)-COLUMN($B$16)+1))+$B$24*(1-$E$8/B$119)/($A120-$E$8)/(1+$A120)^10)*(1+$A120)^0.5+$B$32+$B$33+$B$34+$B$35+$B$36+$B$37)/$B$39,"")</f>
        <v>375.27566047716817</v>
      </c>
      <c r="C120" s="26" cm="1">
        <f t="array" aca="1" ref="C120" ca="1">IFERROR(((SUMPRODUCT($B$16:$K$16,1/(1+$A120)^(COLUMN($B$16:$K$16)-COLUMN($B$16)+1))+$B$24*(1-$E$8/C$119)/($A120-$E$8)/(1+$A120)^10)*(1+$A120)^0.5+$B$32+$B$33+$B$34+$B$35+$B$36+$B$37)/$B$39,"")</f>
        <v>418.99505760916071</v>
      </c>
      <c r="D120" s="26" cm="1">
        <f t="array" aca="1" ref="D120" ca="1">IFERROR(((SUMPRODUCT($B$16:$K$16,1/(1+$A120)^(COLUMN($B$16:$K$16)-COLUMN($B$16)+1))+$B$24*(1-$E$8/D$119)/($A120-$E$8)/(1+$A120)^10)*(1+$A120)^0.5+$B$32+$B$33+$B$34+$B$35+$B$36+$B$37)/$B$39,"")</f>
        <v>445.22669588835612</v>
      </c>
      <c r="E120" s="26" cm="1">
        <f t="array" aca="1" ref="E120" ca="1">IFERROR(((SUMPRODUCT($B$16:$K$16,1/(1+$A120)^(COLUMN($B$16:$K$16)-COLUMN($B$16)+1))+$B$24*(1-$E$8/E$119)/($A120-$E$8)/(1+$A120)^10)*(1+$A120)^0.5+$B$32+$B$33+$B$34+$B$35+$B$36+$B$37)/$B$39,"")</f>
        <v>462.71445474115308</v>
      </c>
      <c r="F120" s="26" cm="1">
        <f t="array" aca="1" ref="F120" ca="1">IFERROR(((SUMPRODUCT($B$16:$K$16,1/(1+$A120)^(COLUMN($B$16:$K$16)-COLUMN($B$16)+1))+$B$24*(1-$E$8/F$119)/($A120-$E$8)/(1+$A120)^10)*(1+$A120)^0.5+$B$32+$B$33+$B$34+$B$35+$B$36+$B$37)/$B$39,"")</f>
        <v>475.20571106457953</v>
      </c>
    </row>
    <row r="121" spans="1:6" x14ac:dyDescent="0.25">
      <c r="A121" s="3">
        <f ca="1">$B$12+-0.0075</f>
        <v>8.7575100642306419E-2</v>
      </c>
      <c r="B121" s="26" cm="1">
        <f t="array" aca="1" ref="B121" ca="1">IFERROR(((SUMPRODUCT($B$16:$K$16,1/(1+$A121)^(COLUMN($B$16:$K$16)-COLUMN($B$16)+1))+$B$24*(1-$E$8/B$119)/($A121-$E$8)/(1+$A121)^10)*(1+$A121)^0.5+$B$32+$B$33+$B$34+$B$35+$B$36+$B$37)/$B$39,"")</f>
        <v>277.89149554850741</v>
      </c>
      <c r="C121" s="26" cm="1">
        <f t="array" aca="1" ref="C121" ca="1">IFERROR(((SUMPRODUCT($B$16:$K$16,1/(1+$A121)^(COLUMN($B$16:$K$16)-COLUMN($B$16)+1))+$B$24*(1-$E$8/C$119)/($A121-$E$8)/(1+$A121)^10)*(1+$A121)^0.5+$B$32+$B$33+$B$34+$B$35+$B$36+$B$37)/$B$39,"")</f>
        <v>307.57233210836552</v>
      </c>
      <c r="D121" s="26" cm="1">
        <f t="array" aca="1" ref="D121" ca="1">IFERROR(((SUMPRODUCT($B$16:$K$16,1/(1+$A121)^(COLUMN($B$16:$K$16)-COLUMN($B$16)+1))+$B$24*(1-$E$8/D$119)/($A121-$E$8)/(1+$A121)^10)*(1+$A121)^0.5+$B$32+$B$33+$B$34+$B$35+$B$36+$B$37)/$B$39,"")</f>
        <v>325.38083404428033</v>
      </c>
      <c r="E121" s="26" cm="1">
        <f t="array" aca="1" ref="E121" ca="1">IFERROR(((SUMPRODUCT($B$16:$K$16,1/(1+$A121)^(COLUMN($B$16:$K$16)-COLUMN($B$16)+1))+$B$24*(1-$E$8/E$119)/($A121-$E$8)/(1+$A121)^10)*(1+$A121)^0.5+$B$32+$B$33+$B$34+$B$35+$B$36+$B$37)/$B$39,"")</f>
        <v>337.25316866822357</v>
      </c>
      <c r="F121" s="26" cm="1">
        <f t="array" aca="1" ref="F121" ca="1">IFERROR(((SUMPRODUCT($B$16:$K$16,1/(1+$A121)^(COLUMN($B$16:$K$16)-COLUMN($B$16)+1))+$B$24*(1-$E$8/F$119)/($A121-$E$8)/(1+$A121)^10)*(1+$A121)^0.5+$B$32+$B$33+$B$34+$B$35+$B$36+$B$37)/$B$39,"")</f>
        <v>345.73340768532586</v>
      </c>
    </row>
    <row r="122" spans="1:6" x14ac:dyDescent="0.25">
      <c r="A122" s="3">
        <f ca="1">$B$12+0</f>
        <v>9.5075100642306412E-2</v>
      </c>
      <c r="B122" s="26" cm="1">
        <f t="array" aca="1" ref="B122" ca="1">IFERROR(((SUMPRODUCT($B$16:$K$16,1/(1+$A122)^(COLUMN($B$16:$K$16)-COLUMN($B$16)+1))+$B$24*(1-$E$8/B$119)/($A122-$E$8)/(1+$A122)^10)*(1+$A122)^0.5+$B$32+$B$33+$B$34+$B$35+$B$36+$B$37)/$B$39,"")</f>
        <v>222.29703107353555</v>
      </c>
      <c r="C122" s="26" cm="1">
        <f t="array" aca="1" ref="C122" ca="1">IFERROR(((SUMPRODUCT($B$16:$K$16,1/(1+$A122)^(COLUMN($B$16:$K$16)-COLUMN($B$16)+1))+$B$24*(1-$E$8/C$119)/($A122-$E$8)/(1+$A122)^10)*(1+$A122)^0.5+$B$32+$B$33+$B$34+$B$35+$B$36+$B$37)/$B$39,"")</f>
        <v>244.10523734778886</v>
      </c>
      <c r="D122" s="235" cm="1">
        <f t="array" aca="1" ref="D122" ca="1">IFERROR(((SUMPRODUCT($B$16:$K$16,1/(1+$A122)^(COLUMN($B$16:$K$16)-COLUMN($B$16)+1))+$B$24*(1-$E$8/D$119)/($A122-$E$8)/(1+$A122)^10)*(1+$A122)^0.5+$B$32+$B$33+$B$34+$B$35+$B$36+$B$37)/$B$39,"")</f>
        <v>257.19016111234089</v>
      </c>
      <c r="E122" s="26" cm="1">
        <f t="array" aca="1" ref="E122" ca="1">IFERROR(((SUMPRODUCT($B$16:$K$16,1/(1+$A122)^(COLUMN($B$16:$K$16)-COLUMN($B$16)+1))+$B$24*(1-$E$8/E$119)/($A122-$E$8)/(1+$A122)^10)*(1+$A122)^0.5+$B$32+$B$33+$B$34+$B$35+$B$36+$B$37)/$B$39,"")</f>
        <v>265.91344362204217</v>
      </c>
      <c r="F122" s="26" cm="1">
        <f t="array" aca="1" ref="F122" ca="1">IFERROR(((SUMPRODUCT($B$16:$K$16,1/(1+$A122)^(COLUMN($B$16:$K$16)-COLUMN($B$16)+1))+$B$24*(1-$E$8/F$119)/($A122-$E$8)/(1+$A122)^10)*(1+$A122)^0.5+$B$32+$B$33+$B$34+$B$35+$B$36+$B$37)/$B$39,"")</f>
        <v>272.14435970040029</v>
      </c>
    </row>
    <row r="123" spans="1:6" x14ac:dyDescent="0.25">
      <c r="A123" s="3">
        <f ca="1">$B$12+0.0075</f>
        <v>0.1025751006423064</v>
      </c>
      <c r="B123" s="26" cm="1">
        <f t="array" aca="1" ref="B123" ca="1">IFERROR(((SUMPRODUCT($B$16:$K$16,1/(1+$A123)^(COLUMN($B$16:$K$16)-COLUMN($B$16)+1))+$B$24*(1-$E$8/B$119)/($A123-$E$8)/(1+$A123)^10)*(1+$A123)^0.5+$B$32+$B$33+$B$34+$B$35+$B$36+$B$37)/$B$39,"")</f>
        <v>186.26505905326113</v>
      </c>
      <c r="C123" s="26" cm="1">
        <f t="array" aca="1" ref="C123" ca="1">IFERROR(((SUMPRODUCT($B$16:$K$16,1/(1+$A123)^(COLUMN($B$16:$K$16)-COLUMN($B$16)+1))+$B$24*(1-$E$8/C$119)/($A123-$E$8)/(1+$A123)^10)*(1+$A123)^0.5+$B$32+$B$33+$B$34+$B$35+$B$36+$B$37)/$B$39,"")</f>
        <v>203.0779759505842</v>
      </c>
      <c r="D123" s="26" cm="1">
        <f t="array" aca="1" ref="D123" ca="1">IFERROR(((SUMPRODUCT($B$16:$K$16,1/(1+$A123)^(COLUMN($B$16:$K$16)-COLUMN($B$16)+1))+$B$24*(1-$E$8/D$119)/($A123-$E$8)/(1+$A123)^10)*(1+$A123)^0.5+$B$32+$B$33+$B$34+$B$35+$B$36+$B$37)/$B$39,"")</f>
        <v>213.16572608897812</v>
      </c>
      <c r="E123" s="26" cm="1">
        <f t="array" aca="1" ref="E123" ca="1">IFERROR(((SUMPRODUCT($B$16:$K$16,1/(1+$A123)^(COLUMN($B$16:$K$16)-COLUMN($B$16)+1))+$B$24*(1-$E$8/E$119)/($A123-$E$8)/(1+$A123)^10)*(1+$A123)^0.5+$B$32+$B$33+$B$34+$B$35+$B$36+$B$37)/$B$39,"")</f>
        <v>219.89089284790734</v>
      </c>
      <c r="F123" s="26" cm="1">
        <f t="array" aca="1" ref="F123" ca="1">IFERROR(((SUMPRODUCT($B$16:$K$16,1/(1+$A123)^(COLUMN($B$16:$K$16)-COLUMN($B$16)+1))+$B$24*(1-$E$8/F$119)/($A123-$E$8)/(1+$A123)^10)*(1+$A123)^0.5+$B$32+$B$33+$B$34+$B$35+$B$36+$B$37)/$B$39,"")</f>
        <v>224.69458338999968</v>
      </c>
    </row>
    <row r="124" spans="1:6" x14ac:dyDescent="0.25">
      <c r="A124" s="3">
        <f ca="1">$B$12+0.015</f>
        <v>0.11007510064230641</v>
      </c>
      <c r="B124" s="26" cm="1">
        <f t="array" aca="1" ref="B124" ca="1">IFERROR(((SUMPRODUCT($B$16:$K$16,1/(1+$A124)^(COLUMN($B$16:$K$16)-COLUMN($B$16)+1))+$B$24*(1-$E$8/B$119)/($A124-$E$8)/(1+$A124)^10)*(1+$A124)^0.5+$B$32+$B$33+$B$34+$B$35+$B$36+$B$37)/$B$39,"")</f>
        <v>160.963911144615</v>
      </c>
      <c r="C124" s="26" cm="1">
        <f t="array" aca="1" ref="C124" ca="1">IFERROR(((SUMPRODUCT($B$16:$K$16,1/(1+$A124)^(COLUMN($B$16:$K$16)-COLUMN($B$16)+1))+$B$24*(1-$E$8/C$119)/($A124-$E$8)/(1+$A124)^10)*(1+$A124)^0.5+$B$32+$B$33+$B$34+$B$35+$B$36+$B$37)/$B$39,"")</f>
        <v>174.35284057092386</v>
      </c>
      <c r="D124" s="26" cm="1">
        <f t="array" aca="1" ref="D124" ca="1">IFERROR(((SUMPRODUCT($B$16:$K$16,1/(1+$A124)^(COLUMN($B$16:$K$16)-COLUMN($B$16)+1))+$B$24*(1-$E$8/D$119)/($A124-$E$8)/(1+$A124)^10)*(1+$A124)^0.5+$B$32+$B$33+$B$34+$B$35+$B$36+$B$37)/$B$39,"")</f>
        <v>182.38619822670918</v>
      </c>
      <c r="E124" s="26" cm="1">
        <f t="array" aca="1" ref="E124" ca="1">IFERROR(((SUMPRODUCT($B$16:$K$16,1/(1+$A124)^(COLUMN($B$16:$K$16)-COLUMN($B$16)+1))+$B$24*(1-$E$8/E$119)/($A124-$E$8)/(1+$A124)^10)*(1+$A124)^0.5+$B$32+$B$33+$B$34+$B$35+$B$36+$B$37)/$B$39,"")</f>
        <v>187.74176999723272</v>
      </c>
      <c r="F124" s="26" cm="1">
        <f t="array" aca="1" ref="F124" ca="1">IFERROR(((SUMPRODUCT($B$16:$K$16,1/(1+$A124)^(COLUMN($B$16:$K$16)-COLUMN($B$16)+1))+$B$24*(1-$E$8/F$119)/($A124-$E$8)/(1+$A124)^10)*(1+$A124)^0.5+$B$32+$B$33+$B$34+$B$35+$B$36+$B$37)/$B$39,"")</f>
        <v>191.56717840474954</v>
      </c>
    </row>
    <row r="127" spans="1:6" x14ac:dyDescent="0.25">
      <c r="A127" s="67" t="s">
        <v>1604</v>
      </c>
    </row>
    <row r="128" spans="1:6" x14ac:dyDescent="0.25">
      <c r="A128" t="s">
        <v>1605</v>
      </c>
      <c r="B128" s="28">
        <f>$B$22+-0.04</f>
        <v>0.27606839278378004</v>
      </c>
      <c r="C128" s="28">
        <f>$B$22+-0.02</f>
        <v>0.29606839278378</v>
      </c>
      <c r="D128" s="28">
        <f>$B$22+0</f>
        <v>0.31606839278378002</v>
      </c>
      <c r="E128" s="28">
        <f>$B$22+0.02</f>
        <v>0.33606839278378003</v>
      </c>
      <c r="F128" s="28">
        <f>$B$22+0.04</f>
        <v>0.35606839278378</v>
      </c>
    </row>
    <row r="129" spans="1:6" x14ac:dyDescent="0.25">
      <c r="A129" s="3">
        <f ca="1">$B$12+-0.015</f>
        <v>8.0075100642306413E-2</v>
      </c>
      <c r="B129" s="26" cm="1">
        <f t="array" aca="1" ref="B129" ca="1">IFERROR(((SUMPRODUCT($B$16:$K$16,1/(1+$A129)^(COLUMN($B$16:$K$16)-COLUMN($B$16)+1))+($B$23*B$128*(1-'GOOGL Forecast'!$B$2))*(1-$E$8/$E$9)/($A129-$E$8)/(1+$A129)^10)*(1+$A129)^0.5+$B$32+$B$33+$B$34+$B$35+$B$36+$B$37)/$B$39,"")</f>
        <v>398.99136669318057</v>
      </c>
      <c r="C129" s="26" cm="1">
        <f t="array" aca="1" ref="C129" ca="1">IFERROR(((SUMPRODUCT($B$16:$K$16,1/(1+$A129)^(COLUMN($B$16:$K$16)-COLUMN($B$16)+1))+($B$23*C$128*(1-'GOOGL Forecast'!$B$2))*(1-$E$8/$E$9)/($A129-$E$8)/(1+$A129)^10)*(1+$A129)^0.5+$B$32+$B$33+$B$34+$B$35+$B$36+$B$37)/$B$39,"")</f>
        <v>422.10903129076831</v>
      </c>
      <c r="D129" s="26" cm="1">
        <f t="array" aca="1" ref="D129" ca="1">IFERROR(((SUMPRODUCT($B$16:$K$16,1/(1+$A129)^(COLUMN($B$16:$K$16)-COLUMN($B$16)+1))+($B$23*D$128*(1-'GOOGL Forecast'!$B$2))*(1-$E$8/$E$9)/($A129-$E$8)/(1+$A129)^10)*(1+$A129)^0.5+$B$32+$B$33+$B$34+$B$35+$B$36+$B$37)/$B$39,"")</f>
        <v>445.22669588835612</v>
      </c>
      <c r="E129" s="26" cm="1">
        <f t="array" aca="1" ref="E129" ca="1">IFERROR(((SUMPRODUCT($B$16:$K$16,1/(1+$A129)^(COLUMN($B$16:$K$16)-COLUMN($B$16)+1))+($B$23*E$128*(1-'GOOGL Forecast'!$B$2))*(1-$E$8/$E$9)/($A129-$E$8)/(1+$A129)^10)*(1+$A129)^0.5+$B$32+$B$33+$B$34+$B$35+$B$36+$B$37)/$B$39,"")</f>
        <v>468.34436048594398</v>
      </c>
      <c r="F129" s="26" cm="1">
        <f t="array" aca="1" ref="F129" ca="1">IFERROR(((SUMPRODUCT($B$16:$K$16,1/(1+$A129)^(COLUMN($B$16:$K$16)-COLUMN($B$16)+1))+($B$23*F$128*(1-'GOOGL Forecast'!$B$2))*(1-$E$8/$E$9)/($A129-$E$8)/(1+$A129)^10)*(1+$A129)^0.5+$B$32+$B$33+$B$34+$B$35+$B$36+$B$37)/$B$39,"")</f>
        <v>491.46202508353167</v>
      </c>
    </row>
    <row r="130" spans="1:6" x14ac:dyDescent="0.25">
      <c r="A130" s="3">
        <f ca="1">$B$12+-0.0075</f>
        <v>8.7575100642306419E-2</v>
      </c>
      <c r="B130" s="26" cm="1">
        <f t="array" aca="1" ref="B130" ca="1">IFERROR(((SUMPRODUCT($B$16:$K$16,1/(1+$A130)^(COLUMN($B$16:$K$16)-COLUMN($B$16)+1))+($B$23*B$128*(1-'GOOGL Forecast'!$B$2))*(1-$E$8/$E$9)/($A130-$E$8)/(1+$A130)^10)*(1+$A130)^0.5+$B$32+$B$33+$B$34+$B$35+$B$36+$B$37)/$B$39,"")</f>
        <v>293.99194629292043</v>
      </c>
      <c r="C130" s="26" cm="1">
        <f t="array" aca="1" ref="C130" ca="1">IFERROR(((SUMPRODUCT($B$16:$K$16,1/(1+$A130)^(COLUMN($B$16:$K$16)-COLUMN($B$16)+1))+($B$23*C$128*(1-'GOOGL Forecast'!$B$2))*(1-$E$8/$E$9)/($A130-$E$8)/(1+$A130)^10)*(1+$A130)^0.5+$B$32+$B$33+$B$34+$B$35+$B$36+$B$37)/$B$39,"")</f>
        <v>309.68639016860038</v>
      </c>
      <c r="D130" s="26" cm="1">
        <f t="array" aca="1" ref="D130" ca="1">IFERROR(((SUMPRODUCT($B$16:$K$16,1/(1+$A130)^(COLUMN($B$16:$K$16)-COLUMN($B$16)+1))+($B$23*D$128*(1-'GOOGL Forecast'!$B$2))*(1-$E$8/$E$9)/($A130-$E$8)/(1+$A130)^10)*(1+$A130)^0.5+$B$32+$B$33+$B$34+$B$35+$B$36+$B$37)/$B$39,"")</f>
        <v>325.38083404428033</v>
      </c>
      <c r="E130" s="26" cm="1">
        <f t="array" aca="1" ref="E130" ca="1">IFERROR(((SUMPRODUCT($B$16:$K$16,1/(1+$A130)^(COLUMN($B$16:$K$16)-COLUMN($B$16)+1))+($B$23*E$128*(1-'GOOGL Forecast'!$B$2))*(1-$E$8/$E$9)/($A130-$E$8)/(1+$A130)^10)*(1+$A130)^0.5+$B$32+$B$33+$B$34+$B$35+$B$36+$B$37)/$B$39,"")</f>
        <v>341.0752779199604</v>
      </c>
      <c r="F130" s="26" cm="1">
        <f t="array" aca="1" ref="F130" ca="1">IFERROR(((SUMPRODUCT($B$16:$K$16,1/(1+$A130)^(COLUMN($B$16:$K$16)-COLUMN($B$16)+1))+($B$23*F$128*(1-'GOOGL Forecast'!$B$2))*(1-$E$8/$E$9)/($A130-$E$8)/(1+$A130)^10)*(1+$A130)^0.5+$B$32+$B$33+$B$34+$B$35+$B$36+$B$37)/$B$39,"")</f>
        <v>356.76972179564041</v>
      </c>
    </row>
    <row r="131" spans="1:6" x14ac:dyDescent="0.25">
      <c r="A131" s="3">
        <f ca="1">$B$12+0</f>
        <v>9.5075100642306412E-2</v>
      </c>
      <c r="B131" s="26" cm="1">
        <f t="array" aca="1" ref="B131" ca="1">IFERROR(((SUMPRODUCT($B$16:$K$16,1/(1+$A131)^(COLUMN($B$16:$K$16)-COLUMN($B$16)+1))+($B$23*B$128*(1-'GOOGL Forecast'!$B$2))*(1-$E$8/$E$9)/($A131-$E$8)/(1+$A131)^10)*(1+$A131)^0.5+$B$32+$B$33+$B$34+$B$35+$B$36+$B$37)/$B$39,"")</f>
        <v>234.12695204744401</v>
      </c>
      <c r="C131" s="26" cm="1">
        <f t="array" aca="1" ref="C131" ca="1">IFERROR(((SUMPRODUCT($B$16:$K$16,1/(1+$A131)^(COLUMN($B$16:$K$16)-COLUMN($B$16)+1))+($B$23*C$128*(1-'GOOGL Forecast'!$B$2))*(1-$E$8/$E$9)/($A131-$E$8)/(1+$A131)^10)*(1+$A131)^0.5+$B$32+$B$33+$B$34+$B$35+$B$36+$B$37)/$B$39,"")</f>
        <v>245.65855657989241</v>
      </c>
      <c r="D131" s="235" cm="1">
        <f t="array" aca="1" ref="D131" ca="1">IFERROR(((SUMPRODUCT($B$16:$K$16,1/(1+$A131)^(COLUMN($B$16:$K$16)-COLUMN($B$16)+1))+($B$23*D$128*(1-'GOOGL Forecast'!$B$2))*(1-$E$8/$E$9)/($A131-$E$8)/(1+$A131)^10)*(1+$A131)^0.5+$B$32+$B$33+$B$34+$B$35+$B$36+$B$37)/$B$39,"")</f>
        <v>257.19016111234089</v>
      </c>
      <c r="E131" s="26" cm="1">
        <f t="array" aca="1" ref="E131" ca="1">IFERROR(((SUMPRODUCT($B$16:$K$16,1/(1+$A131)^(COLUMN($B$16:$K$16)-COLUMN($B$16)+1))+($B$23*E$128*(1-'GOOGL Forecast'!$B$2))*(1-$E$8/$E$9)/($A131-$E$8)/(1+$A131)^10)*(1+$A131)^0.5+$B$32+$B$33+$B$34+$B$35+$B$36+$B$37)/$B$39,"")</f>
        <v>268.72176564478934</v>
      </c>
      <c r="F131" s="26" cm="1">
        <f t="array" aca="1" ref="F131" ca="1">IFERROR(((SUMPRODUCT($B$16:$K$16,1/(1+$A131)^(COLUMN($B$16:$K$16)-COLUMN($B$16)+1))+($B$23*F$128*(1-'GOOGL Forecast'!$B$2))*(1-$E$8/$E$9)/($A131-$E$8)/(1+$A131)^10)*(1+$A131)^0.5+$B$32+$B$33+$B$34+$B$35+$B$36+$B$37)/$B$39,"")</f>
        <v>280.25337017723774</v>
      </c>
    </row>
    <row r="132" spans="1:6" x14ac:dyDescent="0.25">
      <c r="A132" s="3">
        <f ca="1">$B$12+0.0075</f>
        <v>0.1025751006423064</v>
      </c>
      <c r="B132" s="26" cm="1">
        <f t="array" aca="1" ref="B132" ca="1">IFERROR(((SUMPRODUCT($B$16:$K$16,1/(1+$A132)^(COLUMN($B$16:$K$16)-COLUMN($B$16)+1))+($B$23*B$128*(1-'GOOGL Forecast'!$B$2))*(1-$E$8/$E$9)/($A132-$E$8)/(1+$A132)^10)*(1+$A132)^0.5+$B$32+$B$33+$B$34+$B$35+$B$36+$B$37)/$B$39,"")</f>
        <v>195.38527168033249</v>
      </c>
      <c r="C132" s="26" cm="1">
        <f t="array" aca="1" ref="C132" ca="1">IFERROR(((SUMPRODUCT($B$16:$K$16,1/(1+$A132)^(COLUMN($B$16:$K$16)-COLUMN($B$16)+1))+($B$23*C$128*(1-'GOOGL Forecast'!$B$2))*(1-$E$8/$E$9)/($A132-$E$8)/(1+$A132)^10)*(1+$A132)^0.5+$B$32+$B$33+$B$34+$B$35+$B$36+$B$37)/$B$39,"")</f>
        <v>204.27549888465526</v>
      </c>
      <c r="D132" s="26" cm="1">
        <f t="array" aca="1" ref="D132" ca="1">IFERROR(((SUMPRODUCT($B$16:$K$16,1/(1+$A132)^(COLUMN($B$16:$K$16)-COLUMN($B$16)+1))+($B$23*D$128*(1-'GOOGL Forecast'!$B$2))*(1-$E$8/$E$9)/($A132-$E$8)/(1+$A132)^10)*(1+$A132)^0.5+$B$32+$B$33+$B$34+$B$35+$B$36+$B$37)/$B$39,"")</f>
        <v>213.16572608897812</v>
      </c>
      <c r="E132" s="26" cm="1">
        <f t="array" aca="1" ref="E132" ca="1">IFERROR(((SUMPRODUCT($B$16:$K$16,1/(1+$A132)^(COLUMN($B$16:$K$16)-COLUMN($B$16)+1))+($B$23*E$128*(1-'GOOGL Forecast'!$B$2))*(1-$E$8/$E$9)/($A132-$E$8)/(1+$A132)^10)*(1+$A132)^0.5+$B$32+$B$33+$B$34+$B$35+$B$36+$B$37)/$B$39,"")</f>
        <v>222.05595329330095</v>
      </c>
      <c r="F132" s="26" cm="1">
        <f t="array" aca="1" ref="F132" ca="1">IFERROR(((SUMPRODUCT($B$16:$K$16,1/(1+$A132)^(COLUMN($B$16:$K$16)-COLUMN($B$16)+1))+($B$23*F$128*(1-'GOOGL Forecast'!$B$2))*(1-$E$8/$E$9)/($A132-$E$8)/(1+$A132)^10)*(1+$A132)^0.5+$B$32+$B$33+$B$34+$B$35+$B$36+$B$37)/$B$39,"")</f>
        <v>230.94618049762371</v>
      </c>
    </row>
    <row r="133" spans="1:6" x14ac:dyDescent="0.25">
      <c r="A133" s="3">
        <f ca="1">$B$12+0.015</f>
        <v>0.11007510064230641</v>
      </c>
      <c r="B133" s="26" cm="1">
        <f t="array" aca="1" ref="B133" ca="1">IFERROR(((SUMPRODUCT($B$16:$K$16,1/(1+$A133)^(COLUMN($B$16:$K$16)-COLUMN($B$16)+1))+($B$23*B$128*(1-'GOOGL Forecast'!$B$2))*(1-$E$8/$E$9)/($A133-$E$8)/(1+$A133)^10)*(1+$A133)^0.5+$B$32+$B$33+$B$34+$B$35+$B$36+$B$37)/$B$39,"")</f>
        <v>168.22677242933545</v>
      </c>
      <c r="C133" s="26" cm="1">
        <f t="array" aca="1" ref="C133" ca="1">IFERROR(((SUMPRODUCT($B$16:$K$16,1/(1+$A133)^(COLUMN($B$16:$K$16)-COLUMN($B$16)+1))+($B$23*C$128*(1-'GOOGL Forecast'!$B$2))*(1-$E$8/$E$9)/($A133-$E$8)/(1+$A133)^10)*(1+$A133)^0.5+$B$32+$B$33+$B$34+$B$35+$B$36+$B$37)/$B$39,"")</f>
        <v>175.30648532802229</v>
      </c>
      <c r="D133" s="26" cm="1">
        <f t="array" aca="1" ref="D133" ca="1">IFERROR(((SUMPRODUCT($B$16:$K$16,1/(1+$A133)^(COLUMN($B$16:$K$16)-COLUMN($B$16)+1))+($B$23*D$128*(1-'GOOGL Forecast'!$B$2))*(1-$E$8/$E$9)/($A133-$E$8)/(1+$A133)^10)*(1+$A133)^0.5+$B$32+$B$33+$B$34+$B$35+$B$36+$B$37)/$B$39,"")</f>
        <v>182.38619822670918</v>
      </c>
      <c r="E133" s="26" cm="1">
        <f t="array" aca="1" ref="E133" ca="1">IFERROR(((SUMPRODUCT($B$16:$K$16,1/(1+$A133)^(COLUMN($B$16:$K$16)-COLUMN($B$16)+1))+($B$23*E$128*(1-'GOOGL Forecast'!$B$2))*(1-$E$8/$E$9)/($A133-$E$8)/(1+$A133)^10)*(1+$A133)^0.5+$B$32+$B$33+$B$34+$B$35+$B$36+$B$37)/$B$39,"")</f>
        <v>189.46591112539602</v>
      </c>
      <c r="F133" s="26" cm="1">
        <f t="array" aca="1" ref="F133" ca="1">IFERROR(((SUMPRODUCT($B$16:$K$16,1/(1+$A133)^(COLUMN($B$16:$K$16)-COLUMN($B$16)+1))+($B$23*F$128*(1-'GOOGL Forecast'!$B$2))*(1-$E$8/$E$9)/($A133-$E$8)/(1+$A133)^10)*(1+$A133)^0.5+$B$32+$B$33+$B$34+$B$35+$B$36+$B$37)/$B$39,"")</f>
        <v>196.54562402408291</v>
      </c>
    </row>
    <row r="136" spans="1:6" x14ac:dyDescent="0.25">
      <c r="A136" s="233" t="s">
        <v>1606</v>
      </c>
    </row>
    <row r="137" spans="1:6" x14ac:dyDescent="0.25">
      <c r="A137" t="s">
        <v>569</v>
      </c>
      <c r="B137" s="28">
        <v>0</v>
      </c>
      <c r="C137" s="28">
        <v>0.05</v>
      </c>
      <c r="D137" s="28">
        <v>0.1</v>
      </c>
      <c r="E137" s="28">
        <v>0.15</v>
      </c>
      <c r="F137" s="28">
        <v>0.2</v>
      </c>
    </row>
    <row r="138" spans="1:6" x14ac:dyDescent="0.25">
      <c r="A138" t="s">
        <v>1607</v>
      </c>
      <c r="B138" s="165">
        <v>195.209462739175</v>
      </c>
      <c r="C138" s="165">
        <v>223.012723101848</v>
      </c>
      <c r="D138" s="165">
        <v>254.62906373934101</v>
      </c>
      <c r="E138" s="165">
        <v>290.47017436806999</v>
      </c>
      <c r="F138" s="165">
        <v>330.98085419615001</v>
      </c>
    </row>
    <row r="139" spans="1:6" x14ac:dyDescent="0.25">
      <c r="A139" s="234" t="s">
        <v>1608</v>
      </c>
    </row>
  </sheetData>
  <conditionalFormatting sqref="B71:F75">
    <cfRule type="colorScale" priority="1">
      <colorScale>
        <cfvo type="min"/>
        <cfvo type="percentile" val="50"/>
        <cfvo type="max"/>
        <color rgb="FFF8696B"/>
        <color rgb="FFFFEB84"/>
        <color rgb="FF63BE7B"/>
      </colorScale>
    </cfRule>
  </conditionalFormatting>
  <conditionalFormatting sqref="B120:F124">
    <cfRule type="colorScale" priority="2">
      <colorScale>
        <cfvo type="min"/>
        <cfvo type="percentile" val="50"/>
        <cfvo type="max"/>
        <color rgb="FFF8696B"/>
        <color rgb="FFFFEB84"/>
        <color rgb="FF63BE7B"/>
      </colorScale>
    </cfRule>
  </conditionalFormatting>
  <conditionalFormatting sqref="B129:F133">
    <cfRule type="colorScale" priority="3">
      <colorScale>
        <cfvo type="min"/>
        <cfvo type="percentile" val="50"/>
        <cfvo type="max"/>
        <color rgb="FFF8696B"/>
        <color rgb="FFFFEB84"/>
        <color rgb="FF63BE7B"/>
      </colorScale>
    </cfRule>
  </conditionalFormatting>
  <conditionalFormatting sqref="B138:F138">
    <cfRule type="colorScale" priority="4">
      <colorScale>
        <cfvo type="min"/>
        <cfvo type="percentile" val="50"/>
        <cfvo type="max"/>
        <color rgb="FFF8696B"/>
        <color rgb="FFFFEB84"/>
        <color rgb="FF63BE7B"/>
      </colorScale>
    </cfRule>
  </conditionalFormatting>
  <pageMargins left="0.7" right="0.7" top="0.75" bottom="0.75" header="0.3" footer="0.3"/>
  <drawing r:id="rId1"/>
  <legacyDrawing r:id="rId2"/>
</worksheet>
</file>

<file path=xl/worksheets/sheet8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FA0DEF-7444-4AE9-86D2-A8AFA6A79918}">
  <sheetPr>
    <tabColor rgb="FFF4B7B7"/>
  </sheetPr>
  <dimension ref="A1:P139"/>
  <sheetViews>
    <sheetView topLeftCell="B4" workbookViewId="0">
      <selection activeCell="F108" sqref="F108"/>
    </sheetView>
  </sheetViews>
  <sheetFormatPr defaultRowHeight="15" x14ac:dyDescent="0.25"/>
  <cols>
    <col min="1" max="1" width="57.140625" customWidth="1"/>
    <col min="2" max="2" width="11.7109375" bestFit="1" customWidth="1"/>
  </cols>
  <sheetData>
    <row r="1" spans="1:16" ht="15.75" x14ac:dyDescent="0.25">
      <c r="A1" s="15" t="s">
        <v>596</v>
      </c>
    </row>
    <row r="3" spans="1:16" x14ac:dyDescent="0.25">
      <c r="A3" s="24" t="s">
        <v>568</v>
      </c>
      <c r="B3" s="24"/>
      <c r="C3" s="24"/>
      <c r="D3" s="24"/>
      <c r="E3" s="24"/>
      <c r="F3" s="24"/>
    </row>
    <row r="4" spans="1:16" x14ac:dyDescent="0.25">
      <c r="A4" t="s">
        <v>792</v>
      </c>
      <c r="B4" s="78" t="str">
        <f>'Valuation Dashboard'!E22</f>
        <v>Base</v>
      </c>
      <c r="C4" s="170">
        <f>MATCH($B$4,{"Base","Worst","Best"},0)</f>
        <v>1</v>
      </c>
    </row>
    <row r="5" spans="1:16" x14ac:dyDescent="0.25">
      <c r="A5" s="9" t="s">
        <v>449</v>
      </c>
      <c r="B5" s="9" t="s">
        <v>590</v>
      </c>
      <c r="C5" s="9" t="s">
        <v>591</v>
      </c>
      <c r="D5" s="9" t="s">
        <v>592</v>
      </c>
      <c r="E5" s="9" t="s">
        <v>593</v>
      </c>
    </row>
    <row r="6" spans="1:16" x14ac:dyDescent="0.25">
      <c r="A6" t="s">
        <v>569</v>
      </c>
      <c r="B6" s="76">
        <f>'Valuation Dashboard'!E23</f>
        <v>0.1</v>
      </c>
      <c r="C6" s="76">
        <f>'Valuation Dashboard'!$B$15</f>
        <v>0.01</v>
      </c>
      <c r="D6" s="76">
        <f>MAX($B$6,'Valuation Dashboard'!$B$16)</f>
        <v>0.154</v>
      </c>
      <c r="E6" s="134" cm="1">
        <f t="array" ref="E6">INDEX(B6:D6,$C$4)</f>
        <v>0.1</v>
      </c>
    </row>
    <row r="7" spans="1:16" x14ac:dyDescent="0.25">
      <c r="A7" t="s">
        <v>570</v>
      </c>
      <c r="B7" s="76">
        <f>'Valuation Dashboard'!$B$19</f>
        <v>0</v>
      </c>
      <c r="C7" s="76">
        <f>'Valuation Dashboard'!$E$224</f>
        <v>-3.1581867399211525E-2</v>
      </c>
      <c r="D7" s="76">
        <f>'Valuation Dashboard'!$E$225</f>
        <v>0</v>
      </c>
      <c r="E7" s="134" cm="1">
        <f t="array" ref="E7">INDEX(B7:D7,$C$4)</f>
        <v>0</v>
      </c>
    </row>
    <row r="8" spans="1:16" x14ac:dyDescent="0.25">
      <c r="A8" t="s">
        <v>605</v>
      </c>
      <c r="B8" s="76">
        <f>'AMZN Rev Drivers &amp; Forecast'!$B$7+'AMZN Rev Drivers &amp; Forecast'!$B$4</f>
        <v>6.0300000000000006E-2</v>
      </c>
      <c r="C8" s="76">
        <f>'AMZN Rev Drivers &amp; Forecast'!$B$7+'AMZN Rev Drivers &amp; Forecast'!$B$4-0.015</f>
        <v>4.5300000000000007E-2</v>
      </c>
      <c r="D8" s="76">
        <f>'AMZN Rev Drivers &amp; Forecast'!$B$7+'AMZN Rev Drivers &amp; Forecast'!$B$4</f>
        <v>6.0300000000000006E-2</v>
      </c>
      <c r="E8" s="134" cm="1">
        <f t="array" ref="E8">INDEX(B8:D8,$C$4)</f>
        <v>6.0300000000000006E-2</v>
      </c>
    </row>
    <row r="9" spans="1:16" x14ac:dyDescent="0.25">
      <c r="A9" t="s">
        <v>1552</v>
      </c>
      <c r="B9" s="76">
        <f ca="1">'Valuation Dashboard'!$E$206</f>
        <v>8.7531307151859569E-2</v>
      </c>
      <c r="C9" s="76">
        <f ca="1">'Valuation Dashboard'!$E$206</f>
        <v>8.7531307151859569E-2</v>
      </c>
      <c r="D9" s="76">
        <f ca="1">'Valuation Dashboard'!$E$206</f>
        <v>8.7531307151859569E-2</v>
      </c>
      <c r="E9" s="134" cm="1">
        <f t="array" aca="1" ref="E9" ca="1">INDEX(B9:D9,$C$4)</f>
        <v>8.7531307151859569E-2</v>
      </c>
    </row>
    <row r="10" spans="1:16" x14ac:dyDescent="0.25">
      <c r="A10" t="s">
        <v>1553</v>
      </c>
      <c r="B10" s="76">
        <f>'Valuation Dashboard'!$E$205</f>
        <v>0.15</v>
      </c>
    </row>
    <row r="11" spans="1:16" x14ac:dyDescent="0.25">
      <c r="A11" s="24" t="s">
        <v>571</v>
      </c>
      <c r="B11" s="24"/>
      <c r="C11" s="24"/>
      <c r="D11" s="24"/>
      <c r="E11" s="24"/>
      <c r="F11" s="24"/>
    </row>
    <row r="12" spans="1:16" x14ac:dyDescent="0.25">
      <c r="A12" t="s">
        <v>572</v>
      </c>
      <c r="B12" s="79">
        <f ca="1">WACC!F48</f>
        <v>8.7531307151859569E-2</v>
      </c>
    </row>
    <row r="14" spans="1:16" x14ac:dyDescent="0.25">
      <c r="A14" s="24" t="s">
        <v>1014</v>
      </c>
      <c r="B14" s="24"/>
      <c r="C14" s="24"/>
      <c r="D14" s="24"/>
      <c r="E14" s="24"/>
      <c r="F14" s="24"/>
      <c r="G14" s="24"/>
      <c r="H14" s="24"/>
      <c r="I14" s="24"/>
      <c r="J14" s="24"/>
      <c r="K14" s="24"/>
      <c r="L14" s="24"/>
      <c r="M14" s="24"/>
      <c r="N14" s="24"/>
      <c r="O14" s="24"/>
      <c r="P14" s="24"/>
    </row>
    <row r="15" spans="1:16" x14ac:dyDescent="0.25">
      <c r="A15" s="9" t="s">
        <v>573</v>
      </c>
      <c r="B15" s="167">
        <f>'AMZN Forecast'!B24</f>
        <v>46387</v>
      </c>
      <c r="C15" s="167">
        <f>'AMZN Forecast'!C24</f>
        <v>46752</v>
      </c>
      <c r="D15" s="167">
        <f>'AMZN Forecast'!D24</f>
        <v>47118</v>
      </c>
      <c r="E15" s="167">
        <f>'AMZN Forecast'!E24</f>
        <v>47483</v>
      </c>
      <c r="F15" s="167">
        <f>'AMZN Forecast'!F24</f>
        <v>47848</v>
      </c>
      <c r="G15" s="167">
        <f>'AMZN Forecast'!B110</f>
        <v>48213</v>
      </c>
      <c r="H15" s="167">
        <f>'AMZN Forecast'!C110</f>
        <v>48579</v>
      </c>
      <c r="I15" s="167">
        <f>'AMZN Forecast'!D110</f>
        <v>48944</v>
      </c>
      <c r="J15" s="167">
        <f>'AMZN Forecast'!E110</f>
        <v>49309</v>
      </c>
      <c r="K15" s="167">
        <f>'AMZN Forecast'!F110</f>
        <v>49674</v>
      </c>
      <c r="L15" s="49"/>
      <c r="M15" s="49"/>
      <c r="N15" s="49"/>
      <c r="O15" s="49"/>
      <c r="P15" s="49"/>
    </row>
    <row r="16" spans="1:16" x14ac:dyDescent="0.25">
      <c r="A16" t="s">
        <v>270</v>
      </c>
      <c r="B16" s="109">
        <f>'AMZN Forecast'!B73</f>
        <v>15262.425664021663</v>
      </c>
      <c r="C16" s="109">
        <f>'AMZN Forecast'!C73</f>
        <v>21087.689307979657</v>
      </c>
      <c r="D16" s="109">
        <f>'AMZN Forecast'!D73</f>
        <v>27745.14346179206</v>
      </c>
      <c r="E16" s="109">
        <f>'AMZN Forecast'!E73</f>
        <v>35211.671522462595</v>
      </c>
      <c r="F16" s="109">
        <f>'AMZN Forecast'!F73</f>
        <v>43435.208659534139</v>
      </c>
      <c r="G16" s="109">
        <f>'AMZN Forecast'!B118</f>
        <v>47187.843963480555</v>
      </c>
      <c r="H16" s="109">
        <f>'AMZN Forecast'!C118</f>
        <v>57279.683731141486</v>
      </c>
      <c r="I16" s="109">
        <f>'AMZN Forecast'!D118</f>
        <v>68122.023738317293</v>
      </c>
      <c r="J16" s="109">
        <f>'AMZN Forecast'!E118</f>
        <v>72229.781769737718</v>
      </c>
      <c r="K16" s="109">
        <f>'AMZN Forecast'!F118</f>
        <v>76585.23761045307</v>
      </c>
      <c r="L16" s="26"/>
      <c r="M16" s="26"/>
      <c r="N16" s="26"/>
      <c r="O16" s="26"/>
      <c r="P16" s="26"/>
    </row>
    <row r="17" spans="1:16" x14ac:dyDescent="0.25">
      <c r="A17" t="s">
        <v>574</v>
      </c>
      <c r="B17" s="140">
        <f ca="1">1/(1+$B$12)^1</f>
        <v>0.91951375875229224</v>
      </c>
      <c r="C17" s="140">
        <f ca="1">1/(1+$B$12)^2</f>
        <v>0.84550555253476867</v>
      </c>
      <c r="D17" s="140">
        <f ca="1">1/(1+$B$12)^3</f>
        <v>0.77745398865717885</v>
      </c>
      <c r="E17" s="140">
        <f ca="1">1/(1+$B$12)^4</f>
        <v>0.71487963936712451</v>
      </c>
      <c r="F17" s="140">
        <f ca="1">1/(1+$B$12)^5</f>
        <v>0.65734166424994778</v>
      </c>
      <c r="G17" s="140">
        <f ca="1">1/(1+$B$12)^6</f>
        <v>0.60443470447895675</v>
      </c>
      <c r="H17" s="140">
        <f ca="1">1/(1+$B$12)^7</f>
        <v>0.5557860270357764</v>
      </c>
      <c r="I17" s="140">
        <f ca="1">1/(1+$B$12)^8</f>
        <v>0.51105289878166993</v>
      </c>
      <c r="J17" s="140">
        <f ca="1">1/(1+$B$12)^9</f>
        <v>0.46992017187998814</v>
      </c>
      <c r="K17" s="140">
        <f ca="1">1/(1+$B$12)^10</f>
        <v>0.43209806355889113</v>
      </c>
      <c r="L17" s="51"/>
      <c r="M17" s="51"/>
      <c r="N17" s="51"/>
      <c r="O17" s="51"/>
      <c r="P17" s="51"/>
    </row>
    <row r="18" spans="1:16" x14ac:dyDescent="0.25">
      <c r="A18" t="s">
        <v>575</v>
      </c>
      <c r="B18" s="119">
        <f t="shared" ref="B18:K18" ca="1" si="0">B16*B17</f>
        <v>14034.010390002009</v>
      </c>
      <c r="C18" s="119">
        <f t="shared" ca="1" si="0"/>
        <v>17829.758400024875</v>
      </c>
      <c r="D18" s="119">
        <f t="shared" ca="1" si="0"/>
        <v>21570.572450235886</v>
      </c>
      <c r="E18" s="119">
        <f t="shared" ca="1" si="0"/>
        <v>25172.107039491708</v>
      </c>
      <c r="F18" s="119">
        <f t="shared" ca="1" si="0"/>
        <v>28551.772347301914</v>
      </c>
      <c r="G18" s="119">
        <f t="shared" ca="1" si="0"/>
        <v>28521.970521065494</v>
      </c>
      <c r="H18" s="119">
        <f t="shared" ca="1" si="0"/>
        <v>31835.247850796924</v>
      </c>
      <c r="I18" s="119">
        <f t="shared" ca="1" si="0"/>
        <v>34813.957702340784</v>
      </c>
      <c r="J18" s="119">
        <f t="shared" ca="1" si="0"/>
        <v>33942.231464089185</v>
      </c>
      <c r="K18" s="119">
        <f t="shared" ca="1" si="0"/>
        <v>33092.332868674333</v>
      </c>
      <c r="L18" s="26"/>
      <c r="M18" s="26"/>
      <c r="N18" s="26"/>
      <c r="O18" s="26"/>
      <c r="P18" s="26"/>
    </row>
    <row r="19" spans="1:16" x14ac:dyDescent="0.25">
      <c r="A19" s="9" t="s">
        <v>576</v>
      </c>
      <c r="B19" s="147">
        <f ca="1">SUM(B18:K18)</f>
        <v>269363.96103402314</v>
      </c>
    </row>
    <row r="21" spans="1:16" x14ac:dyDescent="0.25">
      <c r="A21" s="24" t="s">
        <v>1015</v>
      </c>
      <c r="B21" s="24"/>
      <c r="C21" s="24"/>
      <c r="D21" s="24"/>
      <c r="E21" s="24"/>
      <c r="F21" s="24"/>
    </row>
    <row r="22" spans="1:16" x14ac:dyDescent="0.25">
      <c r="A22" t="s">
        <v>1596</v>
      </c>
      <c r="B22" s="113">
        <f>'AMZN Forecast'!F113+$E$7</f>
        <v>0.11345491365613387</v>
      </c>
    </row>
    <row r="23" spans="1:16" x14ac:dyDescent="0.25">
      <c r="A23" t="s">
        <v>577</v>
      </c>
      <c r="B23" s="109">
        <f>'AMZN Forecast'!F112*(1+$E$8)</f>
        <v>1685143.1410949498</v>
      </c>
    </row>
    <row r="24" spans="1:16" x14ac:dyDescent="0.25">
      <c r="A24" t="s">
        <v>578</v>
      </c>
      <c r="B24" s="109">
        <f>B23*B22*(1-'AMZN Forecast'!$B$2)</f>
        <v>151038.33796121145</v>
      </c>
    </row>
    <row r="25" spans="1:16" x14ac:dyDescent="0.25">
      <c r="A25" t="s">
        <v>579</v>
      </c>
      <c r="B25" s="119">
        <f ca="1">B24*(1-$E$8/$E$9)/($B$12-$E$8)</f>
        <v>1725535.0442690456</v>
      </c>
    </row>
    <row r="26" spans="1:16" x14ac:dyDescent="0.25">
      <c r="A26" t="s">
        <v>574</v>
      </c>
      <c r="B26" s="140">
        <f ca="1">1/(1+$B$12)^10</f>
        <v>0.43209806355889113</v>
      </c>
    </row>
    <row r="27" spans="1:16" x14ac:dyDescent="0.25">
      <c r="A27" t="s">
        <v>580</v>
      </c>
      <c r="B27" s="119">
        <f ca="1">B25*B26</f>
        <v>745600.35123166011</v>
      </c>
    </row>
    <row r="28" spans="1:16" x14ac:dyDescent="0.25">
      <c r="A28" t="s">
        <v>607</v>
      </c>
      <c r="B28" s="134">
        <f ca="1">B27/(B19+B27)</f>
        <v>0.73460745586933229</v>
      </c>
    </row>
    <row r="29" spans="1:16" x14ac:dyDescent="0.25">
      <c r="A29" t="s">
        <v>606</v>
      </c>
      <c r="B29" s="140">
        <f ca="1">(1+$B$12)^0.5</f>
        <v>1.0428476912530706</v>
      </c>
    </row>
    <row r="30" spans="1:16" x14ac:dyDescent="0.25">
      <c r="A30" s="24" t="s">
        <v>581</v>
      </c>
      <c r="B30" s="24"/>
      <c r="C30" s="24"/>
      <c r="D30" s="24"/>
      <c r="E30" s="24"/>
      <c r="F30" s="24"/>
    </row>
    <row r="31" spans="1:16" x14ac:dyDescent="0.25">
      <c r="A31" s="9" t="s">
        <v>582</v>
      </c>
      <c r="B31" s="147">
        <f ca="1">(B19+B27)*B29</f>
        <v>1058453.1897505284</v>
      </c>
    </row>
    <row r="32" spans="1:16" x14ac:dyDescent="0.25">
      <c r="A32" t="s">
        <v>832</v>
      </c>
      <c r="B32" s="109">
        <f>'AMZN - Reconciliation FY'!B35</f>
        <v>72471.520000000004</v>
      </c>
    </row>
    <row r="33" spans="1:3" x14ac:dyDescent="0.25">
      <c r="A33" t="s">
        <v>833</v>
      </c>
      <c r="B33" s="109">
        <f>'AMZN - Reconciliation FY'!B40-'AMZN - Reconciliation FY'!B35</f>
        <v>36219</v>
      </c>
    </row>
    <row r="34" spans="1:3" x14ac:dyDescent="0.25">
      <c r="A34" t="s">
        <v>583</v>
      </c>
      <c r="B34" s="109">
        <f>-'AMZN - Reconciliation FY'!B47</f>
        <v>-152987</v>
      </c>
    </row>
    <row r="35" spans="1:3" x14ac:dyDescent="0.25">
      <c r="A35" t="s">
        <v>911</v>
      </c>
      <c r="B35" s="109">
        <f>-WACC!F36</f>
        <v>-101538</v>
      </c>
    </row>
    <row r="36" spans="1:3" x14ac:dyDescent="0.25">
      <c r="A36" t="s">
        <v>584</v>
      </c>
      <c r="B36" s="109">
        <f>-'AMZN - Reconciliation FY'!B49</f>
        <v>0</v>
      </c>
    </row>
    <row r="37" spans="1:3" x14ac:dyDescent="0.25">
      <c r="A37" t="s">
        <v>791</v>
      </c>
      <c r="B37" s="165">
        <v>-16900</v>
      </c>
    </row>
    <row r="38" spans="1:3" x14ac:dyDescent="0.25">
      <c r="A38" s="9" t="s">
        <v>585</v>
      </c>
      <c r="B38" s="147">
        <f ca="1">SUM(B31:B37)</f>
        <v>895718.70975052845</v>
      </c>
    </row>
    <row r="39" spans="1:3" x14ac:dyDescent="0.25">
      <c r="A39" t="s">
        <v>586</v>
      </c>
      <c r="B39" s="109">
        <f ca="1">WACC!F33</f>
        <v>10786.31</v>
      </c>
    </row>
    <row r="40" spans="1:3" x14ac:dyDescent="0.25">
      <c r="A40" s="9" t="s">
        <v>587</v>
      </c>
      <c r="B40" s="147">
        <f ca="1">B38/B39</f>
        <v>83.042181223284743</v>
      </c>
    </row>
    <row r="41" spans="1:3" x14ac:dyDescent="0.25">
      <c r="A41" t="s">
        <v>588</v>
      </c>
      <c r="B41" s="109">
        <f ca="1">WACC!F32</f>
        <v>262.64999999999998</v>
      </c>
    </row>
    <row r="42" spans="1:3" x14ac:dyDescent="0.25">
      <c r="A42" t="s">
        <v>589</v>
      </c>
      <c r="B42" s="134">
        <f ca="1">B40/B41-1</f>
        <v>-0.68382950229093953</v>
      </c>
    </row>
    <row r="44" spans="1:3" x14ac:dyDescent="0.25">
      <c r="A44" s="33" t="s">
        <v>610</v>
      </c>
      <c r="B44" s="171">
        <f ca="1">'Ticker Sheet'!C4</f>
        <v>21.325299999999999</v>
      </c>
    </row>
    <row r="45" spans="1:3" x14ac:dyDescent="0.25">
      <c r="A45" s="33" t="s">
        <v>611</v>
      </c>
      <c r="B45" s="172">
        <f ca="1">B44*B40/B41</f>
        <v>6.7424307147950282</v>
      </c>
    </row>
    <row r="47" spans="1:3" x14ac:dyDescent="0.25">
      <c r="A47" s="24" t="s">
        <v>618</v>
      </c>
      <c r="B47" s="24" t="s">
        <v>590</v>
      </c>
      <c r="C47" s="24" t="s">
        <v>620</v>
      </c>
    </row>
    <row r="48" spans="1:3" x14ac:dyDescent="0.25">
      <c r="A48" t="s">
        <v>582</v>
      </c>
      <c r="B48" s="135">
        <f>0</f>
        <v>0</v>
      </c>
      <c r="C48" s="135">
        <f ca="1">B31</f>
        <v>1058453.1897505284</v>
      </c>
    </row>
    <row r="49" spans="1:3" x14ac:dyDescent="0.25">
      <c r="A49" t="s">
        <v>245</v>
      </c>
      <c r="B49" s="135">
        <f ca="1">B31</f>
        <v>1058453.1897505284</v>
      </c>
      <c r="C49" s="135">
        <f>B32</f>
        <v>72471.520000000004</v>
      </c>
    </row>
    <row r="50" spans="1:3" x14ac:dyDescent="0.25">
      <c r="A50" t="s">
        <v>834</v>
      </c>
      <c r="B50" s="135">
        <f ca="1">B31+B32</f>
        <v>1130924.7097505284</v>
      </c>
      <c r="C50" s="135">
        <f>B33</f>
        <v>36219</v>
      </c>
    </row>
    <row r="51" spans="1:3" x14ac:dyDescent="0.25">
      <c r="A51" t="s">
        <v>255</v>
      </c>
      <c r="B51" s="135">
        <f ca="1">B31+B32+B33+B34</f>
        <v>1014156.7097505284</v>
      </c>
      <c r="C51" s="135">
        <f>-B34</f>
        <v>152987</v>
      </c>
    </row>
    <row r="52" spans="1:3" x14ac:dyDescent="0.25">
      <c r="A52" t="s">
        <v>912</v>
      </c>
      <c r="B52" s="135">
        <f ca="1">B31+B32+B33+B34+B35</f>
        <v>912618.70975052845</v>
      </c>
      <c r="C52" s="135">
        <f>-B35</f>
        <v>101538</v>
      </c>
    </row>
    <row r="53" spans="1:3" x14ac:dyDescent="0.25">
      <c r="A53" t="s">
        <v>619</v>
      </c>
      <c r="B53" s="135">
        <f ca="1">B38</f>
        <v>895718.70975052845</v>
      </c>
      <c r="C53" s="135">
        <f>-(B36+B37)</f>
        <v>16900</v>
      </c>
    </row>
    <row r="54" spans="1:3" x14ac:dyDescent="0.25">
      <c r="A54" t="s">
        <v>585</v>
      </c>
      <c r="B54" s="135">
        <f>0</f>
        <v>0</v>
      </c>
      <c r="C54" s="135">
        <f ca="1">B38</f>
        <v>895718.70975052845</v>
      </c>
    </row>
    <row r="69" spans="1:16" x14ac:dyDescent="0.25">
      <c r="A69" s="54" t="s">
        <v>827</v>
      </c>
      <c r="B69" s="54"/>
      <c r="C69" s="54"/>
      <c r="D69" s="54"/>
      <c r="E69" s="54"/>
      <c r="F69" s="54"/>
    </row>
    <row r="70" spans="1:16" x14ac:dyDescent="0.25">
      <c r="A70" s="9" t="s">
        <v>828</v>
      </c>
      <c r="B70" s="117">
        <f>$E$8+-0.01</f>
        <v>5.0300000000000004E-2</v>
      </c>
      <c r="C70" s="117">
        <f>$E$8+-0.005</f>
        <v>5.5300000000000009E-2</v>
      </c>
      <c r="D70" s="117">
        <f>$E$8+0</f>
        <v>6.0300000000000006E-2</v>
      </c>
      <c r="E70" s="117">
        <f>$E$8+0.005</f>
        <v>6.5300000000000011E-2</v>
      </c>
      <c r="F70" s="117">
        <f>$E$8+0.01</f>
        <v>7.0300000000000001E-2</v>
      </c>
    </row>
    <row r="71" spans="1:16" x14ac:dyDescent="0.25">
      <c r="A71" s="117">
        <f ca="1">$B$12+-0.015</f>
        <v>7.253130715185957E-2</v>
      </c>
      <c r="B71" s="119" cm="1">
        <f t="array" aca="1" ref="B71" ca="1">IFERROR(((SUMPRODUCT($B$16:$K$16,1/(1+$A71)^(COLUMN($B$16:$K$16)-COLUMN($B$16)+1))+$B$24*(1-B$70/$E$9)/($A71-B$70)/(1+$A71)^10)*(1+$A71)^0.5+$B$32+$B$33+$B$34+$B$35+$B$36+$B$37)/$B$39,"")</f>
        <v>150.86848426831833</v>
      </c>
      <c r="C71" s="119" cm="1">
        <f t="array" aca="1" ref="C71" ca="1">IFERROR(((SUMPRODUCT($B$16:$K$16,1/(1+$A71)^(COLUMN($B$16:$K$16)-COLUMN($B$16)+1))+$B$24*(1-C$70/$E$9)/($A71-C$70)/(1+$A71)^10)*(1+$A71)^0.5+$B$32+$B$33+$B$34+$B$35+$B$36+$B$37)/$B$39,"")</f>
        <v>166.97249809599231</v>
      </c>
      <c r="D71" s="119" cm="1">
        <f t="array" aca="1" ref="D71" ca="1">IFERROR(((SUMPRODUCT($B$16:$K$16,1/(1+$A71)^(COLUMN($B$16:$K$16)-COLUMN($B$16)+1))+$B$24*(1-D$70/$E$9)/($A71-D$70)/(1+$A71)^10)*(1+$A71)^0.5+$B$32+$B$33+$B$34+$B$35+$B$36+$B$37)/$B$39,"")</f>
        <v>196.2427366188131</v>
      </c>
      <c r="E71" s="119" cm="1">
        <f t="array" aca="1" ref="E71" ca="1">IFERROR(((SUMPRODUCT($B$16:$K$16,1/(1+$A71)^(COLUMN($B$16:$K$16)-COLUMN($B$16)+1))+$B$24*(1-E$70/$E$9)/($A71-E$70)/(1+$A71)^10)*(1+$A71)^0.5+$B$32+$B$33+$B$34+$B$35+$B$36+$B$37)/$B$39,"")</f>
        <v>265.99008102047065</v>
      </c>
      <c r="F71" s="119" cm="1">
        <f t="array" aca="1" ref="F71" ca="1">IFERROR(((SUMPRODUCT($B$16:$K$16,1/(1+$A71)^(COLUMN($B$16:$K$16)-COLUMN($B$16)+1))+$B$24*(1-F$70/$E$9)/($A71-F$70)/(1+$A71)^10)*(1+$A71)^0.5+$B$32+$B$33+$B$34+$B$35+$B$36+$B$37)/$B$39,"")</f>
        <v>648.3225589548648</v>
      </c>
    </row>
    <row r="72" spans="1:16" x14ac:dyDescent="0.25">
      <c r="A72" s="117">
        <f ca="1">$B$12+-0.0075</f>
        <v>8.0031307151859576E-2</v>
      </c>
      <c r="B72" s="119" cm="1">
        <f t="array" aca="1" ref="B72" ca="1">IFERROR(((SUMPRODUCT($B$16:$K$16,1/(1+$A72)^(COLUMN($B$16:$K$16)-COLUMN($B$16)+1))+$B$24*(1-B$70/$E$9)/($A72-B$70)/(1+$A72)^10)*(1+$A72)^0.5+$B$32+$B$33+$B$34+$B$35+$B$36+$B$37)/$B$39,"")</f>
        <v>108.41092596744475</v>
      </c>
      <c r="C72" s="119" cm="1">
        <f t="array" aca="1" ref="C72" ca="1">IFERROR(((SUMPRODUCT($B$16:$K$16,1/(1+$A72)^(COLUMN($B$16:$K$16)-COLUMN($B$16)+1))+$B$24*(1-C$70/$E$9)/($A72-C$70)/(1+$A72)^10)*(1+$A72)^0.5+$B$32+$B$33+$B$34+$B$35+$B$36+$B$37)/$B$39,"")</f>
        <v>112.33715657682711</v>
      </c>
      <c r="D72" s="119" cm="1">
        <f t="array" aca="1" ref="D72" ca="1">IFERROR(((SUMPRODUCT($B$16:$K$16,1/(1+$A72)^(COLUMN($B$16:$K$16)-COLUMN($B$16)+1))+$B$24*(1-D$70/$E$9)/($A72-D$70)/(1+$A72)^10)*(1+$A72)^0.5+$B$32+$B$33+$B$34+$B$35+$B$36+$B$37)/$B$39,"")</f>
        <v>118.25323538996236</v>
      </c>
      <c r="E72" s="119" cm="1">
        <f t="array" aca="1" ref="E72" ca="1">IFERROR(((SUMPRODUCT($B$16:$K$16,1/(1+$A72)^(COLUMN($B$16:$K$16)-COLUMN($B$16)+1))+$B$24*(1-E$70/$E$9)/($A72-E$70)/(1+$A72)^10)*(1+$A72)^0.5+$B$32+$B$33+$B$34+$B$35+$B$36+$B$37)/$B$39,"")</f>
        <v>128.18530460513634</v>
      </c>
      <c r="F72" s="119" cm="1">
        <f t="array" aca="1" ref="F72" ca="1">IFERROR(((SUMPRODUCT($B$16:$K$16,1/(1+$A72)^(COLUMN($B$16:$K$16)-COLUMN($B$16)+1))+$B$24*(1-F$70/$E$9)/($A72-F$70)/(1+$A72)^10)*(1+$A72)^0.5+$B$32+$B$33+$B$34+$B$35+$B$36+$B$37)/$B$39,"")</f>
        <v>148.32367916057086</v>
      </c>
    </row>
    <row r="73" spans="1:16" x14ac:dyDescent="0.25">
      <c r="A73" s="117">
        <f ca="1">$B$12+0</f>
        <v>8.7531307151859569E-2</v>
      </c>
      <c r="B73" s="119" cm="1">
        <f t="array" aca="1" ref="B73" ca="1">IFERROR(((SUMPRODUCT($B$16:$K$16,1/(1+$A73)^(COLUMN($B$16:$K$16)-COLUMN($B$16)+1))+$B$24*(1-B$70/$E$9)/($A73-B$70)/(1+$A73)^10)*(1+$A73)^0.5+$B$32+$B$33+$B$34+$B$35+$B$36+$B$37)/$B$39,"")</f>
        <v>83.042181223284743</v>
      </c>
      <c r="C73" s="119" cm="1">
        <f t="array" aca="1" ref="C73" ca="1">IFERROR(((SUMPRODUCT($B$16:$K$16,1/(1+$A73)^(COLUMN($B$16:$K$16)-COLUMN($B$16)+1))+$B$24*(1-C$70/$E$9)/($A73-C$70)/(1+$A73)^10)*(1+$A73)^0.5+$B$32+$B$33+$B$34+$B$35+$B$36+$B$37)/$B$39,"")</f>
        <v>83.042181223284771</v>
      </c>
      <c r="D73" s="173" cm="1">
        <f t="array" aca="1" ref="D73" ca="1">IFERROR(((SUMPRODUCT($B$16:$K$16,1/(1+$A73)^(COLUMN($B$16:$K$16)-COLUMN($B$16)+1))+$B$24*(1-D$70/$E$9)/($A73-D$70)/(1+$A73)^10)*(1+$A73)^0.5+$B$32+$B$33+$B$34+$B$35+$B$36+$B$37)/$B$39,"")</f>
        <v>83.042181223284743</v>
      </c>
      <c r="E73" s="119" cm="1">
        <f t="array" aca="1" ref="E73" ca="1">IFERROR(((SUMPRODUCT($B$16:$K$16,1/(1+$A73)^(COLUMN($B$16:$K$16)-COLUMN($B$16)+1))+$B$24*(1-E$70/$E$9)/($A73-E$70)/(1+$A73)^10)*(1+$A73)^0.5+$B$32+$B$33+$B$34+$B$35+$B$36+$B$37)/$B$39,"")</f>
        <v>83.042181223284743</v>
      </c>
      <c r="F73" s="119" cm="1">
        <f t="array" aca="1" ref="F73" ca="1">IFERROR(((SUMPRODUCT($B$16:$K$16,1/(1+$A73)^(COLUMN($B$16:$K$16)-COLUMN($B$16)+1))+$B$24*(1-F$70/$E$9)/($A73-F$70)/(1+$A73)^10)*(1+$A73)^0.5+$B$32+$B$33+$B$34+$B$35+$B$36+$B$37)/$B$39,"")</f>
        <v>83.042181223284771</v>
      </c>
    </row>
    <row r="74" spans="1:16" x14ac:dyDescent="0.25">
      <c r="A74" s="117">
        <f ca="1">$B$12+0.0075</f>
        <v>9.5031307151859562E-2</v>
      </c>
      <c r="B74" s="119" cm="1">
        <f t="array" aca="1" ref="B74" ca="1">IFERROR(((SUMPRODUCT($B$16:$K$16,1/(1+$A74)^(COLUMN($B$16:$K$16)-COLUMN($B$16)+1))+$B$24*(1-B$70/$E$9)/($A74-B$70)/(1+$A74)^10)*(1+$A74)^0.5+$B$32+$B$33+$B$34+$B$35+$B$36+$B$37)/$B$39,"")</f>
        <v>66.169249079828944</v>
      </c>
      <c r="C74" s="119" cm="1">
        <f t="array" aca="1" ref="C74" ca="1">IFERROR(((SUMPRODUCT($B$16:$K$16,1/(1+$A74)^(COLUMN($B$16:$K$16)-COLUMN($B$16)+1))+$B$24*(1-C$70/$E$9)/($A74-C$70)/(1+$A74)^10)*(1+$A74)^0.5+$B$32+$B$33+$B$34+$B$35+$B$36+$B$37)/$B$39,"")</f>
        <v>64.744345033688788</v>
      </c>
      <c r="D74" s="119" cm="1">
        <f t="array" aca="1" ref="D74" ca="1">IFERROR(((SUMPRODUCT($B$16:$K$16,1/(1+$A74)^(COLUMN($B$16:$K$16)-COLUMN($B$16)+1))+$B$24*(1-D$70/$E$9)/($A74-D$70)/(1+$A74)^10)*(1+$A74)^0.5+$B$32+$B$33+$B$34+$B$35+$B$36+$B$37)/$B$39,"")</f>
        <v>62.909175966451102</v>
      </c>
      <c r="E74" s="119" cm="1">
        <f t="array" aca="1" ref="E74" ca="1">IFERROR(((SUMPRODUCT($B$16:$K$16,1/(1+$A74)^(COLUMN($B$16:$K$16)-COLUMN($B$16)+1))+$B$24*(1-E$70/$E$9)/($A74-E$70)/(1+$A74)^10)*(1+$A74)^0.5+$B$32+$B$33+$B$34+$B$35+$B$36+$B$37)/$B$39,"")</f>
        <v>60.456755508999031</v>
      </c>
      <c r="F74" s="119" cm="1">
        <f t="array" aca="1" ref="F74" ca="1">IFERROR(((SUMPRODUCT($B$16:$K$16,1/(1+$A74)^(COLUMN($B$16:$K$16)-COLUMN($B$16)+1))+$B$24*(1-F$70/$E$9)/($A74-F$70)/(1+$A74)^10)*(1+$A74)^0.5+$B$32+$B$33+$B$34+$B$35+$B$36+$B$37)/$B$39,"")</f>
        <v>57.012709157131724</v>
      </c>
    </row>
    <row r="75" spans="1:16" x14ac:dyDescent="0.25">
      <c r="A75" s="117">
        <f ca="1">$B$12+0.015</f>
        <v>0.10253130715185957</v>
      </c>
      <c r="B75" s="119" cm="1">
        <f t="array" aca="1" ref="B75" ca="1">IFERROR(((SUMPRODUCT($B$16:$K$16,1/(1+$A75)^(COLUMN($B$16:$K$16)-COLUMN($B$16)+1))+$B$24*(1-B$70/$E$9)/($A75-B$70)/(1+$A75)^10)*(1+$A75)^0.5+$B$32+$B$33+$B$34+$B$35+$B$36+$B$37)/$B$39,"")</f>
        <v>54.134416338988466</v>
      </c>
      <c r="C75" s="119" cm="1">
        <f t="array" aca="1" ref="C75" ca="1">IFERROR(((SUMPRODUCT($B$16:$K$16,1/(1+$A75)^(COLUMN($B$16:$K$16)-COLUMN($B$16)+1))+$B$24*(1-C$70/$E$9)/($A75-C$70)/(1+$A75)^10)*(1+$A75)^0.5+$B$32+$B$33+$B$34+$B$35+$B$36+$B$37)/$B$39,"")</f>
        <v>52.21027287104458</v>
      </c>
      <c r="D75" s="119" cm="1">
        <f t="array" aca="1" ref="D75" ca="1">IFERROR(((SUMPRODUCT($B$16:$K$16,1/(1+$A75)^(COLUMN($B$16:$K$16)-COLUMN($B$16)+1))+$B$24*(1-D$70/$E$9)/($A75-D$70)/(1+$A75)^10)*(1+$A75)^0.5+$B$32+$B$33+$B$34+$B$35+$B$36+$B$37)/$B$39,"")</f>
        <v>49.830509248833415</v>
      </c>
      <c r="E75" s="119" cm="1">
        <f t="array" aca="1" ref="E75" ca="1">IFERROR(((SUMPRODUCT($B$16:$K$16,1/(1+$A75)^(COLUMN($B$16:$K$16)-COLUMN($B$16)+1))+$B$24*(1-E$70/$E$9)/($A75-E$70)/(1+$A75)^10)*(1+$A75)^0.5+$B$32+$B$33+$B$34+$B$35+$B$36+$B$37)/$B$39,"")</f>
        <v>46.811562153287696</v>
      </c>
      <c r="F75" s="119" cm="1">
        <f t="array" aca="1" ref="F75" ca="1">IFERROR(((SUMPRODUCT($B$16:$K$16,1/(1+$A75)^(COLUMN($B$16:$K$16)-COLUMN($B$16)+1))+$B$24*(1-F$70/$E$9)/($A75-F$70)/(1+$A75)^10)*(1+$A75)^0.5+$B$32+$B$33+$B$34+$B$35+$B$36+$B$37)/$B$39,"")</f>
        <v>42.855964526839927</v>
      </c>
    </row>
    <row r="78" spans="1:16" x14ac:dyDescent="0.25">
      <c r="A78" s="67" t="s">
        <v>961</v>
      </c>
    </row>
    <row r="79" spans="1:16" x14ac:dyDescent="0.25">
      <c r="A79" t="s">
        <v>573</v>
      </c>
      <c r="B79" s="174">
        <f t="shared" ref="B79:K79" si="1">B15</f>
        <v>46387</v>
      </c>
      <c r="C79" s="174">
        <f t="shared" si="1"/>
        <v>46752</v>
      </c>
      <c r="D79" s="174">
        <f t="shared" si="1"/>
        <v>47118</v>
      </c>
      <c r="E79" s="174">
        <f t="shared" si="1"/>
        <v>47483</v>
      </c>
      <c r="F79" s="174">
        <f t="shared" si="1"/>
        <v>47848</v>
      </c>
      <c r="G79" s="174">
        <f t="shared" si="1"/>
        <v>48213</v>
      </c>
      <c r="H79" s="174">
        <f t="shared" si="1"/>
        <v>48579</v>
      </c>
      <c r="I79" s="174">
        <f t="shared" si="1"/>
        <v>48944</v>
      </c>
      <c r="J79" s="174">
        <f t="shared" si="1"/>
        <v>49309</v>
      </c>
      <c r="K79" s="174">
        <f t="shared" si="1"/>
        <v>49674</v>
      </c>
      <c r="L79" s="98"/>
      <c r="M79" s="98"/>
      <c r="N79" s="98"/>
      <c r="O79" s="98"/>
      <c r="P79" s="98"/>
    </row>
    <row r="80" spans="1:16" x14ac:dyDescent="0.25">
      <c r="A80" t="s">
        <v>259</v>
      </c>
      <c r="B80" s="80">
        <f>'AMZN Forecast'!B67</f>
        <v>72813.516644944029</v>
      </c>
      <c r="C80" s="80">
        <f>'AMZN Forecast'!C67</f>
        <v>79549.840295991831</v>
      </c>
      <c r="D80" s="80">
        <f>'AMZN Forecast'!D67</f>
        <v>86252.904863809468</v>
      </c>
      <c r="E80" s="80">
        <f>'AMZN Forecast'!E67</f>
        <v>92808.664686771197</v>
      </c>
      <c r="F80" s="80">
        <f>'AMZN Forecast'!F67</f>
        <v>99096.076057778148</v>
      </c>
      <c r="G80" s="80">
        <f>'AMZN Forecast'!B115</f>
        <v>111847.9711915903</v>
      </c>
      <c r="H80" s="80">
        <f>'AMZN Forecast'!C115</f>
        <v>119501.16862037485</v>
      </c>
      <c r="I80" s="80">
        <f>'AMZN Forecast'!D115</f>
        <v>126707.08908818346</v>
      </c>
      <c r="J80" s="80">
        <f>'AMZN Forecast'!E115</f>
        <v>134347.52656020096</v>
      </c>
      <c r="K80" s="80">
        <f>'AMZN Forecast'!F115</f>
        <v>142448.68241178108</v>
      </c>
      <c r="L80" s="35"/>
      <c r="M80" s="35"/>
      <c r="N80" s="35"/>
      <c r="O80" s="35"/>
      <c r="P80" s="35"/>
    </row>
    <row r="81" spans="1:16" x14ac:dyDescent="0.25">
      <c r="A81" t="s">
        <v>962</v>
      </c>
      <c r="B81" s="80">
        <f>'AMZN Forecast'!B64</f>
        <v>614450.57098092244</v>
      </c>
      <c r="C81" s="80">
        <f>'AMZN Forecast'!C64</f>
        <v>672912.72196893452</v>
      </c>
      <c r="D81" s="80">
        <f>'AMZN Forecast'!D64</f>
        <v>731420.48337095184</v>
      </c>
      <c r="E81" s="80">
        <f>'AMZN Forecast'!E64</f>
        <v>789017.47653526056</v>
      </c>
      <c r="F81" s="80">
        <f>'AMZN Forecast'!F64</f>
        <v>844678.34393350454</v>
      </c>
      <c r="G81" s="80">
        <f>'AMZN Forecast'!B116</f>
        <v>909338.47116161429</v>
      </c>
      <c r="H81" s="80">
        <f>'AMZN Forecast'!C116</f>
        <v>971559.95605084766</v>
      </c>
      <c r="I81" s="80">
        <f>'AMZN Forecast'!D116</f>
        <v>1030145.0214007138</v>
      </c>
      <c r="J81" s="80">
        <f>'AMZN Forecast'!E116</f>
        <v>1092262.7661911771</v>
      </c>
      <c r="K81" s="80">
        <f>'AMZN Forecast'!F116</f>
        <v>1158126.2109925051</v>
      </c>
      <c r="L81" s="35"/>
      <c r="M81" s="35"/>
      <c r="N81" s="35"/>
      <c r="O81" s="35"/>
      <c r="P81" s="35"/>
    </row>
    <row r="82" spans="1:16" x14ac:dyDescent="0.25">
      <c r="A82" t="s">
        <v>963</v>
      </c>
      <c r="B82" s="80">
        <f>'AMZN - Reconciliation FY'!B32</f>
        <v>556899.48</v>
      </c>
      <c r="C82" s="135">
        <f t="shared" ref="C82:K82" si="2">B81</f>
        <v>614450.57098092244</v>
      </c>
      <c r="D82" s="135">
        <f t="shared" si="2"/>
        <v>672912.72196893452</v>
      </c>
      <c r="E82" s="135">
        <f t="shared" si="2"/>
        <v>731420.48337095184</v>
      </c>
      <c r="F82" s="135">
        <f t="shared" si="2"/>
        <v>789017.47653526056</v>
      </c>
      <c r="G82" s="135">
        <f t="shared" si="2"/>
        <v>844678.34393350454</v>
      </c>
      <c r="H82" s="135">
        <f t="shared" si="2"/>
        <v>909338.47116161429</v>
      </c>
      <c r="I82" s="135">
        <f t="shared" si="2"/>
        <v>971559.95605084766</v>
      </c>
      <c r="J82" s="135">
        <f t="shared" si="2"/>
        <v>1030145.0214007138</v>
      </c>
      <c r="K82" s="135">
        <f t="shared" si="2"/>
        <v>1092262.7661911771</v>
      </c>
      <c r="L82" s="35"/>
      <c r="M82" s="35"/>
      <c r="N82" s="35"/>
      <c r="O82" s="35"/>
      <c r="P82" s="35"/>
    </row>
    <row r="83" spans="1:16" x14ac:dyDescent="0.25">
      <c r="A83" t="s">
        <v>964</v>
      </c>
      <c r="B83" s="135">
        <f t="shared" ref="B83:K83" ca="1" si="3">-$B$12*B82</f>
        <v>-48746.139436590871</v>
      </c>
      <c r="C83" s="135">
        <f t="shared" ca="1" si="3"/>
        <v>-53783.661658166609</v>
      </c>
      <c r="D83" s="135">
        <f t="shared" ca="1" si="3"/>
        <v>-58900.930153056688</v>
      </c>
      <c r="E83" s="135">
        <f t="shared" ca="1" si="3"/>
        <v>-64022.190987104383</v>
      </c>
      <c r="F83" s="135">
        <f t="shared" ca="1" si="3"/>
        <v>-69063.731086793036</v>
      </c>
      <c r="G83" s="135">
        <f t="shared" ca="1" si="3"/>
        <v>-73935.799567367663</v>
      </c>
      <c r="H83" s="135">
        <f t="shared" ca="1" si="3"/>
        <v>-79595.585024249653</v>
      </c>
      <c r="I83" s="135">
        <f t="shared" ca="1" si="3"/>
        <v>-85041.912929533937</v>
      </c>
      <c r="J83" s="135">
        <f t="shared" ca="1" si="3"/>
        <v>-90169.940279184826</v>
      </c>
      <c r="K83" s="135">
        <f t="shared" ca="1" si="3"/>
        <v>-95607.187678019691</v>
      </c>
      <c r="L83" s="35"/>
      <c r="M83" s="35"/>
      <c r="N83" s="35"/>
      <c r="O83" s="35"/>
      <c r="P83" s="35"/>
    </row>
    <row r="84" spans="1:16" x14ac:dyDescent="0.25">
      <c r="A84" t="s">
        <v>965</v>
      </c>
      <c r="B84" s="135">
        <f t="shared" ref="B84:K84" ca="1" si="4">B80+B83</f>
        <v>24067.377208353158</v>
      </c>
      <c r="C84" s="135">
        <f t="shared" ca="1" si="4"/>
        <v>25766.178637825222</v>
      </c>
      <c r="D84" s="135">
        <f t="shared" ca="1" si="4"/>
        <v>27351.97471075278</v>
      </c>
      <c r="E84" s="135">
        <f t="shared" ca="1" si="4"/>
        <v>28786.473699666814</v>
      </c>
      <c r="F84" s="135">
        <f t="shared" ca="1" si="4"/>
        <v>30032.344970985112</v>
      </c>
      <c r="G84" s="135">
        <f t="shared" ca="1" si="4"/>
        <v>37912.171624222639</v>
      </c>
      <c r="H84" s="135">
        <f t="shared" ca="1" si="4"/>
        <v>39905.583596125201</v>
      </c>
      <c r="I84" s="135">
        <f t="shared" ca="1" si="4"/>
        <v>41665.176158649527</v>
      </c>
      <c r="J84" s="135">
        <f t="shared" ca="1" si="4"/>
        <v>44177.586281016134</v>
      </c>
      <c r="K84" s="135">
        <f t="shared" ca="1" si="4"/>
        <v>46841.494733761385</v>
      </c>
      <c r="L84" s="35"/>
      <c r="M84" s="35"/>
      <c r="N84" s="35"/>
      <c r="O84" s="35"/>
      <c r="P84" s="35"/>
    </row>
    <row r="85" spans="1:16" x14ac:dyDescent="0.25">
      <c r="A85" t="s">
        <v>574</v>
      </c>
      <c r="B85" s="140">
        <f t="shared" ref="B85:K85" ca="1" si="5">B17</f>
        <v>0.91951375875229224</v>
      </c>
      <c r="C85" s="140">
        <f t="shared" ca="1" si="5"/>
        <v>0.84550555253476867</v>
      </c>
      <c r="D85" s="140">
        <f t="shared" ca="1" si="5"/>
        <v>0.77745398865717885</v>
      </c>
      <c r="E85" s="140">
        <f t="shared" ca="1" si="5"/>
        <v>0.71487963936712451</v>
      </c>
      <c r="F85" s="140">
        <f t="shared" ca="1" si="5"/>
        <v>0.65734166424994778</v>
      </c>
      <c r="G85" s="140">
        <f t="shared" ca="1" si="5"/>
        <v>0.60443470447895675</v>
      </c>
      <c r="H85" s="140">
        <f t="shared" ca="1" si="5"/>
        <v>0.5557860270357764</v>
      </c>
      <c r="I85" s="140">
        <f t="shared" ca="1" si="5"/>
        <v>0.51105289878166993</v>
      </c>
      <c r="J85" s="140">
        <f t="shared" ca="1" si="5"/>
        <v>0.46992017187998814</v>
      </c>
      <c r="K85" s="140">
        <f t="shared" ca="1" si="5"/>
        <v>0.43209806355889113</v>
      </c>
      <c r="L85" s="51"/>
      <c r="M85" s="51"/>
      <c r="N85" s="51"/>
      <c r="O85" s="51"/>
      <c r="P85" s="51"/>
    </row>
    <row r="86" spans="1:16" x14ac:dyDescent="0.25">
      <c r="A86" t="s">
        <v>966</v>
      </c>
      <c r="B86" s="135">
        <f t="shared" ref="B86:K86" ca="1" si="6">B84*B85</f>
        <v>22130.284480162063</v>
      </c>
      <c r="C86" s="135">
        <f t="shared" ca="1" si="6"/>
        <v>21785.447105883966</v>
      </c>
      <c r="D86" s="135">
        <f t="shared" ca="1" si="6"/>
        <v>21264.901836525034</v>
      </c>
      <c r="E86" s="135">
        <f t="shared" ca="1" si="6"/>
        <v>20578.863937069025</v>
      </c>
      <c r="F86" s="135">
        <f t="shared" ca="1" si="6"/>
        <v>19741.511624555904</v>
      </c>
      <c r="G86" s="135">
        <f t="shared" ca="1" si="6"/>
        <v>22915.4322518425</v>
      </c>
      <c r="H86" s="135">
        <f t="shared" ca="1" si="6"/>
        <v>22178.965763434477</v>
      </c>
      <c r="I86" s="135">
        <f t="shared" ca="1" si="6"/>
        <v>21293.109054126762</v>
      </c>
      <c r="J86" s="135">
        <f t="shared" ca="1" si="6"/>
        <v>20759.938938418109</v>
      </c>
      <c r="K86" s="135">
        <f t="shared" ca="1" si="6"/>
        <v>20240.119168662291</v>
      </c>
      <c r="L86" s="35"/>
      <c r="M86" s="35"/>
      <c r="N86" s="35"/>
      <c r="O86" s="35"/>
      <c r="P86" s="35"/>
    </row>
    <row r="87" spans="1:16" x14ac:dyDescent="0.25">
      <c r="A87" t="s">
        <v>576</v>
      </c>
      <c r="B87" s="135">
        <f ca="1">SUM(B86:K86)</f>
        <v>212888.57416068012</v>
      </c>
    </row>
    <row r="89" spans="1:16" x14ac:dyDescent="0.25">
      <c r="A89" s="67" t="s">
        <v>1593</v>
      </c>
    </row>
    <row r="90" spans="1:16" x14ac:dyDescent="0.25">
      <c r="A90" t="s">
        <v>1594</v>
      </c>
      <c r="B90" s="135">
        <f>$B$24</f>
        <v>151038.33796121145</v>
      </c>
    </row>
    <row r="91" spans="1:16" x14ac:dyDescent="0.25">
      <c r="A91" t="s">
        <v>1595</v>
      </c>
      <c r="B91" s="135">
        <f>K81</f>
        <v>1158126.2109925051</v>
      </c>
    </row>
    <row r="92" spans="1:16" x14ac:dyDescent="0.25">
      <c r="A92" t="s">
        <v>967</v>
      </c>
      <c r="B92" s="135">
        <f ca="1">B90-$B$12*B91</f>
        <v>49666.036866207171</v>
      </c>
    </row>
    <row r="93" spans="1:16" x14ac:dyDescent="0.25">
      <c r="A93" t="s">
        <v>968</v>
      </c>
      <c r="B93" s="135">
        <f ca="1">B92/$B$12+(B90*($E$8/$E$9)*($E$9-$B$12))/($B$12*($B$12-$E$8))</f>
        <v>567408.83327654086</v>
      </c>
    </row>
    <row r="94" spans="1:16" x14ac:dyDescent="0.25">
      <c r="A94" t="s">
        <v>969</v>
      </c>
      <c r="B94" s="135">
        <f ca="1">B93*$B$26</f>
        <v>245176.25810500301</v>
      </c>
    </row>
    <row r="96" spans="1:16" x14ac:dyDescent="0.25">
      <c r="A96" s="67" t="s">
        <v>970</v>
      </c>
    </row>
    <row r="97" spans="1:2" x14ac:dyDescent="0.25">
      <c r="A97" t="s">
        <v>971</v>
      </c>
      <c r="B97" s="80">
        <f>'AMZN - Reconciliation FY'!B32</f>
        <v>556899.48</v>
      </c>
    </row>
    <row r="98" spans="1:2" x14ac:dyDescent="0.25">
      <c r="A98" t="s">
        <v>972</v>
      </c>
      <c r="B98" s="135">
        <f ca="1">B87</f>
        <v>212888.57416068012</v>
      </c>
    </row>
    <row r="99" spans="1:2" x14ac:dyDescent="0.25">
      <c r="A99" t="s">
        <v>969</v>
      </c>
      <c r="B99" s="135">
        <f ca="1">B94</f>
        <v>245176.25810500301</v>
      </c>
    </row>
    <row r="100" spans="1:2" x14ac:dyDescent="0.25">
      <c r="A100" t="s">
        <v>973</v>
      </c>
      <c r="B100" s="135">
        <f ca="1">SUM(B97:B99)</f>
        <v>1014964.3122656832</v>
      </c>
    </row>
    <row r="101" spans="1:2" x14ac:dyDescent="0.25">
      <c r="A101" t="s">
        <v>974</v>
      </c>
      <c r="B101" s="135">
        <f ca="1">B19+B27</f>
        <v>1014964.3122656832</v>
      </c>
    </row>
    <row r="102" spans="1:2" x14ac:dyDescent="0.25">
      <c r="A102" t="s">
        <v>975</v>
      </c>
      <c r="B102" s="135">
        <f ca="1">B100-B101</f>
        <v>0</v>
      </c>
    </row>
    <row r="103" spans="1:2" x14ac:dyDescent="0.25">
      <c r="A103" t="s">
        <v>976</v>
      </c>
      <c r="B103" s="133" t="str">
        <f ca="1">IF(ABS(B102)&lt;MAX(1,ABS(B101)*0.0001),"OK - methods agree","MISMATCH - investigate")</f>
        <v>OK - methods agree</v>
      </c>
    </row>
    <row r="105" spans="1:2" x14ac:dyDescent="0.25">
      <c r="A105" s="67" t="s">
        <v>977</v>
      </c>
    </row>
    <row r="106" spans="1:2" x14ac:dyDescent="0.25">
      <c r="A106" t="s">
        <v>1016</v>
      </c>
      <c r="B106" s="111">
        <f>IFERROR(J16/I16-1,"n/a")</f>
        <v>6.0299999999998466E-2</v>
      </c>
    </row>
    <row r="107" spans="1:2" x14ac:dyDescent="0.25">
      <c r="A107" t="s">
        <v>1017</v>
      </c>
      <c r="B107" s="111">
        <f>IFERROR(K16/J16-1,"n/a")</f>
        <v>6.0300000000002241E-2</v>
      </c>
    </row>
    <row r="108" spans="1:2" x14ac:dyDescent="0.25">
      <c r="A108" t="s">
        <v>978</v>
      </c>
      <c r="B108" s="111">
        <f>IFERROR(B107-B106,"n/a")</f>
        <v>3.7747582837255322E-15</v>
      </c>
    </row>
    <row r="109" spans="1:2" x14ac:dyDescent="0.25">
      <c r="A109" t="s">
        <v>1018</v>
      </c>
      <c r="B109" s="79">
        <f>'AMZN Forecast'!F111</f>
        <v>6.0300000000000006E-2</v>
      </c>
    </row>
    <row r="110" spans="1:2" x14ac:dyDescent="0.25">
      <c r="A110" t="s">
        <v>979</v>
      </c>
      <c r="B110" s="111">
        <f>$E$8</f>
        <v>6.0300000000000006E-2</v>
      </c>
    </row>
    <row r="111" spans="1:2" x14ac:dyDescent="0.25">
      <c r="A111" t="s">
        <v>980</v>
      </c>
      <c r="B111" s="111">
        <f>B109-B110</f>
        <v>0</v>
      </c>
    </row>
    <row r="112" spans="1:2" x14ac:dyDescent="0.25">
      <c r="A112" t="s">
        <v>1019</v>
      </c>
      <c r="B112" s="111">
        <f>IFERROR(J80/J82,"n/a")</f>
        <v>0.13041612954409593</v>
      </c>
    </row>
    <row r="113" spans="1:6" x14ac:dyDescent="0.25">
      <c r="A113" t="s">
        <v>1020</v>
      </c>
      <c r="B113" s="111">
        <f>IFERROR(K80/K82,"n/a")</f>
        <v>0.1304161295440959</v>
      </c>
    </row>
    <row r="114" spans="1:6" x14ac:dyDescent="0.25">
      <c r="A114" t="s">
        <v>978</v>
      </c>
      <c r="B114" s="111">
        <f>IFERROR(B113-B112,"n/a")</f>
        <v>-2.7755575615628914E-17</v>
      </c>
    </row>
    <row r="115" spans="1:6" x14ac:dyDescent="0.25">
      <c r="A115" t="s">
        <v>976</v>
      </c>
      <c r="B115" s="133" t="str">
        <f>IF(AND(ABS(B108)&lt;0.005,ABS(B111)&lt;0.005,ABS(B114)&lt;0.005),"OK - steady state reached","NOT STEADY - see notes")</f>
        <v>OK - steady state reached</v>
      </c>
    </row>
    <row r="118" spans="1:6" x14ac:dyDescent="0.25">
      <c r="A118" s="67" t="s">
        <v>1602</v>
      </c>
    </row>
    <row r="119" spans="1:6" x14ac:dyDescent="0.25">
      <c r="A119" t="s">
        <v>1603</v>
      </c>
      <c r="B119" s="28">
        <f ca="1">$E$9*0.6</f>
        <v>5.2518784291115742E-2</v>
      </c>
      <c r="C119" s="28">
        <f ca="1">$E$9*0.8</f>
        <v>7.0025045721487655E-2</v>
      </c>
      <c r="D119" s="28">
        <f ca="1">$E$9*1</f>
        <v>8.7531307151859569E-2</v>
      </c>
      <c r="E119" s="28">
        <f ca="1">$E$9*1.2</f>
        <v>0.10503756858223148</v>
      </c>
      <c r="F119" s="28">
        <f ca="1">$E$9*1.4</f>
        <v>0.12254383001260338</v>
      </c>
    </row>
    <row r="120" spans="1:6" x14ac:dyDescent="0.25">
      <c r="A120" s="3">
        <f ca="1">$B$12+-0.015</f>
        <v>7.253130715185957E-2</v>
      </c>
      <c r="B120" s="26" cm="1">
        <f t="array" aca="1" ref="B120" ca="1">IFERROR(((SUMPRODUCT($B$16:$K$16,1/(1+$A120)^(COLUMN($B$16:$K$16)-COLUMN($B$16)+1))+$B$24*(1-$E$8/B$119)/($A120-$E$8)/(1+$A120)^10)*(1+$A120)^0.5+$B$32+$B$33+$B$34+$B$35+$B$36+$B$37)/$B$39,"")</f>
        <v>-74.096619512862873</v>
      </c>
      <c r="C120" s="26" cm="1">
        <f t="array" aca="1" ref="C120" ca="1">IFERROR(((SUMPRODUCT($B$16:$K$16,1/(1+$A120)^(COLUMN($B$16:$K$16)-COLUMN($B$16)+1))+$B$24*(1-$E$8/C$119)/($A120-$E$8)/(1+$A120)^10)*(1+$A120)^0.5+$B$32+$B$33+$B$34+$B$35+$B$36+$B$37)/$B$39,"")</f>
        <v>94.865478069434587</v>
      </c>
      <c r="D120" s="26" cm="1">
        <f t="array" aca="1" ref="D120" ca="1">IFERROR(((SUMPRODUCT($B$16:$K$16,1/(1+$A120)^(COLUMN($B$16:$K$16)-COLUMN($B$16)+1))+$B$24*(1-$E$8/D$119)/($A120-$E$8)/(1+$A120)^10)*(1+$A120)^0.5+$B$32+$B$33+$B$34+$B$35+$B$36+$B$37)/$B$39,"")</f>
        <v>196.2427366188131</v>
      </c>
      <c r="E120" s="26" cm="1">
        <f t="array" aca="1" ref="E120" ca="1">IFERROR(((SUMPRODUCT($B$16:$K$16,1/(1+$A120)^(COLUMN($B$16:$K$16)-COLUMN($B$16)+1))+$B$24*(1-$E$8/E$119)/($A120-$E$8)/(1+$A120)^10)*(1+$A120)^0.5+$B$32+$B$33+$B$34+$B$35+$B$36+$B$37)/$B$39,"")</f>
        <v>263.82757565173216</v>
      </c>
      <c r="F120" s="26" cm="1">
        <f t="array" aca="1" ref="F120" ca="1">IFERROR(((SUMPRODUCT($B$16:$K$16,1/(1+$A120)^(COLUMN($B$16:$K$16)-COLUMN($B$16)+1))+$B$24*(1-$E$8/F$119)/($A120-$E$8)/(1+$A120)^10)*(1+$A120)^0.5+$B$32+$B$33+$B$34+$B$35+$B$36+$B$37)/$B$39,"")</f>
        <v>312.10246067524571</v>
      </c>
    </row>
    <row r="121" spans="1:6" x14ac:dyDescent="0.25">
      <c r="A121" s="3">
        <f ca="1">$B$12+-0.0075</f>
        <v>8.0031307151859576E-2</v>
      </c>
      <c r="B121" s="26" cm="1">
        <f t="array" aca="1" ref="B121" ca="1">IFERROR(((SUMPRODUCT($B$16:$K$16,1/(1+$A121)^(COLUMN($B$16:$K$16)-COLUMN($B$16)+1))+$B$24*(1-$E$8/B$119)/($A121-$E$8)/(1+$A121)^10)*(1+$A121)^0.5+$B$32+$B$33+$B$34+$B$35+$B$36+$B$37)/$B$39,"")</f>
        <v>-38.593616955177083</v>
      </c>
      <c r="C121" s="26" cm="1">
        <f t="array" aca="1" ref="C121" ca="1">IFERROR(((SUMPRODUCT($B$16:$K$16,1/(1+$A121)^(COLUMN($B$16:$K$16)-COLUMN($B$16)+1))+$B$24*(1-$E$8/C$119)/($A121-$E$8)/(1+$A121)^10)*(1+$A121)^0.5+$B$32+$B$33+$B$34+$B$35+$B$36+$B$37)/$B$39,"")</f>
        <v>59.435665760535052</v>
      </c>
      <c r="D121" s="26" cm="1">
        <f t="array" aca="1" ref="D121" ca="1">IFERROR(((SUMPRODUCT($B$16:$K$16,1/(1+$A121)^(COLUMN($B$16:$K$16)-COLUMN($B$16)+1))+$B$24*(1-$E$8/D$119)/($A121-$E$8)/(1+$A121)^10)*(1+$A121)^0.5+$B$32+$B$33+$B$34+$B$35+$B$36+$B$37)/$B$39,"")</f>
        <v>118.25323538996236</v>
      </c>
      <c r="E121" s="26" cm="1">
        <f t="array" aca="1" ref="E121" ca="1">IFERROR(((SUMPRODUCT($B$16:$K$16,1/(1+$A121)^(COLUMN($B$16:$K$16)-COLUMN($B$16)+1))+$B$24*(1-$E$8/E$119)/($A121-$E$8)/(1+$A121)^10)*(1+$A121)^0.5+$B$32+$B$33+$B$34+$B$35+$B$36+$B$37)/$B$39,"")</f>
        <v>157.46494847624723</v>
      </c>
      <c r="F121" s="26" cm="1">
        <f t="array" aca="1" ref="F121" ca="1">IFERROR(((SUMPRODUCT($B$16:$K$16,1/(1+$A121)^(COLUMN($B$16:$K$16)-COLUMN($B$16)+1))+$B$24*(1-$E$8/F$119)/($A121-$E$8)/(1+$A121)^10)*(1+$A121)^0.5+$B$32+$B$33+$B$34+$B$35+$B$36+$B$37)/$B$39,"")</f>
        <v>185.47331496645066</v>
      </c>
    </row>
    <row r="122" spans="1:6" x14ac:dyDescent="0.25">
      <c r="A122" s="3">
        <f ca="1">$B$12+0</f>
        <v>8.7531307151859569E-2</v>
      </c>
      <c r="B122" s="26" cm="1">
        <f t="array" aca="1" ref="B122" ca="1">IFERROR(((SUMPRODUCT($B$16:$K$16,1/(1+$A122)^(COLUMN($B$16:$K$16)-COLUMN($B$16)+1))+$B$24*(1-$E$8/B$119)/($A122-$E$8)/(1+$A122)^10)*(1+$A122)^0.5+$B$32+$B$33+$B$34+$B$35+$B$36+$B$37)/$B$39,"")</f>
        <v>-23.374976301626226</v>
      </c>
      <c r="C122" s="26" cm="1">
        <f t="array" aca="1" ref="C122" ca="1">IFERROR(((SUMPRODUCT($B$16:$K$16,1/(1+$A122)^(COLUMN($B$16:$K$16)-COLUMN($B$16)+1))+$B$24*(1-$E$8/C$119)/($A122-$E$8)/(1+$A122)^10)*(1+$A122)^0.5+$B$32+$B$33+$B$34+$B$35+$B$36+$B$37)/$B$39,"")</f>
        <v>43.135747151443134</v>
      </c>
      <c r="D122" s="235" cm="1">
        <f t="array" aca="1" ref="D122" ca="1">IFERROR(((SUMPRODUCT($B$16:$K$16,1/(1+$A122)^(COLUMN($B$16:$K$16)-COLUMN($B$16)+1))+$B$24*(1-$E$8/D$119)/($A122-$E$8)/(1+$A122)^10)*(1+$A122)^0.5+$B$32+$B$33+$B$34+$B$35+$B$36+$B$37)/$B$39,"")</f>
        <v>83.042181223284743</v>
      </c>
      <c r="E122" s="26" cm="1">
        <f t="array" aca="1" ref="E122" ca="1">IFERROR(((SUMPRODUCT($B$16:$K$16,1/(1+$A122)^(COLUMN($B$16:$K$16)-COLUMN($B$16)+1))+$B$24*(1-$E$8/E$119)/($A122-$E$8)/(1+$A122)^10)*(1+$A122)^0.5+$B$32+$B$33+$B$34+$B$35+$B$36+$B$37)/$B$39,"")</f>
        <v>109.64647060451249</v>
      </c>
      <c r="F122" s="26" cm="1">
        <f t="array" aca="1" ref="F122" ca="1">IFERROR(((SUMPRODUCT($B$16:$K$16,1/(1+$A122)^(COLUMN($B$16:$K$16)-COLUMN($B$16)+1))+$B$24*(1-$E$8/F$119)/($A122-$E$8)/(1+$A122)^10)*(1+$A122)^0.5+$B$32+$B$33+$B$34+$B$35+$B$36+$B$37)/$B$39,"")</f>
        <v>128.64953444824658</v>
      </c>
    </row>
    <row r="123" spans="1:6" x14ac:dyDescent="0.25">
      <c r="A123" s="3">
        <f ca="1">$B$12+0.0075</f>
        <v>9.5031307151859562E-2</v>
      </c>
      <c r="B123" s="26" cm="1">
        <f t="array" aca="1" ref="B123" ca="1">IFERROR(((SUMPRODUCT($B$16:$K$16,1/(1+$A123)^(COLUMN($B$16:$K$16)-COLUMN($B$16)+1))+$B$24*(1-$E$8/B$119)/($A123-$E$8)/(1+$A123)^10)*(1+$A123)^0.5+$B$32+$B$33+$B$34+$B$35+$B$36+$B$37)/$B$39,"")</f>
        <v>-15.254273863353394</v>
      </c>
      <c r="C123" s="26" cm="1">
        <f t="array" aca="1" ref="C123" ca="1">IFERROR(((SUMPRODUCT($B$16:$K$16,1/(1+$A123)^(COLUMN($B$16:$K$16)-COLUMN($B$16)+1))+$B$24*(1-$E$8/C$119)/($A123-$E$8)/(1+$A123)^10)*(1+$A123)^0.5+$B$32+$B$33+$B$34+$B$35+$B$36+$B$37)/$B$39,"")</f>
        <v>33.597882280274412</v>
      </c>
      <c r="D123" s="26" cm="1">
        <f t="array" aca="1" ref="D123" ca="1">IFERROR(((SUMPRODUCT($B$16:$K$16,1/(1+$A123)^(COLUMN($B$16:$K$16)-COLUMN($B$16)+1))+$B$24*(1-$E$8/D$119)/($A123-$E$8)/(1+$A123)^10)*(1+$A123)^0.5+$B$32+$B$33+$B$34+$B$35+$B$36+$B$37)/$B$39,"")</f>
        <v>62.909175966451102</v>
      </c>
      <c r="E123" s="26" cm="1">
        <f t="array" aca="1" ref="E123" ca="1">IFERROR(((SUMPRODUCT($B$16:$K$16,1/(1+$A123)^(COLUMN($B$16:$K$16)-COLUMN($B$16)+1))+$B$24*(1-$E$8/E$119)/($A123-$E$8)/(1+$A123)^10)*(1+$A123)^0.5+$B$32+$B$33+$B$34+$B$35+$B$36+$B$37)/$B$39,"")</f>
        <v>82.450038423902257</v>
      </c>
      <c r="F123" s="26" cm="1">
        <f t="array" aca="1" ref="F123" ca="1">IFERROR(((SUMPRODUCT($B$16:$K$16,1/(1+$A123)^(COLUMN($B$16:$K$16)-COLUMN($B$16)+1))+$B$24*(1-$E$8/F$119)/($A123-$E$8)/(1+$A123)^10)*(1+$A123)^0.5+$B$32+$B$33+$B$34+$B$35+$B$36+$B$37)/$B$39,"")</f>
        <v>96.407797322081606</v>
      </c>
    </row>
    <row r="124" spans="1:6" x14ac:dyDescent="0.25">
      <c r="A124" s="3">
        <f ca="1">$B$12+0.015</f>
        <v>0.10253130715185957</v>
      </c>
      <c r="B124" s="26" cm="1">
        <f t="array" aca="1" ref="B124" ca="1">IFERROR(((SUMPRODUCT($B$16:$K$16,1/(1+$A124)^(COLUMN($B$16:$K$16)-COLUMN($B$16)+1))+$B$24*(1-$E$8/B$119)/($A124-$E$8)/(1+$A124)^10)*(1+$A124)^0.5+$B$32+$B$33+$B$34+$B$35+$B$36+$B$37)/$B$39,"")</f>
        <v>-10.415540523126207</v>
      </c>
      <c r="C124" s="26" cm="1">
        <f t="array" aca="1" ref="C124" ca="1">IFERROR(((SUMPRODUCT($B$16:$K$16,1/(1+$A124)^(COLUMN($B$16:$K$16)-COLUMN($B$16)+1))+$B$24*(1-$E$8/C$119)/($A124-$E$8)/(1+$A124)^10)*(1+$A124)^0.5+$B$32+$B$33+$B$34+$B$35+$B$36+$B$37)/$B$39,"")</f>
        <v>27.238240584348556</v>
      </c>
      <c r="D124" s="26" cm="1">
        <f t="array" aca="1" ref="D124" ca="1">IFERROR(((SUMPRODUCT($B$16:$K$16,1/(1+$A124)^(COLUMN($B$16:$K$16)-COLUMN($B$16)+1))+$B$24*(1-$E$8/D$119)/($A124-$E$8)/(1+$A124)^10)*(1+$A124)^0.5+$B$32+$B$33+$B$34+$B$35+$B$36+$B$37)/$B$39,"")</f>
        <v>49.830509248833415</v>
      </c>
      <c r="E124" s="26" cm="1">
        <f t="array" aca="1" ref="E124" ca="1">IFERROR(((SUMPRODUCT($B$16:$K$16,1/(1+$A124)^(COLUMN($B$16:$K$16)-COLUMN($B$16)+1))+$B$24*(1-$E$8/E$119)/($A124-$E$8)/(1+$A124)^10)*(1+$A124)^0.5+$B$32+$B$33+$B$34+$B$35+$B$36+$B$37)/$B$39,"")</f>
        <v>64.892021691823331</v>
      </c>
      <c r="F124" s="26" cm="1">
        <f t="array" aca="1" ref="F124" ca="1">IFERROR(((SUMPRODUCT($B$16:$K$16,1/(1+$A124)^(COLUMN($B$16:$K$16)-COLUMN($B$16)+1))+$B$24*(1-$E$8/F$119)/($A124-$E$8)/(1+$A124)^10)*(1+$A124)^0.5+$B$32+$B$33+$B$34+$B$35+$B$36+$B$37)/$B$39,"")</f>
        <v>75.650244865387535</v>
      </c>
    </row>
    <row r="127" spans="1:6" x14ac:dyDescent="0.25">
      <c r="A127" s="67" t="s">
        <v>1604</v>
      </c>
    </row>
    <row r="128" spans="1:6" x14ac:dyDescent="0.25">
      <c r="A128" t="s">
        <v>1605</v>
      </c>
      <c r="B128" s="28">
        <f>$B$22+-0.04</f>
        <v>7.345491365613388E-2</v>
      </c>
      <c r="C128" s="28">
        <f>$B$22+-0.02</f>
        <v>9.345491365613387E-2</v>
      </c>
      <c r="D128" s="28">
        <f>$B$22+0</f>
        <v>0.11345491365613387</v>
      </c>
      <c r="E128" s="28">
        <f>$B$22+0.02</f>
        <v>0.13345491365613388</v>
      </c>
      <c r="F128" s="28">
        <f>$B$22+0.04</f>
        <v>0.15345491365613387</v>
      </c>
    </row>
    <row r="129" spans="1:6" x14ac:dyDescent="0.25">
      <c r="A129" s="3">
        <f ca="1">$B$12+-0.015</f>
        <v>7.253130715185957E-2</v>
      </c>
      <c r="B129" s="26" cm="1">
        <f t="array" aca="1" ref="B129" ca="1">IFERROR(((SUMPRODUCT($B$16:$K$16,1/(1+$A129)^(COLUMN($B$16:$K$16)-COLUMN($B$16)+1))+($B$23*B$128*(1-'AMZN Forecast'!$B$2))*(1-$E$8/$E$9)/($A129-$E$8)/(1+$A129)^10)*(1+$A129)^0.5+$B$32+$B$33+$B$34+$B$35+$B$36+$B$37)/$B$39,"")</f>
        <v>131.67903935343017</v>
      </c>
      <c r="C129" s="26" cm="1">
        <f t="array" aca="1" ref="C129" ca="1">IFERROR(((SUMPRODUCT($B$16:$K$16,1/(1+$A129)^(COLUMN($B$16:$K$16)-COLUMN($B$16)+1))+($B$23*C$128*(1-'AMZN Forecast'!$B$2))*(1-$E$8/$E$9)/($A129-$E$8)/(1+$A129)^10)*(1+$A129)^0.5+$B$32+$B$33+$B$34+$B$35+$B$36+$B$37)/$B$39,"")</f>
        <v>163.96088798612166</v>
      </c>
      <c r="D129" s="26" cm="1">
        <f t="array" aca="1" ref="D129" ca="1">IFERROR(((SUMPRODUCT($B$16:$K$16,1/(1+$A129)^(COLUMN($B$16:$K$16)-COLUMN($B$16)+1))+($B$23*D$128*(1-'AMZN Forecast'!$B$2))*(1-$E$8/$E$9)/($A129-$E$8)/(1+$A129)^10)*(1+$A129)^0.5+$B$32+$B$33+$B$34+$B$35+$B$36+$B$37)/$B$39,"")</f>
        <v>196.2427366188131</v>
      </c>
      <c r="E129" s="26" cm="1">
        <f t="array" aca="1" ref="E129" ca="1">IFERROR(((SUMPRODUCT($B$16:$K$16,1/(1+$A129)^(COLUMN($B$16:$K$16)-COLUMN($B$16)+1))+($B$23*E$128*(1-'AMZN Forecast'!$B$2))*(1-$E$8/$E$9)/($A129-$E$8)/(1+$A129)^10)*(1+$A129)^0.5+$B$32+$B$33+$B$34+$B$35+$B$36+$B$37)/$B$39,"")</f>
        <v>228.52458525150459</v>
      </c>
      <c r="F129" s="26" cm="1">
        <f t="array" aca="1" ref="F129" ca="1">IFERROR(((SUMPRODUCT($B$16:$K$16,1/(1+$A129)^(COLUMN($B$16:$K$16)-COLUMN($B$16)+1))+($B$23*F$128*(1-'AMZN Forecast'!$B$2))*(1-$E$8/$E$9)/($A129-$E$8)/(1+$A129)^10)*(1+$A129)^0.5+$B$32+$B$33+$B$34+$B$35+$B$36+$B$37)/$B$39,"")</f>
        <v>260.80643388419605</v>
      </c>
    </row>
    <row r="130" spans="1:6" x14ac:dyDescent="0.25">
      <c r="A130" s="3">
        <f ca="1">$B$12+-0.0075</f>
        <v>8.0031307151859576E-2</v>
      </c>
      <c r="B130" s="26" cm="1">
        <f t="array" aca="1" ref="B130" ca="1">IFERROR(((SUMPRODUCT($B$16:$K$16,1/(1+$A130)^(COLUMN($B$16:$K$16)-COLUMN($B$16)+1))+($B$23*B$128*(1-'AMZN Forecast'!$B$2))*(1-$E$8/$E$9)/($A130-$E$8)/(1+$A130)^10)*(1+$A130)^0.5+$B$32+$B$33+$B$34+$B$35+$B$36+$B$37)/$B$39,"")</f>
        <v>80.794343585443272</v>
      </c>
      <c r="C130" s="26" cm="1">
        <f t="array" aca="1" ref="C130" ca="1">IFERROR(((SUMPRODUCT($B$16:$K$16,1/(1+$A130)^(COLUMN($B$16:$K$16)-COLUMN($B$16)+1))+($B$23*C$128*(1-'AMZN Forecast'!$B$2))*(1-$E$8/$E$9)/($A130-$E$8)/(1+$A130)^10)*(1+$A130)^0.5+$B$32+$B$33+$B$34+$B$35+$B$36+$B$37)/$B$39,"")</f>
        <v>99.523789487702814</v>
      </c>
      <c r="D130" s="26" cm="1">
        <f t="array" aca="1" ref="D130" ca="1">IFERROR(((SUMPRODUCT($B$16:$K$16,1/(1+$A130)^(COLUMN($B$16:$K$16)-COLUMN($B$16)+1))+($B$23*D$128*(1-'AMZN Forecast'!$B$2))*(1-$E$8/$E$9)/($A130-$E$8)/(1+$A130)^10)*(1+$A130)^0.5+$B$32+$B$33+$B$34+$B$35+$B$36+$B$37)/$B$39,"")</f>
        <v>118.25323538996236</v>
      </c>
      <c r="E130" s="26" cm="1">
        <f t="array" aca="1" ref="E130" ca="1">IFERROR(((SUMPRODUCT($B$16:$K$16,1/(1+$A130)^(COLUMN($B$16:$K$16)-COLUMN($B$16)+1))+($B$23*E$128*(1-'AMZN Forecast'!$B$2))*(1-$E$8/$E$9)/($A130-$E$8)/(1+$A130)^10)*(1+$A130)^0.5+$B$32+$B$33+$B$34+$B$35+$B$36+$B$37)/$B$39,"")</f>
        <v>136.98268129222188</v>
      </c>
      <c r="F130" s="26" cm="1">
        <f t="array" aca="1" ref="F130" ca="1">IFERROR(((SUMPRODUCT($B$16:$K$16,1/(1+$A130)^(COLUMN($B$16:$K$16)-COLUMN($B$16)+1))+($B$23*F$128*(1-'AMZN Forecast'!$B$2))*(1-$E$8/$E$9)/($A130-$E$8)/(1+$A130)^10)*(1+$A130)^0.5+$B$32+$B$33+$B$34+$B$35+$B$36+$B$37)/$B$39,"")</f>
        <v>155.71212719448144</v>
      </c>
    </row>
    <row r="131" spans="1:6" x14ac:dyDescent="0.25">
      <c r="A131" s="3">
        <f ca="1">$B$12+0</f>
        <v>8.7531307151859569E-2</v>
      </c>
      <c r="B131" s="26" cm="1">
        <f t="array" aca="1" ref="B131" ca="1">IFERROR(((SUMPRODUCT($B$16:$K$16,1/(1+$A131)^(COLUMN($B$16:$K$16)-COLUMN($B$16)+1))+($B$23*B$128*(1-'AMZN Forecast'!$B$2))*(1-$E$8/$E$9)/($A131-$E$8)/(1+$A131)^10)*(1+$A131)^0.5+$B$32+$B$33+$B$34+$B$35+$B$36+$B$37)/$B$39,"")</f>
        <v>57.627142730205065</v>
      </c>
      <c r="C131" s="26" cm="1">
        <f t="array" aca="1" ref="C131" ca="1">IFERROR(((SUMPRODUCT($B$16:$K$16,1/(1+$A131)^(COLUMN($B$16:$K$16)-COLUMN($B$16)+1))+($B$23*C$128*(1-'AMZN Forecast'!$B$2))*(1-$E$8/$E$9)/($A131-$E$8)/(1+$A131)^10)*(1+$A131)^0.5+$B$32+$B$33+$B$34+$B$35+$B$36+$B$37)/$B$39,"")</f>
        <v>70.334661976744911</v>
      </c>
      <c r="D131" s="235" cm="1">
        <f t="array" aca="1" ref="D131" ca="1">IFERROR(((SUMPRODUCT($B$16:$K$16,1/(1+$A131)^(COLUMN($B$16:$K$16)-COLUMN($B$16)+1))+($B$23*D$128*(1-'AMZN Forecast'!$B$2))*(1-$E$8/$E$9)/($A131-$E$8)/(1+$A131)^10)*(1+$A131)^0.5+$B$32+$B$33+$B$34+$B$35+$B$36+$B$37)/$B$39,"")</f>
        <v>83.042181223284743</v>
      </c>
      <c r="E131" s="26" cm="1">
        <f t="array" aca="1" ref="E131" ca="1">IFERROR(((SUMPRODUCT($B$16:$K$16,1/(1+$A131)^(COLUMN($B$16:$K$16)-COLUMN($B$16)+1))+($B$23*E$128*(1-'AMZN Forecast'!$B$2))*(1-$E$8/$E$9)/($A131-$E$8)/(1+$A131)^10)*(1+$A131)^0.5+$B$32+$B$33+$B$34+$B$35+$B$36+$B$37)/$B$39,"")</f>
        <v>95.749700469824603</v>
      </c>
      <c r="F131" s="26" cm="1">
        <f t="array" aca="1" ref="F131" ca="1">IFERROR(((SUMPRODUCT($B$16:$K$16,1/(1+$A131)^(COLUMN($B$16:$K$16)-COLUMN($B$16)+1))+($B$23*F$128*(1-'AMZN Forecast'!$B$2))*(1-$E$8/$E$9)/($A131-$E$8)/(1+$A131)^10)*(1+$A131)^0.5+$B$32+$B$33+$B$34+$B$35+$B$36+$B$37)/$B$39,"")</f>
        <v>108.45721971636442</v>
      </c>
    </row>
    <row r="132" spans="1:6" x14ac:dyDescent="0.25">
      <c r="A132" s="3">
        <f ca="1">$B$12+0.0075</f>
        <v>9.5031307151859562E-2</v>
      </c>
      <c r="B132" s="26" cm="1">
        <f t="array" aca="1" ref="B132" ca="1">IFERROR(((SUMPRODUCT($B$16:$K$16,1/(1+$A132)^(COLUMN($B$16:$K$16)-COLUMN($B$16)+1))+($B$23*B$128*(1-'AMZN Forecast'!$B$2))*(1-$E$8/$E$9)/($A132-$E$8)/(1+$A132)^10)*(1+$A132)^0.5+$B$32+$B$33+$B$34+$B$35+$B$36+$B$37)/$B$39,"")</f>
        <v>44.241818818602447</v>
      </c>
      <c r="C132" s="26" cm="1">
        <f t="array" aca="1" ref="C132" ca="1">IFERROR(((SUMPRODUCT($B$16:$K$16,1/(1+$A132)^(COLUMN($B$16:$K$16)-COLUMN($B$16)+1))+($B$23*C$128*(1-'AMZN Forecast'!$B$2))*(1-$E$8/$E$9)/($A132-$E$8)/(1+$A132)^10)*(1+$A132)^0.5+$B$32+$B$33+$B$34+$B$35+$B$36+$B$37)/$B$39,"")</f>
        <v>53.575497392526785</v>
      </c>
      <c r="D132" s="26" cm="1">
        <f t="array" aca="1" ref="D132" ca="1">IFERROR(((SUMPRODUCT($B$16:$K$16,1/(1+$A132)^(COLUMN($B$16:$K$16)-COLUMN($B$16)+1))+($B$23*D$128*(1-'AMZN Forecast'!$B$2))*(1-$E$8/$E$9)/($A132-$E$8)/(1+$A132)^10)*(1+$A132)^0.5+$B$32+$B$33+$B$34+$B$35+$B$36+$B$37)/$B$39,"")</f>
        <v>62.909175966451102</v>
      </c>
      <c r="E132" s="26" cm="1">
        <f t="array" aca="1" ref="E132" ca="1">IFERROR(((SUMPRODUCT($B$16:$K$16,1/(1+$A132)^(COLUMN($B$16:$K$16)-COLUMN($B$16)+1))+($B$23*E$128*(1-'AMZN Forecast'!$B$2))*(1-$E$8/$E$9)/($A132-$E$8)/(1+$A132)^10)*(1+$A132)^0.5+$B$32+$B$33+$B$34+$B$35+$B$36+$B$37)/$B$39,"")</f>
        <v>72.242854540375433</v>
      </c>
      <c r="F132" s="26" cm="1">
        <f t="array" aca="1" ref="F132" ca="1">IFERROR(((SUMPRODUCT($B$16:$K$16,1/(1+$A132)^(COLUMN($B$16:$K$16)-COLUMN($B$16)+1))+($B$23*F$128*(1-'AMZN Forecast'!$B$2))*(1-$E$8/$E$9)/($A132-$E$8)/(1+$A132)^10)*(1+$A132)^0.5+$B$32+$B$33+$B$34+$B$35+$B$36+$B$37)/$B$39,"")</f>
        <v>81.576533114299778</v>
      </c>
    </row>
    <row r="133" spans="1:6" x14ac:dyDescent="0.25">
      <c r="A133" s="3">
        <f ca="1">$B$12+0.015</f>
        <v>0.10253130715185957</v>
      </c>
      <c r="B133" s="26" cm="1">
        <f t="array" aca="1" ref="B133" ca="1">IFERROR(((SUMPRODUCT($B$16:$K$16,1/(1+$A133)^(COLUMN($B$16:$K$16)-COLUMN($B$16)+1))+($B$23*B$128*(1-'AMZN Forecast'!$B$2))*(1-$E$8/$E$9)/($A133-$E$8)/(1+$A133)^10)*(1+$A133)^0.5+$B$32+$B$33+$B$34+$B$35+$B$36+$B$37)/$B$39,"")</f>
        <v>35.442268577662304</v>
      </c>
      <c r="C133" s="26" cm="1">
        <f t="array" aca="1" ref="C133" ca="1">IFERROR(((SUMPRODUCT($B$16:$K$16,1/(1+$A133)^(COLUMN($B$16:$K$16)-COLUMN($B$16)+1))+($B$23*C$128*(1-'AMZN Forecast'!$B$2))*(1-$E$8/$E$9)/($A133-$E$8)/(1+$A133)^10)*(1+$A133)^0.5+$B$32+$B$33+$B$34+$B$35+$B$36+$B$37)/$B$39,"")</f>
        <v>42.636388913247849</v>
      </c>
      <c r="D133" s="26" cm="1">
        <f t="array" aca="1" ref="D133" ca="1">IFERROR(((SUMPRODUCT($B$16:$K$16,1/(1+$A133)^(COLUMN($B$16:$K$16)-COLUMN($B$16)+1))+($B$23*D$128*(1-'AMZN Forecast'!$B$2))*(1-$E$8/$E$9)/($A133-$E$8)/(1+$A133)^10)*(1+$A133)^0.5+$B$32+$B$33+$B$34+$B$35+$B$36+$B$37)/$B$39,"")</f>
        <v>49.830509248833415</v>
      </c>
      <c r="E133" s="26" cm="1">
        <f t="array" aca="1" ref="E133" ca="1">IFERROR(((SUMPRODUCT($B$16:$K$16,1/(1+$A133)^(COLUMN($B$16:$K$16)-COLUMN($B$16)+1))+($B$23*E$128*(1-'AMZN Forecast'!$B$2))*(1-$E$8/$E$9)/($A133-$E$8)/(1+$A133)^10)*(1+$A133)^0.5+$B$32+$B$33+$B$34+$B$35+$B$36+$B$37)/$B$39,"")</f>
        <v>57.024629584418989</v>
      </c>
      <c r="F133" s="26" cm="1">
        <f t="array" aca="1" ref="F133" ca="1">IFERROR(((SUMPRODUCT($B$16:$K$16,1/(1+$A133)^(COLUMN($B$16:$K$16)-COLUMN($B$16)+1))+($B$23*F$128*(1-'AMZN Forecast'!$B$2))*(1-$E$8/$E$9)/($A133-$E$8)/(1+$A133)^10)*(1+$A133)^0.5+$B$32+$B$33+$B$34+$B$35+$B$36+$B$37)/$B$39,"")</f>
        <v>64.218749920004541</v>
      </c>
    </row>
    <row r="136" spans="1:6" x14ac:dyDescent="0.25">
      <c r="A136" s="233" t="s">
        <v>1606</v>
      </c>
    </row>
    <row r="137" spans="1:6" x14ac:dyDescent="0.25">
      <c r="A137" t="s">
        <v>569</v>
      </c>
      <c r="B137" s="28">
        <v>0</v>
      </c>
      <c r="C137" s="28">
        <v>0.05</v>
      </c>
      <c r="D137" s="28">
        <v>0.1</v>
      </c>
      <c r="E137" s="28">
        <v>0.15</v>
      </c>
      <c r="F137" s="28">
        <v>0.2</v>
      </c>
    </row>
    <row r="138" spans="1:6" x14ac:dyDescent="0.25">
      <c r="A138" t="s">
        <v>1607</v>
      </c>
      <c r="B138" s="165">
        <v>62.407555905643498</v>
      </c>
      <c r="C138" s="165">
        <v>66.897099163126299</v>
      </c>
      <c r="D138" s="165">
        <v>71.983745124427799</v>
      </c>
      <c r="E138" s="165">
        <v>77.730732519930797</v>
      </c>
      <c r="F138" s="165">
        <v>84.206314733343504</v>
      </c>
    </row>
    <row r="139" spans="1:6" x14ac:dyDescent="0.25">
      <c r="A139" s="234" t="s">
        <v>1608</v>
      </c>
    </row>
  </sheetData>
  <conditionalFormatting sqref="B71:F75">
    <cfRule type="colorScale" priority="1">
      <colorScale>
        <cfvo type="min"/>
        <cfvo type="percentile" val="50"/>
        <cfvo type="max"/>
        <color rgb="FFF8696B"/>
        <color rgb="FFFFEB84"/>
        <color rgb="FF63BE7B"/>
      </colorScale>
    </cfRule>
  </conditionalFormatting>
  <conditionalFormatting sqref="B120:F124">
    <cfRule type="colorScale" priority="2">
      <colorScale>
        <cfvo type="min"/>
        <cfvo type="percentile" val="50"/>
        <cfvo type="max"/>
        <color rgb="FFF8696B"/>
        <color rgb="FFFFEB84"/>
        <color rgb="FF63BE7B"/>
      </colorScale>
    </cfRule>
  </conditionalFormatting>
  <conditionalFormatting sqref="B129:F133">
    <cfRule type="colorScale" priority="3">
      <colorScale>
        <cfvo type="min"/>
        <cfvo type="percentile" val="50"/>
        <cfvo type="max"/>
        <color rgb="FFF8696B"/>
        <color rgb="FFFFEB84"/>
        <color rgb="FF63BE7B"/>
      </colorScale>
    </cfRule>
  </conditionalFormatting>
  <conditionalFormatting sqref="B138:F138">
    <cfRule type="colorScale" priority="4">
      <colorScale>
        <cfvo type="min"/>
        <cfvo type="percentile" val="50"/>
        <cfvo type="max"/>
        <color rgb="FFF8696B"/>
        <color rgb="FFFFEB84"/>
        <color rgb="FF63BE7B"/>
      </colorScale>
    </cfRule>
  </conditionalFormatting>
  <pageMargins left="0.7" right="0.7" top="0.75" bottom="0.75" header="0.3" footer="0.3"/>
  <drawing r:id="rId1"/>
  <legacyDrawing r:id="rId2"/>
</worksheet>
</file>

<file path=xl/worksheets/sheet8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3E0B81-EA91-4AB0-A09A-A93201101B5E}">
  <sheetPr>
    <tabColor rgb="FFF4B7B7"/>
  </sheetPr>
  <dimension ref="A1:P139"/>
  <sheetViews>
    <sheetView workbookViewId="0">
      <selection activeCell="A74" sqref="A74"/>
    </sheetView>
  </sheetViews>
  <sheetFormatPr defaultRowHeight="15" x14ac:dyDescent="0.25"/>
  <cols>
    <col min="1" max="1" width="57.140625" customWidth="1"/>
    <col min="2" max="2" width="11.7109375" bestFit="1" customWidth="1"/>
  </cols>
  <sheetData>
    <row r="1" spans="1:16" ht="15.75" x14ac:dyDescent="0.25">
      <c r="A1" s="15" t="s">
        <v>597</v>
      </c>
    </row>
    <row r="3" spans="1:16" x14ac:dyDescent="0.25">
      <c r="A3" s="24" t="s">
        <v>568</v>
      </c>
      <c r="B3" s="24"/>
      <c r="C3" s="24"/>
      <c r="D3" s="24"/>
      <c r="E3" s="24"/>
      <c r="F3" s="24"/>
    </row>
    <row r="4" spans="1:16" x14ac:dyDescent="0.25">
      <c r="A4" t="s">
        <v>792</v>
      </c>
      <c r="B4" s="78" t="str">
        <f>'Valuation Dashboard'!F22</f>
        <v>Base</v>
      </c>
      <c r="C4" s="170">
        <f>MATCH($B$4,{"Base","Worst","Best"},0)</f>
        <v>1</v>
      </c>
    </row>
    <row r="5" spans="1:16" x14ac:dyDescent="0.25">
      <c r="A5" s="9" t="s">
        <v>449</v>
      </c>
      <c r="B5" s="9" t="s">
        <v>590</v>
      </c>
      <c r="C5" s="9" t="s">
        <v>591</v>
      </c>
      <c r="D5" s="9" t="s">
        <v>592</v>
      </c>
      <c r="E5" s="9" t="s">
        <v>593</v>
      </c>
    </row>
    <row r="6" spans="1:16" x14ac:dyDescent="0.25">
      <c r="A6" t="s">
        <v>569</v>
      </c>
      <c r="B6" s="76">
        <f>'Valuation Dashboard'!F23</f>
        <v>0.25</v>
      </c>
      <c r="C6" s="76">
        <f>'Valuation Dashboard'!$B$15</f>
        <v>0.01</v>
      </c>
      <c r="D6" s="76">
        <f>MAX($B$6,'Valuation Dashboard'!$B$16)</f>
        <v>0.25</v>
      </c>
      <c r="E6" s="134" cm="1">
        <f t="array" ref="E6">INDEX(B6:D6,$C$4)</f>
        <v>0.25</v>
      </c>
    </row>
    <row r="7" spans="1:16" x14ac:dyDescent="0.25">
      <c r="A7" t="s">
        <v>570</v>
      </c>
      <c r="B7" s="76">
        <f>'Valuation Dashboard'!$B$19</f>
        <v>0</v>
      </c>
      <c r="C7" s="76">
        <f>'Valuation Dashboard'!$F$224</f>
        <v>-0.18593030441271394</v>
      </c>
      <c r="D7" s="76">
        <f>'Valuation Dashboard'!$F$225</f>
        <v>2.0358432082847489E-2</v>
      </c>
      <c r="E7" s="134" cm="1">
        <f t="array" ref="E7">INDEX(B7:D7,$C$4)</f>
        <v>0</v>
      </c>
    </row>
    <row r="8" spans="1:16" x14ac:dyDescent="0.25">
      <c r="A8" t="s">
        <v>605</v>
      </c>
      <c r="B8" s="76">
        <f>'NVDA Rev Drivers &amp; Forecast'!$B$7+'NVDA Rev Drivers &amp; Forecast'!$B$4</f>
        <v>6.0300000000000006E-2</v>
      </c>
      <c r="C8" s="76">
        <f>'NVDA Rev Drivers &amp; Forecast'!$B$7+'NVDA Rev Drivers &amp; Forecast'!$B$4-0.015</f>
        <v>4.5300000000000007E-2</v>
      </c>
      <c r="D8" s="76">
        <f>'NVDA Rev Drivers &amp; Forecast'!$B$7+'NVDA Rev Drivers &amp; Forecast'!$B$4</f>
        <v>6.0300000000000006E-2</v>
      </c>
      <c r="E8" s="134" cm="1">
        <f t="array" ref="E8">INDEX(B8:D8,$C$4)</f>
        <v>6.0300000000000006E-2</v>
      </c>
    </row>
    <row r="9" spans="1:16" x14ac:dyDescent="0.25">
      <c r="A9" t="s">
        <v>1552</v>
      </c>
      <c r="B9" s="76">
        <f ca="1">'Valuation Dashboard'!$F$206</f>
        <v>0.14967436549682989</v>
      </c>
      <c r="C9" s="76">
        <f ca="1">'Valuation Dashboard'!$F$206</f>
        <v>0.14967436549682989</v>
      </c>
      <c r="D9" s="76">
        <f ca="1">'Valuation Dashboard'!$F$206</f>
        <v>0.14967436549682989</v>
      </c>
      <c r="E9" s="134" cm="1">
        <f t="array" aca="1" ref="E9" ca="1">INDEX(B9:D9,$C$4)</f>
        <v>0.14967436549682989</v>
      </c>
    </row>
    <row r="10" spans="1:16" x14ac:dyDescent="0.25">
      <c r="A10" t="s">
        <v>1553</v>
      </c>
      <c r="B10" s="76">
        <f>'Valuation Dashboard'!$F$205</f>
        <v>0.15</v>
      </c>
    </row>
    <row r="11" spans="1:16" x14ac:dyDescent="0.25">
      <c r="A11" s="24" t="s">
        <v>571</v>
      </c>
      <c r="B11" s="24"/>
      <c r="C11" s="24"/>
      <c r="D11" s="24"/>
      <c r="E11" s="24"/>
      <c r="F11" s="24"/>
    </row>
    <row r="12" spans="1:16" x14ac:dyDescent="0.25">
      <c r="A12" t="s">
        <v>572</v>
      </c>
      <c r="B12" s="79">
        <f ca="1">WACC!G48</f>
        <v>0.14967436549682989</v>
      </c>
    </row>
    <row r="14" spans="1:16" x14ac:dyDescent="0.25">
      <c r="A14" s="24" t="s">
        <v>1014</v>
      </c>
      <c r="B14" s="24"/>
      <c r="C14" s="24"/>
      <c r="D14" s="24"/>
      <c r="E14" s="24"/>
      <c r="F14" s="24"/>
      <c r="G14" s="24"/>
      <c r="H14" s="24"/>
      <c r="I14" s="24"/>
      <c r="J14" s="24"/>
      <c r="K14" s="24"/>
      <c r="L14" s="24"/>
      <c r="M14" s="24"/>
      <c r="N14" s="24"/>
      <c r="O14" s="24"/>
      <c r="P14" s="24"/>
    </row>
    <row r="15" spans="1:16" x14ac:dyDescent="0.25">
      <c r="A15" s="9" t="s">
        <v>573</v>
      </c>
      <c r="B15" s="167">
        <f>'NVDA Forecast'!B24</f>
        <v>46412</v>
      </c>
      <c r="C15" s="167">
        <f>'NVDA Forecast'!C24</f>
        <v>46777</v>
      </c>
      <c r="D15" s="167">
        <f>'NVDA Forecast'!D24</f>
        <v>47143</v>
      </c>
      <c r="E15" s="167">
        <f>'NVDA Forecast'!E24</f>
        <v>47508</v>
      </c>
      <c r="F15" s="167">
        <f>'NVDA Forecast'!F24</f>
        <v>47873</v>
      </c>
      <c r="G15" s="167">
        <f>'NVDA Forecast'!B110</f>
        <v>48238</v>
      </c>
      <c r="H15" s="167">
        <f>'NVDA Forecast'!C110</f>
        <v>48604</v>
      </c>
      <c r="I15" s="167">
        <f>'NVDA Forecast'!D110</f>
        <v>48969</v>
      </c>
      <c r="J15" s="167">
        <f>'NVDA Forecast'!E110</f>
        <v>49334</v>
      </c>
      <c r="K15" s="167">
        <f>'NVDA Forecast'!F110</f>
        <v>49699</v>
      </c>
      <c r="L15" s="49"/>
      <c r="M15" s="49"/>
      <c r="N15" s="49"/>
      <c r="O15" s="49"/>
      <c r="P15" s="49"/>
    </row>
    <row r="16" spans="1:16" x14ac:dyDescent="0.25">
      <c r="A16" t="s">
        <v>270</v>
      </c>
      <c r="B16" s="109">
        <f>'NVDA Forecast'!B73</f>
        <v>106391.2583484257</v>
      </c>
      <c r="C16" s="109">
        <f>'NVDA Forecast'!C73</f>
        <v>131941.11723556241</v>
      </c>
      <c r="D16" s="109">
        <f>'NVDA Forecast'!D73</f>
        <v>160124.51936539402</v>
      </c>
      <c r="E16" s="109">
        <f>'NVDA Forecast'!E73</f>
        <v>190077.1582399203</v>
      </c>
      <c r="F16" s="109">
        <f>'NVDA Forecast'!F73</f>
        <v>220585.92398412345</v>
      </c>
      <c r="G16" s="109">
        <f>'NVDA Forecast'!B118</f>
        <v>251309.63261906282</v>
      </c>
      <c r="H16" s="109">
        <f>'NVDA Forecast'!C118</f>
        <v>279002.82929048187</v>
      </c>
      <c r="I16" s="109">
        <f>'NVDA Forecast'!D118</f>
        <v>302271.79046557774</v>
      </c>
      <c r="J16" s="109">
        <f>'NVDA Forecast'!E118</f>
        <v>320498.77943065204</v>
      </c>
      <c r="K16" s="109">
        <f>'NVDA Forecast'!F118</f>
        <v>339824.85583032039</v>
      </c>
      <c r="L16" s="26"/>
      <c r="M16" s="26"/>
      <c r="N16" s="26"/>
      <c r="O16" s="26"/>
      <c r="P16" s="26"/>
    </row>
    <row r="17" spans="1:16" x14ac:dyDescent="0.25">
      <c r="A17" t="s">
        <v>574</v>
      </c>
      <c r="B17" s="140">
        <f ca="1">1/(1+$B$12)^1</f>
        <v>0.86981151360007214</v>
      </c>
      <c r="C17" s="140">
        <f ca="1">1/(1+$B$12)^2</f>
        <v>0.75657206919124842</v>
      </c>
      <c r="D17" s="140">
        <f ca="1">1/(1+$B$12)^3</f>
        <v>0.65807509665077824</v>
      </c>
      <c r="E17" s="140">
        <f ca="1">1/(1+$B$12)^4</f>
        <v>0.57240129588032718</v>
      </c>
      <c r="F17" s="140">
        <f ca="1">1/(1+$B$12)^5</f>
        <v>0.49788123755631009</v>
      </c>
      <c r="G17" s="140">
        <f ca="1">1/(1+$B$12)^6</f>
        <v>0.4330628328319312</v>
      </c>
      <c r="H17" s="140">
        <f ca="1">1/(1+$B$12)^7</f>
        <v>0.37668303810947701</v>
      </c>
      <c r="I17" s="140">
        <f ca="1">1/(1+$B$12)^8</f>
        <v>0.32764324352547786</v>
      </c>
      <c r="J17" s="140">
        <f ca="1">1/(1+$B$12)^9</f>
        <v>0.28498786557173289</v>
      </c>
      <c r="K17" s="140">
        <f ca="1">1/(1+$B$12)^10</f>
        <v>0.24788572671060288</v>
      </c>
      <c r="L17" s="51"/>
      <c r="M17" s="51"/>
      <c r="N17" s="51"/>
      <c r="O17" s="51"/>
      <c r="P17" s="51"/>
    </row>
    <row r="18" spans="1:16" x14ac:dyDescent="0.25">
      <c r="A18" t="s">
        <v>575</v>
      </c>
      <c r="B18" s="119">
        <f t="shared" ref="B18:K18" ca="1" si="0">B16*B17</f>
        <v>92540.341457860472</v>
      </c>
      <c r="C18" s="119">
        <f t="shared" ca="1" si="0"/>
        <v>99822.964078314544</v>
      </c>
      <c r="D18" s="119">
        <f t="shared" ca="1" si="0"/>
        <v>105373.95855754109</v>
      </c>
      <c r="E18" s="119">
        <f t="shared" ca="1" si="0"/>
        <v>108800.41169378039</v>
      </c>
      <c r="F18" s="119">
        <f t="shared" ca="1" si="0"/>
        <v>109825.59282071753</v>
      </c>
      <c r="G18" s="119">
        <f t="shared" ca="1" si="0"/>
        <v>108832.86141996324</v>
      </c>
      <c r="H18" s="119">
        <f t="shared" ca="1" si="0"/>
        <v>105095.63337827849</v>
      </c>
      <c r="I18" s="119">
        <f t="shared" ca="1" si="0"/>
        <v>99037.309854395498</v>
      </c>
      <c r="J18" s="119">
        <f t="shared" ca="1" si="0"/>
        <v>91338.263068287139</v>
      </c>
      <c r="K18" s="119">
        <f t="shared" ca="1" si="0"/>
        <v>84237.731341824823</v>
      </c>
      <c r="L18" s="26"/>
      <c r="M18" s="26"/>
      <c r="N18" s="26"/>
      <c r="O18" s="26"/>
      <c r="P18" s="26"/>
    </row>
    <row r="19" spans="1:16" x14ac:dyDescent="0.25">
      <c r="A19" s="9" t="s">
        <v>576</v>
      </c>
      <c r="B19" s="147">
        <f ca="1">SUM(B18:K18)</f>
        <v>1004905.0676709632</v>
      </c>
    </row>
    <row r="21" spans="1:16" x14ac:dyDescent="0.25">
      <c r="A21" s="24" t="s">
        <v>1015</v>
      </c>
      <c r="B21" s="24"/>
      <c r="C21" s="24"/>
      <c r="D21" s="24"/>
      <c r="E21" s="24"/>
      <c r="F21" s="24"/>
    </row>
    <row r="22" spans="1:16" x14ac:dyDescent="0.25">
      <c r="A22" t="s">
        <v>1596</v>
      </c>
      <c r="B22" s="113">
        <f>'NVDA Forecast'!F113+$E$7</f>
        <v>0.597970840250306</v>
      </c>
    </row>
    <row r="23" spans="1:16" x14ac:dyDescent="0.25">
      <c r="A23" t="s">
        <v>577</v>
      </c>
      <c r="B23" s="109">
        <f>'NVDA Forecast'!F112*(1+$E$8)</f>
        <v>802411.80321438471</v>
      </c>
    </row>
    <row r="24" spans="1:16" x14ac:dyDescent="0.25">
      <c r="A24" t="s">
        <v>578</v>
      </c>
      <c r="B24" s="109">
        <f>B23*B22*(1-'NVDA Forecast'!$B$2)</f>
        <v>379056.89955394639</v>
      </c>
    </row>
    <row r="25" spans="1:16" x14ac:dyDescent="0.25">
      <c r="A25" t="s">
        <v>579</v>
      </c>
      <c r="B25" s="119">
        <f ca="1">B24*(1-$E$8/$E$9)/($B$12-$E$8)</f>
        <v>2532543.8881648364</v>
      </c>
    </row>
    <row r="26" spans="1:16" x14ac:dyDescent="0.25">
      <c r="A26" t="s">
        <v>574</v>
      </c>
      <c r="B26" s="140">
        <f ca="1">1/(1+$B$12)^10</f>
        <v>0.24788572671060288</v>
      </c>
    </row>
    <row r="27" spans="1:16" x14ac:dyDescent="0.25">
      <c r="A27" t="s">
        <v>580</v>
      </c>
      <c r="B27" s="119">
        <f ca="1">B25*B26</f>
        <v>627781.48214423633</v>
      </c>
    </row>
    <row r="28" spans="1:16" x14ac:dyDescent="0.25">
      <c r="A28" t="s">
        <v>607</v>
      </c>
      <c r="B28" s="134">
        <f ca="1">B27/(B19+B27)</f>
        <v>0.38450827087127876</v>
      </c>
    </row>
    <row r="29" spans="1:16" x14ac:dyDescent="0.25">
      <c r="A29" t="s">
        <v>606</v>
      </c>
      <c r="B29" s="140">
        <f ca="1">(1+$B$12)^0.5</f>
        <v>1.0722286908569598</v>
      </c>
    </row>
    <row r="30" spans="1:16" x14ac:dyDescent="0.25">
      <c r="A30" s="24" t="s">
        <v>581</v>
      </c>
      <c r="B30" s="24"/>
      <c r="C30" s="24"/>
      <c r="D30" s="24"/>
      <c r="E30" s="24"/>
      <c r="F30" s="24"/>
    </row>
    <row r="31" spans="1:16" x14ac:dyDescent="0.25">
      <c r="A31" s="9" t="s">
        <v>582</v>
      </c>
      <c r="B31" s="147">
        <f ca="1">(B19+B27)*B29</f>
        <v>1750613.3618881179</v>
      </c>
    </row>
    <row r="32" spans="1:16" x14ac:dyDescent="0.25">
      <c r="A32" t="s">
        <v>832</v>
      </c>
      <c r="B32" s="109">
        <f>'NVDA - Reconciliation FY'!B35</f>
        <v>6286.24</v>
      </c>
    </row>
    <row r="33" spans="1:3" x14ac:dyDescent="0.25">
      <c r="A33" t="s">
        <v>833</v>
      </c>
      <c r="B33" s="109">
        <f>'NVDA - Reconciliation FY'!B40-'NVDA - Reconciliation FY'!B35</f>
        <v>74201.999999999985</v>
      </c>
    </row>
    <row r="34" spans="1:3" x14ac:dyDescent="0.25">
      <c r="A34" t="s">
        <v>583</v>
      </c>
      <c r="B34" s="109">
        <f>-'NVDA - Reconciliation FY'!B47</f>
        <v>-8468</v>
      </c>
    </row>
    <row r="35" spans="1:3" x14ac:dyDescent="0.25">
      <c r="A35" t="s">
        <v>911</v>
      </c>
      <c r="B35" s="109">
        <f>-WACC!G36</f>
        <v>-2944</v>
      </c>
    </row>
    <row r="36" spans="1:3" x14ac:dyDescent="0.25">
      <c r="A36" t="s">
        <v>584</v>
      </c>
      <c r="B36" s="109">
        <f>-'NVDA - Reconciliation FY'!B49</f>
        <v>0</v>
      </c>
    </row>
    <row r="37" spans="1:3" x14ac:dyDescent="0.25">
      <c r="A37" t="s">
        <v>793</v>
      </c>
      <c r="B37" s="165">
        <v>-14800</v>
      </c>
    </row>
    <row r="38" spans="1:3" x14ac:dyDescent="0.25">
      <c r="A38" s="9" t="s">
        <v>585</v>
      </c>
      <c r="B38" s="147">
        <f ca="1">SUM(B31:B37)</f>
        <v>1804889.6018881178</v>
      </c>
    </row>
    <row r="39" spans="1:3" x14ac:dyDescent="0.25">
      <c r="A39" t="s">
        <v>586</v>
      </c>
      <c r="B39" s="109">
        <f ca="1">WACC!G33</f>
        <v>24200</v>
      </c>
    </row>
    <row r="40" spans="1:3" x14ac:dyDescent="0.25">
      <c r="A40" s="9" t="s">
        <v>587</v>
      </c>
      <c r="B40" s="147">
        <f ca="1">B38/B39</f>
        <v>74.58221495405445</v>
      </c>
    </row>
    <row r="41" spans="1:3" x14ac:dyDescent="0.25">
      <c r="A41" t="s">
        <v>588</v>
      </c>
      <c r="B41" s="109">
        <f ca="1">WACC!G32</f>
        <v>225.16</v>
      </c>
    </row>
    <row r="42" spans="1:3" x14ac:dyDescent="0.25">
      <c r="A42" t="s">
        <v>589</v>
      </c>
      <c r="B42" s="134">
        <f ca="1">B40/B41-1</f>
        <v>-0.66875903822146721</v>
      </c>
    </row>
    <row r="44" spans="1:3" x14ac:dyDescent="0.25">
      <c r="A44" s="33" t="s">
        <v>610</v>
      </c>
      <c r="B44" s="171">
        <f ca="1">'Ticker Sheet'!C5</f>
        <v>34.502499999999998</v>
      </c>
    </row>
    <row r="45" spans="1:3" x14ac:dyDescent="0.25">
      <c r="A45" s="33" t="s">
        <v>611</v>
      </c>
      <c r="B45" s="172">
        <f ca="1">B44*B40/B41</f>
        <v>11.428641283763829</v>
      </c>
    </row>
    <row r="47" spans="1:3" x14ac:dyDescent="0.25">
      <c r="A47" s="24" t="s">
        <v>618</v>
      </c>
      <c r="B47" s="24" t="s">
        <v>590</v>
      </c>
      <c r="C47" s="24" t="s">
        <v>620</v>
      </c>
    </row>
    <row r="48" spans="1:3" x14ac:dyDescent="0.25">
      <c r="A48" t="s">
        <v>582</v>
      </c>
      <c r="B48" s="135">
        <f>0</f>
        <v>0</v>
      </c>
      <c r="C48" s="135">
        <f ca="1">B31</f>
        <v>1750613.3618881179</v>
      </c>
    </row>
    <row r="49" spans="1:3" x14ac:dyDescent="0.25">
      <c r="A49" t="s">
        <v>245</v>
      </c>
      <c r="B49" s="135">
        <f ca="1">B31</f>
        <v>1750613.3618881179</v>
      </c>
      <c r="C49" s="135">
        <f>B32</f>
        <v>6286.24</v>
      </c>
    </row>
    <row r="50" spans="1:3" x14ac:dyDescent="0.25">
      <c r="A50" t="s">
        <v>834</v>
      </c>
      <c r="B50" s="135">
        <f ca="1">B31+B32</f>
        <v>1756899.6018881178</v>
      </c>
      <c r="C50" s="135">
        <f>B33</f>
        <v>74201.999999999985</v>
      </c>
    </row>
    <row r="51" spans="1:3" x14ac:dyDescent="0.25">
      <c r="A51" t="s">
        <v>255</v>
      </c>
      <c r="B51" s="135">
        <f ca="1">B31+B32+B33+B34</f>
        <v>1822633.6018881178</v>
      </c>
      <c r="C51" s="135">
        <f>-B34</f>
        <v>8468</v>
      </c>
    </row>
    <row r="52" spans="1:3" x14ac:dyDescent="0.25">
      <c r="A52" t="s">
        <v>912</v>
      </c>
      <c r="B52" s="135">
        <f ca="1">B31+B32+B33+B34+B35</f>
        <v>1819689.6018881178</v>
      </c>
      <c r="C52" s="135">
        <f>-B35</f>
        <v>2944</v>
      </c>
    </row>
    <row r="53" spans="1:3" x14ac:dyDescent="0.25">
      <c r="A53" t="s">
        <v>619</v>
      </c>
      <c r="B53" s="135">
        <f ca="1">B38</f>
        <v>1804889.6018881178</v>
      </c>
      <c r="C53" s="135">
        <f>-(B36+B37)</f>
        <v>14800</v>
      </c>
    </row>
    <row r="54" spans="1:3" x14ac:dyDescent="0.25">
      <c r="A54" t="s">
        <v>585</v>
      </c>
      <c r="B54" s="135">
        <f>0</f>
        <v>0</v>
      </c>
      <c r="C54" s="135">
        <f ca="1">B38</f>
        <v>1804889.6018881178</v>
      </c>
    </row>
    <row r="69" spans="1:16" x14ac:dyDescent="0.25">
      <c r="A69" s="54" t="s">
        <v>827</v>
      </c>
      <c r="B69" s="54"/>
      <c r="C69" s="54"/>
      <c r="D69" s="54"/>
      <c r="E69" s="54"/>
      <c r="F69" s="54"/>
    </row>
    <row r="70" spans="1:16" x14ac:dyDescent="0.25">
      <c r="A70" s="9" t="s">
        <v>828</v>
      </c>
      <c r="B70" s="117">
        <f>$E$8+-0.01</f>
        <v>5.0300000000000004E-2</v>
      </c>
      <c r="C70" s="117">
        <f>$E$8+-0.005</f>
        <v>5.5300000000000009E-2</v>
      </c>
      <c r="D70" s="117">
        <f>$E$8+0</f>
        <v>6.0300000000000006E-2</v>
      </c>
      <c r="E70" s="117">
        <f>$E$8+0.005</f>
        <v>6.5300000000000011E-2</v>
      </c>
      <c r="F70" s="117">
        <f>$E$8+0.01</f>
        <v>7.0300000000000001E-2</v>
      </c>
    </row>
    <row r="71" spans="1:16" x14ac:dyDescent="0.25">
      <c r="A71" s="117">
        <f ca="1">$B$12+-0.015</f>
        <v>0.13467436549682987</v>
      </c>
      <c r="B71" s="119" cm="1">
        <f t="array" aca="1" ref="B71" ca="1">IFERROR(((SUMPRODUCT($B$16:$K$16,1/(1+$A71)^(COLUMN($B$16:$K$16)-COLUMN($B$16)+1))+$B$24*(1-B$70/$E$9)/($A71-B$70)/(1+$A71)^10)*(1+$A71)^0.5+$B$32+$B$33+$B$34+$B$35+$B$36+$B$37)/$B$39,"")</f>
        <v>86.878436691203419</v>
      </c>
      <c r="C71" s="119" cm="1">
        <f t="array" aca="1" ref="C71" ca="1">IFERROR(((SUMPRODUCT($B$16:$K$16,1/(1+$A71)^(COLUMN($B$16:$K$16)-COLUMN($B$16)+1))+$B$24*(1-C$70/$E$9)/($A71-C$70)/(1+$A71)^10)*(1+$A71)^0.5+$B$32+$B$33+$B$34+$B$35+$B$36+$B$37)/$B$39,"")</f>
        <v>87.231323381615056</v>
      </c>
      <c r="D71" s="119" cm="1">
        <f t="array" aca="1" ref="D71" ca="1">IFERROR(((SUMPRODUCT($B$16:$K$16,1/(1+$A71)^(COLUMN($B$16:$K$16)-COLUMN($B$16)+1))+$B$24*(1-D$70/$E$9)/($A71-D$70)/(1+$A71)^10)*(1+$A71)^0.5+$B$32+$B$33+$B$34+$B$35+$B$36+$B$37)/$B$39,"")</f>
        <v>87.631657426777764</v>
      </c>
      <c r="E71" s="119" cm="1">
        <f t="array" aca="1" ref="E71" ca="1">IFERROR(((SUMPRODUCT($B$16:$K$16,1/(1+$A71)^(COLUMN($B$16:$K$16)-COLUMN($B$16)+1))+$B$24*(1-E$70/$E$9)/($A71-E$70)/(1+$A71)^10)*(1+$A71)^0.5+$B$32+$B$33+$B$34+$B$35+$B$36+$B$37)/$B$39,"")</f>
        <v>88.089697808033932</v>
      </c>
      <c r="F71" s="119" cm="1">
        <f t="array" aca="1" ref="F71" ca="1">IFERROR(((SUMPRODUCT($B$16:$K$16,1/(1+$A71)^(COLUMN($B$16:$K$16)-COLUMN($B$16)+1))+$B$24*(1-F$70/$E$9)/($A71-F$70)/(1+$A71)^10)*(1+$A71)^0.5+$B$32+$B$33+$B$34+$B$35+$B$36+$B$37)/$B$39,"")</f>
        <v>88.618890794480208</v>
      </c>
    </row>
    <row r="72" spans="1:16" x14ac:dyDescent="0.25">
      <c r="A72" s="117">
        <f ca="1">$B$12+-0.0075</f>
        <v>0.14217436549682988</v>
      </c>
      <c r="B72" s="119" cm="1">
        <f t="array" aca="1" ref="B72" ca="1">IFERROR(((SUMPRODUCT($B$16:$K$16,1/(1+$A72)^(COLUMN($B$16:$K$16)-COLUMN($B$16)+1))+$B$24*(1-B$70/$E$9)/($A72-B$70)/(1+$A72)^10)*(1+$A72)^0.5+$B$32+$B$33+$B$34+$B$35+$B$36+$B$37)/$B$39,"")</f>
        <v>80.244954267409739</v>
      </c>
      <c r="C72" s="119" cm="1">
        <f t="array" aca="1" ref="C72" ca="1">IFERROR(((SUMPRODUCT($B$16:$K$16,1/(1+$A72)^(COLUMN($B$16:$K$16)-COLUMN($B$16)+1))+$B$24*(1-C$70/$E$9)/($A72-C$70)/(1+$A72)^10)*(1+$A72)^0.5+$B$32+$B$33+$B$34+$B$35+$B$36+$B$37)/$B$39,"")</f>
        <v>80.384022840921972</v>
      </c>
      <c r="D72" s="119" cm="1">
        <f t="array" aca="1" ref="D72" ca="1">IFERROR(((SUMPRODUCT($B$16:$K$16,1/(1+$A72)^(COLUMN($B$16:$K$16)-COLUMN($B$16)+1))+$B$24*(1-D$70/$E$9)/($A72-D$70)/(1+$A72)^10)*(1+$A72)^0.5+$B$32+$B$33+$B$34+$B$35+$B$36+$B$37)/$B$39,"")</f>
        <v>80.54007702069427</v>
      </c>
      <c r="E72" s="119" cm="1">
        <f t="array" aca="1" ref="E72" ca="1">IFERROR(((SUMPRODUCT($B$16:$K$16,1/(1+$A72)^(COLUMN($B$16:$K$16)-COLUMN($B$16)+1))+$B$24*(1-E$70/$E$9)/($A72-E$70)/(1+$A72)^10)*(1+$A72)^0.5+$B$32+$B$33+$B$34+$B$35+$B$36+$B$37)/$B$39,"")</f>
        <v>80.716431098717919</v>
      </c>
      <c r="F72" s="119" cm="1">
        <f t="array" aca="1" ref="F72" ca="1">IFERROR(((SUMPRODUCT($B$16:$K$16,1/(1+$A72)^(COLUMN($B$16:$K$16)-COLUMN($B$16)+1))+$B$24*(1-F$70/$E$9)/($A72-F$70)/(1+$A72)^10)*(1+$A72)^0.5+$B$32+$B$33+$B$34+$B$35+$B$36+$B$37)/$B$39,"")</f>
        <v>80.917321612897169</v>
      </c>
    </row>
    <row r="73" spans="1:16" x14ac:dyDescent="0.25">
      <c r="A73" s="117">
        <f ca="1">$B$12+0</f>
        <v>0.14967436549682989</v>
      </c>
      <c r="B73" s="119" cm="1">
        <f t="array" aca="1" ref="B73" ca="1">IFERROR(((SUMPRODUCT($B$16:$K$16,1/(1+$A73)^(COLUMN($B$16:$K$16)-COLUMN($B$16)+1))+$B$24*(1-B$70/$E$9)/($A73-B$70)/(1+$A73)^10)*(1+$A73)^0.5+$B$32+$B$33+$B$34+$B$35+$B$36+$B$37)/$B$39,"")</f>
        <v>74.582214954054464</v>
      </c>
      <c r="C73" s="119" cm="1">
        <f t="array" aca="1" ref="C73" ca="1">IFERROR(((SUMPRODUCT($B$16:$K$16,1/(1+$A73)^(COLUMN($B$16:$K$16)-COLUMN($B$16)+1))+$B$24*(1-C$70/$E$9)/($A73-C$70)/(1+$A73)^10)*(1+$A73)^0.5+$B$32+$B$33+$B$34+$B$35+$B$36+$B$37)/$B$39,"")</f>
        <v>74.58221495405445</v>
      </c>
      <c r="D73" s="173" cm="1">
        <f t="array" aca="1" ref="D73" ca="1">IFERROR(((SUMPRODUCT($B$16:$K$16,1/(1+$A73)^(COLUMN($B$16:$K$16)-COLUMN($B$16)+1))+$B$24*(1-D$70/$E$9)/($A73-D$70)/(1+$A73)^10)*(1+$A73)^0.5+$B$32+$B$33+$B$34+$B$35+$B$36+$B$37)/$B$39,"")</f>
        <v>74.58221495405445</v>
      </c>
      <c r="E73" s="119" cm="1">
        <f t="array" aca="1" ref="E73" ca="1">IFERROR(((SUMPRODUCT($B$16:$K$16,1/(1+$A73)^(COLUMN($B$16:$K$16)-COLUMN($B$16)+1))+$B$24*(1-E$70/$E$9)/($A73-E$70)/(1+$A73)^10)*(1+$A73)^0.5+$B$32+$B$33+$B$34+$B$35+$B$36+$B$37)/$B$39,"")</f>
        <v>74.58221495405445</v>
      </c>
      <c r="F73" s="119" cm="1">
        <f t="array" aca="1" ref="F73" ca="1">IFERROR(((SUMPRODUCT($B$16:$K$16,1/(1+$A73)^(COLUMN($B$16:$K$16)-COLUMN($B$16)+1))+$B$24*(1-F$70/$E$9)/($A73-F$70)/(1+$A73)^10)*(1+$A73)^0.5+$B$32+$B$33+$B$34+$B$35+$B$36+$B$37)/$B$39,"")</f>
        <v>74.58221495405445</v>
      </c>
    </row>
    <row r="74" spans="1:16" x14ac:dyDescent="0.25">
      <c r="A74" s="117">
        <f ca="1">$B$12+0.0075</f>
        <v>0.15717436549682989</v>
      </c>
      <c r="B74" s="119" cm="1">
        <f t="array" aca="1" ref="B74" ca="1">IFERROR(((SUMPRODUCT($B$16:$K$16,1/(1+$A74)^(COLUMN($B$16:$K$16)-COLUMN($B$16)+1))+$B$24*(1-B$70/$E$9)/($A74-B$70)/(1+$A74)^10)*(1+$A74)^0.5+$B$32+$B$33+$B$34+$B$35+$B$36+$B$37)/$B$39,"")</f>
        <v>69.688501355542215</v>
      </c>
      <c r="C74" s="119" cm="1">
        <f t="array" aca="1" ref="C74" ca="1">IFERROR(((SUMPRODUCT($B$16:$K$16,1/(1+$A74)^(COLUMN($B$16:$K$16)-COLUMN($B$16)+1))+$B$24*(1-C$70/$E$9)/($A74-C$70)/(1+$A74)^10)*(1+$A74)^0.5+$B$32+$B$33+$B$34+$B$35+$B$36+$B$37)/$B$39,"")</f>
        <v>69.598438487074702</v>
      </c>
      <c r="D74" s="119" cm="1">
        <f t="array" aca="1" ref="D74" ca="1">IFERROR(((SUMPRODUCT($B$16:$K$16,1/(1+$A74)^(COLUMN($B$16:$K$16)-COLUMN($B$16)+1))+$B$24*(1-D$70/$E$9)/($A74-D$70)/(1+$A74)^10)*(1+$A74)^0.5+$B$32+$B$33+$B$34+$B$35+$B$36+$B$37)/$B$39,"")</f>
        <v>69.499078745486429</v>
      </c>
      <c r="E74" s="119" cm="1">
        <f t="array" aca="1" ref="E74" ca="1">IFERROR(((SUMPRODUCT($B$16:$K$16,1/(1+$A74)^(COLUMN($B$16:$K$16)-COLUMN($B$16)+1))+$B$24*(1-E$70/$E$9)/($A74-E$70)/(1+$A74)^10)*(1+$A74)^0.5+$B$32+$B$33+$B$34+$B$35+$B$36+$B$37)/$B$39,"")</f>
        <v>69.38890426345877</v>
      </c>
      <c r="F74" s="119" cm="1">
        <f t="array" aca="1" ref="F74" ca="1">IFERROR(((SUMPRODUCT($B$16:$K$16,1/(1+$A74)^(COLUMN($B$16:$K$16)-COLUMN($B$16)+1))+$B$24*(1-F$70/$E$9)/($A74-F$70)/(1+$A74)^10)*(1+$A74)^0.5+$B$32+$B$33+$B$34+$B$35+$B$36+$B$37)/$B$39,"")</f>
        <v>69.266047734040299</v>
      </c>
    </row>
    <row r="75" spans="1:16" x14ac:dyDescent="0.25">
      <c r="A75" s="117">
        <f ca="1">$B$12+0.015</f>
        <v>0.1646743654968299</v>
      </c>
      <c r="B75" s="119" cm="1">
        <f t="array" aca="1" ref="B75" ca="1">IFERROR(((SUMPRODUCT($B$16:$K$16,1/(1+$A75)^(COLUMN($B$16:$K$16)-COLUMN($B$16)+1))+$B$24*(1-B$70/$E$9)/($A75-B$70)/(1+$A75)^10)*(1+$A75)^0.5+$B$32+$B$33+$B$34+$B$35+$B$36+$B$37)/$B$39,"")</f>
        <v>65.41478963725811</v>
      </c>
      <c r="C75" s="119" cm="1">
        <f t="array" aca="1" ref="C75" ca="1">IFERROR(((SUMPRODUCT($B$16:$K$16,1/(1+$A75)^(COLUMN($B$16:$K$16)-COLUMN($B$16)+1))+$B$24*(1-C$70/$E$9)/($A75-C$70)/(1+$A75)^10)*(1+$A75)^0.5+$B$32+$B$33+$B$34+$B$35+$B$36+$B$37)/$B$39,"")</f>
        <v>65.267349500786679</v>
      </c>
      <c r="D75" s="119" cm="1">
        <f t="array" aca="1" ref="D75" ca="1">IFERROR(((SUMPRODUCT($B$16:$K$16,1/(1+$A75)^(COLUMN($B$16:$K$16)-COLUMN($B$16)+1))+$B$24*(1-D$70/$E$9)/($A75-D$70)/(1+$A75)^10)*(1+$A75)^0.5+$B$32+$B$33+$B$34+$B$35+$B$36+$B$37)/$B$39,"")</f>
        <v>65.105783277342667</v>
      </c>
      <c r="E75" s="119" cm="1">
        <f t="array" aca="1" ref="E75" ca="1">IFERROR(((SUMPRODUCT($B$16:$K$16,1/(1+$A75)^(COLUMN($B$16:$K$16)-COLUMN($B$16)+1))+$B$24*(1-E$70/$E$9)/($A75-E$70)/(1+$A75)^10)*(1+$A75)^0.5+$B$32+$B$33+$B$34+$B$35+$B$36+$B$37)/$B$39,"")</f>
        <v>64.92795871376876</v>
      </c>
      <c r="F75" s="119" cm="1">
        <f t="array" aca="1" ref="F75" ca="1">IFERROR(((SUMPRODUCT($B$16:$K$16,1/(1+$A75)^(COLUMN($B$16:$K$16)-COLUMN($B$16)+1))+$B$24*(1-F$70/$E$9)/($A75-F$70)/(1+$A75)^10)*(1+$A75)^0.5+$B$32+$B$33+$B$34+$B$35+$B$36+$B$37)/$B$39,"")</f>
        <v>64.731291685650817</v>
      </c>
    </row>
    <row r="78" spans="1:16" x14ac:dyDescent="0.25">
      <c r="A78" s="67" t="s">
        <v>961</v>
      </c>
    </row>
    <row r="79" spans="1:16" x14ac:dyDescent="0.25">
      <c r="A79" t="s">
        <v>573</v>
      </c>
      <c r="B79" s="174">
        <f t="shared" ref="B79:K79" si="1">B15</f>
        <v>46412</v>
      </c>
      <c r="C79" s="174">
        <f t="shared" si="1"/>
        <v>46777</v>
      </c>
      <c r="D79" s="174">
        <f t="shared" si="1"/>
        <v>47143</v>
      </c>
      <c r="E79" s="174">
        <f t="shared" si="1"/>
        <v>47508</v>
      </c>
      <c r="F79" s="174">
        <f t="shared" si="1"/>
        <v>47873</v>
      </c>
      <c r="G79" s="174">
        <f t="shared" si="1"/>
        <v>48238</v>
      </c>
      <c r="H79" s="174">
        <f t="shared" si="1"/>
        <v>48604</v>
      </c>
      <c r="I79" s="174">
        <f t="shared" si="1"/>
        <v>48969</v>
      </c>
      <c r="J79" s="174">
        <f t="shared" si="1"/>
        <v>49334</v>
      </c>
      <c r="K79" s="174">
        <f t="shared" si="1"/>
        <v>49699</v>
      </c>
      <c r="L79" s="98"/>
      <c r="M79" s="98"/>
      <c r="N79" s="98"/>
      <c r="O79" s="98"/>
      <c r="P79" s="98"/>
    </row>
    <row r="80" spans="1:16" x14ac:dyDescent="0.25">
      <c r="A80" t="s">
        <v>259</v>
      </c>
      <c r="B80" s="80">
        <f>'NVDA Forecast'!B67</f>
        <v>128422.22895930299</v>
      </c>
      <c r="C80" s="80">
        <f>'NVDA Forecast'!C67</f>
        <v>156507.86217112473</v>
      </c>
      <c r="D80" s="80">
        <f>'NVDA Forecast'!D67</f>
        <v>186538.40691169939</v>
      </c>
      <c r="E80" s="80">
        <f>'NVDA Forecast'!E67</f>
        <v>217328.4950695241</v>
      </c>
      <c r="F80" s="80">
        <f>'NVDA Forecast'!F67</f>
        <v>247372.43607488135</v>
      </c>
      <c r="G80" s="80">
        <f>'NVDA Forecast'!B115</f>
        <v>275860.74409915763</v>
      </c>
      <c r="H80" s="80">
        <f>'NVDA Forecast'!C115</f>
        <v>299908.90446600172</v>
      </c>
      <c r="I80" s="80">
        <f>'NVDA Forecast'!D115</f>
        <v>317993.41140530165</v>
      </c>
      <c r="J80" s="80">
        <f>'NVDA Forecast'!E115</f>
        <v>337168.4141130413</v>
      </c>
      <c r="K80" s="80">
        <f>'NVDA Forecast'!F115</f>
        <v>357499.6694840577</v>
      </c>
      <c r="L80" s="35"/>
      <c r="M80" s="35"/>
      <c r="N80" s="35"/>
      <c r="O80" s="35"/>
      <c r="P80" s="35"/>
    </row>
    <row r="81" spans="1:16" x14ac:dyDescent="0.25">
      <c r="A81" t="s">
        <v>962</v>
      </c>
      <c r="B81" s="80">
        <f>'NVDA Forecast'!B64</f>
        <v>110247.73061087729</v>
      </c>
      <c r="C81" s="80">
        <f>'NVDA Forecast'!C64</f>
        <v>134814.47554643961</v>
      </c>
      <c r="D81" s="80">
        <f>'NVDA Forecast'!D64</f>
        <v>161228.36309274501</v>
      </c>
      <c r="E81" s="80">
        <f>'NVDA Forecast'!E64</f>
        <v>188479.69992234881</v>
      </c>
      <c r="F81" s="80">
        <f>'NVDA Forecast'!F64</f>
        <v>215266.21201310668</v>
      </c>
      <c r="G81" s="80">
        <f>'NVDA Forecast'!B116</f>
        <v>239817.32349320149</v>
      </c>
      <c r="H81" s="80">
        <f>'NVDA Forecast'!C116</f>
        <v>260723.39866872135</v>
      </c>
      <c r="I81" s="80">
        <f>'NVDA Forecast'!D116</f>
        <v>276445.01960844523</v>
      </c>
      <c r="J81" s="80">
        <f>'NVDA Forecast'!E116</f>
        <v>293114.6542908345</v>
      </c>
      <c r="K81" s="80">
        <f>'NVDA Forecast'!F116</f>
        <v>310789.46794457181</v>
      </c>
      <c r="L81" s="35"/>
      <c r="M81" s="35"/>
      <c r="N81" s="35"/>
      <c r="O81" s="35"/>
      <c r="P81" s="35"/>
    </row>
    <row r="82" spans="1:16" x14ac:dyDescent="0.25">
      <c r="A82" t="s">
        <v>963</v>
      </c>
      <c r="B82" s="80">
        <f>'NVDA - Reconciliation FY'!B32</f>
        <v>88216.760000000009</v>
      </c>
      <c r="C82" s="135">
        <f t="shared" ref="C82:K82" si="2">B81</f>
        <v>110247.73061087729</v>
      </c>
      <c r="D82" s="135">
        <f t="shared" si="2"/>
        <v>134814.47554643961</v>
      </c>
      <c r="E82" s="135">
        <f t="shared" si="2"/>
        <v>161228.36309274501</v>
      </c>
      <c r="F82" s="135">
        <f t="shared" si="2"/>
        <v>188479.69992234881</v>
      </c>
      <c r="G82" s="135">
        <f t="shared" si="2"/>
        <v>215266.21201310668</v>
      </c>
      <c r="H82" s="135">
        <f t="shared" si="2"/>
        <v>239817.32349320149</v>
      </c>
      <c r="I82" s="135">
        <f t="shared" si="2"/>
        <v>260723.39866872135</v>
      </c>
      <c r="J82" s="135">
        <f t="shared" si="2"/>
        <v>276445.01960844523</v>
      </c>
      <c r="K82" s="135">
        <f t="shared" si="2"/>
        <v>293114.6542908345</v>
      </c>
      <c r="L82" s="35"/>
      <c r="M82" s="35"/>
      <c r="N82" s="35"/>
      <c r="O82" s="35"/>
      <c r="P82" s="35"/>
    </row>
    <row r="83" spans="1:16" x14ac:dyDescent="0.25">
      <c r="A83" t="s">
        <v>964</v>
      </c>
      <c r="B83" s="135">
        <f t="shared" ref="B83:K83" ca="1" si="3">-$B$12*B82</f>
        <v>-13203.787579186124</v>
      </c>
      <c r="C83" s="135">
        <f t="shared" ca="1" si="3"/>
        <v>-16501.259126648489</v>
      </c>
      <c r="D83" s="135">
        <f t="shared" ca="1" si="3"/>
        <v>-20178.271087201239</v>
      </c>
      <c r="E83" s="135">
        <f t="shared" ca="1" si="3"/>
        <v>-24131.752945999116</v>
      </c>
      <c r="F83" s="135">
        <f t="shared" ca="1" si="3"/>
        <v>-28210.579494910457</v>
      </c>
      <c r="G83" s="135">
        <f t="shared" ca="1" si="3"/>
        <v>-32219.833695967802</v>
      </c>
      <c r="H83" s="135">
        <f t="shared" ca="1" si="3"/>
        <v>-35894.505728992932</v>
      </c>
      <c r="I83" s="135">
        <f t="shared" ca="1" si="3"/>
        <v>-39023.60926591789</v>
      </c>
      <c r="J83" s="135">
        <f t="shared" ca="1" si="3"/>
        <v>-41376.732904652737</v>
      </c>
      <c r="K83" s="135">
        <f t="shared" ca="1" si="3"/>
        <v>-43871.749898803297</v>
      </c>
      <c r="L83" s="35"/>
      <c r="M83" s="35"/>
      <c r="N83" s="35"/>
      <c r="O83" s="35"/>
      <c r="P83" s="35"/>
    </row>
    <row r="84" spans="1:16" x14ac:dyDescent="0.25">
      <c r="A84" t="s">
        <v>965</v>
      </c>
      <c r="B84" s="135">
        <f t="shared" ref="B84:K84" ca="1" si="4">B80+B83</f>
        <v>115218.44138011686</v>
      </c>
      <c r="C84" s="135">
        <f t="shared" ca="1" si="4"/>
        <v>140006.60304447624</v>
      </c>
      <c r="D84" s="135">
        <f t="shared" ca="1" si="4"/>
        <v>166360.13582449814</v>
      </c>
      <c r="E84" s="135">
        <f t="shared" ca="1" si="4"/>
        <v>193196.74212352498</v>
      </c>
      <c r="F84" s="135">
        <f t="shared" ca="1" si="4"/>
        <v>219161.85657997089</v>
      </c>
      <c r="G84" s="135">
        <f t="shared" ca="1" si="4"/>
        <v>243640.91040318983</v>
      </c>
      <c r="H84" s="135">
        <f t="shared" ca="1" si="4"/>
        <v>264014.3987370088</v>
      </c>
      <c r="I84" s="135">
        <f t="shared" ca="1" si="4"/>
        <v>278969.80213938374</v>
      </c>
      <c r="J84" s="135">
        <f t="shared" ca="1" si="4"/>
        <v>295791.68120838859</v>
      </c>
      <c r="K84" s="135">
        <f t="shared" ca="1" si="4"/>
        <v>313627.91958525439</v>
      </c>
      <c r="L84" s="35"/>
      <c r="M84" s="35"/>
      <c r="N84" s="35"/>
      <c r="O84" s="35"/>
      <c r="P84" s="35"/>
    </row>
    <row r="85" spans="1:16" x14ac:dyDescent="0.25">
      <c r="A85" t="s">
        <v>574</v>
      </c>
      <c r="B85" s="140">
        <f t="shared" ref="B85:K85" ca="1" si="5">B17</f>
        <v>0.86981151360007214</v>
      </c>
      <c r="C85" s="140">
        <f t="shared" ca="1" si="5"/>
        <v>0.75657206919124842</v>
      </c>
      <c r="D85" s="140">
        <f t="shared" ca="1" si="5"/>
        <v>0.65807509665077824</v>
      </c>
      <c r="E85" s="140">
        <f t="shared" ca="1" si="5"/>
        <v>0.57240129588032718</v>
      </c>
      <c r="F85" s="140">
        <f t="shared" ca="1" si="5"/>
        <v>0.49788123755631009</v>
      </c>
      <c r="G85" s="140">
        <f t="shared" ca="1" si="5"/>
        <v>0.4330628328319312</v>
      </c>
      <c r="H85" s="140">
        <f t="shared" ca="1" si="5"/>
        <v>0.37668303810947701</v>
      </c>
      <c r="I85" s="140">
        <f t="shared" ca="1" si="5"/>
        <v>0.32764324352547786</v>
      </c>
      <c r="J85" s="140">
        <f t="shared" ca="1" si="5"/>
        <v>0.28498786557173289</v>
      </c>
      <c r="K85" s="140">
        <f t="shared" ca="1" si="5"/>
        <v>0.24788572671060288</v>
      </c>
      <c r="L85" s="51"/>
      <c r="M85" s="51"/>
      <c r="N85" s="51"/>
      <c r="O85" s="51"/>
      <c r="P85" s="51"/>
    </row>
    <row r="86" spans="1:16" x14ac:dyDescent="0.25">
      <c r="A86" t="s">
        <v>966</v>
      </c>
      <c r="B86" s="135">
        <f t="shared" ref="B86:K86" ca="1" si="6">B84*B85</f>
        <v>100218.32689148062</v>
      </c>
      <c r="C86" s="135">
        <f t="shared" ca="1" si="6"/>
        <v>105925.08536579713</v>
      </c>
      <c r="D86" s="135">
        <f t="shared" ca="1" si="6"/>
        <v>109477.46246154321</v>
      </c>
      <c r="E86" s="135">
        <f t="shared" ca="1" si="6"/>
        <v>110586.06555136309</v>
      </c>
      <c r="F86" s="135">
        <f t="shared" ca="1" si="6"/>
        <v>109116.57637917444</v>
      </c>
      <c r="G86" s="135">
        <f t="shared" ca="1" si="6"/>
        <v>105511.82285295613</v>
      </c>
      <c r="H86" s="135">
        <f t="shared" ca="1" si="6"/>
        <v>99449.74582090335</v>
      </c>
      <c r="I86" s="135">
        <f t="shared" ca="1" si="6"/>
        <v>91402.570818608481</v>
      </c>
      <c r="J86" s="135">
        <f t="shared" ca="1" si="6"/>
        <v>84297.039881453122</v>
      </c>
      <c r="K86" s="135">
        <f t="shared" ca="1" si="6"/>
        <v>77743.884763125301</v>
      </c>
      <c r="L86" s="35"/>
      <c r="M86" s="35"/>
      <c r="N86" s="35"/>
      <c r="O86" s="35"/>
      <c r="P86" s="35"/>
    </row>
    <row r="87" spans="1:16" x14ac:dyDescent="0.25">
      <c r="A87" t="s">
        <v>576</v>
      </c>
      <c r="B87" s="135">
        <f ca="1">SUM(B86:K86)</f>
        <v>993728.58078640501</v>
      </c>
    </row>
    <row r="89" spans="1:16" x14ac:dyDescent="0.25">
      <c r="A89" s="67" t="s">
        <v>1593</v>
      </c>
    </row>
    <row r="90" spans="1:16" x14ac:dyDescent="0.25">
      <c r="A90" t="s">
        <v>1594</v>
      </c>
      <c r="B90" s="135">
        <f>$B$24</f>
        <v>379056.89955394639</v>
      </c>
    </row>
    <row r="91" spans="1:16" x14ac:dyDescent="0.25">
      <c r="A91" t="s">
        <v>1595</v>
      </c>
      <c r="B91" s="135">
        <f>K81</f>
        <v>310789.46794457181</v>
      </c>
    </row>
    <row r="92" spans="1:16" x14ac:dyDescent="0.25">
      <c r="A92" t="s">
        <v>967</v>
      </c>
      <c r="B92" s="135">
        <f ca="1">B90-$B$12*B91</f>
        <v>332539.68313624524</v>
      </c>
    </row>
    <row r="93" spans="1:16" x14ac:dyDescent="0.25">
      <c r="A93" t="s">
        <v>968</v>
      </c>
      <c r="B93" s="135">
        <f ca="1">B92/$B$12+(B90*($E$8/$E$9)*($E$9-$B$12))/($B$12*($B$12-$E$8))</f>
        <v>2221754.4202202642</v>
      </c>
    </row>
    <row r="94" spans="1:16" x14ac:dyDescent="0.25">
      <c r="A94" t="s">
        <v>969</v>
      </c>
      <c r="B94" s="135">
        <f ca="1">B93*$B$26</f>
        <v>550741.20902879443</v>
      </c>
    </row>
    <row r="96" spans="1:16" x14ac:dyDescent="0.25">
      <c r="A96" s="67" t="s">
        <v>970</v>
      </c>
    </row>
    <row r="97" spans="1:2" x14ac:dyDescent="0.25">
      <c r="A97" t="s">
        <v>971</v>
      </c>
      <c r="B97" s="80">
        <f>'NVDA - Reconciliation FY'!B32</f>
        <v>88216.760000000009</v>
      </c>
    </row>
    <row r="98" spans="1:2" x14ac:dyDescent="0.25">
      <c r="A98" t="s">
        <v>972</v>
      </c>
      <c r="B98" s="135">
        <f ca="1">B87</f>
        <v>993728.58078640501</v>
      </c>
    </row>
    <row r="99" spans="1:2" x14ac:dyDescent="0.25">
      <c r="A99" t="s">
        <v>969</v>
      </c>
      <c r="B99" s="135">
        <f ca="1">B94</f>
        <v>550741.20902879443</v>
      </c>
    </row>
    <row r="100" spans="1:2" x14ac:dyDescent="0.25">
      <c r="A100" t="s">
        <v>973</v>
      </c>
      <c r="B100" s="135">
        <f ca="1">SUM(B97:B99)</f>
        <v>1632686.5498151993</v>
      </c>
    </row>
    <row r="101" spans="1:2" x14ac:dyDescent="0.25">
      <c r="A101" t="s">
        <v>974</v>
      </c>
      <c r="B101" s="135">
        <f ca="1">B19+B27</f>
        <v>1632686.5498151996</v>
      </c>
    </row>
    <row r="102" spans="1:2" x14ac:dyDescent="0.25">
      <c r="A102" t="s">
        <v>975</v>
      </c>
      <c r="B102" s="135">
        <f ca="1">B100-B101</f>
        <v>0</v>
      </c>
    </row>
    <row r="103" spans="1:2" x14ac:dyDescent="0.25">
      <c r="A103" t="s">
        <v>976</v>
      </c>
      <c r="B103" s="133" t="str">
        <f ca="1">IF(ABS(B102)&lt;MAX(1,ABS(B101)*0.0001),"OK - methods agree","MISMATCH - investigate")</f>
        <v>OK - methods agree</v>
      </c>
    </row>
    <row r="105" spans="1:2" x14ac:dyDescent="0.25">
      <c r="A105" s="67" t="s">
        <v>977</v>
      </c>
    </row>
    <row r="106" spans="1:2" x14ac:dyDescent="0.25">
      <c r="A106" t="s">
        <v>1016</v>
      </c>
      <c r="B106" s="111">
        <f>IFERROR(J16/I16-1,"n/a")</f>
        <v>6.0299999999999798E-2</v>
      </c>
    </row>
    <row r="107" spans="1:2" x14ac:dyDescent="0.25">
      <c r="A107" t="s">
        <v>1017</v>
      </c>
      <c r="B107" s="111">
        <f>IFERROR(K16/J16-1,"n/a")</f>
        <v>6.030000000000002E-2</v>
      </c>
    </row>
    <row r="108" spans="1:2" x14ac:dyDescent="0.25">
      <c r="A108" t="s">
        <v>978</v>
      </c>
      <c r="B108" s="111">
        <f>IFERROR(B107-B106,"n/a")</f>
        <v>2.2204460492503131E-16</v>
      </c>
    </row>
    <row r="109" spans="1:2" x14ac:dyDescent="0.25">
      <c r="A109" t="s">
        <v>1018</v>
      </c>
      <c r="B109" s="79">
        <f>'NVDA Forecast'!F111</f>
        <v>6.0300000000000006E-2</v>
      </c>
    </row>
    <row r="110" spans="1:2" x14ac:dyDescent="0.25">
      <c r="A110" t="s">
        <v>979</v>
      </c>
      <c r="B110" s="111">
        <f>$E$8</f>
        <v>6.0300000000000006E-2</v>
      </c>
    </row>
    <row r="111" spans="1:2" x14ac:dyDescent="0.25">
      <c r="A111" t="s">
        <v>980</v>
      </c>
      <c r="B111" s="111">
        <f>B109-B110</f>
        <v>0</v>
      </c>
    </row>
    <row r="112" spans="1:2" x14ac:dyDescent="0.25">
      <c r="A112" t="s">
        <v>1019</v>
      </c>
      <c r="B112" s="111">
        <f>IFERROR(J80/J82,"n/a")</f>
        <v>1.2196581243916214</v>
      </c>
    </row>
    <row r="113" spans="1:6" x14ac:dyDescent="0.25">
      <c r="A113" t="s">
        <v>1020</v>
      </c>
      <c r="B113" s="111">
        <f>IFERROR(K80/K82,"n/a")</f>
        <v>1.2196581243916214</v>
      </c>
    </row>
    <row r="114" spans="1:6" x14ac:dyDescent="0.25">
      <c r="A114" t="s">
        <v>978</v>
      </c>
      <c r="B114" s="111">
        <f>IFERROR(B113-B112,"n/a")</f>
        <v>0</v>
      </c>
    </row>
    <row r="115" spans="1:6" x14ac:dyDescent="0.25">
      <c r="A115" t="s">
        <v>976</v>
      </c>
      <c r="B115" s="133" t="str">
        <f>IF(AND(ABS(B108)&lt;0.005,ABS(B111)&lt;0.005,ABS(B114)&lt;0.005),"OK - steady state reached","NOT STEADY - see notes")</f>
        <v>OK - steady state reached</v>
      </c>
    </row>
    <row r="118" spans="1:6" x14ac:dyDescent="0.25">
      <c r="A118" s="67" t="s">
        <v>1602</v>
      </c>
    </row>
    <row r="119" spans="1:6" x14ac:dyDescent="0.25">
      <c r="A119" t="s">
        <v>1603</v>
      </c>
      <c r="B119" s="28">
        <f ca="1">$E$9*0.6</f>
        <v>8.9804619298097924E-2</v>
      </c>
      <c r="C119" s="28">
        <f ca="1">$E$9*0.8</f>
        <v>0.11973949239746391</v>
      </c>
      <c r="D119" s="28">
        <f ca="1">$E$9*1</f>
        <v>0.14967436549682989</v>
      </c>
      <c r="E119" s="28">
        <f ca="1">$E$9*1.2</f>
        <v>0.17960923859619585</v>
      </c>
      <c r="F119" s="28">
        <f ca="1">$E$9*1.4</f>
        <v>0.20954411169556184</v>
      </c>
    </row>
    <row r="120" spans="1:6" x14ac:dyDescent="0.25">
      <c r="A120" s="3">
        <f ca="1">$B$12+-0.015</f>
        <v>0.13467436549682987</v>
      </c>
      <c r="B120" s="26" cm="1">
        <f t="array" aca="1" ref="B120" ca="1">IFERROR(((SUMPRODUCT($B$16:$K$16,1/(1+$A120)^(COLUMN($B$16:$K$16)-COLUMN($B$16)+1))+$B$24*(1-$E$8/B$119)/($A120-$E$8)/(1+$A120)^10)*(1+$A120)^0.5+$B$32+$B$33+$B$34+$B$35+$B$36+$B$37)/$B$39,"")</f>
        <v>70.599581626415571</v>
      </c>
      <c r="C120" s="26" cm="1">
        <f t="array" aca="1" ref="C120" ca="1">IFERROR(((SUMPRODUCT($B$16:$K$16,1/(1+$A120)^(COLUMN($B$16:$K$16)-COLUMN($B$16)+1))+$B$24*(1-$E$8/C$119)/($A120-$E$8)/(1+$A120)^10)*(1+$A120)^0.5+$B$32+$B$33+$B$34+$B$35+$B$36+$B$37)/$B$39,"")</f>
        <v>81.244629001641968</v>
      </c>
      <c r="D120" s="26" cm="1">
        <f t="array" aca="1" ref="D120" ca="1">IFERROR(((SUMPRODUCT($B$16:$K$16,1/(1+$A120)^(COLUMN($B$16:$K$16)-COLUMN($B$16)+1))+$B$24*(1-$E$8/D$119)/($A120-$E$8)/(1+$A120)^10)*(1+$A120)^0.5+$B$32+$B$33+$B$34+$B$35+$B$36+$B$37)/$B$39,"")</f>
        <v>87.631657426777764</v>
      </c>
      <c r="E120" s="26" cm="1">
        <f t="array" aca="1" ref="E120" ca="1">IFERROR(((SUMPRODUCT($B$16:$K$16,1/(1+$A120)^(COLUMN($B$16:$K$16)-COLUMN($B$16)+1))+$B$24*(1-$E$8/E$119)/($A120-$E$8)/(1+$A120)^10)*(1+$A120)^0.5+$B$32+$B$33+$B$34+$B$35+$B$36+$B$37)/$B$39,"")</f>
        <v>91.889676376868323</v>
      </c>
      <c r="F120" s="26" cm="1">
        <f t="array" aca="1" ref="F120" ca="1">IFERROR(((SUMPRODUCT($B$16:$K$16,1/(1+$A120)^(COLUMN($B$16:$K$16)-COLUMN($B$16)+1))+$B$24*(1-$E$8/F$119)/($A120-$E$8)/(1+$A120)^10)*(1+$A120)^0.5+$B$32+$B$33+$B$34+$B$35+$B$36+$B$37)/$B$39,"")</f>
        <v>94.931118484075867</v>
      </c>
    </row>
    <row r="121" spans="1:6" x14ac:dyDescent="0.25">
      <c r="A121" s="3">
        <f ca="1">$B$12+-0.0075</f>
        <v>0.14217436549682988</v>
      </c>
      <c r="B121" s="26" cm="1">
        <f t="array" aca="1" ref="B121" ca="1">IFERROR(((SUMPRODUCT($B$16:$K$16,1/(1+$A121)^(COLUMN($B$16:$K$16)-COLUMN($B$16)+1))+$B$24*(1-$E$8/B$119)/($A121-$E$8)/(1+$A121)^10)*(1+$A121)^0.5+$B$32+$B$33+$B$34+$B$35+$B$36+$B$37)/$B$39,"")</f>
        <v>66.006857404586199</v>
      </c>
      <c r="C121" s="26" cm="1">
        <f t="array" aca="1" ref="C121" ca="1">IFERROR(((SUMPRODUCT($B$16:$K$16,1/(1+$A121)^(COLUMN($B$16:$K$16)-COLUMN($B$16)+1))+$B$24*(1-$E$8/C$119)/($A121-$E$8)/(1+$A121)^10)*(1+$A121)^0.5+$B$32+$B$33+$B$34+$B$35+$B$36+$B$37)/$B$39,"")</f>
        <v>75.090119664653741</v>
      </c>
      <c r="D121" s="26" cm="1">
        <f t="array" aca="1" ref="D121" ca="1">IFERROR(((SUMPRODUCT($B$16:$K$16,1/(1+$A121)^(COLUMN($B$16:$K$16)-COLUMN($B$16)+1))+$B$24*(1-$E$8/D$119)/($A121-$E$8)/(1+$A121)^10)*(1+$A121)^0.5+$B$32+$B$33+$B$34+$B$35+$B$36+$B$37)/$B$39,"")</f>
        <v>80.54007702069427</v>
      </c>
      <c r="E121" s="26" cm="1">
        <f t="array" aca="1" ref="E121" ca="1">IFERROR(((SUMPRODUCT($B$16:$K$16,1/(1+$A121)^(COLUMN($B$16:$K$16)-COLUMN($B$16)+1))+$B$24*(1-$E$8/E$119)/($A121-$E$8)/(1+$A121)^10)*(1+$A121)^0.5+$B$32+$B$33+$B$34+$B$35+$B$36+$B$37)/$B$39,"")</f>
        <v>84.173381924721269</v>
      </c>
      <c r="F121" s="26" cm="1">
        <f t="array" aca="1" ref="F121" ca="1">IFERROR(((SUMPRODUCT($B$16:$K$16,1/(1+$A121)^(COLUMN($B$16:$K$16)-COLUMN($B$16)+1))+$B$24*(1-$E$8/F$119)/($A121-$E$8)/(1+$A121)^10)*(1+$A121)^0.5+$B$32+$B$33+$B$34+$B$35+$B$36+$B$37)/$B$39,"")</f>
        <v>86.768599713312</v>
      </c>
    </row>
    <row r="122" spans="1:6" x14ac:dyDescent="0.25">
      <c r="A122" s="3">
        <f ca="1">$B$12+0</f>
        <v>0.14967436549682989</v>
      </c>
      <c r="B122" s="26" cm="1">
        <f t="array" aca="1" ref="B122" ca="1">IFERROR(((SUMPRODUCT($B$16:$K$16,1/(1+$A122)^(COLUMN($B$16:$K$16)-COLUMN($B$16)+1))+$B$24*(1-$E$8/B$119)/($A122-$E$8)/(1+$A122)^10)*(1+$A122)^0.5+$B$32+$B$33+$B$34+$B$35+$B$36+$B$37)/$B$39,"")</f>
        <v>62.071168388752369</v>
      </c>
      <c r="C122" s="26" cm="1">
        <f t="array" aca="1" ref="C122" ca="1">IFERROR(((SUMPRODUCT($B$16:$K$16,1/(1+$A122)^(COLUMN($B$16:$K$16)-COLUMN($B$16)+1))+$B$24*(1-$E$8/C$119)/($A122-$E$8)/(1+$A122)^10)*(1+$A122)^0.5+$B$32+$B$33+$B$34+$B$35+$B$36+$B$37)/$B$39,"")</f>
        <v>69.890572492066184</v>
      </c>
      <c r="D122" s="235" cm="1">
        <f t="array" aca="1" ref="D122" ca="1">IFERROR(((SUMPRODUCT($B$16:$K$16,1/(1+$A122)^(COLUMN($B$16:$K$16)-COLUMN($B$16)+1))+$B$24*(1-$E$8/D$119)/($A122-$E$8)/(1+$A122)^10)*(1+$A122)^0.5+$B$32+$B$33+$B$34+$B$35+$B$36+$B$37)/$B$39,"")</f>
        <v>74.58221495405445</v>
      </c>
      <c r="E122" s="26" cm="1">
        <f t="array" aca="1" ref="E122" ca="1">IFERROR(((SUMPRODUCT($B$16:$K$16,1/(1+$A122)^(COLUMN($B$16:$K$16)-COLUMN($B$16)+1))+$B$24*(1-$E$8/E$119)/($A122-$E$8)/(1+$A122)^10)*(1+$A122)^0.5+$B$32+$B$33+$B$34+$B$35+$B$36+$B$37)/$B$39,"")</f>
        <v>77.70997659537997</v>
      </c>
      <c r="F122" s="26" cm="1">
        <f t="array" aca="1" ref="F122" ca="1">IFERROR(((SUMPRODUCT($B$16:$K$16,1/(1+$A122)^(COLUMN($B$16:$K$16)-COLUMN($B$16)+1))+$B$24*(1-$E$8/F$119)/($A122-$E$8)/(1+$A122)^10)*(1+$A122)^0.5+$B$32+$B$33+$B$34+$B$35+$B$36+$B$37)/$B$39,"")</f>
        <v>79.944092053469632</v>
      </c>
    </row>
    <row r="123" spans="1:6" x14ac:dyDescent="0.25">
      <c r="A123" s="3">
        <f ca="1">$B$12+0.0075</f>
        <v>0.15717436549682989</v>
      </c>
      <c r="B123" s="26" cm="1">
        <f t="array" aca="1" ref="B123" ca="1">IFERROR(((SUMPRODUCT($B$16:$K$16,1/(1+$A123)^(COLUMN($B$16:$K$16)-COLUMN($B$16)+1))+$B$24*(1-$E$8/B$119)/($A123-$E$8)/(1+$A123)^10)*(1+$A123)^0.5+$B$32+$B$33+$B$34+$B$35+$B$36+$B$37)/$B$39,"")</f>
        <v>58.648068949876311</v>
      </c>
      <c r="C123" s="26" cm="1">
        <f t="array" aca="1" ref="C123" ca="1">IFERROR(((SUMPRODUCT($B$16:$K$16,1/(1+$A123)^(COLUMN($B$16:$K$16)-COLUMN($B$16)+1))+$B$24*(1-$E$8/C$119)/($A123-$E$8)/(1+$A123)^10)*(1+$A123)^0.5+$B$32+$B$33+$B$34+$B$35+$B$36+$B$37)/$B$39,"")</f>
        <v>65.429950072132641</v>
      </c>
      <c r="D123" s="26" cm="1">
        <f t="array" aca="1" ref="D123" ca="1">IFERROR(((SUMPRODUCT($B$16:$K$16,1/(1+$A123)^(COLUMN($B$16:$K$16)-COLUMN($B$16)+1))+$B$24*(1-$E$8/D$119)/($A123-$E$8)/(1+$A123)^10)*(1+$A123)^0.5+$B$32+$B$33+$B$34+$B$35+$B$36+$B$37)/$B$39,"")</f>
        <v>69.499078745486429</v>
      </c>
      <c r="E123" s="26" cm="1">
        <f t="array" aca="1" ref="E123" ca="1">IFERROR(((SUMPRODUCT($B$16:$K$16,1/(1+$A123)^(COLUMN($B$16:$K$16)-COLUMN($B$16)+1))+$B$24*(1-$E$8/E$119)/($A123-$E$8)/(1+$A123)^10)*(1+$A123)^0.5+$B$32+$B$33+$B$34+$B$35+$B$36+$B$37)/$B$39,"")</f>
        <v>72.211831194388949</v>
      </c>
      <c r="F123" s="26" cm="1">
        <f t="array" aca="1" ref="F123" ca="1">IFERROR(((SUMPRODUCT($B$16:$K$16,1/(1+$A123)^(COLUMN($B$16:$K$16)-COLUMN($B$16)+1))+$B$24*(1-$E$8/F$119)/($A123-$E$8)/(1+$A123)^10)*(1+$A123)^0.5+$B$32+$B$33+$B$34+$B$35+$B$36+$B$37)/$B$39,"")</f>
        <v>74.149511515033609</v>
      </c>
    </row>
    <row r="124" spans="1:6" x14ac:dyDescent="0.25">
      <c r="A124" s="3">
        <f ca="1">$B$12+0.015</f>
        <v>0.1646743654968299</v>
      </c>
      <c r="B124" s="26" cm="1">
        <f t="array" aca="1" ref="B124" ca="1">IFERROR(((SUMPRODUCT($B$16:$K$16,1/(1+$A124)^(COLUMN($B$16:$K$16)-COLUMN($B$16)+1))+$B$24*(1-$E$8/B$119)/($A124-$E$8)/(1+$A124)^10)*(1+$A124)^0.5+$B$32+$B$33+$B$34+$B$35+$B$36+$B$37)/$B$39,"")</f>
        <v>55.634018375592312</v>
      </c>
      <c r="C124" s="26" cm="1">
        <f t="array" aca="1" ref="C124" ca="1">IFERROR(((SUMPRODUCT($B$16:$K$16,1/(1+$A124)^(COLUMN($B$16:$K$16)-COLUMN($B$16)+1))+$B$24*(1-$E$8/C$119)/($A124-$E$8)/(1+$A124)^10)*(1+$A124)^0.5+$B$32+$B$33+$B$34+$B$35+$B$36+$B$37)/$B$39,"")</f>
        <v>61.553871439186274</v>
      </c>
      <c r="D124" s="26" cm="1">
        <f t="array" aca="1" ref="D124" ca="1">IFERROR(((SUMPRODUCT($B$16:$K$16,1/(1+$A124)^(COLUMN($B$16:$K$16)-COLUMN($B$16)+1))+$B$24*(1-$E$8/D$119)/($A124-$E$8)/(1+$A124)^10)*(1+$A124)^0.5+$B$32+$B$33+$B$34+$B$35+$B$36+$B$37)/$B$39,"")</f>
        <v>65.105783277342667</v>
      </c>
      <c r="E124" s="26" cm="1">
        <f t="array" aca="1" ref="E124" ca="1">IFERROR(((SUMPRODUCT($B$16:$K$16,1/(1+$A124)^(COLUMN($B$16:$K$16)-COLUMN($B$16)+1))+$B$24*(1-$E$8/E$119)/($A124-$E$8)/(1+$A124)^10)*(1+$A124)^0.5+$B$32+$B$33+$B$34+$B$35+$B$36+$B$37)/$B$39,"")</f>
        <v>67.473724502780257</v>
      </c>
      <c r="F124" s="26" cm="1">
        <f t="array" aca="1" ref="F124" ca="1">IFERROR(((SUMPRODUCT($B$16:$K$16,1/(1+$A124)^(COLUMN($B$16:$K$16)-COLUMN($B$16)+1))+$B$24*(1-$E$8/F$119)/($A124-$E$8)/(1+$A124)^10)*(1+$A124)^0.5+$B$32+$B$33+$B$34+$B$35+$B$36+$B$37)/$B$39,"")</f>
        <v>69.165111092378524</v>
      </c>
    </row>
    <row r="127" spans="1:6" x14ac:dyDescent="0.25">
      <c r="A127" s="67" t="s">
        <v>1604</v>
      </c>
    </row>
    <row r="128" spans="1:6" x14ac:dyDescent="0.25">
      <c r="A128" t="s">
        <v>1605</v>
      </c>
      <c r="B128" s="28">
        <f>$B$22+-0.04</f>
        <v>0.55797084025030597</v>
      </c>
      <c r="C128" s="28">
        <f>$B$22+-0.02</f>
        <v>0.57797084025030598</v>
      </c>
      <c r="D128" s="28">
        <f>$B$22+0</f>
        <v>0.597970840250306</v>
      </c>
      <c r="E128" s="28">
        <f>$B$22+0.02</f>
        <v>0.61797084025030602</v>
      </c>
      <c r="F128" s="28">
        <f>$B$22+0.04</f>
        <v>0.63797084025030604</v>
      </c>
    </row>
    <row r="129" spans="1:6" x14ac:dyDescent="0.25">
      <c r="A129" s="3">
        <f ca="1">$B$12+-0.015</f>
        <v>0.13467436549682987</v>
      </c>
      <c r="B129" s="26" cm="1">
        <f t="array" aca="1" ref="B129" ca="1">IFERROR(((SUMPRODUCT($B$16:$K$16,1/(1+$A129)^(COLUMN($B$16:$K$16)-COLUMN($B$16)+1))+($B$23*B$128*(1-'NVDA Forecast'!$B$2))*(1-$E$8/$E$9)/($A129-$E$8)/(1+$A129)^10)*(1+$A129)^0.5+$B$32+$B$33+$B$34+$B$35+$B$36+$B$37)/$B$39,"")</f>
        <v>85.098661539017613</v>
      </c>
      <c r="C129" s="26" cm="1">
        <f t="array" aca="1" ref="C129" ca="1">IFERROR(((SUMPRODUCT($B$16:$K$16,1/(1+$A129)^(COLUMN($B$16:$K$16)-COLUMN($B$16)+1))+($B$23*C$128*(1-'NVDA Forecast'!$B$2))*(1-$E$8/$E$9)/($A129-$E$8)/(1+$A129)^10)*(1+$A129)^0.5+$B$32+$B$33+$B$34+$B$35+$B$36+$B$37)/$B$39,"")</f>
        <v>86.365159482897681</v>
      </c>
      <c r="D129" s="26" cm="1">
        <f t="array" aca="1" ref="D129" ca="1">IFERROR(((SUMPRODUCT($B$16:$K$16,1/(1+$A129)^(COLUMN($B$16:$K$16)-COLUMN($B$16)+1))+($B$23*D$128*(1-'NVDA Forecast'!$B$2))*(1-$E$8/$E$9)/($A129-$E$8)/(1+$A129)^10)*(1+$A129)^0.5+$B$32+$B$33+$B$34+$B$35+$B$36+$B$37)/$B$39,"")</f>
        <v>87.631657426777764</v>
      </c>
      <c r="E129" s="26" cm="1">
        <f t="array" aca="1" ref="E129" ca="1">IFERROR(((SUMPRODUCT($B$16:$K$16,1/(1+$A129)^(COLUMN($B$16:$K$16)-COLUMN($B$16)+1))+($B$23*E$128*(1-'NVDA Forecast'!$B$2))*(1-$E$8/$E$9)/($A129-$E$8)/(1+$A129)^10)*(1+$A129)^0.5+$B$32+$B$33+$B$34+$B$35+$B$36+$B$37)/$B$39,"")</f>
        <v>88.898155370657847</v>
      </c>
      <c r="F129" s="26" cm="1">
        <f t="array" aca="1" ref="F129" ca="1">IFERROR(((SUMPRODUCT($B$16:$K$16,1/(1+$A129)^(COLUMN($B$16:$K$16)-COLUMN($B$16)+1))+($B$23*F$128*(1-'NVDA Forecast'!$B$2))*(1-$E$8/$E$9)/($A129-$E$8)/(1+$A129)^10)*(1+$A129)^0.5+$B$32+$B$33+$B$34+$B$35+$B$36+$B$37)/$B$39,"")</f>
        <v>90.164653314537958</v>
      </c>
    </row>
    <row r="130" spans="1:6" x14ac:dyDescent="0.25">
      <c r="A130" s="3">
        <f ca="1">$B$12+-0.0075</f>
        <v>0.14217436549682988</v>
      </c>
      <c r="B130" s="26" cm="1">
        <f t="array" aca="1" ref="B130" ca="1">IFERROR(((SUMPRODUCT($B$16:$K$16,1/(1+$A130)^(COLUMN($B$16:$K$16)-COLUMN($B$16)+1))+($B$23*B$128*(1-'NVDA Forecast'!$B$2))*(1-$E$8/$E$9)/($A130-$E$8)/(1+$A130)^10)*(1+$A130)^0.5+$B$32+$B$33+$B$34+$B$35+$B$36+$B$37)/$B$39,"")</f>
        <v>78.378708908257011</v>
      </c>
      <c r="C130" s="26" cm="1">
        <f t="array" aca="1" ref="C130" ca="1">IFERROR(((SUMPRODUCT($B$16:$K$16,1/(1+$A130)^(COLUMN($B$16:$K$16)-COLUMN($B$16)+1))+($B$23*C$128*(1-'NVDA Forecast'!$B$2))*(1-$E$8/$E$9)/($A130-$E$8)/(1+$A130)^10)*(1+$A130)^0.5+$B$32+$B$33+$B$34+$B$35+$B$36+$B$37)/$B$39,"")</f>
        <v>79.45939296447564</v>
      </c>
      <c r="D130" s="26" cm="1">
        <f t="array" aca="1" ref="D130" ca="1">IFERROR(((SUMPRODUCT($B$16:$K$16,1/(1+$A130)^(COLUMN($B$16:$K$16)-COLUMN($B$16)+1))+($B$23*D$128*(1-'NVDA Forecast'!$B$2))*(1-$E$8/$E$9)/($A130-$E$8)/(1+$A130)^10)*(1+$A130)^0.5+$B$32+$B$33+$B$34+$B$35+$B$36+$B$37)/$B$39,"")</f>
        <v>80.54007702069427</v>
      </c>
      <c r="E130" s="26" cm="1">
        <f t="array" aca="1" ref="E130" ca="1">IFERROR(((SUMPRODUCT($B$16:$K$16,1/(1+$A130)^(COLUMN($B$16:$K$16)-COLUMN($B$16)+1))+($B$23*E$128*(1-'NVDA Forecast'!$B$2))*(1-$E$8/$E$9)/($A130-$E$8)/(1+$A130)^10)*(1+$A130)^0.5+$B$32+$B$33+$B$34+$B$35+$B$36+$B$37)/$B$39,"")</f>
        <v>81.620761076912885</v>
      </c>
      <c r="F130" s="26" cm="1">
        <f t="array" aca="1" ref="F130" ca="1">IFERROR(((SUMPRODUCT($B$16:$K$16,1/(1+$A130)^(COLUMN($B$16:$K$16)-COLUMN($B$16)+1))+($B$23*F$128*(1-'NVDA Forecast'!$B$2))*(1-$E$8/$E$9)/($A130-$E$8)/(1+$A130)^10)*(1+$A130)^0.5+$B$32+$B$33+$B$34+$B$35+$B$36+$B$37)/$B$39,"")</f>
        <v>82.701445133131514</v>
      </c>
    </row>
    <row r="131" spans="1:6" x14ac:dyDescent="0.25">
      <c r="A131" s="3">
        <f ca="1">$B$12+0</f>
        <v>0.14967436549682989</v>
      </c>
      <c r="B131" s="26" cm="1">
        <f t="array" aca="1" ref="B131" ca="1">IFERROR(((SUMPRODUCT($B$16:$K$16,1/(1+$A131)^(COLUMN($B$16:$K$16)-COLUMN($B$16)+1))+($B$23*B$128*(1-'NVDA Forecast'!$B$2))*(1-$E$8/$E$9)/($A131-$E$8)/(1+$A131)^10)*(1+$A131)^0.5+$B$32+$B$33+$B$34+$B$35+$B$36+$B$37)/$B$39,"")</f>
        <v>72.721582705059163</v>
      </c>
      <c r="C131" s="26" cm="1">
        <f t="array" aca="1" ref="C131" ca="1">IFERROR(((SUMPRODUCT($B$16:$K$16,1/(1+$A131)^(COLUMN($B$16:$K$16)-COLUMN($B$16)+1))+($B$23*C$128*(1-'NVDA Forecast'!$B$2))*(1-$E$8/$E$9)/($A131-$E$8)/(1+$A131)^10)*(1+$A131)^0.5+$B$32+$B$33+$B$34+$B$35+$B$36+$B$37)/$B$39,"")</f>
        <v>73.651898829556814</v>
      </c>
      <c r="D131" s="235" cm="1">
        <f t="array" aca="1" ref="D131" ca="1">IFERROR(((SUMPRODUCT($B$16:$K$16,1/(1+$A131)^(COLUMN($B$16:$K$16)-COLUMN($B$16)+1))+($B$23*D$128*(1-'NVDA Forecast'!$B$2))*(1-$E$8/$E$9)/($A131-$E$8)/(1+$A131)^10)*(1+$A131)^0.5+$B$32+$B$33+$B$34+$B$35+$B$36+$B$37)/$B$39,"")</f>
        <v>74.58221495405445</v>
      </c>
      <c r="E131" s="26" cm="1">
        <f t="array" aca="1" ref="E131" ca="1">IFERROR(((SUMPRODUCT($B$16:$K$16,1/(1+$A131)^(COLUMN($B$16:$K$16)-COLUMN($B$16)+1))+($B$23*E$128*(1-'NVDA Forecast'!$B$2))*(1-$E$8/$E$9)/($A131-$E$8)/(1+$A131)^10)*(1+$A131)^0.5+$B$32+$B$33+$B$34+$B$35+$B$36+$B$37)/$B$39,"")</f>
        <v>75.512531078552101</v>
      </c>
      <c r="F131" s="26" cm="1">
        <f t="array" aca="1" ref="F131" ca="1">IFERROR(((SUMPRODUCT($B$16:$K$16,1/(1+$A131)^(COLUMN($B$16:$K$16)-COLUMN($B$16)+1))+($B$23*F$128*(1-'NVDA Forecast'!$B$2))*(1-$E$8/$E$9)/($A131-$E$8)/(1+$A131)^10)*(1+$A131)^0.5+$B$32+$B$33+$B$34+$B$35+$B$36+$B$37)/$B$39,"")</f>
        <v>76.442847203049737</v>
      </c>
    </row>
    <row r="132" spans="1:6" x14ac:dyDescent="0.25">
      <c r="A132" s="3">
        <f ca="1">$B$12+0.0075</f>
        <v>0.15717436549682989</v>
      </c>
      <c r="B132" s="26" cm="1">
        <f t="array" aca="1" ref="B132" ca="1">IFERROR(((SUMPRODUCT($B$16:$K$16,1/(1+$A132)^(COLUMN($B$16:$K$16)-COLUMN($B$16)+1))+($B$23*B$128*(1-'NVDA Forecast'!$B$2))*(1-$E$8/$E$9)/($A132-$E$8)/(1+$A132)^10)*(1+$A132)^0.5+$B$32+$B$33+$B$34+$B$35+$B$36+$B$37)/$B$39,"")</f>
        <v>67.885325758916167</v>
      </c>
      <c r="C132" s="26" cm="1">
        <f t="array" aca="1" ref="C132" ca="1">IFERROR(((SUMPRODUCT($B$16:$K$16,1/(1+$A132)^(COLUMN($B$16:$K$16)-COLUMN($B$16)+1))+($B$23*C$128*(1-'NVDA Forecast'!$B$2))*(1-$E$8/$E$9)/($A132-$E$8)/(1+$A132)^10)*(1+$A132)^0.5+$B$32+$B$33+$B$34+$B$35+$B$36+$B$37)/$B$39,"")</f>
        <v>68.692202252201298</v>
      </c>
      <c r="D132" s="26" cm="1">
        <f t="array" aca="1" ref="D132" ca="1">IFERROR(((SUMPRODUCT($B$16:$K$16,1/(1+$A132)^(COLUMN($B$16:$K$16)-COLUMN($B$16)+1))+($B$23*D$128*(1-'NVDA Forecast'!$B$2))*(1-$E$8/$E$9)/($A132-$E$8)/(1+$A132)^10)*(1+$A132)^0.5+$B$32+$B$33+$B$34+$B$35+$B$36+$B$37)/$B$39,"")</f>
        <v>69.499078745486429</v>
      </c>
      <c r="E132" s="26" cm="1">
        <f t="array" aca="1" ref="E132" ca="1">IFERROR(((SUMPRODUCT($B$16:$K$16,1/(1+$A132)^(COLUMN($B$16:$K$16)-COLUMN($B$16)+1))+($B$23*E$128*(1-'NVDA Forecast'!$B$2))*(1-$E$8/$E$9)/($A132-$E$8)/(1+$A132)^10)*(1+$A132)^0.5+$B$32+$B$33+$B$34+$B$35+$B$36+$B$37)/$B$39,"")</f>
        <v>70.305955238771574</v>
      </c>
      <c r="F132" s="26" cm="1">
        <f t="array" aca="1" ref="F132" ca="1">IFERROR(((SUMPRODUCT($B$16:$K$16,1/(1+$A132)^(COLUMN($B$16:$K$16)-COLUMN($B$16)+1))+($B$23*F$128*(1-'NVDA Forecast'!$B$2))*(1-$E$8/$E$9)/($A132-$E$8)/(1+$A132)^10)*(1+$A132)^0.5+$B$32+$B$33+$B$34+$B$35+$B$36+$B$37)/$B$39,"")</f>
        <v>71.112831732056691</v>
      </c>
    </row>
    <row r="133" spans="1:6" x14ac:dyDescent="0.25">
      <c r="A133" s="3">
        <f ca="1">$B$12+0.015</f>
        <v>0.1646743654968299</v>
      </c>
      <c r="B133" s="26" cm="1">
        <f t="array" aca="1" ref="B133" ca="1">IFERROR(((SUMPRODUCT($B$16:$K$16,1/(1+$A133)^(COLUMN($B$16:$K$16)-COLUMN($B$16)+1))+($B$23*B$128*(1-'NVDA Forecast'!$B$2))*(1-$E$8/$E$9)/($A133-$E$8)/(1+$A133)^10)*(1+$A133)^0.5+$B$32+$B$33+$B$34+$B$35+$B$36+$B$37)/$B$39,"")</f>
        <v>63.697150423239556</v>
      </c>
      <c r="C133" s="26" cm="1">
        <f t="array" aca="1" ref="C133" ca="1">IFERROR(((SUMPRODUCT($B$16:$K$16,1/(1+$A133)^(COLUMN($B$16:$K$16)-COLUMN($B$16)+1))+($B$23*C$128*(1-'NVDA Forecast'!$B$2))*(1-$E$8/$E$9)/($A133-$E$8)/(1+$A133)^10)*(1+$A133)^0.5+$B$32+$B$33+$B$34+$B$35+$B$36+$B$37)/$B$39,"")</f>
        <v>64.401466850291115</v>
      </c>
      <c r="D133" s="26" cm="1">
        <f t="array" aca="1" ref="D133" ca="1">IFERROR(((SUMPRODUCT($B$16:$K$16,1/(1+$A133)^(COLUMN($B$16:$K$16)-COLUMN($B$16)+1))+($B$23*D$128*(1-'NVDA Forecast'!$B$2))*(1-$E$8/$E$9)/($A133-$E$8)/(1+$A133)^10)*(1+$A133)^0.5+$B$32+$B$33+$B$34+$B$35+$B$36+$B$37)/$B$39,"")</f>
        <v>65.105783277342667</v>
      </c>
      <c r="E133" s="26" cm="1">
        <f t="array" aca="1" ref="E133" ca="1">IFERROR(((SUMPRODUCT($B$16:$K$16,1/(1+$A133)^(COLUMN($B$16:$K$16)-COLUMN($B$16)+1))+($B$23*E$128*(1-'NVDA Forecast'!$B$2))*(1-$E$8/$E$9)/($A133-$E$8)/(1+$A133)^10)*(1+$A133)^0.5+$B$32+$B$33+$B$34+$B$35+$B$36+$B$37)/$B$39,"")</f>
        <v>65.810099704394204</v>
      </c>
      <c r="F133" s="26" cm="1">
        <f t="array" aca="1" ref="F133" ca="1">IFERROR(((SUMPRODUCT($B$16:$K$16,1/(1+$A133)^(COLUMN($B$16:$K$16)-COLUMN($B$16)+1))+($B$23*F$128*(1-'NVDA Forecast'!$B$2))*(1-$E$8/$E$9)/($A133-$E$8)/(1+$A133)^10)*(1+$A133)^0.5+$B$32+$B$33+$B$34+$B$35+$B$36+$B$37)/$B$39,"")</f>
        <v>66.51441613144577</v>
      </c>
    </row>
    <row r="136" spans="1:6" x14ac:dyDescent="0.25">
      <c r="A136" s="233" t="s">
        <v>1606</v>
      </c>
    </row>
    <row r="137" spans="1:6" x14ac:dyDescent="0.25">
      <c r="A137" t="s">
        <v>569</v>
      </c>
      <c r="B137" s="28">
        <v>0</v>
      </c>
      <c r="C137" s="28">
        <v>0.05</v>
      </c>
      <c r="D137" s="28">
        <v>0.1</v>
      </c>
      <c r="E137" s="28">
        <v>0.15</v>
      </c>
      <c r="F137" s="28">
        <v>0.2</v>
      </c>
    </row>
    <row r="138" spans="1:6" x14ac:dyDescent="0.25">
      <c r="A138" t="s">
        <v>1607</v>
      </c>
      <c r="B138" s="165">
        <v>41.176144079865303</v>
      </c>
      <c r="C138" s="165">
        <v>46.395637433460102</v>
      </c>
      <c r="D138" s="165">
        <v>52.2647027055989</v>
      </c>
      <c r="E138" s="165">
        <v>58.849253580625302</v>
      </c>
      <c r="F138" s="165">
        <v>66.220267265277897</v>
      </c>
    </row>
    <row r="139" spans="1:6" x14ac:dyDescent="0.25">
      <c r="A139" s="234" t="s">
        <v>1608</v>
      </c>
    </row>
  </sheetData>
  <conditionalFormatting sqref="B71:F75">
    <cfRule type="colorScale" priority="1">
      <colorScale>
        <cfvo type="min"/>
        <cfvo type="percentile" val="50"/>
        <cfvo type="max"/>
        <color rgb="FFF8696B"/>
        <color rgb="FFFFEB84"/>
        <color rgb="FF63BE7B"/>
      </colorScale>
    </cfRule>
  </conditionalFormatting>
  <conditionalFormatting sqref="B120:F124">
    <cfRule type="colorScale" priority="2">
      <colorScale>
        <cfvo type="min"/>
        <cfvo type="percentile" val="50"/>
        <cfvo type="max"/>
        <color rgb="FFF8696B"/>
        <color rgb="FFFFEB84"/>
        <color rgb="FF63BE7B"/>
      </colorScale>
    </cfRule>
  </conditionalFormatting>
  <conditionalFormatting sqref="B129:F133">
    <cfRule type="colorScale" priority="3">
      <colorScale>
        <cfvo type="min"/>
        <cfvo type="percentile" val="50"/>
        <cfvo type="max"/>
        <color rgb="FFF8696B"/>
        <color rgb="FFFFEB84"/>
        <color rgb="FF63BE7B"/>
      </colorScale>
    </cfRule>
  </conditionalFormatting>
  <conditionalFormatting sqref="B138:F138">
    <cfRule type="colorScale" priority="4">
      <colorScale>
        <cfvo type="min"/>
        <cfvo type="percentile" val="50"/>
        <cfvo type="max"/>
        <color rgb="FFF8696B"/>
        <color rgb="FFFFEB84"/>
        <color rgb="FF63BE7B"/>
      </colorScale>
    </cfRule>
  </conditionalFormatting>
  <pageMargins left="0.7" right="0.7" top="0.75" bottom="0.75" header="0.3" footer="0.3"/>
  <drawing r:id="rId1"/>
  <legacyDrawing r:id="rId2"/>
</worksheet>
</file>

<file path=xl/worksheets/sheet8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1CE34A-CFE5-4A2F-884A-53CC27FA8068}">
  <sheetPr>
    <tabColor rgb="FFF4B7B7"/>
  </sheetPr>
  <dimension ref="A1:P139"/>
  <sheetViews>
    <sheetView topLeftCell="A15" workbookViewId="0"/>
  </sheetViews>
  <sheetFormatPr defaultRowHeight="15" x14ac:dyDescent="0.25"/>
  <cols>
    <col min="1" max="1" width="57.140625" customWidth="1"/>
    <col min="2" max="2" width="11.7109375" bestFit="1" customWidth="1"/>
  </cols>
  <sheetData>
    <row r="1" spans="1:16" ht="15.75" x14ac:dyDescent="0.25">
      <c r="A1" s="15" t="s">
        <v>598</v>
      </c>
    </row>
    <row r="3" spans="1:16" x14ac:dyDescent="0.25">
      <c r="A3" s="24" t="s">
        <v>568</v>
      </c>
      <c r="B3" s="24"/>
      <c r="C3" s="24"/>
      <c r="D3" s="24"/>
      <c r="E3" s="24"/>
      <c r="F3" s="24"/>
    </row>
    <row r="4" spans="1:16" x14ac:dyDescent="0.25">
      <c r="A4" t="s">
        <v>792</v>
      </c>
      <c r="B4" s="78" t="str">
        <f>'Valuation Dashboard'!G22</f>
        <v>Base</v>
      </c>
      <c r="C4" s="170">
        <f>MATCH($B$4,{"Base","Worst","Best"},0)</f>
        <v>1</v>
      </c>
    </row>
    <row r="5" spans="1:16" x14ac:dyDescent="0.25">
      <c r="A5" s="9" t="s">
        <v>449</v>
      </c>
      <c r="B5" s="9" t="s">
        <v>590</v>
      </c>
      <c r="C5" s="9" t="s">
        <v>591</v>
      </c>
      <c r="D5" s="9" t="s">
        <v>592</v>
      </c>
      <c r="E5" s="9" t="s">
        <v>593</v>
      </c>
    </row>
    <row r="6" spans="1:16" x14ac:dyDescent="0.25">
      <c r="A6" t="s">
        <v>569</v>
      </c>
      <c r="B6" s="76">
        <f>'Valuation Dashboard'!G23</f>
        <v>0.12</v>
      </c>
      <c r="C6" s="76">
        <f>'Valuation Dashboard'!$B$15</f>
        <v>0.01</v>
      </c>
      <c r="D6" s="76">
        <f>MAX($B$6,'Valuation Dashboard'!$B$16)</f>
        <v>0.154</v>
      </c>
      <c r="E6" s="134" cm="1">
        <f t="array" ref="E6">INDEX(B6:D6,$C$4)</f>
        <v>0.12</v>
      </c>
    </row>
    <row r="7" spans="1:16" x14ac:dyDescent="0.25">
      <c r="A7" t="s">
        <v>570</v>
      </c>
      <c r="B7" s="76">
        <f>'Valuation Dashboard'!$B$19</f>
        <v>0</v>
      </c>
      <c r="C7" s="76">
        <f>'Valuation Dashboard'!$G$224</f>
        <v>-5.9869949348120399E-2</v>
      </c>
      <c r="D7" s="76">
        <f>'Valuation Dashboard'!$G$225</f>
        <v>7.3818024446086206E-3</v>
      </c>
      <c r="E7" s="134" cm="1">
        <f t="array" ref="E7">INDEX(B7:D7,$C$4)</f>
        <v>0</v>
      </c>
    </row>
    <row r="8" spans="1:16" x14ac:dyDescent="0.25">
      <c r="A8" t="s">
        <v>605</v>
      </c>
      <c r="B8" s="76">
        <f>'META Rev Drivers &amp; Forecast'!$B$7+'META Rev Drivers &amp; Forecast'!$B$4</f>
        <v>6.0300000000000006E-2</v>
      </c>
      <c r="C8" s="76">
        <f>'META Rev Drivers &amp; Forecast'!$B$7+'META Rev Drivers &amp; Forecast'!$B$4-0.015</f>
        <v>4.5300000000000007E-2</v>
      </c>
      <c r="D8" s="76">
        <f>'META Rev Drivers &amp; Forecast'!$B$7+'META Rev Drivers &amp; Forecast'!$B$4</f>
        <v>6.0300000000000006E-2</v>
      </c>
      <c r="E8" s="134" cm="1">
        <f t="array" ref="E8">INDEX(B8:D8,$C$4)</f>
        <v>6.0300000000000006E-2</v>
      </c>
    </row>
    <row r="9" spans="1:16" x14ac:dyDescent="0.25">
      <c r="A9" t="s">
        <v>1552</v>
      </c>
      <c r="B9" s="76">
        <f>'Valuation Dashboard'!$G$206</f>
        <v>0.25826485235723745</v>
      </c>
      <c r="C9" s="76">
        <f>'Valuation Dashboard'!$G$206</f>
        <v>0.25826485235723745</v>
      </c>
      <c r="D9" s="76">
        <f>'Valuation Dashboard'!$G$206</f>
        <v>0.25826485235723745</v>
      </c>
      <c r="E9" s="134" cm="1">
        <f t="array" ref="E9">INDEX(B9:D9,$C$4)</f>
        <v>0.25826485235723745</v>
      </c>
    </row>
    <row r="10" spans="1:16" x14ac:dyDescent="0.25">
      <c r="A10" t="s">
        <v>1553</v>
      </c>
      <c r="B10" s="76">
        <f>'Valuation Dashboard'!$G$205</f>
        <v>0.15</v>
      </c>
    </row>
    <row r="11" spans="1:16" x14ac:dyDescent="0.25">
      <c r="A11" s="24" t="s">
        <v>571</v>
      </c>
      <c r="B11" s="24"/>
      <c r="C11" s="24"/>
      <c r="D11" s="24"/>
      <c r="E11" s="24"/>
      <c r="F11" s="24"/>
    </row>
    <row r="12" spans="1:16" x14ac:dyDescent="0.25">
      <c r="A12" t="s">
        <v>572</v>
      </c>
      <c r="B12" s="79">
        <f ca="1">WACC!H48</f>
        <v>9.345613080524226E-2</v>
      </c>
    </row>
    <row r="14" spans="1:16" x14ac:dyDescent="0.25">
      <c r="A14" s="24" t="s">
        <v>1014</v>
      </c>
      <c r="B14" s="24"/>
      <c r="C14" s="24"/>
      <c r="D14" s="24"/>
      <c r="E14" s="24"/>
      <c r="F14" s="24"/>
      <c r="G14" s="24"/>
      <c r="H14" s="24"/>
      <c r="I14" s="24"/>
      <c r="J14" s="24"/>
      <c r="K14" s="24"/>
      <c r="L14" s="24"/>
      <c r="M14" s="24"/>
      <c r="N14" s="24"/>
      <c r="O14" s="24"/>
      <c r="P14" s="24"/>
    </row>
    <row r="15" spans="1:16" x14ac:dyDescent="0.25">
      <c r="A15" s="9" t="s">
        <v>573</v>
      </c>
      <c r="B15" s="167">
        <f>'META Forecast'!B24</f>
        <v>46387</v>
      </c>
      <c r="C15" s="167">
        <f>'META Forecast'!C24</f>
        <v>46752</v>
      </c>
      <c r="D15" s="167">
        <f>'META Forecast'!D24</f>
        <v>47118</v>
      </c>
      <c r="E15" s="167">
        <f>'META Forecast'!E24</f>
        <v>47483</v>
      </c>
      <c r="F15" s="167">
        <f>'META Forecast'!F24</f>
        <v>47848</v>
      </c>
      <c r="G15" s="167">
        <f>'META Forecast'!B110</f>
        <v>48213</v>
      </c>
      <c r="H15" s="167">
        <f>'META Forecast'!C110</f>
        <v>48579</v>
      </c>
      <c r="I15" s="167">
        <f>'META Forecast'!D110</f>
        <v>48944</v>
      </c>
      <c r="J15" s="167">
        <f>'META Forecast'!E110</f>
        <v>49309</v>
      </c>
      <c r="K15" s="167">
        <f>'META Forecast'!F110</f>
        <v>49674</v>
      </c>
      <c r="L15" s="49"/>
      <c r="M15" s="49"/>
      <c r="N15" s="49"/>
      <c r="O15" s="49"/>
      <c r="P15" s="49"/>
    </row>
    <row r="16" spans="1:16" x14ac:dyDescent="0.25">
      <c r="A16" t="s">
        <v>270</v>
      </c>
      <c r="B16" s="109">
        <f>'META Forecast'!B73</f>
        <v>49755.31940502028</v>
      </c>
      <c r="C16" s="109">
        <f>'META Forecast'!C73</f>
        <v>57741.159333212512</v>
      </c>
      <c r="D16" s="109">
        <f>'META Forecast'!D73</f>
        <v>66332.787441696913</v>
      </c>
      <c r="E16" s="109">
        <f>'META Forecast'!E73</f>
        <v>75430.101457075158</v>
      </c>
      <c r="F16" s="109">
        <f>'META Forecast'!F73</f>
        <v>84900.418296634074</v>
      </c>
      <c r="G16" s="109">
        <f>'META Forecast'!B118</f>
        <v>95168.75050100575</v>
      </c>
      <c r="H16" s="109">
        <f>'META Forecast'!C118</f>
        <v>105421.46860218036</v>
      </c>
      <c r="I16" s="109">
        <f>'META Forecast'!D118</f>
        <v>115566.91704396525</v>
      </c>
      <c r="J16" s="109">
        <f>'META Forecast'!E118</f>
        <v>122535.60214171634</v>
      </c>
      <c r="K16" s="109">
        <f>'META Forecast'!F118</f>
        <v>129924.49895086186</v>
      </c>
      <c r="L16" s="26"/>
      <c r="M16" s="26"/>
      <c r="N16" s="26"/>
      <c r="O16" s="26"/>
      <c r="P16" s="26"/>
    </row>
    <row r="17" spans="1:16" x14ac:dyDescent="0.25">
      <c r="A17" t="s">
        <v>574</v>
      </c>
      <c r="B17" s="140">
        <f ca="1">1/(1+$B$12)^1</f>
        <v>0.91453143096246647</v>
      </c>
      <c r="C17" s="140">
        <f ca="1">1/(1+$B$12)^2</f>
        <v>0.8363677382182565</v>
      </c>
      <c r="D17" s="140">
        <f ca="1">1/(1+$B$12)^3</f>
        <v>0.76488458444358365</v>
      </c>
      <c r="E17" s="140">
        <f ca="1">1/(1+$B$12)^4</f>
        <v>0.69951099353232205</v>
      </c>
      <c r="F17" s="140">
        <f ca="1">1/(1+$B$12)^5</f>
        <v>0.63972478988909098</v>
      </c>
      <c r="G17" s="140">
        <f ca="1">1/(1+$B$12)^6</f>
        <v>0.58504842751943353</v>
      </c>
      <c r="H17" s="140">
        <f ca="1">1/(1+$B$12)^7</f>
        <v>0.53504517560168841</v>
      </c>
      <c r="I17" s="140">
        <f ca="1">1/(1+$B$12)^8</f>
        <v>0.48931563007257622</v>
      </c>
      <c r="J17" s="140">
        <f ca="1">1/(1+$B$12)^9</f>
        <v>0.44749452336257406</v>
      </c>
      <c r="K17" s="140">
        <f ca="1">1/(1+$B$12)^10</f>
        <v>0.40924780679864164</v>
      </c>
      <c r="L17" s="51"/>
      <c r="M17" s="51"/>
      <c r="N17" s="51"/>
      <c r="O17" s="51"/>
      <c r="P17" s="51"/>
    </row>
    <row r="18" spans="1:16" x14ac:dyDescent="0.25">
      <c r="A18" t="s">
        <v>575</v>
      </c>
      <c r="B18" s="119">
        <f t="shared" ref="B18:K18" ca="1" si="0">B16*B17</f>
        <v>45502.803453467772</v>
      </c>
      <c r="C18" s="119">
        <f t="shared" ca="1" si="0"/>
        <v>48292.842833618917</v>
      </c>
      <c r="D18" s="119">
        <f t="shared" ca="1" si="0"/>
        <v>50736.926557326908</v>
      </c>
      <c r="E18" s="119">
        <f t="shared" ca="1" si="0"/>
        <v>52764.185212482495</v>
      </c>
      <c r="F18" s="119">
        <f t="shared" ca="1" si="0"/>
        <v>54312.902256310168</v>
      </c>
      <c r="G18" s="119">
        <f t="shared" ca="1" si="0"/>
        <v>55678.327829602713</v>
      </c>
      <c r="H18" s="119">
        <f t="shared" ca="1" si="0"/>
        <v>56405.248180441471</v>
      </c>
      <c r="I18" s="119">
        <f t="shared" ca="1" si="0"/>
        <v>56548.698828913002</v>
      </c>
      <c r="J18" s="119">
        <f t="shared" ca="1" si="0"/>
        <v>54834.010875353364</v>
      </c>
      <c r="K18" s="119">
        <f t="shared" ca="1" si="0"/>
        <v>53171.316245052636</v>
      </c>
      <c r="L18" s="26"/>
      <c r="M18" s="26"/>
      <c r="N18" s="26"/>
      <c r="O18" s="26"/>
      <c r="P18" s="26"/>
    </row>
    <row r="19" spans="1:16" x14ac:dyDescent="0.25">
      <c r="A19" s="9" t="s">
        <v>576</v>
      </c>
      <c r="B19" s="147">
        <f ca="1">SUM(B18:K18)</f>
        <v>528247.26227256947</v>
      </c>
    </row>
    <row r="21" spans="1:16" x14ac:dyDescent="0.25">
      <c r="A21" s="24" t="s">
        <v>1015</v>
      </c>
      <c r="B21" s="24"/>
      <c r="C21" s="24"/>
      <c r="D21" s="24"/>
      <c r="E21" s="24"/>
      <c r="F21" s="24"/>
    </row>
    <row r="22" spans="1:16" x14ac:dyDescent="0.25">
      <c r="A22" t="s">
        <v>1596</v>
      </c>
      <c r="B22" s="113">
        <f>'META Forecast'!F113+$E$7</f>
        <v>0.41557544654374079</v>
      </c>
    </row>
    <row r="23" spans="1:16" x14ac:dyDescent="0.25">
      <c r="A23" t="s">
        <v>577</v>
      </c>
      <c r="B23" s="109">
        <f>'META Forecast'!F112*(1+$E$8)</f>
        <v>503211.27808127826</v>
      </c>
    </row>
    <row r="24" spans="1:16" x14ac:dyDescent="0.25">
      <c r="A24" t="s">
        <v>578</v>
      </c>
      <c r="B24" s="109">
        <f>B23*B22*(1-'META Forecast'!$B$2)</f>
        <v>165206.57875963426</v>
      </c>
    </row>
    <row r="25" spans="1:16" x14ac:dyDescent="0.25">
      <c r="A25" t="s">
        <v>579</v>
      </c>
      <c r="B25" s="119">
        <f ca="1">B24*(1-$E$8/$E$9)/($B$12-$E$8)</f>
        <v>3819322.0235591303</v>
      </c>
    </row>
    <row r="26" spans="1:16" x14ac:dyDescent="0.25">
      <c r="A26" t="s">
        <v>574</v>
      </c>
      <c r="B26" s="140">
        <f ca="1">1/(1+$B$12)^10</f>
        <v>0.40924780679864164</v>
      </c>
    </row>
    <row r="27" spans="1:16" x14ac:dyDescent="0.25">
      <c r="A27" t="s">
        <v>580</v>
      </c>
      <c r="B27" s="119">
        <f ca="1">B25*B26</f>
        <v>1563049.1615993241</v>
      </c>
    </row>
    <row r="28" spans="1:16" x14ac:dyDescent="0.25">
      <c r="A28" t="s">
        <v>607</v>
      </c>
      <c r="B28" s="134">
        <f ca="1">B27/(B19+B27)</f>
        <v>0.7474067969309891</v>
      </c>
    </row>
    <row r="29" spans="1:16" x14ac:dyDescent="0.25">
      <c r="A29" t="s">
        <v>606</v>
      </c>
      <c r="B29" s="140">
        <f ca="1">(1+$B$12)^0.5</f>
        <v>1.0456845273815818</v>
      </c>
    </row>
    <row r="30" spans="1:16" x14ac:dyDescent="0.25">
      <c r="A30" s="24" t="s">
        <v>581</v>
      </c>
      <c r="B30" s="24"/>
      <c r="C30" s="24"/>
      <c r="D30" s="24"/>
      <c r="E30" s="24"/>
      <c r="F30" s="24"/>
    </row>
    <row r="31" spans="1:16" x14ac:dyDescent="0.25">
      <c r="A31" s="9" t="s">
        <v>582</v>
      </c>
      <c r="B31" s="147">
        <f ca="1">(B19+B27)*B29</f>
        <v>2186836.312611273</v>
      </c>
    </row>
    <row r="32" spans="1:16" x14ac:dyDescent="0.25">
      <c r="A32" t="s">
        <v>832</v>
      </c>
      <c r="B32" s="109">
        <f>'META - Reconciliation FY'!B35</f>
        <v>31853.68</v>
      </c>
    </row>
    <row r="33" spans="1:3" x14ac:dyDescent="0.25">
      <c r="A33" t="s">
        <v>833</v>
      </c>
      <c r="B33" s="109">
        <f>'META - Reconciliation FY'!B40-'META - Reconciliation FY'!B35</f>
        <v>73243</v>
      </c>
    </row>
    <row r="34" spans="1:3" x14ac:dyDescent="0.25">
      <c r="A34" t="s">
        <v>583</v>
      </c>
      <c r="B34" s="109">
        <f>-'META - Reconciliation FY'!B47</f>
        <v>-58744</v>
      </c>
    </row>
    <row r="35" spans="1:3" x14ac:dyDescent="0.25">
      <c r="A35" t="s">
        <v>911</v>
      </c>
      <c r="B35" s="109">
        <f>-WACC!H36</f>
        <v>-26337</v>
      </c>
    </row>
    <row r="36" spans="1:3" x14ac:dyDescent="0.25">
      <c r="A36" t="s">
        <v>584</v>
      </c>
      <c r="B36" s="109">
        <f>-'META - Reconciliation FY'!B49</f>
        <v>0</v>
      </c>
    </row>
    <row r="37" spans="1:3" x14ac:dyDescent="0.25">
      <c r="A37" t="s">
        <v>791</v>
      </c>
      <c r="B37" s="165">
        <v>-54810</v>
      </c>
    </row>
    <row r="38" spans="1:3" x14ac:dyDescent="0.25">
      <c r="A38" s="9" t="s">
        <v>585</v>
      </c>
      <c r="B38" s="147">
        <f ca="1">SUM(B31:B37)</f>
        <v>2152041.9926112732</v>
      </c>
    </row>
    <row r="39" spans="1:3" x14ac:dyDescent="0.25">
      <c r="A39" t="s">
        <v>586</v>
      </c>
      <c r="B39" s="109">
        <f ca="1">WACC!H33</f>
        <v>2547.5059999999999</v>
      </c>
    </row>
    <row r="40" spans="1:3" x14ac:dyDescent="0.25">
      <c r="A40" s="9" t="s">
        <v>587</v>
      </c>
      <c r="B40" s="147">
        <f ca="1">B38/B39</f>
        <v>844.76424888156237</v>
      </c>
    </row>
    <row r="41" spans="1:3" x14ac:dyDescent="0.25">
      <c r="A41" t="s">
        <v>588</v>
      </c>
      <c r="B41" s="109">
        <f ca="1">WACC!H32</f>
        <v>589.85</v>
      </c>
    </row>
    <row r="42" spans="1:3" x14ac:dyDescent="0.25">
      <c r="A42" t="s">
        <v>589</v>
      </c>
      <c r="B42" s="134">
        <f ca="1">B40/B41-1</f>
        <v>0.43216792215234778</v>
      </c>
    </row>
    <row r="44" spans="1:3" x14ac:dyDescent="0.25">
      <c r="A44" s="33" t="s">
        <v>610</v>
      </c>
      <c r="B44" s="171">
        <f ca="1">'Ticker Sheet'!C6</f>
        <v>20.4254</v>
      </c>
    </row>
    <row r="45" spans="1:3" x14ac:dyDescent="0.25">
      <c r="A45" s="33" t="s">
        <v>611</v>
      </c>
      <c r="B45" s="172">
        <f ca="1">B44*B40/B41</f>
        <v>29.252602677130561</v>
      </c>
    </row>
    <row r="47" spans="1:3" x14ac:dyDescent="0.25">
      <c r="A47" s="24" t="s">
        <v>618</v>
      </c>
      <c r="B47" s="24" t="s">
        <v>590</v>
      </c>
      <c r="C47" s="24" t="s">
        <v>620</v>
      </c>
    </row>
    <row r="48" spans="1:3" x14ac:dyDescent="0.25">
      <c r="A48" t="s">
        <v>582</v>
      </c>
      <c r="B48" s="135">
        <f>0</f>
        <v>0</v>
      </c>
      <c r="C48" s="135">
        <f ca="1">B31</f>
        <v>2186836.312611273</v>
      </c>
    </row>
    <row r="49" spans="1:3" x14ac:dyDescent="0.25">
      <c r="A49" t="s">
        <v>245</v>
      </c>
      <c r="B49" s="135">
        <f ca="1">B31</f>
        <v>2186836.312611273</v>
      </c>
      <c r="C49" s="135">
        <f>B32</f>
        <v>31853.68</v>
      </c>
    </row>
    <row r="50" spans="1:3" x14ac:dyDescent="0.25">
      <c r="A50" t="s">
        <v>834</v>
      </c>
      <c r="B50" s="135">
        <f ca="1">B31+B32</f>
        <v>2218689.9926112732</v>
      </c>
      <c r="C50" s="135">
        <f>B33</f>
        <v>73243</v>
      </c>
    </row>
    <row r="51" spans="1:3" x14ac:dyDescent="0.25">
      <c r="A51" t="s">
        <v>255</v>
      </c>
      <c r="B51" s="135">
        <f ca="1">B31+B32+B33+B34</f>
        <v>2233188.9926112732</v>
      </c>
      <c r="C51" s="135">
        <f>-B34</f>
        <v>58744</v>
      </c>
    </row>
    <row r="52" spans="1:3" x14ac:dyDescent="0.25">
      <c r="A52" t="s">
        <v>912</v>
      </c>
      <c r="B52" s="135">
        <f ca="1">B31+B32+B33+B34+B35</f>
        <v>2206851.9926112732</v>
      </c>
      <c r="C52" s="135">
        <f>-B35</f>
        <v>26337</v>
      </c>
    </row>
    <row r="53" spans="1:3" x14ac:dyDescent="0.25">
      <c r="A53" t="s">
        <v>619</v>
      </c>
      <c r="B53" s="135">
        <f ca="1">B38</f>
        <v>2152041.9926112732</v>
      </c>
      <c r="C53" s="135">
        <f>-(B36+B37)</f>
        <v>54810</v>
      </c>
    </row>
    <row r="54" spans="1:3" x14ac:dyDescent="0.25">
      <c r="A54" t="s">
        <v>585</v>
      </c>
      <c r="B54" s="135">
        <f>0</f>
        <v>0</v>
      </c>
      <c r="C54" s="135">
        <f ca="1">B38</f>
        <v>2152041.9926112732</v>
      </c>
    </row>
    <row r="69" spans="1:16" x14ac:dyDescent="0.25">
      <c r="A69" s="54" t="s">
        <v>827</v>
      </c>
      <c r="B69" s="54"/>
      <c r="C69" s="54"/>
      <c r="D69" s="54"/>
      <c r="E69" s="54"/>
      <c r="F69" s="54"/>
    </row>
    <row r="70" spans="1:16" x14ac:dyDescent="0.25">
      <c r="A70" s="9" t="s">
        <v>828</v>
      </c>
      <c r="B70" s="117">
        <f>$E$8+-0.01</f>
        <v>5.0300000000000004E-2</v>
      </c>
      <c r="C70" s="117">
        <f>$E$8+-0.005</f>
        <v>5.5300000000000009E-2</v>
      </c>
      <c r="D70" s="117">
        <f>$E$8+0</f>
        <v>6.0300000000000006E-2</v>
      </c>
      <c r="E70" s="117">
        <f>$E$8+0.005</f>
        <v>6.5300000000000011E-2</v>
      </c>
      <c r="F70" s="117">
        <f>$E$8+0.01</f>
        <v>7.0300000000000001E-2</v>
      </c>
    </row>
    <row r="71" spans="1:16" x14ac:dyDescent="0.25">
      <c r="A71" s="117">
        <f ca="1">$B$12+-0.015</f>
        <v>7.8456130805242261E-2</v>
      </c>
      <c r="B71" s="119" cm="1">
        <f t="array" aca="1" ref="B71" ca="1">IFERROR(((SUMPRODUCT($B$16:$K$16,1/(1+$A71)^(COLUMN($B$16:$K$16)-COLUMN($B$16)+1))+$B$24*(1-B$70/$E$9)/($A71-B$70)/(1+$A71)^10)*(1+$A71)^0.5+$B$32+$B$33+$B$34+$B$35+$B$36+$B$37)/$B$39,"")</f>
        <v>1124.311679509899</v>
      </c>
      <c r="C71" s="119" cm="1">
        <f t="array" aca="1" ref="C71" ca="1">IFERROR(((SUMPRODUCT($B$16:$K$16,1/(1+$A71)^(COLUMN($B$16:$K$16)-COLUMN($B$16)+1))+$B$24*(1-C$70/$E$9)/($A71-C$70)/(1+$A71)^10)*(1+$A71)^0.5+$B$32+$B$33+$B$34+$B$35+$B$36+$B$37)/$B$39,"")</f>
        <v>1293.2643302761014</v>
      </c>
      <c r="D71" s="119" cm="1">
        <f t="array" aca="1" ref="D71" ca="1">IFERROR(((SUMPRODUCT($B$16:$K$16,1/(1+$A71)^(COLUMN($B$16:$K$16)-COLUMN($B$16)+1))+$B$24*(1-D$70/$E$9)/($A71-D$70)/(1+$A71)^10)*(1+$A71)^0.5+$B$32+$B$33+$B$34+$B$35+$B$36+$B$37)/$B$39,"")</f>
        <v>1555.27240820271</v>
      </c>
      <c r="E71" s="119" cm="1">
        <f t="array" aca="1" ref="E71" ca="1">IFERROR(((SUMPRODUCT($B$16:$K$16,1/(1+$A71)^(COLUMN($B$16:$K$16)-COLUMN($B$16)+1))+$B$24*(1-E$70/$E$9)/($A71-E$70)/(1+$A71)^10)*(1+$A71)^0.5+$B$32+$B$33+$B$34+$B$35+$B$36+$B$37)/$B$39,"")</f>
        <v>2016.4333235442582</v>
      </c>
      <c r="F71" s="119" cm="1">
        <f t="array" aca="1" ref="F71" ca="1">IFERROR(((SUMPRODUCT($B$16:$K$16,1/(1+$A71)^(COLUMN($B$16:$K$16)-COLUMN($B$16)+1))+$B$24*(1-F$70/$E$9)/($A71-F$70)/(1+$A71)^10)*(1+$A71)^0.5+$B$32+$B$33+$B$34+$B$35+$B$36+$B$37)/$B$39,"")</f>
        <v>3043.0105206417829</v>
      </c>
    </row>
    <row r="72" spans="1:16" x14ac:dyDescent="0.25">
      <c r="A72" s="117">
        <f ca="1">$B$12+-0.0075</f>
        <v>8.5956130805242253E-2</v>
      </c>
      <c r="B72" s="119" cm="1">
        <f t="array" aca="1" ref="B72" ca="1">IFERROR(((SUMPRODUCT($B$16:$K$16,1/(1+$A72)^(COLUMN($B$16:$K$16)-COLUMN($B$16)+1))+$B$24*(1-B$70/$E$9)/($A72-B$70)/(1+$A72)^10)*(1+$A72)^0.5+$B$32+$B$33+$B$34+$B$35+$B$36+$B$37)/$B$39,"")</f>
        <v>880.12789759801785</v>
      </c>
      <c r="C72" s="119" cm="1">
        <f t="array" aca="1" ref="C72" ca="1">IFERROR(((SUMPRODUCT($B$16:$K$16,1/(1+$A72)^(COLUMN($B$16:$K$16)-COLUMN($B$16)+1))+$B$24*(1-C$70/$E$9)/($A72-C$70)/(1+$A72)^10)*(1+$A72)^0.5+$B$32+$B$33+$B$34+$B$35+$B$36+$B$37)/$B$39,"")</f>
        <v>970.54609638471754</v>
      </c>
      <c r="D72" s="119" cm="1">
        <f t="array" aca="1" ref="D72" ca="1">IFERROR(((SUMPRODUCT($B$16:$K$16,1/(1+$A72)^(COLUMN($B$16:$K$16)-COLUMN($B$16)+1))+$B$24*(1-D$70/$E$9)/($A72-D$70)/(1+$A72)^10)*(1+$A72)^0.5+$B$32+$B$33+$B$34+$B$35+$B$36+$B$37)/$B$39,"")</f>
        <v>1096.2066313884686</v>
      </c>
      <c r="E72" s="119" cm="1">
        <f t="array" aca="1" ref="E72" ca="1">IFERROR(((SUMPRODUCT($B$16:$K$16,1/(1+$A72)^(COLUMN($B$16:$K$16)-COLUMN($B$16)+1))+$B$24*(1-E$70/$E$9)/($A72-E$70)/(1+$A72)^10)*(1+$A72)^0.5+$B$32+$B$33+$B$34+$B$35+$B$36+$B$37)/$B$39,"")</f>
        <v>1282.7016644831499</v>
      </c>
      <c r="F72" s="119" cm="1">
        <f t="array" aca="1" ref="F72" ca="1">IFERROR(((SUMPRODUCT($B$16:$K$16,1/(1+$A72)^(COLUMN($B$16:$K$16)-COLUMN($B$16)+1))+$B$24*(1-F$70/$E$9)/($A72-F$70)/(1+$A72)^10)*(1+$A72)^0.5+$B$32+$B$33+$B$34+$B$35+$B$36+$B$37)/$B$39,"")</f>
        <v>1588.3161884754379</v>
      </c>
    </row>
    <row r="73" spans="1:16" x14ac:dyDescent="0.25">
      <c r="A73" s="117">
        <f ca="1">$B$12+0</f>
        <v>9.345613080524226E-2</v>
      </c>
      <c r="B73" s="119" cm="1">
        <f t="array" aca="1" ref="B73" ca="1">IFERROR(((SUMPRODUCT($B$16:$K$16,1/(1+$A73)^(COLUMN($B$16:$K$16)-COLUMN($B$16)+1))+$B$24*(1-B$70/$E$9)/($A73-B$70)/(1+$A73)^10)*(1+$A73)^0.5+$B$32+$B$33+$B$34+$B$35+$B$36+$B$37)/$B$39,"")</f>
        <v>720.99643967664247</v>
      </c>
      <c r="C73" s="119" cm="1">
        <f t="array" aca="1" ref="C73" ca="1">IFERROR(((SUMPRODUCT($B$16:$K$16,1/(1+$A73)^(COLUMN($B$16:$K$16)-COLUMN($B$16)+1))+$B$24*(1-C$70/$E$9)/($A73-C$70)/(1+$A73)^10)*(1+$A73)^0.5+$B$32+$B$33+$B$34+$B$35+$B$36+$B$37)/$B$39,"")</f>
        <v>774.77104397840753</v>
      </c>
      <c r="D73" s="173" cm="1">
        <f t="array" aca="1" ref="D73" ca="1">IFERROR(((SUMPRODUCT($B$16:$K$16,1/(1+$A73)^(COLUMN($B$16:$K$16)-COLUMN($B$16)+1))+$B$24*(1-D$70/$E$9)/($A73-D$70)/(1+$A73)^10)*(1+$A73)^0.5+$B$32+$B$33+$B$34+$B$35+$B$36+$B$37)/$B$39,"")</f>
        <v>844.76424888156237</v>
      </c>
      <c r="E73" s="119" cm="1">
        <f t="array" aca="1" ref="E73" ca="1">IFERROR(((SUMPRODUCT($B$16:$K$16,1/(1+$A73)^(COLUMN($B$16:$K$16)-COLUMN($B$16)+1))+$B$24*(1-E$70/$E$9)/($A73-E$70)/(1+$A73)^10)*(1+$A73)^0.5+$B$32+$B$33+$B$34+$B$35+$B$36+$B$37)/$B$39,"")</f>
        <v>939.61641092882974</v>
      </c>
      <c r="F73" s="119" cm="1">
        <f t="array" aca="1" ref="F73" ca="1">IFERROR(((SUMPRODUCT($B$16:$K$16,1/(1+$A73)^(COLUMN($B$16:$K$16)-COLUMN($B$16)+1))+$B$24*(1-F$70/$E$9)/($A73-F$70)/(1+$A73)^10)*(1+$A73)^0.5+$B$32+$B$33+$B$34+$B$35+$B$36+$B$37)/$B$39,"")</f>
        <v>1075.4305811997647</v>
      </c>
    </row>
    <row r="74" spans="1:16" x14ac:dyDescent="0.25">
      <c r="A74" s="117">
        <f ca="1">$B$12+0.0075</f>
        <v>0.10095613080524227</v>
      </c>
      <c r="B74" s="119" cm="1">
        <f t="array" aca="1" ref="B74" ca="1">IFERROR(((SUMPRODUCT($B$16:$K$16,1/(1+$A74)^(COLUMN($B$16:$K$16)-COLUMN($B$16)+1))+$B$24*(1-B$70/$E$9)/($A74-B$70)/(1+$A74)^10)*(1+$A74)^0.5+$B$32+$B$33+$B$34+$B$35+$B$36+$B$37)/$B$39,"")</f>
        <v>609.13331472267396</v>
      </c>
      <c r="C74" s="119" cm="1">
        <f t="array" aca="1" ref="C74" ca="1">IFERROR(((SUMPRODUCT($B$16:$K$16,1/(1+$A74)^(COLUMN($B$16:$K$16)-COLUMN($B$16)+1))+$B$24*(1-C$70/$E$9)/($A74-C$70)/(1+$A74)^10)*(1+$A74)^0.5+$B$32+$B$33+$B$34+$B$35+$B$36+$B$37)/$B$39,"")</f>
        <v>643.38038050201897</v>
      </c>
      <c r="D74" s="119" cm="1">
        <f t="array" aca="1" ref="D74" ca="1">IFERROR(((SUMPRODUCT($B$16:$K$16,1/(1+$A74)^(COLUMN($B$16:$K$16)-COLUMN($B$16)+1))+$B$24*(1-D$70/$E$9)/($A74-D$70)/(1+$A74)^10)*(1+$A74)^0.5+$B$32+$B$33+$B$34+$B$35+$B$36+$B$37)/$B$39,"")</f>
        <v>686.05103827131541</v>
      </c>
      <c r="E74" s="119" cm="1">
        <f t="array" aca="1" ref="E74" ca="1">IFERROR(((SUMPRODUCT($B$16:$K$16,1/(1+$A74)^(COLUMN($B$16:$K$16)-COLUMN($B$16)+1))+$B$24*(1-E$70/$E$9)/($A74-E$70)/(1+$A74)^10)*(1+$A74)^0.5+$B$32+$B$33+$B$34+$B$35+$B$36+$B$37)/$B$39,"")</f>
        <v>740.68896697148432</v>
      </c>
      <c r="F74" s="119" cm="1">
        <f t="array" aca="1" ref="F74" ca="1">IFERROR(((SUMPRODUCT($B$16:$K$16,1/(1+$A74)^(COLUMN($B$16:$K$16)-COLUMN($B$16)+1))+$B$24*(1-F$70/$E$9)/($A74-F$70)/(1+$A74)^10)*(1+$A74)^0.5+$B$32+$B$33+$B$34+$B$35+$B$36+$B$37)/$B$39,"")</f>
        <v>813.14973477919818</v>
      </c>
    </row>
    <row r="75" spans="1:16" x14ac:dyDescent="0.25">
      <c r="A75" s="117">
        <f ca="1">$B$12+0.015</f>
        <v>0.10845613080524226</v>
      </c>
      <c r="B75" s="119" cm="1">
        <f t="array" aca="1" ref="B75" ca="1">IFERROR(((SUMPRODUCT($B$16:$K$16,1/(1+$A75)^(COLUMN($B$16:$K$16)-COLUMN($B$16)+1))+$B$24*(1-B$70/$E$9)/($A75-B$70)/(1+$A75)^10)*(1+$A75)^0.5+$B$32+$B$33+$B$34+$B$35+$B$36+$B$37)/$B$39,"")</f>
        <v>526.24573226174846</v>
      </c>
      <c r="C75" s="119" cm="1">
        <f t="array" aca="1" ref="C75" ca="1">IFERROR(((SUMPRODUCT($B$16:$K$16,1/(1+$A75)^(COLUMN($B$16:$K$16)-COLUMN($B$16)+1))+$B$24*(1-C$70/$E$9)/($A75-C$70)/(1+$A75)^10)*(1+$A75)^0.5+$B$32+$B$33+$B$34+$B$35+$B$36+$B$37)/$B$39,"")</f>
        <v>549.1216859479423</v>
      </c>
      <c r="D75" s="119" cm="1">
        <f t="array" aca="1" ref="D75" ca="1">IFERROR(((SUMPRODUCT($B$16:$K$16,1/(1+$A75)^(COLUMN($B$16:$K$16)-COLUMN($B$16)+1))+$B$24*(1-D$70/$E$9)/($A75-D$70)/(1+$A75)^10)*(1+$A75)^0.5+$B$32+$B$33+$B$34+$B$35+$B$36+$B$37)/$B$39,"")</f>
        <v>576.74801166437931</v>
      </c>
      <c r="E75" s="119" cm="1">
        <f t="array" aca="1" ref="E75" ca="1">IFERROR(((SUMPRODUCT($B$16:$K$16,1/(1+$A75)^(COLUMN($B$16:$K$16)-COLUMN($B$16)+1))+$B$24*(1-E$70/$E$9)/($A75-E$70)/(1+$A75)^10)*(1+$A75)^0.5+$B$32+$B$33+$B$34+$B$35+$B$36+$B$37)/$B$39,"")</f>
        <v>610.77582083194181</v>
      </c>
      <c r="F75" s="119" cm="1">
        <f t="array" aca="1" ref="F75" ca="1">IFERROR(((SUMPRODUCT($B$16:$K$16,1/(1+$A75)^(COLUMN($B$16:$K$16)-COLUMN($B$16)+1))+$B$24*(1-F$70/$E$9)/($A75-F$70)/(1+$A75)^10)*(1+$A75)^0.5+$B$32+$B$33+$B$34+$B$35+$B$36+$B$37)/$B$39,"")</f>
        <v>653.72167500287412</v>
      </c>
    </row>
    <row r="78" spans="1:16" x14ac:dyDescent="0.25">
      <c r="A78" s="67" t="s">
        <v>961</v>
      </c>
    </row>
    <row r="79" spans="1:16" x14ac:dyDescent="0.25">
      <c r="A79" t="s">
        <v>573</v>
      </c>
      <c r="B79" s="174">
        <f t="shared" ref="B79:K79" si="1">B15</f>
        <v>46387</v>
      </c>
      <c r="C79" s="174">
        <f t="shared" si="1"/>
        <v>46752</v>
      </c>
      <c r="D79" s="174">
        <f t="shared" si="1"/>
        <v>47118</v>
      </c>
      <c r="E79" s="174">
        <f t="shared" si="1"/>
        <v>47483</v>
      </c>
      <c r="F79" s="174">
        <f t="shared" si="1"/>
        <v>47848</v>
      </c>
      <c r="G79" s="174">
        <f t="shared" si="1"/>
        <v>48213</v>
      </c>
      <c r="H79" s="174">
        <f t="shared" si="1"/>
        <v>48579</v>
      </c>
      <c r="I79" s="174">
        <f t="shared" si="1"/>
        <v>48944</v>
      </c>
      <c r="J79" s="174">
        <f t="shared" si="1"/>
        <v>49309</v>
      </c>
      <c r="K79" s="174">
        <f t="shared" si="1"/>
        <v>49674</v>
      </c>
      <c r="L79" s="98"/>
      <c r="M79" s="98"/>
      <c r="N79" s="98"/>
      <c r="O79" s="98"/>
      <c r="P79" s="98"/>
    </row>
    <row r="80" spans="1:16" x14ac:dyDescent="0.25">
      <c r="A80" t="s">
        <v>259</v>
      </c>
      <c r="B80" s="80">
        <f>'META Forecast'!B67</f>
        <v>75300.26148401176</v>
      </c>
      <c r="C80" s="80">
        <f>'META Forecast'!C67</f>
        <v>84233.296111731703</v>
      </c>
      <c r="D80" s="80">
        <f>'META Forecast'!D67</f>
        <v>93333.221732180187</v>
      </c>
      <c r="E80" s="80">
        <f>'META Forecast'!E67</f>
        <v>102426.94547534626</v>
      </c>
      <c r="F80" s="80">
        <f>'META Forecast'!F67</f>
        <v>111321.04436714735</v>
      </c>
      <c r="G80" s="80">
        <f>'META Forecast'!B115</f>
        <v>122054.34232996499</v>
      </c>
      <c r="H80" s="80">
        <f>'META Forecast'!C115</f>
        <v>130711.04655971774</v>
      </c>
      <c r="I80" s="80">
        <f>'META Forecast'!D115</f>
        <v>138592.92266726872</v>
      </c>
      <c r="J80" s="80">
        <f>'META Forecast'!E115</f>
        <v>146950.07590410503</v>
      </c>
      <c r="K80" s="80">
        <f>'META Forecast'!F115</f>
        <v>155811.16548112256</v>
      </c>
      <c r="L80" s="35"/>
      <c r="M80" s="35"/>
      <c r="N80" s="35"/>
      <c r="O80" s="35"/>
      <c r="P80" s="35"/>
    </row>
    <row r="81" spans="1:16" x14ac:dyDescent="0.25">
      <c r="A81" t="s">
        <v>962</v>
      </c>
      <c r="B81" s="80">
        <f>'META Forecast'!B64</f>
        <v>222772.26207899148</v>
      </c>
      <c r="C81" s="80">
        <f>'META Forecast'!C64</f>
        <v>249264.39885751068</v>
      </c>
      <c r="D81" s="80">
        <f>'META Forecast'!D64</f>
        <v>276264.83314799395</v>
      </c>
      <c r="E81" s="80">
        <f>'META Forecast'!E64</f>
        <v>303261.67716626503</v>
      </c>
      <c r="F81" s="80">
        <f>'META Forecast'!F64</f>
        <v>329682.3032367783</v>
      </c>
      <c r="G81" s="80">
        <f>'META Forecast'!B116</f>
        <v>356567.89506573754</v>
      </c>
      <c r="H81" s="80">
        <f>'META Forecast'!C116</f>
        <v>381857.47302327491</v>
      </c>
      <c r="I81" s="80">
        <f>'META Forecast'!D116</f>
        <v>404883.47864657838</v>
      </c>
      <c r="J81" s="80">
        <f>'META Forecast'!E116</f>
        <v>429297.95240896707</v>
      </c>
      <c r="K81" s="80">
        <f>'META Forecast'!F116</f>
        <v>455184.61893922777</v>
      </c>
      <c r="L81" s="35"/>
      <c r="M81" s="35"/>
      <c r="N81" s="35"/>
      <c r="O81" s="35"/>
      <c r="P81" s="35"/>
    </row>
    <row r="82" spans="1:16" x14ac:dyDescent="0.25">
      <c r="A82" t="s">
        <v>963</v>
      </c>
      <c r="B82" s="80">
        <f>'META - Reconciliation FY'!B32</f>
        <v>197227.32</v>
      </c>
      <c r="C82" s="135">
        <f t="shared" ref="C82:K82" si="2">B81</f>
        <v>222772.26207899148</v>
      </c>
      <c r="D82" s="135">
        <f t="shared" si="2"/>
        <v>249264.39885751068</v>
      </c>
      <c r="E82" s="135">
        <f t="shared" si="2"/>
        <v>276264.83314799395</v>
      </c>
      <c r="F82" s="135">
        <f t="shared" si="2"/>
        <v>303261.67716626503</v>
      </c>
      <c r="G82" s="135">
        <f t="shared" si="2"/>
        <v>329682.3032367783</v>
      </c>
      <c r="H82" s="135">
        <f t="shared" si="2"/>
        <v>356567.89506573754</v>
      </c>
      <c r="I82" s="135">
        <f t="shared" si="2"/>
        <v>381857.47302327491</v>
      </c>
      <c r="J82" s="135">
        <f t="shared" si="2"/>
        <v>404883.47864657838</v>
      </c>
      <c r="K82" s="135">
        <f t="shared" si="2"/>
        <v>429297.95240896707</v>
      </c>
      <c r="L82" s="35"/>
      <c r="M82" s="35"/>
      <c r="N82" s="35"/>
      <c r="O82" s="35"/>
      <c r="P82" s="35"/>
    </row>
    <row r="83" spans="1:16" x14ac:dyDescent="0.25">
      <c r="A83" t="s">
        <v>964</v>
      </c>
      <c r="B83" s="135">
        <f t="shared" ref="B83:K83" ca="1" si="3">-$B$12*B82</f>
        <v>-18432.102216287374</v>
      </c>
      <c r="C83" s="135">
        <f t="shared" ca="1" si="3"/>
        <v>-20819.433664633936</v>
      </c>
      <c r="D83" s="135">
        <f t="shared" ca="1" si="3"/>
        <v>-23295.286264717597</v>
      </c>
      <c r="E83" s="135">
        <f t="shared" ca="1" si="3"/>
        <v>-25818.642383567352</v>
      </c>
      <c r="F83" s="135">
        <f t="shared" ca="1" si="3"/>
        <v>-28341.662969467616</v>
      </c>
      <c r="G83" s="135">
        <f t="shared" ca="1" si="3"/>
        <v>-30810.832455469896</v>
      </c>
      <c r="H83" s="135">
        <f t="shared" ca="1" si="3"/>
        <v>-33323.455842213465</v>
      </c>
      <c r="I83" s="135">
        <f t="shared" ca="1" si="3"/>
        <v>-35686.921947822448</v>
      </c>
      <c r="J83" s="135">
        <f t="shared" ca="1" si="3"/>
        <v>-37838.843341276144</v>
      </c>
      <c r="K83" s="135">
        <f t="shared" ca="1" si="3"/>
        <v>-40120.52559475509</v>
      </c>
      <c r="L83" s="35"/>
      <c r="M83" s="35"/>
      <c r="N83" s="35"/>
      <c r="O83" s="35"/>
      <c r="P83" s="35"/>
    </row>
    <row r="84" spans="1:16" x14ac:dyDescent="0.25">
      <c r="A84" t="s">
        <v>965</v>
      </c>
      <c r="B84" s="135">
        <f t="shared" ref="B84:K84" ca="1" si="4">B80+B83</f>
        <v>56868.15926772439</v>
      </c>
      <c r="C84" s="135">
        <f t="shared" ca="1" si="4"/>
        <v>63413.862447097767</v>
      </c>
      <c r="D84" s="135">
        <f t="shared" ca="1" si="4"/>
        <v>70037.935467462594</v>
      </c>
      <c r="E84" s="135">
        <f t="shared" ca="1" si="4"/>
        <v>76608.303091778915</v>
      </c>
      <c r="F84" s="135">
        <f t="shared" ca="1" si="4"/>
        <v>82979.381397679739</v>
      </c>
      <c r="G84" s="135">
        <f t="shared" ca="1" si="4"/>
        <v>91243.509874495096</v>
      </c>
      <c r="H84" s="135">
        <f t="shared" ca="1" si="4"/>
        <v>97387.590717504267</v>
      </c>
      <c r="I84" s="135">
        <f t="shared" ca="1" si="4"/>
        <v>102906.00071944628</v>
      </c>
      <c r="J84" s="135">
        <f t="shared" ca="1" si="4"/>
        <v>109111.2325628289</v>
      </c>
      <c r="K84" s="135">
        <f t="shared" ca="1" si="4"/>
        <v>115690.63988636747</v>
      </c>
      <c r="L84" s="35"/>
      <c r="M84" s="35"/>
      <c r="N84" s="35"/>
      <c r="O84" s="35"/>
      <c r="P84" s="35"/>
    </row>
    <row r="85" spans="1:16" x14ac:dyDescent="0.25">
      <c r="A85" t="s">
        <v>574</v>
      </c>
      <c r="B85" s="140">
        <f t="shared" ref="B85:K85" ca="1" si="5">B17</f>
        <v>0.91453143096246647</v>
      </c>
      <c r="C85" s="140">
        <f t="shared" ca="1" si="5"/>
        <v>0.8363677382182565</v>
      </c>
      <c r="D85" s="140">
        <f t="shared" ca="1" si="5"/>
        <v>0.76488458444358365</v>
      </c>
      <c r="E85" s="140">
        <f t="shared" ca="1" si="5"/>
        <v>0.69951099353232205</v>
      </c>
      <c r="F85" s="140">
        <f t="shared" ca="1" si="5"/>
        <v>0.63972478988909098</v>
      </c>
      <c r="G85" s="140">
        <f t="shared" ca="1" si="5"/>
        <v>0.58504842751943353</v>
      </c>
      <c r="H85" s="140">
        <f t="shared" ca="1" si="5"/>
        <v>0.53504517560168841</v>
      </c>
      <c r="I85" s="140">
        <f t="shared" ca="1" si="5"/>
        <v>0.48931563007257622</v>
      </c>
      <c r="J85" s="140">
        <f t="shared" ca="1" si="5"/>
        <v>0.44749452336257406</v>
      </c>
      <c r="K85" s="140">
        <f t="shared" ca="1" si="5"/>
        <v>0.40924780679864164</v>
      </c>
      <c r="L85" s="51"/>
      <c r="M85" s="51"/>
      <c r="N85" s="51"/>
      <c r="O85" s="51"/>
      <c r="P85" s="51"/>
    </row>
    <row r="86" spans="1:16" x14ac:dyDescent="0.25">
      <c r="A86" t="s">
        <v>966</v>
      </c>
      <c r="B86" s="135">
        <f t="shared" ref="B86:K86" ca="1" si="6">B84*B85</f>
        <v>52007.719071313433</v>
      </c>
      <c r="C86" s="135">
        <f t="shared" ca="1" si="6"/>
        <v>53037.308706562791</v>
      </c>
      <c r="D86" s="135">
        <f t="shared" ca="1" si="6"/>
        <v>53570.937165316653</v>
      </c>
      <c r="E86" s="135">
        <f t="shared" ca="1" si="6"/>
        <v>53588.35020855553</v>
      </c>
      <c r="F86" s="135">
        <f t="shared" ca="1" si="6"/>
        <v>53083.967329757419</v>
      </c>
      <c r="G86" s="135">
        <f t="shared" ca="1" si="6"/>
        <v>53381.87197342726</v>
      </c>
      <c r="H86" s="135">
        <f t="shared" ca="1" si="6"/>
        <v>52106.760576872432</v>
      </c>
      <c r="I86" s="135">
        <f t="shared" ca="1" si="6"/>
        <v>50353.514580284842</v>
      </c>
      <c r="J86" s="135">
        <f t="shared" ca="1" si="6"/>
        <v>48826.679009206084</v>
      </c>
      <c r="K86" s="135">
        <f t="shared" ca="1" si="6"/>
        <v>47346.140640627338</v>
      </c>
      <c r="L86" s="35"/>
      <c r="M86" s="35"/>
      <c r="N86" s="35"/>
      <c r="O86" s="35"/>
      <c r="P86" s="35"/>
    </row>
    <row r="87" spans="1:16" x14ac:dyDescent="0.25">
      <c r="A87" t="s">
        <v>576</v>
      </c>
      <c r="B87" s="135">
        <f ca="1">SUM(B86:K86)</f>
        <v>517303.24926192377</v>
      </c>
    </row>
    <row r="89" spans="1:16" x14ac:dyDescent="0.25">
      <c r="A89" s="67" t="s">
        <v>1593</v>
      </c>
    </row>
    <row r="90" spans="1:16" x14ac:dyDescent="0.25">
      <c r="A90" t="s">
        <v>1594</v>
      </c>
      <c r="B90" s="135">
        <f>$B$24</f>
        <v>165206.57875963426</v>
      </c>
    </row>
    <row r="91" spans="1:16" x14ac:dyDescent="0.25">
      <c r="A91" t="s">
        <v>1595</v>
      </c>
      <c r="B91" s="135">
        <f>K81</f>
        <v>455184.61893922777</v>
      </c>
    </row>
    <row r="92" spans="1:16" x14ac:dyDescent="0.25">
      <c r="A92" t="s">
        <v>967</v>
      </c>
      <c r="B92" s="135">
        <f ca="1">B90-$B$12*B91</f>
        <v>122666.78547151544</v>
      </c>
    </row>
    <row r="93" spans="1:16" x14ac:dyDescent="0.25">
      <c r="A93" t="s">
        <v>968</v>
      </c>
      <c r="B93" s="135">
        <f ca="1">B92/$B$12+(B90*($E$8/$E$9)*($E$9-$B$12))/($B$12*($B$12-$E$8))</f>
        <v>3364137.4046199019</v>
      </c>
    </row>
    <row r="94" spans="1:16" x14ac:dyDescent="0.25">
      <c r="A94" t="s">
        <v>969</v>
      </c>
      <c r="B94" s="135">
        <f ca="1">B93*$B$26</f>
        <v>1376765.8546099693</v>
      </c>
    </row>
    <row r="96" spans="1:16" x14ac:dyDescent="0.25">
      <c r="A96" s="67" t="s">
        <v>970</v>
      </c>
    </row>
    <row r="97" spans="1:2" x14ac:dyDescent="0.25">
      <c r="A97" t="s">
        <v>971</v>
      </c>
      <c r="B97" s="80">
        <f>'META - Reconciliation FY'!B32</f>
        <v>197227.32</v>
      </c>
    </row>
    <row r="98" spans="1:2" x14ac:dyDescent="0.25">
      <c r="A98" t="s">
        <v>972</v>
      </c>
      <c r="B98" s="135">
        <f ca="1">B87</f>
        <v>517303.24926192377</v>
      </c>
    </row>
    <row r="99" spans="1:2" x14ac:dyDescent="0.25">
      <c r="A99" t="s">
        <v>969</v>
      </c>
      <c r="B99" s="135">
        <f ca="1">B94</f>
        <v>1376765.8546099693</v>
      </c>
    </row>
    <row r="100" spans="1:2" x14ac:dyDescent="0.25">
      <c r="A100" t="s">
        <v>973</v>
      </c>
      <c r="B100" s="135">
        <f ca="1">SUM(B97:B99)</f>
        <v>2091296.423871893</v>
      </c>
    </row>
    <row r="101" spans="1:2" x14ac:dyDescent="0.25">
      <c r="A101" t="s">
        <v>974</v>
      </c>
      <c r="B101" s="135">
        <f ca="1">B19+B27</f>
        <v>2091296.4238718934</v>
      </c>
    </row>
    <row r="102" spans="1:2" x14ac:dyDescent="0.25">
      <c r="A102" t="s">
        <v>975</v>
      </c>
      <c r="B102" s="135">
        <f ca="1">B100-B101</f>
        <v>0</v>
      </c>
    </row>
    <row r="103" spans="1:2" x14ac:dyDescent="0.25">
      <c r="A103" t="s">
        <v>976</v>
      </c>
      <c r="B103" s="133" t="str">
        <f ca="1">IF(ABS(B102)&lt;MAX(1,ABS(B101)*0.0001),"OK - methods agree","MISMATCH - investigate")</f>
        <v>OK - methods agree</v>
      </c>
    </row>
    <row r="105" spans="1:2" x14ac:dyDescent="0.25">
      <c r="A105" s="67" t="s">
        <v>977</v>
      </c>
    </row>
    <row r="106" spans="1:2" x14ac:dyDescent="0.25">
      <c r="A106" t="s">
        <v>1016</v>
      </c>
      <c r="B106" s="111">
        <f>IFERROR(J16/I16-1,"n/a")</f>
        <v>6.0299999999999798E-2</v>
      </c>
    </row>
    <row r="107" spans="1:2" x14ac:dyDescent="0.25">
      <c r="A107" t="s">
        <v>1017</v>
      </c>
      <c r="B107" s="111">
        <f>IFERROR(K16/J16-1,"n/a")</f>
        <v>6.0300000000000242E-2</v>
      </c>
    </row>
    <row r="108" spans="1:2" x14ac:dyDescent="0.25">
      <c r="A108" t="s">
        <v>978</v>
      </c>
      <c r="B108" s="111">
        <f>IFERROR(B107-B106,"n/a")</f>
        <v>4.4408920985006262E-16</v>
      </c>
    </row>
    <row r="109" spans="1:2" x14ac:dyDescent="0.25">
      <c r="A109" t="s">
        <v>1018</v>
      </c>
      <c r="B109" s="79">
        <f>'META Forecast'!F111</f>
        <v>6.0300000000000006E-2</v>
      </c>
    </row>
    <row r="110" spans="1:2" x14ac:dyDescent="0.25">
      <c r="A110" t="s">
        <v>979</v>
      </c>
      <c r="B110" s="111">
        <f>$E$8</f>
        <v>6.0300000000000006E-2</v>
      </c>
    </row>
    <row r="111" spans="1:2" x14ac:dyDescent="0.25">
      <c r="A111" t="s">
        <v>980</v>
      </c>
      <c r="B111" s="111">
        <f>B109-B110</f>
        <v>0</v>
      </c>
    </row>
    <row r="112" spans="1:2" x14ac:dyDescent="0.25">
      <c r="A112" t="s">
        <v>1019</v>
      </c>
      <c r="B112" s="111">
        <f>IFERROR(J80/J82,"n/a")</f>
        <v>0.36294411516943453</v>
      </c>
    </row>
    <row r="113" spans="1:6" x14ac:dyDescent="0.25">
      <c r="A113" t="s">
        <v>1020</v>
      </c>
      <c r="B113" s="111">
        <f>IFERROR(K80/K82,"n/a")</f>
        <v>0.36294411516943453</v>
      </c>
    </row>
    <row r="114" spans="1:6" x14ac:dyDescent="0.25">
      <c r="A114" t="s">
        <v>978</v>
      </c>
      <c r="B114" s="111">
        <f>IFERROR(B113-B112,"n/a")</f>
        <v>0</v>
      </c>
    </row>
    <row r="115" spans="1:6" x14ac:dyDescent="0.25">
      <c r="A115" t="s">
        <v>976</v>
      </c>
      <c r="B115" s="133" t="str">
        <f>IF(AND(ABS(B108)&lt;0.005,ABS(B111)&lt;0.005,ABS(B114)&lt;0.005),"OK - steady state reached","NOT STEADY - see notes")</f>
        <v>OK - steady state reached</v>
      </c>
    </row>
    <row r="118" spans="1:6" x14ac:dyDescent="0.25">
      <c r="A118" s="67" t="s">
        <v>1602</v>
      </c>
    </row>
    <row r="119" spans="1:6" x14ac:dyDescent="0.25">
      <c r="A119" t="s">
        <v>1603</v>
      </c>
      <c r="B119" s="28">
        <f>$E$9*0.6</f>
        <v>0.15495891141434245</v>
      </c>
      <c r="C119" s="28">
        <f>$E$9*0.8</f>
        <v>0.20661188188578997</v>
      </c>
      <c r="D119" s="28">
        <f>$E$9*1</f>
        <v>0.25826485235723745</v>
      </c>
      <c r="E119" s="28">
        <f>$E$9*1.2</f>
        <v>0.30991782282868491</v>
      </c>
      <c r="F119" s="28">
        <f>$E$9*1.4</f>
        <v>0.36157079330013242</v>
      </c>
    </row>
    <row r="120" spans="1:6" x14ac:dyDescent="0.25">
      <c r="A120" s="3">
        <f ca="1">$B$12+-0.015</f>
        <v>7.8456130805242261E-2</v>
      </c>
      <c r="B120" s="26" cm="1">
        <f t="array" aca="1" ref="B120" ca="1">IFERROR(((SUMPRODUCT($B$16:$K$16,1/(1+$A120)^(COLUMN($B$16:$K$16)-COLUMN($B$16)+1))+$B$24*(1-$E$8/B$119)/($A120-$E$8)/(1+$A120)^10)*(1+$A120)^0.5+$B$32+$B$33+$B$34+$B$35+$B$36+$B$37)/$B$39,"")</f>
        <v>1283.9872897282776</v>
      </c>
      <c r="C120" s="26" cm="1">
        <f t="array" aca="1" ref="C120" ca="1">IFERROR(((SUMPRODUCT($B$16:$K$16,1/(1+$A120)^(COLUMN($B$16:$K$16)-COLUMN($B$16)+1))+$B$24*(1-$E$8/C$119)/($A120-$E$8)/(1+$A120)^10)*(1+$A120)^0.5+$B$32+$B$33+$B$34+$B$35+$B$36+$B$37)/$B$39,"")</f>
        <v>1453.5404887747977</v>
      </c>
      <c r="D120" s="26" cm="1">
        <f t="array" aca="1" ref="D120" ca="1">IFERROR(((SUMPRODUCT($B$16:$K$16,1/(1+$A120)^(COLUMN($B$16:$K$16)-COLUMN($B$16)+1))+$B$24*(1-$E$8/D$119)/($A120-$E$8)/(1+$A120)^10)*(1+$A120)^0.5+$B$32+$B$33+$B$34+$B$35+$B$36+$B$37)/$B$39,"")</f>
        <v>1555.27240820271</v>
      </c>
      <c r="E120" s="26" cm="1">
        <f t="array" aca="1" ref="E120" ca="1">IFERROR(((SUMPRODUCT($B$16:$K$16,1/(1+$A120)^(COLUMN($B$16:$K$16)-COLUMN($B$16)+1))+$B$24*(1-$E$8/E$119)/($A120-$E$8)/(1+$A120)^10)*(1+$A120)^0.5+$B$32+$B$33+$B$34+$B$35+$B$36+$B$37)/$B$39,"")</f>
        <v>1623.0936878213179</v>
      </c>
      <c r="F120" s="26" cm="1">
        <f t="array" aca="1" ref="F120" ca="1">IFERROR(((SUMPRODUCT($B$16:$K$16,1/(1+$A120)^(COLUMN($B$16:$K$16)-COLUMN($B$16)+1))+$B$24*(1-$E$8/F$119)/($A120-$E$8)/(1+$A120)^10)*(1+$A120)^0.5+$B$32+$B$33+$B$34+$B$35+$B$36+$B$37)/$B$39,"")</f>
        <v>1671.5374589774663</v>
      </c>
    </row>
    <row r="121" spans="1:6" x14ac:dyDescent="0.25">
      <c r="A121" s="3">
        <f ca="1">$B$12+-0.0075</f>
        <v>8.5956130805242253E-2</v>
      </c>
      <c r="B121" s="26" cm="1">
        <f t="array" aca="1" ref="B121" ca="1">IFERROR(((SUMPRODUCT($B$16:$K$16,1/(1+$A121)^(COLUMN($B$16:$K$16)-COLUMN($B$16)+1))+$B$24*(1-$E$8/B$119)/($A121-$E$8)/(1+$A121)^10)*(1+$A121)^0.5+$B$32+$B$33+$B$34+$B$35+$B$36+$B$37)/$B$39,"")</f>
        <v>916.45823131904456</v>
      </c>
      <c r="C121" s="26" cm="1">
        <f t="array" aca="1" ref="C121" ca="1">IFERROR(((SUMPRODUCT($B$16:$K$16,1/(1+$A121)^(COLUMN($B$16:$K$16)-COLUMN($B$16)+1))+$B$24*(1-$E$8/C$119)/($A121-$E$8)/(1+$A121)^10)*(1+$A121)^0.5+$B$32+$B$33+$B$34+$B$35+$B$36+$B$37)/$B$39,"")</f>
        <v>1028.8009813624344</v>
      </c>
      <c r="D121" s="26" cm="1">
        <f t="array" aca="1" ref="D121" ca="1">IFERROR(((SUMPRODUCT($B$16:$K$16,1/(1+$A121)^(COLUMN($B$16:$K$16)-COLUMN($B$16)+1))+$B$24*(1-$E$8/D$119)/($A121-$E$8)/(1+$A121)^10)*(1+$A121)^0.5+$B$32+$B$33+$B$34+$B$35+$B$36+$B$37)/$B$39,"")</f>
        <v>1096.2066313884686</v>
      </c>
      <c r="E121" s="26" cm="1">
        <f t="array" aca="1" ref="E121" ca="1">IFERROR(((SUMPRODUCT($B$16:$K$16,1/(1+$A121)^(COLUMN($B$16:$K$16)-COLUMN($B$16)+1))+$B$24*(1-$E$8/E$119)/($A121-$E$8)/(1+$A121)^10)*(1+$A121)^0.5+$B$32+$B$33+$B$34+$B$35+$B$36+$B$37)/$B$39,"")</f>
        <v>1141.1437314058246</v>
      </c>
      <c r="F121" s="26" cm="1">
        <f t="array" aca="1" ref="F121" ca="1">IFERROR(((SUMPRODUCT($B$16:$K$16,1/(1+$A121)^(COLUMN($B$16:$K$16)-COLUMN($B$16)+1))+$B$24*(1-$E$8/F$119)/($A121-$E$8)/(1+$A121)^10)*(1+$A121)^0.5+$B$32+$B$33+$B$34+$B$35+$B$36+$B$37)/$B$39,"")</f>
        <v>1173.2416599896501</v>
      </c>
    </row>
    <row r="122" spans="1:6" x14ac:dyDescent="0.25">
      <c r="A122" s="3">
        <f ca="1">$B$12+0</f>
        <v>9.345613080524226E-2</v>
      </c>
      <c r="B122" s="26" cm="1">
        <f t="array" aca="1" ref="B122" ca="1">IFERROR(((SUMPRODUCT($B$16:$K$16,1/(1+$A122)^(COLUMN($B$16:$K$16)-COLUMN($B$16)+1))+$B$24*(1-$E$8/B$119)/($A122-$E$8)/(1+$A122)^10)*(1+$A122)^0.5+$B$32+$B$33+$B$34+$B$35+$B$36+$B$37)/$B$39,"")</f>
        <v>714.47875399287432</v>
      </c>
      <c r="C122" s="26" cm="1">
        <f t="array" aca="1" ref="C122" ca="1">IFERROR(((SUMPRODUCT($B$16:$K$16,1/(1+$A122)^(COLUMN($B$16:$K$16)-COLUMN($B$16)+1))+$B$24*(1-$E$8/C$119)/($A122-$E$8)/(1+$A122)^10)*(1+$A122)^0.5+$B$32+$B$33+$B$34+$B$35+$B$36+$B$37)/$B$39,"")</f>
        <v>795.90718829830428</v>
      </c>
      <c r="D122" s="235" cm="1">
        <f t="array" aca="1" ref="D122" ca="1">IFERROR(((SUMPRODUCT($B$16:$K$16,1/(1+$A122)^(COLUMN($B$16:$K$16)-COLUMN($B$16)+1))+$B$24*(1-$E$8/D$119)/($A122-$E$8)/(1+$A122)^10)*(1+$A122)^0.5+$B$32+$B$33+$B$34+$B$35+$B$36+$B$37)/$B$39,"")</f>
        <v>844.76424888156237</v>
      </c>
      <c r="E122" s="26" cm="1">
        <f t="array" aca="1" ref="E122" ca="1">IFERROR(((SUMPRODUCT($B$16:$K$16,1/(1+$A122)^(COLUMN($B$16:$K$16)-COLUMN($B$16)+1))+$B$24*(1-$E$8/E$119)/($A122-$E$8)/(1+$A122)^10)*(1+$A122)^0.5+$B$32+$B$33+$B$34+$B$35+$B$36+$B$37)/$B$39,"")</f>
        <v>877.33562260373435</v>
      </c>
      <c r="F122" s="26" cm="1">
        <f t="array" aca="1" ref="F122" ca="1">IFERROR(((SUMPRODUCT($B$16:$K$16,1/(1+$A122)^(COLUMN($B$16:$K$16)-COLUMN($B$16)+1))+$B$24*(1-$E$8/F$119)/($A122-$E$8)/(1+$A122)^10)*(1+$A122)^0.5+$B$32+$B$33+$B$34+$B$35+$B$36+$B$37)/$B$39,"")</f>
        <v>900.60088954814285</v>
      </c>
    </row>
    <row r="123" spans="1:6" x14ac:dyDescent="0.25">
      <c r="A123" s="3">
        <f ca="1">$B$12+0.0075</f>
        <v>0.10095613080524227</v>
      </c>
      <c r="B123" s="26" cm="1">
        <f t="array" aca="1" ref="B123" ca="1">IFERROR(((SUMPRODUCT($B$16:$K$16,1/(1+$A123)^(COLUMN($B$16:$K$16)-COLUMN($B$16)+1))+$B$24*(1-$E$8/B$119)/($A123-$E$8)/(1+$A123)^10)*(1+$A123)^0.5+$B$32+$B$33+$B$34+$B$35+$B$36+$B$37)/$B$39,"")</f>
        <v>586.48030886700178</v>
      </c>
      <c r="C123" s="26" cm="1">
        <f t="array" aca="1" ref="C123" ca="1">IFERROR(((SUMPRODUCT($B$16:$K$16,1/(1+$A123)^(COLUMN($B$16:$K$16)-COLUMN($B$16)+1))+$B$24*(1-$E$8/C$119)/($A123-$E$8)/(1+$A123)^10)*(1+$A123)^0.5+$B$32+$B$33+$B$34+$B$35+$B$36+$B$37)/$B$39,"")</f>
        <v>648.71201474469774</v>
      </c>
      <c r="D123" s="26" cm="1">
        <f t="array" aca="1" ref="D123" ca="1">IFERROR(((SUMPRODUCT($B$16:$K$16,1/(1+$A123)^(COLUMN($B$16:$K$16)-COLUMN($B$16)+1))+$B$24*(1-$E$8/D$119)/($A123-$E$8)/(1+$A123)^10)*(1+$A123)^0.5+$B$32+$B$33+$B$34+$B$35+$B$36+$B$37)/$B$39,"")</f>
        <v>686.05103827131541</v>
      </c>
      <c r="E123" s="26" cm="1">
        <f t="array" aca="1" ref="E123" ca="1">IFERROR(((SUMPRODUCT($B$16:$K$16,1/(1+$A123)^(COLUMN($B$16:$K$16)-COLUMN($B$16)+1))+$B$24*(1-$E$8/E$119)/($A123-$E$8)/(1+$A123)^10)*(1+$A123)^0.5+$B$32+$B$33+$B$34+$B$35+$B$36+$B$37)/$B$39,"")</f>
        <v>710.9437206223937</v>
      </c>
      <c r="F123" s="26" cm="1">
        <f t="array" aca="1" ref="F123" ca="1">IFERROR(((SUMPRODUCT($B$16:$K$16,1/(1+$A123)^(COLUMN($B$16:$K$16)-COLUMN($B$16)+1))+$B$24*(1-$E$8/F$119)/($A123-$E$8)/(1+$A123)^10)*(1+$A123)^0.5+$B$32+$B$33+$B$34+$B$35+$B$36+$B$37)/$B$39,"")</f>
        <v>728.72420801602107</v>
      </c>
    </row>
    <row r="124" spans="1:6" x14ac:dyDescent="0.25">
      <c r="A124" s="3">
        <f ca="1">$B$12+0.015</f>
        <v>0.10845613080524226</v>
      </c>
      <c r="B124" s="26" cm="1">
        <f t="array" aca="1" ref="B124" ca="1">IFERROR(((SUMPRODUCT($B$16:$K$16,1/(1+$A124)^(COLUMN($B$16:$K$16)-COLUMN($B$16)+1))+$B$24*(1-$E$8/B$119)/($A124-$E$8)/(1+$A124)^10)*(1+$A124)^0.5+$B$32+$B$33+$B$34+$B$35+$B$36+$B$37)/$B$39,"")</f>
        <v>497.93545062901023</v>
      </c>
      <c r="C124" s="26" cm="1">
        <f t="array" aca="1" ref="C124" ca="1">IFERROR(((SUMPRODUCT($B$16:$K$16,1/(1+$A124)^(COLUMN($B$16:$K$16)-COLUMN($B$16)+1))+$B$24*(1-$E$8/C$119)/($A124-$E$8)/(1+$A124)^10)*(1+$A124)^0.5+$B$32+$B$33+$B$34+$B$35+$B$36+$B$37)/$B$39,"")</f>
        <v>547.19330127611579</v>
      </c>
      <c r="D124" s="26" cm="1">
        <f t="array" aca="1" ref="D124" ca="1">IFERROR(((SUMPRODUCT($B$16:$K$16,1/(1+$A124)^(COLUMN($B$16:$K$16)-COLUMN($B$16)+1))+$B$24*(1-$E$8/D$119)/($A124-$E$8)/(1+$A124)^10)*(1+$A124)^0.5+$B$32+$B$33+$B$34+$B$35+$B$36+$B$37)/$B$39,"")</f>
        <v>576.74801166437931</v>
      </c>
      <c r="E124" s="26" cm="1">
        <f t="array" aca="1" ref="E124" ca="1">IFERROR(((SUMPRODUCT($B$16:$K$16,1/(1+$A124)^(COLUMN($B$16:$K$16)-COLUMN($B$16)+1))+$B$24*(1-$E$8/E$119)/($A124-$E$8)/(1+$A124)^10)*(1+$A124)^0.5+$B$32+$B$33+$B$34+$B$35+$B$36+$B$37)/$B$39,"")</f>
        <v>596.45115192322146</v>
      </c>
      <c r="F124" s="26" cm="1">
        <f t="array" aca="1" ref="F124" ca="1">IFERROR(((SUMPRODUCT($B$16:$K$16,1/(1+$A124)^(COLUMN($B$16:$K$16)-COLUMN($B$16)+1))+$B$24*(1-$E$8/F$119)/($A124-$E$8)/(1+$A124)^10)*(1+$A124)^0.5+$B$32+$B$33+$B$34+$B$35+$B$36+$B$37)/$B$39,"")</f>
        <v>610.52482353668017</v>
      </c>
    </row>
    <row r="127" spans="1:6" x14ac:dyDescent="0.25">
      <c r="A127" s="67" t="s">
        <v>1604</v>
      </c>
    </row>
    <row r="128" spans="1:6" x14ac:dyDescent="0.25">
      <c r="A128" t="s">
        <v>1605</v>
      </c>
      <c r="B128" s="28">
        <f>$B$22+-0.04</f>
        <v>0.37557544654374081</v>
      </c>
      <c r="C128" s="28">
        <f>$B$22+-0.02</f>
        <v>0.39557544654374077</v>
      </c>
      <c r="D128" s="28">
        <f>$B$22+0</f>
        <v>0.41557544654374079</v>
      </c>
      <c r="E128" s="28">
        <f>$B$22+0.02</f>
        <v>0.43557544654374081</v>
      </c>
      <c r="F128" s="28">
        <f>$B$22+0.04</f>
        <v>0.45557544654374077</v>
      </c>
    </row>
    <row r="129" spans="1:6" x14ac:dyDescent="0.25">
      <c r="A129" s="3">
        <f ca="1">$B$12+-0.015</f>
        <v>7.8456130805242261E-2</v>
      </c>
      <c r="B129" s="26" cm="1">
        <f t="array" aca="1" ref="B129" ca="1">IFERROR(((SUMPRODUCT($B$16:$K$16,1/(1+$A129)^(COLUMN($B$16:$K$16)-COLUMN($B$16)+1))+($B$23*B$128*(1-'META Forecast'!$B$2))*(1-$E$8/$E$9)/($A129-$E$8)/(1+$A129)^10)*(1+$A129)^0.5+$B$32+$B$33+$B$34+$B$35+$B$36+$B$37)/$B$39,"")</f>
        <v>1426.6850957879496</v>
      </c>
      <c r="C129" s="26" cm="1">
        <f t="array" aca="1" ref="C129" ca="1">IFERROR(((SUMPRODUCT($B$16:$K$16,1/(1+$A129)^(COLUMN($B$16:$K$16)-COLUMN($B$16)+1))+($B$23*C$128*(1-'META Forecast'!$B$2))*(1-$E$8/$E$9)/($A129-$E$8)/(1+$A129)^10)*(1+$A129)^0.5+$B$32+$B$33+$B$34+$B$35+$B$36+$B$37)/$B$39,"")</f>
        <v>1490.97875199533</v>
      </c>
      <c r="D129" s="26" cm="1">
        <f t="array" aca="1" ref="D129" ca="1">IFERROR(((SUMPRODUCT($B$16:$K$16,1/(1+$A129)^(COLUMN($B$16:$K$16)-COLUMN($B$16)+1))+($B$23*D$128*(1-'META Forecast'!$B$2))*(1-$E$8/$E$9)/($A129-$E$8)/(1+$A129)^10)*(1+$A129)^0.5+$B$32+$B$33+$B$34+$B$35+$B$36+$B$37)/$B$39,"")</f>
        <v>1555.27240820271</v>
      </c>
      <c r="E129" s="26" cm="1">
        <f t="array" aca="1" ref="E129" ca="1">IFERROR(((SUMPRODUCT($B$16:$K$16,1/(1+$A129)^(COLUMN($B$16:$K$16)-COLUMN($B$16)+1))+($B$23*E$128*(1-'META Forecast'!$B$2))*(1-$E$8/$E$9)/($A129-$E$8)/(1+$A129)^10)*(1+$A129)^0.5+$B$32+$B$33+$B$34+$B$35+$B$36+$B$37)/$B$39,"")</f>
        <v>1619.5660644100899</v>
      </c>
      <c r="F129" s="26" cm="1">
        <f t="array" aca="1" ref="F129" ca="1">IFERROR(((SUMPRODUCT($B$16:$K$16,1/(1+$A129)^(COLUMN($B$16:$K$16)-COLUMN($B$16)+1))+($B$23*F$128*(1-'META Forecast'!$B$2))*(1-$E$8/$E$9)/($A129-$E$8)/(1+$A129)^10)*(1+$A129)^0.5+$B$32+$B$33+$B$34+$B$35+$B$36+$B$37)/$B$39,"")</f>
        <v>1683.8597206174697</v>
      </c>
    </row>
    <row r="130" spans="1:6" x14ac:dyDescent="0.25">
      <c r="A130" s="3">
        <f ca="1">$B$12+-0.0075</f>
        <v>8.5956130805242253E-2</v>
      </c>
      <c r="B130" s="26" cm="1">
        <f t="array" aca="1" ref="B130" ca="1">IFERROR(((SUMPRODUCT($B$16:$K$16,1/(1+$A130)^(COLUMN($B$16:$K$16)-COLUMN($B$16)+1))+($B$23*B$128*(1-'META Forecast'!$B$2))*(1-$E$8/$E$9)/($A130-$E$8)/(1+$A130)^10)*(1+$A130)^0.5+$B$32+$B$33+$B$34+$B$35+$B$36+$B$37)/$B$39,"")</f>
        <v>1011.0071047584862</v>
      </c>
      <c r="C130" s="26" cm="1">
        <f t="array" aca="1" ref="C130" ca="1">IFERROR(((SUMPRODUCT($B$16:$K$16,1/(1+$A130)^(COLUMN($B$16:$K$16)-COLUMN($B$16)+1))+($B$23*C$128*(1-'META Forecast'!$B$2))*(1-$E$8/$E$9)/($A130-$E$8)/(1+$A130)^10)*(1+$A130)^0.5+$B$32+$B$33+$B$34+$B$35+$B$36+$B$37)/$B$39,"")</f>
        <v>1053.6068680734772</v>
      </c>
      <c r="D130" s="26" cm="1">
        <f t="array" aca="1" ref="D130" ca="1">IFERROR(((SUMPRODUCT($B$16:$K$16,1/(1+$A130)^(COLUMN($B$16:$K$16)-COLUMN($B$16)+1))+($B$23*D$128*(1-'META Forecast'!$B$2))*(1-$E$8/$E$9)/($A130-$E$8)/(1+$A130)^10)*(1+$A130)^0.5+$B$32+$B$33+$B$34+$B$35+$B$36+$B$37)/$B$39,"")</f>
        <v>1096.2066313884686</v>
      </c>
      <c r="E130" s="26" cm="1">
        <f t="array" aca="1" ref="E130" ca="1">IFERROR(((SUMPRODUCT($B$16:$K$16,1/(1+$A130)^(COLUMN($B$16:$K$16)-COLUMN($B$16)+1))+($B$23*E$128*(1-'META Forecast'!$B$2))*(1-$E$8/$E$9)/($A130-$E$8)/(1+$A130)^10)*(1+$A130)^0.5+$B$32+$B$33+$B$34+$B$35+$B$36+$B$37)/$B$39,"")</f>
        <v>1138.8063947034598</v>
      </c>
      <c r="F130" s="26" cm="1">
        <f t="array" aca="1" ref="F130" ca="1">IFERROR(((SUMPRODUCT($B$16:$K$16,1/(1+$A130)^(COLUMN($B$16:$K$16)-COLUMN($B$16)+1))+($B$23*F$128*(1-'META Forecast'!$B$2))*(1-$E$8/$E$9)/($A130-$E$8)/(1+$A130)^10)*(1+$A130)^0.5+$B$32+$B$33+$B$34+$B$35+$B$36+$B$37)/$B$39,"")</f>
        <v>1181.4061580184509</v>
      </c>
    </row>
    <row r="131" spans="1:6" x14ac:dyDescent="0.25">
      <c r="A131" s="3">
        <f ca="1">$B$12+0</f>
        <v>9.345613080524226E-2</v>
      </c>
      <c r="B131" s="26" cm="1">
        <f t="array" aca="1" ref="B131" ca="1">IFERROR(((SUMPRODUCT($B$16:$K$16,1/(1+$A131)^(COLUMN($B$16:$K$16)-COLUMN($B$16)+1))+($B$23*B$128*(1-'META Forecast'!$B$2))*(1-$E$8/$E$9)/($A131-$E$8)/(1+$A131)^10)*(1+$A131)^0.5+$B$32+$B$33+$B$34+$B$35+$B$36+$B$37)/$B$39,"")</f>
        <v>783.00980496449836</v>
      </c>
      <c r="C131" s="26" cm="1">
        <f t="array" aca="1" ref="C131" ca="1">IFERROR(((SUMPRODUCT($B$16:$K$16,1/(1+$A131)^(COLUMN($B$16:$K$16)-COLUMN($B$16)+1))+($B$23*C$128*(1-'META Forecast'!$B$2))*(1-$E$8/$E$9)/($A131-$E$8)/(1+$A131)^10)*(1+$A131)^0.5+$B$32+$B$33+$B$34+$B$35+$B$36+$B$37)/$B$39,"")</f>
        <v>813.88702692303036</v>
      </c>
      <c r="D131" s="235" cm="1">
        <f t="array" aca="1" ref="D131" ca="1">IFERROR(((SUMPRODUCT($B$16:$K$16,1/(1+$A131)^(COLUMN($B$16:$K$16)-COLUMN($B$16)+1))+($B$23*D$128*(1-'META Forecast'!$B$2))*(1-$E$8/$E$9)/($A131-$E$8)/(1+$A131)^10)*(1+$A131)^0.5+$B$32+$B$33+$B$34+$B$35+$B$36+$B$37)/$B$39,"")</f>
        <v>844.76424888156237</v>
      </c>
      <c r="E131" s="26" cm="1">
        <f t="array" aca="1" ref="E131" ca="1">IFERROR(((SUMPRODUCT($B$16:$K$16,1/(1+$A131)^(COLUMN($B$16:$K$16)-COLUMN($B$16)+1))+($B$23*E$128*(1-'META Forecast'!$B$2))*(1-$E$8/$E$9)/($A131-$E$8)/(1+$A131)^10)*(1+$A131)^0.5+$B$32+$B$33+$B$34+$B$35+$B$36+$B$37)/$B$39,"")</f>
        <v>875.64147084009426</v>
      </c>
      <c r="F131" s="26" cm="1">
        <f t="array" aca="1" ref="F131" ca="1">IFERROR(((SUMPRODUCT($B$16:$K$16,1/(1+$A131)^(COLUMN($B$16:$K$16)-COLUMN($B$16)+1))+($B$23*F$128*(1-'META Forecast'!$B$2))*(1-$E$8/$E$9)/($A131-$E$8)/(1+$A131)^10)*(1+$A131)^0.5+$B$32+$B$33+$B$34+$B$35+$B$36+$B$37)/$B$39,"")</f>
        <v>906.51869279862626</v>
      </c>
    </row>
    <row r="132" spans="1:6" x14ac:dyDescent="0.25">
      <c r="A132" s="3">
        <f ca="1">$B$12+0.0075</f>
        <v>0.10095613080524227</v>
      </c>
      <c r="B132" s="26" cm="1">
        <f t="array" aca="1" ref="B132" ca="1">IFERROR(((SUMPRODUCT($B$16:$K$16,1/(1+$A132)^(COLUMN($B$16:$K$16)-COLUMN($B$16)+1))+($B$23*B$128*(1-'META Forecast'!$B$2))*(1-$E$8/$E$9)/($A132-$E$8)/(1+$A132)^10)*(1+$A132)^0.5+$B$32+$B$33+$B$34+$B$35+$B$36+$B$37)/$B$39,"")</f>
        <v>638.85518557847888</v>
      </c>
      <c r="C132" s="26" cm="1">
        <f t="array" aca="1" ref="C132" ca="1">IFERROR(((SUMPRODUCT($B$16:$K$16,1/(1+$A132)^(COLUMN($B$16:$K$16)-COLUMN($B$16)+1))+($B$23*C$128*(1-'META Forecast'!$B$2))*(1-$E$8/$E$9)/($A132-$E$8)/(1+$A132)^10)*(1+$A132)^0.5+$B$32+$B$33+$B$34+$B$35+$B$36+$B$37)/$B$39,"")</f>
        <v>662.45311192489703</v>
      </c>
      <c r="D132" s="26" cm="1">
        <f t="array" aca="1" ref="D132" ca="1">IFERROR(((SUMPRODUCT($B$16:$K$16,1/(1+$A132)^(COLUMN($B$16:$K$16)-COLUMN($B$16)+1))+($B$23*D$128*(1-'META Forecast'!$B$2))*(1-$E$8/$E$9)/($A132-$E$8)/(1+$A132)^10)*(1+$A132)^0.5+$B$32+$B$33+$B$34+$B$35+$B$36+$B$37)/$B$39,"")</f>
        <v>686.05103827131541</v>
      </c>
      <c r="E132" s="26" cm="1">
        <f t="array" aca="1" ref="E132" ca="1">IFERROR(((SUMPRODUCT($B$16:$K$16,1/(1+$A132)^(COLUMN($B$16:$K$16)-COLUMN($B$16)+1))+($B$23*E$128*(1-'META Forecast'!$B$2))*(1-$E$8/$E$9)/($A132-$E$8)/(1+$A132)^10)*(1+$A132)^0.5+$B$32+$B$33+$B$34+$B$35+$B$36+$B$37)/$B$39,"")</f>
        <v>709.64896461773367</v>
      </c>
      <c r="F132" s="26" cm="1">
        <f t="array" aca="1" ref="F132" ca="1">IFERROR(((SUMPRODUCT($B$16:$K$16,1/(1+$A132)^(COLUMN($B$16:$K$16)-COLUMN($B$16)+1))+($B$23*F$128*(1-'META Forecast'!$B$2))*(1-$E$8/$E$9)/($A132-$E$8)/(1+$A132)^10)*(1+$A132)^0.5+$B$32+$B$33+$B$34+$B$35+$B$36+$B$37)/$B$39,"")</f>
        <v>733.24689096415193</v>
      </c>
    </row>
    <row r="133" spans="1:6" x14ac:dyDescent="0.25">
      <c r="A133" s="3">
        <f ca="1">$B$12+0.015</f>
        <v>0.10845613080524226</v>
      </c>
      <c r="B133" s="26" cm="1">
        <f t="array" aca="1" ref="B133" ca="1">IFERROR(((SUMPRODUCT($B$16:$K$16,1/(1+$A133)^(COLUMN($B$16:$K$16)-COLUMN($B$16)+1))+($B$23*B$128*(1-'META Forecast'!$B$2))*(1-$E$8/$E$9)/($A133-$E$8)/(1+$A133)^10)*(1+$A133)^0.5+$B$32+$B$33+$B$34+$B$35+$B$36+$B$37)/$B$39,"")</f>
        <v>539.39139046432092</v>
      </c>
      <c r="C133" s="26" cm="1">
        <f t="array" aca="1" ref="C133" ca="1">IFERROR(((SUMPRODUCT($B$16:$K$16,1/(1+$A133)^(COLUMN($B$16:$K$16)-COLUMN($B$16)+1))+($B$23*C$128*(1-'META Forecast'!$B$2))*(1-$E$8/$E$9)/($A133-$E$8)/(1+$A133)^10)*(1+$A133)^0.5+$B$32+$B$33+$B$34+$B$35+$B$36+$B$37)/$B$39,"")</f>
        <v>558.06970106435006</v>
      </c>
      <c r="D133" s="26" cm="1">
        <f t="array" aca="1" ref="D133" ca="1">IFERROR(((SUMPRODUCT($B$16:$K$16,1/(1+$A133)^(COLUMN($B$16:$K$16)-COLUMN($B$16)+1))+($B$23*D$128*(1-'META Forecast'!$B$2))*(1-$E$8/$E$9)/($A133-$E$8)/(1+$A133)^10)*(1+$A133)^0.5+$B$32+$B$33+$B$34+$B$35+$B$36+$B$37)/$B$39,"")</f>
        <v>576.74801166437931</v>
      </c>
      <c r="E133" s="26" cm="1">
        <f t="array" aca="1" ref="E133" ca="1">IFERROR(((SUMPRODUCT($B$16:$K$16,1/(1+$A133)^(COLUMN($B$16:$K$16)-COLUMN($B$16)+1))+($B$23*E$128*(1-'META Forecast'!$B$2))*(1-$E$8/$E$9)/($A133-$E$8)/(1+$A133)^10)*(1+$A133)^0.5+$B$32+$B$33+$B$34+$B$35+$B$36+$B$37)/$B$39,"")</f>
        <v>595.42632226440855</v>
      </c>
      <c r="F133" s="26" cm="1">
        <f t="array" aca="1" ref="F133" ca="1">IFERROR(((SUMPRODUCT($B$16:$K$16,1/(1+$A133)^(COLUMN($B$16:$K$16)-COLUMN($B$16)+1))+($B$23*F$128*(1-'META Forecast'!$B$2))*(1-$E$8/$E$9)/($A133-$E$8)/(1+$A133)^10)*(1+$A133)^0.5+$B$32+$B$33+$B$34+$B$35+$B$36+$B$37)/$B$39,"")</f>
        <v>614.10463286443769</v>
      </c>
    </row>
    <row r="136" spans="1:6" x14ac:dyDescent="0.25">
      <c r="A136" s="233" t="s">
        <v>1606</v>
      </c>
    </row>
    <row r="137" spans="1:6" x14ac:dyDescent="0.25">
      <c r="A137" t="s">
        <v>569</v>
      </c>
      <c r="B137" s="28">
        <v>0</v>
      </c>
      <c r="C137" s="28">
        <v>0.05</v>
      </c>
      <c r="D137" s="28">
        <v>0.1</v>
      </c>
      <c r="E137" s="28">
        <v>0.15</v>
      </c>
      <c r="F137" s="28">
        <v>0.2</v>
      </c>
    </row>
    <row r="138" spans="1:6" x14ac:dyDescent="0.25">
      <c r="A138" t="s">
        <v>1607</v>
      </c>
      <c r="B138" s="165">
        <v>587.94164448217703</v>
      </c>
      <c r="C138" s="165">
        <v>676.65182365390297</v>
      </c>
      <c r="D138" s="165">
        <v>777.55248013547703</v>
      </c>
      <c r="E138" s="165">
        <v>891.96147693229398</v>
      </c>
      <c r="F138" s="165">
        <v>1021.3027648422</v>
      </c>
    </row>
    <row r="139" spans="1:6" x14ac:dyDescent="0.25">
      <c r="A139" s="234" t="s">
        <v>1608</v>
      </c>
    </row>
  </sheetData>
  <conditionalFormatting sqref="B71:F75">
    <cfRule type="colorScale" priority="1">
      <colorScale>
        <cfvo type="min"/>
        <cfvo type="percentile" val="50"/>
        <cfvo type="max"/>
        <color rgb="FFF8696B"/>
        <color rgb="FFFFEB84"/>
        <color rgb="FF63BE7B"/>
      </colorScale>
    </cfRule>
  </conditionalFormatting>
  <conditionalFormatting sqref="B120:F124">
    <cfRule type="colorScale" priority="2">
      <colorScale>
        <cfvo type="min"/>
        <cfvo type="percentile" val="50"/>
        <cfvo type="max"/>
        <color rgb="FFF8696B"/>
        <color rgb="FFFFEB84"/>
        <color rgb="FF63BE7B"/>
      </colorScale>
    </cfRule>
  </conditionalFormatting>
  <conditionalFormatting sqref="B129:F133">
    <cfRule type="colorScale" priority="3">
      <colorScale>
        <cfvo type="min"/>
        <cfvo type="percentile" val="50"/>
        <cfvo type="max"/>
        <color rgb="FFF8696B"/>
        <color rgb="FFFFEB84"/>
        <color rgb="FF63BE7B"/>
      </colorScale>
    </cfRule>
  </conditionalFormatting>
  <conditionalFormatting sqref="B138:F138">
    <cfRule type="colorScale" priority="4">
      <colorScale>
        <cfvo type="min"/>
        <cfvo type="percentile" val="50"/>
        <cfvo type="max"/>
        <color rgb="FFF8696B"/>
        <color rgb="FFFFEB84"/>
        <color rgb="FF63BE7B"/>
      </colorScale>
    </cfRule>
  </conditionalFormatting>
  <pageMargins left="0.7" right="0.7" top="0.75" bottom="0.75" header="0.3" footer="0.3"/>
  <drawing r:id="rId1"/>
  <legacyDrawing r:id="rId2"/>
</worksheet>
</file>

<file path=xl/worksheets/sheet8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7E7E4B-A9B0-4635-8413-83020807505F}">
  <sheetPr>
    <tabColor rgb="FFF4B7B7"/>
  </sheetPr>
  <dimension ref="A1:P139"/>
  <sheetViews>
    <sheetView topLeftCell="A12" workbookViewId="0"/>
  </sheetViews>
  <sheetFormatPr defaultColWidth="10.28515625" defaultRowHeight="15" x14ac:dyDescent="0.25"/>
  <cols>
    <col min="1" max="1" width="45.42578125" customWidth="1"/>
  </cols>
  <sheetData>
    <row r="1" spans="1:16" ht="15.75" x14ac:dyDescent="0.25">
      <c r="A1" s="15" t="s">
        <v>599</v>
      </c>
    </row>
    <row r="3" spans="1:16" x14ac:dyDescent="0.25">
      <c r="A3" s="24" t="s">
        <v>568</v>
      </c>
      <c r="B3" s="24"/>
      <c r="C3" s="24"/>
      <c r="D3" s="24"/>
      <c r="E3" s="24"/>
      <c r="F3" s="24"/>
    </row>
    <row r="4" spans="1:16" x14ac:dyDescent="0.25">
      <c r="A4" t="s">
        <v>792</v>
      </c>
      <c r="B4" s="78" t="str">
        <f>'Valuation Dashboard'!H22</f>
        <v>Base</v>
      </c>
      <c r="C4" s="170">
        <f>MATCH($B$4,{"Base","Worst","Best"},0)</f>
        <v>1</v>
      </c>
    </row>
    <row r="5" spans="1:16" x14ac:dyDescent="0.25">
      <c r="A5" s="9" t="s">
        <v>449</v>
      </c>
      <c r="B5" s="9" t="s">
        <v>590</v>
      </c>
      <c r="C5" s="9" t="s">
        <v>591</v>
      </c>
      <c r="D5" s="9" t="s">
        <v>592</v>
      </c>
      <c r="E5" s="9" t="s">
        <v>593</v>
      </c>
    </row>
    <row r="6" spans="1:16" x14ac:dyDescent="0.25">
      <c r="A6" t="s">
        <v>569</v>
      </c>
      <c r="B6" s="76">
        <f>'Valuation Dashboard'!H23</f>
        <v>0.04</v>
      </c>
      <c r="C6" s="76">
        <f>'Valuation Dashboard'!$B$15</f>
        <v>0.01</v>
      </c>
      <c r="D6" s="76">
        <f>MAX($B$6,'Valuation Dashboard'!$B$16)</f>
        <v>0.154</v>
      </c>
      <c r="E6" s="134" cm="1">
        <f t="array" ref="E6">INDEX(B6:D6,$C$4)</f>
        <v>0.04</v>
      </c>
    </row>
    <row r="7" spans="1:16" x14ac:dyDescent="0.25">
      <c r="A7" t="s">
        <v>570</v>
      </c>
      <c r="B7" s="76">
        <f>'Valuation Dashboard'!$B$19</f>
        <v>0</v>
      </c>
      <c r="C7" s="76">
        <f>'Valuation Dashboard'!$H$224</f>
        <v>-4.8733127171640467E-2</v>
      </c>
      <c r="D7" s="76">
        <f>'Valuation Dashboard'!$H$225</f>
        <v>5.4581220967554384E-2</v>
      </c>
      <c r="E7" s="134" cm="1">
        <f t="array" ref="E7">INDEX(B7:D7,$C$4)</f>
        <v>0</v>
      </c>
    </row>
    <row r="8" spans="1:16" x14ac:dyDescent="0.25">
      <c r="A8" t="s">
        <v>605</v>
      </c>
      <c r="B8" s="76">
        <f>'TSLA Rev Drivers &amp; Forecast'!$B$7+'TSLA Rev Drivers &amp; Forecast'!$B$4</f>
        <v>6.0300000000000006E-2</v>
      </c>
      <c r="C8" s="76">
        <f>'TSLA Rev Drivers &amp; Forecast'!$B$7+'TSLA Rev Drivers &amp; Forecast'!$B$4-0.015</f>
        <v>4.5300000000000007E-2</v>
      </c>
      <c r="D8" s="76">
        <f>'TSLA Rev Drivers &amp; Forecast'!$B$7+'TSLA Rev Drivers &amp; Forecast'!$B$4</f>
        <v>6.0300000000000006E-2</v>
      </c>
      <c r="E8" s="134" cm="1">
        <f t="array" ref="E8">INDEX(B8:D8,$C$4)</f>
        <v>6.0300000000000006E-2</v>
      </c>
    </row>
    <row r="9" spans="1:16" x14ac:dyDescent="0.25">
      <c r="A9" t="s">
        <v>1552</v>
      </c>
      <c r="B9" s="76">
        <f ca="1">'Valuation Dashboard'!$H$206</f>
        <v>0.1211934192737834</v>
      </c>
      <c r="C9" s="76">
        <f ca="1">'Valuation Dashboard'!$H$206</f>
        <v>0.1211934192737834</v>
      </c>
      <c r="D9" s="76">
        <f ca="1">'Valuation Dashboard'!$H$206</f>
        <v>0.1211934192737834</v>
      </c>
      <c r="E9" s="134" cm="1">
        <f t="array" aca="1" ref="E9" ca="1">INDEX(B9:D9,$C$4)</f>
        <v>0.1211934192737834</v>
      </c>
    </row>
    <row r="10" spans="1:16" x14ac:dyDescent="0.25">
      <c r="A10" t="s">
        <v>1553</v>
      </c>
      <c r="B10" s="76">
        <f>'Valuation Dashboard'!$H$205</f>
        <v>0.15</v>
      </c>
    </row>
    <row r="11" spans="1:16" x14ac:dyDescent="0.25">
      <c r="A11" s="24" t="s">
        <v>571</v>
      </c>
      <c r="B11" s="24"/>
      <c r="C11" s="24"/>
      <c r="D11" s="24"/>
      <c r="E11" s="24"/>
      <c r="F11" s="24"/>
    </row>
    <row r="12" spans="1:16" x14ac:dyDescent="0.25">
      <c r="A12" t="s">
        <v>572</v>
      </c>
      <c r="B12" s="79">
        <f ca="1">WACC!I48</f>
        <v>0.1211934192737834</v>
      </c>
    </row>
    <row r="14" spans="1:16" x14ac:dyDescent="0.25">
      <c r="A14" s="24" t="s">
        <v>1014</v>
      </c>
      <c r="B14" s="24"/>
      <c r="C14" s="24"/>
      <c r="D14" s="24"/>
      <c r="E14" s="24"/>
      <c r="F14" s="24"/>
      <c r="G14" s="24"/>
      <c r="H14" s="24"/>
      <c r="I14" s="24"/>
      <c r="J14" s="24"/>
      <c r="K14" s="24"/>
      <c r="L14" s="24"/>
      <c r="M14" s="24"/>
      <c r="N14" s="24"/>
      <c r="O14" s="24"/>
      <c r="P14" s="24"/>
    </row>
    <row r="15" spans="1:16" x14ac:dyDescent="0.25">
      <c r="A15" s="9" t="s">
        <v>573</v>
      </c>
      <c r="B15" s="167">
        <f>'TSLA Forecast'!B24</f>
        <v>46387</v>
      </c>
      <c r="C15" s="167">
        <f>'TSLA Forecast'!C24</f>
        <v>46752</v>
      </c>
      <c r="D15" s="167">
        <f>'TSLA Forecast'!D24</f>
        <v>47118</v>
      </c>
      <c r="E15" s="167">
        <f>'TSLA Forecast'!E24</f>
        <v>47483</v>
      </c>
      <c r="F15" s="167">
        <f>'TSLA Forecast'!F24</f>
        <v>47848</v>
      </c>
      <c r="G15" s="167">
        <f>'TSLA Forecast'!B110</f>
        <v>48213</v>
      </c>
      <c r="H15" s="167">
        <f>'TSLA Forecast'!C110</f>
        <v>48579</v>
      </c>
      <c r="I15" s="167">
        <f>'TSLA Forecast'!D110</f>
        <v>48944</v>
      </c>
      <c r="J15" s="167">
        <f>'TSLA Forecast'!E110</f>
        <v>49309</v>
      </c>
      <c r="K15" s="167">
        <f>'TSLA Forecast'!F110</f>
        <v>49674</v>
      </c>
      <c r="L15" s="49"/>
      <c r="M15" s="49"/>
      <c r="N15" s="49"/>
      <c r="O15" s="49"/>
      <c r="P15" s="49"/>
    </row>
    <row r="16" spans="1:16" x14ac:dyDescent="0.25">
      <c r="A16" t="s">
        <v>270</v>
      </c>
      <c r="B16" s="109">
        <f>'TSLA Forecast'!B73</f>
        <v>1112.8598680015675</v>
      </c>
      <c r="C16" s="109">
        <f>'TSLA Forecast'!C73</f>
        <v>1428.0193276263981</v>
      </c>
      <c r="D16" s="109">
        <f>'TSLA Forecast'!D73</f>
        <v>1777.8133515886948</v>
      </c>
      <c r="E16" s="109">
        <f>'TSLA Forecast'!E73</f>
        <v>2164.8258222205022</v>
      </c>
      <c r="F16" s="109">
        <f>'TSLA Forecast'!F73</f>
        <v>2591.76662464332</v>
      </c>
      <c r="G16" s="109">
        <f>'TSLA Forecast'!B118</f>
        <v>2995.6084549050702</v>
      </c>
      <c r="H16" s="109">
        <f>'TSLA Forecast'!C118</f>
        <v>3218.9998052739693</v>
      </c>
      <c r="I16" s="109">
        <f>'TSLA Forecast'!D118</f>
        <v>3456.5058031541967</v>
      </c>
      <c r="J16" s="109">
        <f>'TSLA Forecast'!E118</f>
        <v>3664.9331030843805</v>
      </c>
      <c r="K16" s="109">
        <f>'TSLA Forecast'!F118</f>
        <v>3885.9285692003741</v>
      </c>
      <c r="L16" s="26"/>
      <c r="M16" s="26"/>
      <c r="N16" s="26"/>
      <c r="O16" s="26"/>
      <c r="P16" s="26"/>
    </row>
    <row r="17" spans="1:16" x14ac:dyDescent="0.25">
      <c r="A17" t="s">
        <v>574</v>
      </c>
      <c r="B17" s="140">
        <f ca="1">1/(1+$B$12)^1</f>
        <v>0.89190676899238097</v>
      </c>
      <c r="C17" s="140">
        <f ca="1">1/(1+$B$12)^2</f>
        <v>0.79549768457442838</v>
      </c>
      <c r="D17" s="140">
        <f ca="1">1/(1+$B$12)^3</f>
        <v>0.70950976958969869</v>
      </c>
      <c r="E17" s="140">
        <f ca="1">1/(1+$B$12)^4</f>
        <v>0.63281656616327675</v>
      </c>
      <c r="F17" s="140">
        <f ca="1">1/(1+$B$12)^5</f>
        <v>0.56441337889154142</v>
      </c>
      <c r="G17" s="140">
        <f ca="1">1/(1+$B$12)^6</f>
        <v>0.50340411314322731</v>
      </c>
      <c r="H17" s="140">
        <f ca="1">1/(1+$B$12)^7</f>
        <v>0.44898953605105085</v>
      </c>
      <c r="I17" s="140">
        <f ca="1">1/(1+$B$12)^8</f>
        <v>0.40045680641068082</v>
      </c>
      <c r="J17" s="140">
        <f ca="1">1/(1+$B$12)^9</f>
        <v>0.3571701363267577</v>
      </c>
      <c r="K17" s="140">
        <f ca="1">1/(1+$B$12)^10</f>
        <v>0.31856246227176677</v>
      </c>
      <c r="L17" s="51"/>
      <c r="M17" s="51"/>
      <c r="N17" s="51"/>
      <c r="O17" s="51"/>
      <c r="P17" s="51"/>
    </row>
    <row r="18" spans="1:16" x14ac:dyDescent="0.25">
      <c r="A18" t="s">
        <v>575</v>
      </c>
      <c r="B18" s="119">
        <f t="shared" ref="B18:K18" ca="1" si="0">B16*B17</f>
        <v>992.56724921056571</v>
      </c>
      <c r="C18" s="119">
        <f t="shared" ca="1" si="0"/>
        <v>1135.9860686543318</v>
      </c>
      <c r="D18" s="119">
        <f t="shared" ca="1" si="0"/>
        <v>1261.3759414591848</v>
      </c>
      <c r="E18" s="119">
        <f t="shared" ca="1" si="0"/>
        <v>1369.9376431591704</v>
      </c>
      <c r="F18" s="119">
        <f t="shared" ca="1" si="0"/>
        <v>1462.8277579132616</v>
      </c>
      <c r="G18" s="119">
        <f t="shared" ca="1" si="0"/>
        <v>1508.0016175658402</v>
      </c>
      <c r="H18" s="119">
        <f t="shared" ca="1" si="0"/>
        <v>1445.2972291183826</v>
      </c>
      <c r="I18" s="119">
        <f t="shared" ca="1" si="0"/>
        <v>1384.1812752711151</v>
      </c>
      <c r="J18" s="119">
        <f t="shared" ca="1" si="0"/>
        <v>1309.0046560570954</v>
      </c>
      <c r="K18" s="119">
        <f t="shared" ca="1" si="0"/>
        <v>1237.9109732166748</v>
      </c>
      <c r="L18" s="26"/>
      <c r="M18" s="26"/>
      <c r="N18" s="26"/>
      <c r="O18" s="26"/>
      <c r="P18" s="26"/>
    </row>
    <row r="19" spans="1:16" x14ac:dyDescent="0.25">
      <c r="A19" s="9" t="s">
        <v>576</v>
      </c>
      <c r="B19" s="147">
        <f ca="1">SUM(B18:K18)</f>
        <v>13107.090411625622</v>
      </c>
    </row>
    <row r="21" spans="1:16" x14ac:dyDescent="0.25">
      <c r="A21" s="24" t="s">
        <v>1015</v>
      </c>
      <c r="B21" s="24"/>
      <c r="C21" s="24"/>
      <c r="D21" s="24"/>
      <c r="E21" s="24"/>
      <c r="F21" s="24"/>
    </row>
    <row r="22" spans="1:16" x14ac:dyDescent="0.25">
      <c r="A22" t="s">
        <v>1596</v>
      </c>
      <c r="B22" s="113">
        <f>'TSLA Forecast'!F113+$E$7</f>
        <v>6.4926015037436322E-2</v>
      </c>
    </row>
    <row r="23" spans="1:16" x14ac:dyDescent="0.25">
      <c r="A23" t="s">
        <v>577</v>
      </c>
      <c r="B23" s="109">
        <f>'TSLA Forecast'!F112*(1+$E$8)</f>
        <v>183571.71882082784</v>
      </c>
    </row>
    <row r="24" spans="1:16" x14ac:dyDescent="0.25">
      <c r="A24" t="s">
        <v>578</v>
      </c>
      <c r="B24" s="109">
        <f>B23*B22*(1-'TSLA Forecast'!$B$2)</f>
        <v>9415.6783395211896</v>
      </c>
    </row>
    <row r="25" spans="1:16" x14ac:dyDescent="0.25">
      <c r="A25" t="s">
        <v>579</v>
      </c>
      <c r="B25" s="119">
        <f ca="1">B24*(1-$E$8/$E$9)/($B$12-$E$8)</f>
        <v>77691.333373890491</v>
      </c>
    </row>
    <row r="26" spans="1:16" x14ac:dyDescent="0.25">
      <c r="A26" t="s">
        <v>574</v>
      </c>
      <c r="B26" s="140">
        <f ca="1">1/(1+$B$12)^10</f>
        <v>0.31856246227176677</v>
      </c>
    </row>
    <row r="27" spans="1:16" x14ac:dyDescent="0.25">
      <c r="A27" t="s">
        <v>580</v>
      </c>
      <c r="B27" s="119">
        <f ca="1">B25*B26</f>
        <v>24749.542456763244</v>
      </c>
    </row>
    <row r="28" spans="1:16" x14ac:dyDescent="0.25">
      <c r="A28" t="s">
        <v>607</v>
      </c>
      <c r="B28" s="134">
        <f ca="1">B27/(B19+B27)</f>
        <v>0.65377030605988373</v>
      </c>
    </row>
    <row r="29" spans="1:16" x14ac:dyDescent="0.25">
      <c r="A29" t="s">
        <v>606</v>
      </c>
      <c r="B29" s="140">
        <f ca="1">(1+$B$12)^0.5</f>
        <v>1.0588642119147211</v>
      </c>
    </row>
    <row r="30" spans="1:16" x14ac:dyDescent="0.25">
      <c r="A30" s="24" t="s">
        <v>581</v>
      </c>
      <c r="B30" s="24"/>
      <c r="C30" s="24"/>
      <c r="D30" s="24"/>
      <c r="E30" s="24"/>
      <c r="F30" s="24"/>
    </row>
    <row r="31" spans="1:16" x14ac:dyDescent="0.25">
      <c r="A31" s="9" t="s">
        <v>582</v>
      </c>
      <c r="B31" s="147">
        <f ca="1">(B19+B27)*B29</f>
        <v>40085.033727931506</v>
      </c>
    </row>
    <row r="32" spans="1:16" x14ac:dyDescent="0.25">
      <c r="A32" t="s">
        <v>832</v>
      </c>
      <c r="B32" s="109">
        <f>'TSLA - Reconciliation FY'!B35</f>
        <v>14616.46</v>
      </c>
    </row>
    <row r="33" spans="1:3" x14ac:dyDescent="0.25">
      <c r="A33" t="s">
        <v>833</v>
      </c>
      <c r="B33" s="109">
        <f>'TSLA - Reconciliation FY'!B40-'TSLA - Reconciliation FY'!B35</f>
        <v>34471</v>
      </c>
    </row>
    <row r="34" spans="1:3" x14ac:dyDescent="0.25">
      <c r="A34" t="s">
        <v>583</v>
      </c>
      <c r="B34" s="109">
        <f>-'TSLA - Reconciliation FY'!B47</f>
        <v>-8376</v>
      </c>
    </row>
    <row r="35" spans="1:3" x14ac:dyDescent="0.25">
      <c r="A35" t="s">
        <v>911</v>
      </c>
      <c r="B35" s="109">
        <f>-WACC!I36</f>
        <v>-6566</v>
      </c>
    </row>
    <row r="36" spans="1:3" x14ac:dyDescent="0.25">
      <c r="A36" t="s">
        <v>584</v>
      </c>
      <c r="B36" s="109">
        <f>-'TSLA - Reconciliation FY'!B49</f>
        <v>-728</v>
      </c>
    </row>
    <row r="37" spans="1:3" x14ac:dyDescent="0.25">
      <c r="A37" t="s">
        <v>617</v>
      </c>
      <c r="B37" s="175">
        <f>-2*'TSLA - Cash Flow FY'!B10</f>
        <v>-5650</v>
      </c>
    </row>
    <row r="38" spans="1:3" x14ac:dyDescent="0.25">
      <c r="A38" s="9" t="s">
        <v>585</v>
      </c>
      <c r="B38" s="147">
        <f ca="1">SUM(B31:B37)</f>
        <v>67852.493727931505</v>
      </c>
    </row>
    <row r="39" spans="1:3" x14ac:dyDescent="0.25">
      <c r="A39" t="s">
        <v>586</v>
      </c>
      <c r="B39" s="109">
        <f ca="1">WACC!I33</f>
        <v>3949.547</v>
      </c>
    </row>
    <row r="40" spans="1:3" x14ac:dyDescent="0.25">
      <c r="A40" s="9" t="s">
        <v>587</v>
      </c>
      <c r="B40" s="147">
        <f ca="1">B38/B39</f>
        <v>17.179816755676413</v>
      </c>
    </row>
    <row r="41" spans="1:3" x14ac:dyDescent="0.25">
      <c r="A41" t="s">
        <v>588</v>
      </c>
      <c r="B41" s="109">
        <f ca="1">WACC!I32</f>
        <v>342.27</v>
      </c>
    </row>
    <row r="42" spans="1:3" x14ac:dyDescent="0.25">
      <c r="A42" t="s">
        <v>589</v>
      </c>
      <c r="B42" s="134">
        <f ca="1">B40/B41-1</f>
        <v>-0.94980624432267968</v>
      </c>
    </row>
    <row r="44" spans="1:3" x14ac:dyDescent="0.25">
      <c r="A44" s="33" t="s">
        <v>610</v>
      </c>
      <c r="B44" s="171">
        <f ca="1">'Ticker Sheet'!C7</f>
        <v>340.24919999999997</v>
      </c>
    </row>
    <row r="45" spans="1:3" x14ac:dyDescent="0.25">
      <c r="A45" s="33" t="s">
        <v>611</v>
      </c>
      <c r="B45" s="172">
        <f ca="1">B44*B40/B41</f>
        <v>17.078385214203685</v>
      </c>
    </row>
    <row r="47" spans="1:3" x14ac:dyDescent="0.25">
      <c r="A47" s="24" t="s">
        <v>618</v>
      </c>
      <c r="B47" s="24" t="s">
        <v>590</v>
      </c>
      <c r="C47" s="24" t="s">
        <v>620</v>
      </c>
    </row>
    <row r="48" spans="1:3" x14ac:dyDescent="0.25">
      <c r="A48" t="s">
        <v>582</v>
      </c>
      <c r="B48" s="135">
        <f>0</f>
        <v>0</v>
      </c>
      <c r="C48" s="135">
        <f ca="1">B31</f>
        <v>40085.033727931506</v>
      </c>
    </row>
    <row r="49" spans="1:3" x14ac:dyDescent="0.25">
      <c r="A49" t="s">
        <v>245</v>
      </c>
      <c r="B49" s="135">
        <f ca="1">B31</f>
        <v>40085.033727931506</v>
      </c>
      <c r="C49" s="135">
        <f>B32</f>
        <v>14616.46</v>
      </c>
    </row>
    <row r="50" spans="1:3" x14ac:dyDescent="0.25">
      <c r="A50" t="s">
        <v>834</v>
      </c>
      <c r="B50" s="135">
        <f ca="1">B31+B32</f>
        <v>54701.493727931505</v>
      </c>
      <c r="C50" s="135">
        <f>B33</f>
        <v>34471</v>
      </c>
    </row>
    <row r="51" spans="1:3" x14ac:dyDescent="0.25">
      <c r="A51" t="s">
        <v>255</v>
      </c>
      <c r="B51" s="135">
        <f ca="1">B31+B32+B33+B34</f>
        <v>80796.493727931505</v>
      </c>
      <c r="C51" s="135">
        <f>-B34</f>
        <v>8376</v>
      </c>
    </row>
    <row r="52" spans="1:3" x14ac:dyDescent="0.25">
      <c r="A52" t="s">
        <v>912</v>
      </c>
      <c r="B52" s="135">
        <f ca="1">B31+B32+B33+B34+B35</f>
        <v>74230.493727931505</v>
      </c>
      <c r="C52" s="135">
        <f>-B35</f>
        <v>6566</v>
      </c>
    </row>
    <row r="53" spans="1:3" x14ac:dyDescent="0.25">
      <c r="A53" t="s">
        <v>619</v>
      </c>
      <c r="B53" s="135">
        <f ca="1">B38</f>
        <v>67852.493727931505</v>
      </c>
      <c r="C53" s="135">
        <f>-(B36+B37)</f>
        <v>6378</v>
      </c>
    </row>
    <row r="54" spans="1:3" x14ac:dyDescent="0.25">
      <c r="A54" t="s">
        <v>585</v>
      </c>
      <c r="B54" s="135">
        <f>0</f>
        <v>0</v>
      </c>
      <c r="C54" s="135">
        <f ca="1">B38</f>
        <v>67852.493727931505</v>
      </c>
    </row>
    <row r="69" spans="1:16" x14ac:dyDescent="0.25">
      <c r="A69" s="54" t="s">
        <v>827</v>
      </c>
      <c r="B69" s="54"/>
      <c r="C69" s="54"/>
      <c r="D69" s="54"/>
      <c r="E69" s="54"/>
      <c r="F69" s="54"/>
    </row>
    <row r="70" spans="1:16" x14ac:dyDescent="0.25">
      <c r="A70" s="9" t="s">
        <v>828</v>
      </c>
      <c r="B70" s="117">
        <f>$E$8+-0.01</f>
        <v>5.0300000000000004E-2</v>
      </c>
      <c r="C70" s="117">
        <f>$E$8+-0.005</f>
        <v>5.5300000000000009E-2</v>
      </c>
      <c r="D70" s="117">
        <f>$E$8+0</f>
        <v>6.0300000000000006E-2</v>
      </c>
      <c r="E70" s="117">
        <f>$E$8+0.005</f>
        <v>6.5300000000000011E-2</v>
      </c>
      <c r="F70" s="117">
        <f>$E$8+0.01</f>
        <v>7.0300000000000001E-2</v>
      </c>
    </row>
    <row r="71" spans="1:16" x14ac:dyDescent="0.25">
      <c r="A71" s="117">
        <f ca="1">$B$12+-0.015</f>
        <v>0.1061934192737834</v>
      </c>
      <c r="B71" s="119" cm="1">
        <f t="array" aca="1" ref="B71" ca="1">IFERROR(((SUMPRODUCT($B$16:$K$16,1/(1+$A71)^(COLUMN($B$16:$K$16)-COLUMN($B$16)+1))+$B$24*(1-B$70/$E$9)/($A71-B$70)/(1+$A71)^10)*(1+$A71)^0.5+$B$32+$B$33+$B$34+$B$35+$B$36+$B$37)/$B$39,"")</f>
        <v>20.364994503017925</v>
      </c>
      <c r="C71" s="119" cm="1">
        <f t="array" aca="1" ref="C71" ca="1">IFERROR(((SUMPRODUCT($B$16:$K$16,1/(1+$A71)^(COLUMN($B$16:$K$16)-COLUMN($B$16)+1))+$B$24*(1-C$70/$E$9)/($A71-C$70)/(1+$A71)^10)*(1+$A71)^0.5+$B$32+$B$33+$B$34+$B$35+$B$36+$B$37)/$B$39,"")</f>
        <v>20.563818625254306</v>
      </c>
      <c r="D71" s="119" cm="1">
        <f t="array" aca="1" ref="D71" ca="1">IFERROR(((SUMPRODUCT($B$16:$K$16,1/(1+$A71)^(COLUMN($B$16:$K$16)-COLUMN($B$16)+1))+$B$24*(1-D$70/$E$9)/($A71-D$70)/(1+$A71)^10)*(1+$A71)^0.5+$B$32+$B$33+$B$34+$B$35+$B$36+$B$37)/$B$39,"")</f>
        <v>20.805965760982062</v>
      </c>
      <c r="E71" s="119" cm="1">
        <f t="array" aca="1" ref="E71" ca="1">IFERROR(((SUMPRODUCT($B$16:$K$16,1/(1+$A71)^(COLUMN($B$16:$K$16)-COLUMN($B$16)+1))+$B$24*(1-E$70/$E$9)/($A71-E$70)/(1+$A71)^10)*(1+$A71)^0.5+$B$32+$B$33+$B$34+$B$35+$B$36+$B$37)/$B$39,"")</f>
        <v>21.107327102816328</v>
      </c>
      <c r="F71" s="119" cm="1">
        <f t="array" aca="1" ref="F71" ca="1">IFERROR(((SUMPRODUCT($B$16:$K$16,1/(1+$A71)^(COLUMN($B$16:$K$16)-COLUMN($B$16)+1))+$B$24*(1-F$70/$E$9)/($A71-F$70)/(1+$A71)^10)*(1+$A71)^0.5+$B$32+$B$33+$B$34+$B$35+$B$36+$B$37)/$B$39,"")</f>
        <v>21.492648498591279</v>
      </c>
    </row>
    <row r="72" spans="1:16" x14ac:dyDescent="0.25">
      <c r="A72" s="117">
        <f ca="1">$B$12+-0.0075</f>
        <v>0.1136934192737834</v>
      </c>
      <c r="B72" s="119" cm="1">
        <f t="array" aca="1" ref="B72" ca="1">IFERROR(((SUMPRODUCT($B$16:$K$16,1/(1+$A72)^(COLUMN($B$16:$K$16)-COLUMN($B$16)+1))+$B$24*(1-B$70/$E$9)/($A72-B$70)/(1+$A72)^10)*(1+$A72)^0.5+$B$32+$B$33+$B$34+$B$35+$B$36+$B$37)/$B$39,"")</f>
        <v>18.577920952482277</v>
      </c>
      <c r="C72" s="119" cm="1">
        <f t="array" aca="1" ref="C72" ca="1">IFERROR(((SUMPRODUCT($B$16:$K$16,1/(1+$A72)^(COLUMN($B$16:$K$16)-COLUMN($B$16)+1))+$B$24*(1-C$70/$E$9)/($A72-C$70)/(1+$A72)^10)*(1+$A72)^0.5+$B$32+$B$33+$B$34+$B$35+$B$36+$B$37)/$B$39,"")</f>
        <v>18.649564117731256</v>
      </c>
      <c r="D72" s="119" cm="1">
        <f t="array" aca="1" ref="D72" ca="1">IFERROR(((SUMPRODUCT($B$16:$K$16,1/(1+$A72)^(COLUMN($B$16:$K$16)-COLUMN($B$16)+1))+$B$24*(1-D$70/$E$9)/($A72-D$70)/(1+$A72)^10)*(1+$A72)^0.5+$B$32+$B$33+$B$34+$B$35+$B$36+$B$37)/$B$39,"")</f>
        <v>18.734625259619186</v>
      </c>
      <c r="E72" s="119" cm="1">
        <f t="array" aca="1" ref="E72" ca="1">IFERROR(((SUMPRODUCT($B$16:$K$16,1/(1+$A72)^(COLUMN($B$16:$K$16)-COLUMN($B$16)+1))+$B$24*(1-E$70/$E$9)/($A72-E$70)/(1+$A72)^10)*(1+$A72)^0.5+$B$32+$B$33+$B$34+$B$35+$B$36+$B$37)/$B$39,"")</f>
        <v>18.837263407464629</v>
      </c>
      <c r="F72" s="119" cm="1">
        <f t="array" aca="1" ref="F72" ca="1">IFERROR(((SUMPRODUCT($B$16:$K$16,1/(1+$A72)^(COLUMN($B$16:$K$16)-COLUMN($B$16)+1))+$B$24*(1-F$70/$E$9)/($A72-F$70)/(1+$A72)^10)*(1+$A72)^0.5+$B$32+$B$33+$B$34+$B$35+$B$36+$B$37)/$B$39,"")</f>
        <v>18.963554484616665</v>
      </c>
    </row>
    <row r="73" spans="1:16" x14ac:dyDescent="0.25">
      <c r="A73" s="117">
        <f ca="1">$B$12+0</f>
        <v>0.1211934192737834</v>
      </c>
      <c r="B73" s="119" cm="1">
        <f t="array" aca="1" ref="B73" ca="1">IFERROR(((SUMPRODUCT($B$16:$K$16,1/(1+$A73)^(COLUMN($B$16:$K$16)-COLUMN($B$16)+1))+$B$24*(1-B$70/$E$9)/($A73-B$70)/(1+$A73)^10)*(1+$A73)^0.5+$B$32+$B$33+$B$34+$B$35+$B$36+$B$37)/$B$39,"")</f>
        <v>17.179816755676409</v>
      </c>
      <c r="C73" s="119" cm="1">
        <f t="array" aca="1" ref="C73" ca="1">IFERROR(((SUMPRODUCT($B$16:$K$16,1/(1+$A73)^(COLUMN($B$16:$K$16)-COLUMN($B$16)+1))+$B$24*(1-C$70/$E$9)/($A73-C$70)/(1+$A73)^10)*(1+$A73)^0.5+$B$32+$B$33+$B$34+$B$35+$B$36+$B$37)/$B$39,"")</f>
        <v>17.179816755676409</v>
      </c>
      <c r="D73" s="173" cm="1">
        <f t="array" aca="1" ref="D73" ca="1">IFERROR(((SUMPRODUCT($B$16:$K$16,1/(1+$A73)^(COLUMN($B$16:$K$16)-COLUMN($B$16)+1))+$B$24*(1-D$70/$E$9)/($A73-D$70)/(1+$A73)^10)*(1+$A73)^0.5+$B$32+$B$33+$B$34+$B$35+$B$36+$B$37)/$B$39,"")</f>
        <v>17.179816755676413</v>
      </c>
      <c r="E73" s="119" cm="1">
        <f t="array" aca="1" ref="E73" ca="1">IFERROR(((SUMPRODUCT($B$16:$K$16,1/(1+$A73)^(COLUMN($B$16:$K$16)-COLUMN($B$16)+1))+$B$24*(1-E$70/$E$9)/($A73-E$70)/(1+$A73)^10)*(1+$A73)^0.5+$B$32+$B$33+$B$34+$B$35+$B$36+$B$37)/$B$39,"")</f>
        <v>17.179816755676409</v>
      </c>
      <c r="F73" s="119" cm="1">
        <f t="array" aca="1" ref="F73" ca="1">IFERROR(((SUMPRODUCT($B$16:$K$16,1/(1+$A73)^(COLUMN($B$16:$K$16)-COLUMN($B$16)+1))+$B$24*(1-F$70/$E$9)/($A73-F$70)/(1+$A73)^10)*(1+$A73)^0.5+$B$32+$B$33+$B$34+$B$35+$B$36+$B$37)/$B$39,"")</f>
        <v>17.179816755676413</v>
      </c>
    </row>
    <row r="74" spans="1:16" x14ac:dyDescent="0.25">
      <c r="A74" s="117">
        <f ca="1">$B$12+0.0075</f>
        <v>0.12869341927378339</v>
      </c>
      <c r="B74" s="119" cm="1">
        <f t="array" aca="1" ref="B74" ca="1">IFERROR(((SUMPRODUCT($B$16:$K$16,1/(1+$A74)^(COLUMN($B$16:$K$16)-COLUMN($B$16)+1))+$B$24*(1-B$70/$E$9)/($A74-B$70)/(1+$A74)^10)*(1+$A74)^0.5+$B$32+$B$33+$B$34+$B$35+$B$36+$B$37)/$B$39,"")</f>
        <v>16.058383419898558</v>
      </c>
      <c r="C74" s="119" cm="1">
        <f t="array" aca="1" ref="C74" ca="1">IFERROR(((SUMPRODUCT($B$16:$K$16,1/(1+$A74)^(COLUMN($B$16:$K$16)-COLUMN($B$16)+1))+$B$24*(1-C$70/$E$9)/($A74-C$70)/(1+$A74)^10)*(1+$A74)^0.5+$B$32+$B$33+$B$34+$B$35+$B$36+$B$37)/$B$39,"")</f>
        <v>16.017790724035699</v>
      </c>
      <c r="D74" s="119" cm="1">
        <f t="array" aca="1" ref="D74" ca="1">IFERROR(((SUMPRODUCT($B$16:$K$16,1/(1+$A74)^(COLUMN($B$16:$K$16)-COLUMN($B$16)+1))+$B$24*(1-D$70/$E$9)/($A74-D$70)/(1+$A74)^10)*(1+$A74)^0.5+$B$32+$B$33+$B$34+$B$35+$B$36+$B$37)/$B$39,"")</f>
        <v>15.971262852494553</v>
      </c>
      <c r="E74" s="119" cm="1">
        <f t="array" aca="1" ref="E74" ca="1">IFERROR(((SUMPRODUCT($B$16:$K$16,1/(1+$A74)^(COLUMN($B$16:$K$16)-COLUMN($B$16)+1))+$B$24*(1-E$70/$E$9)/($A74-E$70)/(1+$A74)^10)*(1+$A74)^0.5+$B$32+$B$33+$B$34+$B$35+$B$36+$B$37)/$B$39,"")</f>
        <v>15.917395438131111</v>
      </c>
      <c r="F74" s="119" cm="1">
        <f t="array" aca="1" ref="F74" ca="1">IFERROR(((SUMPRODUCT($B$16:$K$16,1/(1+$A74)^(COLUMN($B$16:$K$16)-COLUMN($B$16)+1))+$B$24*(1-F$70/$E$9)/($A74-F$70)/(1+$A74)^10)*(1+$A74)^0.5+$B$32+$B$33+$B$34+$B$35+$B$36+$B$37)/$B$39,"")</f>
        <v>15.854303111948266</v>
      </c>
    </row>
    <row r="75" spans="1:16" x14ac:dyDescent="0.25">
      <c r="A75" s="117">
        <f ca="1">$B$12+0.015</f>
        <v>0.13619341927378339</v>
      </c>
      <c r="B75" s="119" cm="1">
        <f t="array" aca="1" ref="B75" ca="1">IFERROR(((SUMPRODUCT($B$16:$K$16,1/(1+$A75)^(COLUMN($B$16:$K$16)-COLUMN($B$16)+1))+$B$24*(1-B$70/$E$9)/($A75-B$70)/(1+$A75)^10)*(1+$A75)^0.5+$B$32+$B$33+$B$34+$B$35+$B$36+$B$37)/$B$39,"")</f>
        <v>15.140590684991182</v>
      </c>
      <c r="C75" s="119" cm="1">
        <f t="array" aca="1" ref="C75" ca="1">IFERROR(((SUMPRODUCT($B$16:$K$16,1/(1+$A75)^(COLUMN($B$16:$K$16)-COLUMN($B$16)+1))+$B$24*(1-C$70/$E$9)/($A75-C$70)/(1+$A75)^10)*(1+$A75)^0.5+$B$32+$B$33+$B$34+$B$35+$B$36+$B$37)/$B$39,"")</f>
        <v>15.077463429740288</v>
      </c>
      <c r="D75" s="119" cm="1">
        <f t="array" aca="1" ref="D75" ca="1">IFERROR(((SUMPRODUCT($B$16:$K$16,1/(1+$A75)^(COLUMN($B$16:$K$16)-COLUMN($B$16)+1))+$B$24*(1-D$70/$E$9)/($A75-D$70)/(1+$A75)^10)*(1+$A75)^0.5+$B$32+$B$33+$B$34+$B$35+$B$36+$B$37)/$B$39,"")</f>
        <v>15.006018291877833</v>
      </c>
      <c r="E75" s="119" cm="1">
        <f t="array" aca="1" ref="E75" ca="1">IFERROR(((SUMPRODUCT($B$16:$K$16,1/(1+$A75)^(COLUMN($B$16:$K$16)-COLUMN($B$16)+1))+$B$24*(1-E$70/$E$9)/($A75-E$70)/(1+$A75)^10)*(1+$A75)^0.5+$B$32+$B$33+$B$34+$B$35+$B$36+$B$37)/$B$39,"")</f>
        <v>14.924495330347924</v>
      </c>
      <c r="F75" s="119" cm="1">
        <f t="array" aca="1" ref="F75" ca="1">IFERROR(((SUMPRODUCT($B$16:$K$16,1/(1+$A75)^(COLUMN($B$16:$K$16)-COLUMN($B$16)+1))+$B$24*(1-F$70/$E$9)/($A75-F$70)/(1+$A75)^10)*(1+$A75)^0.5+$B$32+$B$33+$B$34+$B$35+$B$36+$B$37)/$B$39,"")</f>
        <v>14.830600426000597</v>
      </c>
    </row>
    <row r="78" spans="1:16" x14ac:dyDescent="0.25">
      <c r="A78" s="67" t="s">
        <v>961</v>
      </c>
    </row>
    <row r="79" spans="1:16" x14ac:dyDescent="0.25">
      <c r="A79" t="s">
        <v>573</v>
      </c>
      <c r="B79" s="174">
        <f t="shared" ref="B79:K79" si="1">B15</f>
        <v>46387</v>
      </c>
      <c r="C79" s="174">
        <f t="shared" si="1"/>
        <v>46752</v>
      </c>
      <c r="D79" s="174">
        <f t="shared" si="1"/>
        <v>47118</v>
      </c>
      <c r="E79" s="174">
        <f t="shared" si="1"/>
        <v>47483</v>
      </c>
      <c r="F79" s="174">
        <f t="shared" si="1"/>
        <v>47848</v>
      </c>
      <c r="G79" s="174">
        <f t="shared" si="1"/>
        <v>48213</v>
      </c>
      <c r="H79" s="174">
        <f t="shared" si="1"/>
        <v>48579</v>
      </c>
      <c r="I79" s="174">
        <f t="shared" si="1"/>
        <v>48944</v>
      </c>
      <c r="J79" s="174">
        <f t="shared" si="1"/>
        <v>49309</v>
      </c>
      <c r="K79" s="174">
        <f t="shared" si="1"/>
        <v>49674</v>
      </c>
      <c r="L79" s="98"/>
      <c r="M79" s="98"/>
      <c r="N79" s="98"/>
      <c r="O79" s="98"/>
      <c r="P79" s="98"/>
    </row>
    <row r="80" spans="1:16" x14ac:dyDescent="0.25">
      <c r="A80" t="s">
        <v>259</v>
      </c>
      <c r="B80" s="80">
        <f>'TSLA Forecast'!B67</f>
        <v>4131.7257927136261</v>
      </c>
      <c r="C80" s="80">
        <f>'TSLA Forecast'!C67</f>
        <v>4601.3347980135877</v>
      </c>
      <c r="D80" s="80">
        <f>'TSLA Forecast'!D67</f>
        <v>5111.1467729421911</v>
      </c>
      <c r="E80" s="80">
        <f>'TSLA Forecast'!E67</f>
        <v>5663.7877670524458</v>
      </c>
      <c r="F80" s="80">
        <f>'TSLA Forecast'!F67</f>
        <v>6261.998269469078</v>
      </c>
      <c r="G80" s="80">
        <f>'TSLA Forecast'!B115</f>
        <v>7021.8554443011653</v>
      </c>
      <c r="H80" s="80">
        <f>'TSLA Forecast'!C115</f>
        <v>7449.6619872452147</v>
      </c>
      <c r="I80" s="80">
        <f>'TSLA Forecast'!D115</f>
        <v>7898.8766050761014</v>
      </c>
      <c r="J80" s="80">
        <f>'TSLA Forecast'!E115</f>
        <v>8375.1788643621894</v>
      </c>
      <c r="K80" s="80">
        <f>'TSLA Forecast'!F115</f>
        <v>8880.202149883231</v>
      </c>
      <c r="L80" s="35"/>
      <c r="M80" s="35"/>
      <c r="N80" s="35"/>
      <c r="O80" s="35"/>
      <c r="P80" s="35"/>
    </row>
    <row r="81" spans="1:16" x14ac:dyDescent="0.25">
      <c r="A81" t="s">
        <v>962</v>
      </c>
      <c r="B81" s="80">
        <f>'TSLA Forecast'!B64</f>
        <v>51738.40592471206</v>
      </c>
      <c r="C81" s="80">
        <f>'TSLA Forecast'!C64</f>
        <v>54911.721395099252</v>
      </c>
      <c r="D81" s="80">
        <f>'TSLA Forecast'!D64</f>
        <v>58245.05481645275</v>
      </c>
      <c r="E81" s="80">
        <f>'TSLA Forecast'!E64</f>
        <v>61744.016761284693</v>
      </c>
      <c r="F81" s="80">
        <f>'TSLA Forecast'!F64</f>
        <v>65414.248406110448</v>
      </c>
      <c r="G81" s="80">
        <f>'TSLA Forecast'!B116</f>
        <v>69440.495395506543</v>
      </c>
      <c r="H81" s="80">
        <f>'TSLA Forecast'!C116</f>
        <v>73671.157577477788</v>
      </c>
      <c r="I81" s="80">
        <f>'TSLA Forecast'!D116</f>
        <v>78113.528379399693</v>
      </c>
      <c r="J81" s="80">
        <f>'TSLA Forecast'!E116</f>
        <v>82823.774140677502</v>
      </c>
      <c r="K81" s="80">
        <f>'TSLA Forecast'!F116</f>
        <v>87818.047721360359</v>
      </c>
      <c r="L81" s="35"/>
      <c r="M81" s="35"/>
      <c r="N81" s="35"/>
      <c r="O81" s="35"/>
      <c r="P81" s="35"/>
    </row>
    <row r="82" spans="1:16" x14ac:dyDescent="0.25">
      <c r="A82" t="s">
        <v>963</v>
      </c>
      <c r="B82" s="80">
        <f>'TSLA - Reconciliation FY'!B32</f>
        <v>48719.54</v>
      </c>
      <c r="C82" s="135">
        <f t="shared" ref="C82:K82" si="2">B81</f>
        <v>51738.40592471206</v>
      </c>
      <c r="D82" s="135">
        <f t="shared" si="2"/>
        <v>54911.721395099252</v>
      </c>
      <c r="E82" s="135">
        <f t="shared" si="2"/>
        <v>58245.05481645275</v>
      </c>
      <c r="F82" s="135">
        <f t="shared" si="2"/>
        <v>61744.016761284693</v>
      </c>
      <c r="G82" s="135">
        <f t="shared" si="2"/>
        <v>65414.248406110448</v>
      </c>
      <c r="H82" s="135">
        <f t="shared" si="2"/>
        <v>69440.495395506543</v>
      </c>
      <c r="I82" s="135">
        <f t="shared" si="2"/>
        <v>73671.157577477788</v>
      </c>
      <c r="J82" s="135">
        <f t="shared" si="2"/>
        <v>78113.528379399693</v>
      </c>
      <c r="K82" s="135">
        <f t="shared" si="2"/>
        <v>82823.774140677502</v>
      </c>
      <c r="L82" s="35"/>
      <c r="M82" s="35"/>
      <c r="N82" s="35"/>
      <c r="O82" s="35"/>
      <c r="P82" s="35"/>
    </row>
    <row r="83" spans="1:16" x14ac:dyDescent="0.25">
      <c r="A83" t="s">
        <v>964</v>
      </c>
      <c r="B83" s="135">
        <f t="shared" ref="B83:K83" ca="1" si="3">-$B$12*B82</f>
        <v>-5904.4876380458609</v>
      </c>
      <c r="C83" s="135">
        <f t="shared" ca="1" si="3"/>
        <v>-6270.3543217908273</v>
      </c>
      <c r="D83" s="135">
        <f t="shared" ca="1" si="3"/>
        <v>-6654.9392740814455</v>
      </c>
      <c r="E83" s="135">
        <f t="shared" ca="1" si="3"/>
        <v>-7058.9173489948553</v>
      </c>
      <c r="F83" s="135">
        <f t="shared" ca="1" si="3"/>
        <v>-7482.9685109978855</v>
      </c>
      <c r="G83" s="135">
        <f t="shared" ca="1" si="3"/>
        <v>-7927.776433561161</v>
      </c>
      <c r="H83" s="135">
        <f t="shared" ca="1" si="3"/>
        <v>-8415.7310730468489</v>
      </c>
      <c r="I83" s="135">
        <f t="shared" ca="1" si="3"/>
        <v>-8928.4594886722298</v>
      </c>
      <c r="J83" s="135">
        <f t="shared" ca="1" si="3"/>
        <v>-9466.8455958391642</v>
      </c>
      <c r="K83" s="135">
        <f t="shared" ca="1" si="3"/>
        <v>-10037.696385268267</v>
      </c>
      <c r="L83" s="35"/>
      <c r="M83" s="35"/>
      <c r="N83" s="35"/>
      <c r="O83" s="35"/>
      <c r="P83" s="35"/>
    </row>
    <row r="84" spans="1:16" x14ac:dyDescent="0.25">
      <c r="A84" t="s">
        <v>965</v>
      </c>
      <c r="B84" s="135">
        <f t="shared" ref="B84:K84" ca="1" si="4">B80+B83</f>
        <v>-1772.7618453322348</v>
      </c>
      <c r="C84" s="135">
        <f t="shared" ca="1" si="4"/>
        <v>-1669.0195237772396</v>
      </c>
      <c r="D84" s="135">
        <f t="shared" ca="1" si="4"/>
        <v>-1543.7925011392545</v>
      </c>
      <c r="E84" s="135">
        <f t="shared" ca="1" si="4"/>
        <v>-1395.1295819424095</v>
      </c>
      <c r="F84" s="135">
        <f t="shared" ca="1" si="4"/>
        <v>-1220.9702415288075</v>
      </c>
      <c r="G84" s="135">
        <f t="shared" ca="1" si="4"/>
        <v>-905.92098925999562</v>
      </c>
      <c r="H84" s="135">
        <f t="shared" ca="1" si="4"/>
        <v>-966.06908580163417</v>
      </c>
      <c r="I84" s="135">
        <f t="shared" ca="1" si="4"/>
        <v>-1029.5828835961283</v>
      </c>
      <c r="J84" s="135">
        <f t="shared" ca="1" si="4"/>
        <v>-1091.6667314769747</v>
      </c>
      <c r="K84" s="135">
        <f t="shared" ca="1" si="4"/>
        <v>-1157.4942353850365</v>
      </c>
      <c r="L84" s="35"/>
      <c r="M84" s="35"/>
      <c r="N84" s="35"/>
      <c r="O84" s="35"/>
      <c r="P84" s="35"/>
    </row>
    <row r="85" spans="1:16" x14ac:dyDescent="0.25">
      <c r="A85" t="s">
        <v>574</v>
      </c>
      <c r="B85" s="140">
        <f t="shared" ref="B85:K85" ca="1" si="5">B17</f>
        <v>0.89190676899238097</v>
      </c>
      <c r="C85" s="140">
        <f t="shared" ca="1" si="5"/>
        <v>0.79549768457442838</v>
      </c>
      <c r="D85" s="140">
        <f t="shared" ca="1" si="5"/>
        <v>0.70950976958969869</v>
      </c>
      <c r="E85" s="140">
        <f t="shared" ca="1" si="5"/>
        <v>0.63281656616327675</v>
      </c>
      <c r="F85" s="140">
        <f t="shared" ca="1" si="5"/>
        <v>0.56441337889154142</v>
      </c>
      <c r="G85" s="140">
        <f t="shared" ca="1" si="5"/>
        <v>0.50340411314322731</v>
      </c>
      <c r="H85" s="140">
        <f t="shared" ca="1" si="5"/>
        <v>0.44898953605105085</v>
      </c>
      <c r="I85" s="140">
        <f t="shared" ca="1" si="5"/>
        <v>0.40045680641068082</v>
      </c>
      <c r="J85" s="140">
        <f t="shared" ca="1" si="5"/>
        <v>0.3571701363267577</v>
      </c>
      <c r="K85" s="140">
        <f t="shared" ca="1" si="5"/>
        <v>0.31856246227176677</v>
      </c>
      <c r="L85" s="51"/>
      <c r="M85" s="51"/>
      <c r="N85" s="51"/>
      <c r="O85" s="51"/>
      <c r="P85" s="51"/>
    </row>
    <row r="86" spans="1:16" x14ac:dyDescent="0.25">
      <c r="A86" t="s">
        <v>966</v>
      </c>
      <c r="B86" s="135">
        <f t="shared" ref="B86:K86" ca="1" si="6">B84*B85</f>
        <v>-1581.1382896632444</v>
      </c>
      <c r="C86" s="135">
        <f t="shared" ca="1" si="6"/>
        <v>-1327.7011666743092</v>
      </c>
      <c r="D86" s="135">
        <f t="shared" ca="1" si="6"/>
        <v>-1095.3358617776171</v>
      </c>
      <c r="E86" s="135">
        <f t="shared" ca="1" si="6"/>
        <v>-882.86111139760339</v>
      </c>
      <c r="F86" s="135">
        <f t="shared" ca="1" si="6"/>
        <v>-689.1319395472957</v>
      </c>
      <c r="G86" s="135">
        <f t="shared" ca="1" si="6"/>
        <v>-456.04435217626326</v>
      </c>
      <c r="H86" s="135">
        <f t="shared" ca="1" si="6"/>
        <v>-433.75491062733857</v>
      </c>
      <c r="I86" s="135">
        <f t="shared" ca="1" si="6"/>
        <v>-412.30347350000528</v>
      </c>
      <c r="J86" s="135">
        <f t="shared" ca="1" si="6"/>
        <v>-389.91075530501706</v>
      </c>
      <c r="K86" s="135">
        <f t="shared" ca="1" si="6"/>
        <v>-368.73421368963324</v>
      </c>
      <c r="L86" s="35"/>
      <c r="M86" s="35"/>
      <c r="N86" s="35"/>
      <c r="O86" s="35"/>
      <c r="P86" s="35"/>
    </row>
    <row r="87" spans="1:16" x14ac:dyDescent="0.25">
      <c r="A87" t="s">
        <v>576</v>
      </c>
      <c r="B87" s="135">
        <f ca="1">SUM(B86:K86)</f>
        <v>-7636.916074358327</v>
      </c>
    </row>
    <row r="89" spans="1:16" x14ac:dyDescent="0.25">
      <c r="A89" s="67" t="s">
        <v>1593</v>
      </c>
    </row>
    <row r="90" spans="1:16" x14ac:dyDescent="0.25">
      <c r="A90" t="s">
        <v>1594</v>
      </c>
      <c r="B90" s="135">
        <f>$B$24</f>
        <v>9415.6783395211896</v>
      </c>
    </row>
    <row r="91" spans="1:16" x14ac:dyDescent="0.25">
      <c r="A91" t="s">
        <v>1595</v>
      </c>
      <c r="B91" s="135">
        <f>K81</f>
        <v>87818.047721360359</v>
      </c>
    </row>
    <row r="92" spans="1:16" x14ac:dyDescent="0.25">
      <c r="A92" t="s">
        <v>967</v>
      </c>
      <c r="B92" s="135">
        <f ca="1">B90-$B$12*B91</f>
        <v>-1227.291137778755</v>
      </c>
    </row>
    <row r="93" spans="1:16" x14ac:dyDescent="0.25">
      <c r="A93" t="s">
        <v>968</v>
      </c>
      <c r="B93" s="135">
        <f ca="1">B92/$B$12+(B90*($E$8/$E$9)*($E$9-$B$12))/($B$12*($B$12-$E$8))</f>
        <v>-10126.714347469881</v>
      </c>
    </row>
    <row r="94" spans="1:16" x14ac:dyDescent="0.25">
      <c r="A94" t="s">
        <v>969</v>
      </c>
      <c r="B94" s="135">
        <f ca="1">B93*$B$26</f>
        <v>-3225.9910572528329</v>
      </c>
    </row>
    <row r="96" spans="1:16" x14ac:dyDescent="0.25">
      <c r="A96" s="67" t="s">
        <v>970</v>
      </c>
    </row>
    <row r="97" spans="1:2" x14ac:dyDescent="0.25">
      <c r="A97" t="s">
        <v>971</v>
      </c>
      <c r="B97" s="80">
        <f>'TSLA - Reconciliation FY'!B32</f>
        <v>48719.54</v>
      </c>
    </row>
    <row r="98" spans="1:2" x14ac:dyDescent="0.25">
      <c r="A98" t="s">
        <v>972</v>
      </c>
      <c r="B98" s="135">
        <f ca="1">B87</f>
        <v>-7636.916074358327</v>
      </c>
    </row>
    <row r="99" spans="1:2" x14ac:dyDescent="0.25">
      <c r="A99" t="s">
        <v>969</v>
      </c>
      <c r="B99" s="135">
        <f ca="1">B94</f>
        <v>-3225.9910572528329</v>
      </c>
    </row>
    <row r="100" spans="1:2" x14ac:dyDescent="0.25">
      <c r="A100" t="s">
        <v>973</v>
      </c>
      <c r="B100" s="135">
        <f ca="1">SUM(B97:B99)</f>
        <v>37856.632868388842</v>
      </c>
    </row>
    <row r="101" spans="1:2" x14ac:dyDescent="0.25">
      <c r="A101" t="s">
        <v>974</v>
      </c>
      <c r="B101" s="135">
        <f ca="1">B19+B27</f>
        <v>37856.632868388864</v>
      </c>
    </row>
    <row r="102" spans="1:2" x14ac:dyDescent="0.25">
      <c r="A102" t="s">
        <v>975</v>
      </c>
      <c r="B102" s="135">
        <f ca="1">B100-B101</f>
        <v>0</v>
      </c>
    </row>
    <row r="103" spans="1:2" x14ac:dyDescent="0.25">
      <c r="A103" t="s">
        <v>976</v>
      </c>
      <c r="B103" s="133" t="str">
        <f ca="1">IF(ABS(B102)&lt;MAX(1,ABS(B101)*0.0001),"OK - methods agree","MISMATCH - investigate")</f>
        <v>OK - methods agree</v>
      </c>
    </row>
    <row r="105" spans="1:2" x14ac:dyDescent="0.25">
      <c r="A105" s="67" t="s">
        <v>977</v>
      </c>
    </row>
    <row r="106" spans="1:2" x14ac:dyDescent="0.25">
      <c r="A106" t="s">
        <v>1016</v>
      </c>
      <c r="B106" s="111">
        <f>IFERROR(J16/I16-1,"n/a")</f>
        <v>6.0299999999995801E-2</v>
      </c>
    </row>
    <row r="107" spans="1:2" x14ac:dyDescent="0.25">
      <c r="A107" t="s">
        <v>1017</v>
      </c>
      <c r="B107" s="111">
        <f>IFERROR(K16/J16-1,"n/a")</f>
        <v>6.0300000000001575E-2</v>
      </c>
    </row>
    <row r="108" spans="1:2" x14ac:dyDescent="0.25">
      <c r="A108" t="s">
        <v>978</v>
      </c>
      <c r="B108" s="111">
        <f>IFERROR(B107-B106,"n/a")</f>
        <v>5.773159728050814E-15</v>
      </c>
    </row>
    <row r="109" spans="1:2" x14ac:dyDescent="0.25">
      <c r="A109" t="s">
        <v>1018</v>
      </c>
      <c r="B109" s="79">
        <f>'TSLA Forecast'!F111</f>
        <v>6.0300000000000006E-2</v>
      </c>
    </row>
    <row r="110" spans="1:2" x14ac:dyDescent="0.25">
      <c r="A110" t="s">
        <v>979</v>
      </c>
      <c r="B110" s="111">
        <f>$E$8</f>
        <v>6.0300000000000006E-2</v>
      </c>
    </row>
    <row r="111" spans="1:2" x14ac:dyDescent="0.25">
      <c r="A111" t="s">
        <v>980</v>
      </c>
      <c r="B111" s="111">
        <f>B109-B110</f>
        <v>0</v>
      </c>
    </row>
    <row r="112" spans="1:2" x14ac:dyDescent="0.25">
      <c r="A112" t="s">
        <v>1019</v>
      </c>
      <c r="B112" s="111">
        <f>IFERROR(J80/J82,"n/a")</f>
        <v>0.10721803301066751</v>
      </c>
    </row>
    <row r="113" spans="1:6" x14ac:dyDescent="0.25">
      <c r="A113" t="s">
        <v>1020</v>
      </c>
      <c r="B113" s="111">
        <f>IFERROR(K80/K82,"n/a")</f>
        <v>0.10721803301066751</v>
      </c>
    </row>
    <row r="114" spans="1:6" x14ac:dyDescent="0.25">
      <c r="A114" t="s">
        <v>978</v>
      </c>
      <c r="B114" s="111">
        <f>IFERROR(B113-B112,"n/a")</f>
        <v>0</v>
      </c>
    </row>
    <row r="115" spans="1:6" x14ac:dyDescent="0.25">
      <c r="A115" t="s">
        <v>976</v>
      </c>
      <c r="B115" s="133" t="str">
        <f>IF(AND(ABS(B108)&lt;0.005,ABS(B111)&lt;0.005,ABS(B114)&lt;0.005),"OK - steady state reached","NOT STEADY - see notes")</f>
        <v>OK - steady state reached</v>
      </c>
    </row>
    <row r="118" spans="1:6" x14ac:dyDescent="0.25">
      <c r="A118" s="67" t="s">
        <v>1602</v>
      </c>
    </row>
    <row r="119" spans="1:6" x14ac:dyDescent="0.25">
      <c r="A119" t="s">
        <v>1603</v>
      </c>
      <c r="B119" s="28">
        <f ca="1">$E$9*0.6</f>
        <v>7.2716051564270037E-2</v>
      </c>
      <c r="C119" s="28">
        <f ca="1">$E$9*0.8</f>
        <v>9.6954735419026716E-2</v>
      </c>
      <c r="D119" s="28">
        <f ca="1">$E$9*1</f>
        <v>0.1211934192737834</v>
      </c>
      <c r="E119" s="28">
        <f ca="1">$E$9*1.2</f>
        <v>0.14543210312854007</v>
      </c>
      <c r="F119" s="28">
        <f ca="1">$E$9*1.4</f>
        <v>0.16967078698329674</v>
      </c>
    </row>
    <row r="120" spans="1:6" x14ac:dyDescent="0.25">
      <c r="A120" s="3">
        <f ca="1">$B$12+-0.015</f>
        <v>0.1061934192737834</v>
      </c>
      <c r="B120" s="26" cm="1">
        <f t="array" aca="1" ref="B120" ca="1">IFERROR(((SUMPRODUCT($B$16:$K$16,1/(1+$A120)^(COLUMN($B$16:$K$16)-COLUMN($B$16)+1))+$B$24*(1-$E$8/B$119)/($A120-$E$8)/(1+$A120)^10)*(1+$A120)^0.5+$B$32+$B$33+$B$34+$B$35+$B$36+$B$37)/$B$39,"")</f>
        <v>14.200464863349408</v>
      </c>
      <c r="C120" s="26" cm="1">
        <f t="array" aca="1" ref="C120" ca="1">IFERROR(((SUMPRODUCT($B$16:$K$16,1/(1+$A120)^(COLUMN($B$16:$K$16)-COLUMN($B$16)+1))+$B$24*(1-$E$8/C$119)/($A120-$E$8)/(1+$A120)^10)*(1+$A120)^0.5+$B$32+$B$33+$B$34+$B$35+$B$36+$B$37)/$B$39,"")</f>
        <v>18.328902924369817</v>
      </c>
      <c r="D120" s="26" cm="1">
        <f t="array" aca="1" ref="D120" ca="1">IFERROR(((SUMPRODUCT($B$16:$K$16,1/(1+$A120)^(COLUMN($B$16:$K$16)-COLUMN($B$16)+1))+$B$24*(1-$E$8/D$119)/($A120-$E$8)/(1+$A120)^10)*(1+$A120)^0.5+$B$32+$B$33+$B$34+$B$35+$B$36+$B$37)/$B$39,"")</f>
        <v>20.805965760982062</v>
      </c>
      <c r="E120" s="26" cm="1">
        <f t="array" aca="1" ref="E120" ca="1">IFERROR(((SUMPRODUCT($B$16:$K$16,1/(1+$A120)^(COLUMN($B$16:$K$16)-COLUMN($B$16)+1))+$B$24*(1-$E$8/E$119)/($A120-$E$8)/(1+$A120)^10)*(1+$A120)^0.5+$B$32+$B$33+$B$34+$B$35+$B$36+$B$37)/$B$39,"")</f>
        <v>22.457340985390221</v>
      </c>
      <c r="F120" s="26" cm="1">
        <f t="array" aca="1" ref="F120" ca="1">IFERROR(((SUMPRODUCT($B$16:$K$16,1/(1+$A120)^(COLUMN($B$16:$K$16)-COLUMN($B$16)+1))+$B$24*(1-$E$8/F$119)/($A120-$E$8)/(1+$A120)^10)*(1+$A120)^0.5+$B$32+$B$33+$B$34+$B$35+$B$36+$B$37)/$B$39,"")</f>
        <v>23.636894717110341</v>
      </c>
    </row>
    <row r="121" spans="1:6" x14ac:dyDescent="0.25">
      <c r="A121" s="3">
        <f ca="1">$B$12+-0.0075</f>
        <v>0.1136934192737834</v>
      </c>
      <c r="B121" s="26" cm="1">
        <f t="array" aca="1" ref="B121" ca="1">IFERROR(((SUMPRODUCT($B$16:$K$16,1/(1+$A121)^(COLUMN($B$16:$K$16)-COLUMN($B$16)+1))+$B$24*(1-$E$8/B$119)/($A121-$E$8)/(1+$A121)^10)*(1+$A121)^0.5+$B$32+$B$33+$B$34+$B$35+$B$36+$B$37)/$B$39,"")</f>
        <v>13.409989551054135</v>
      </c>
      <c r="C121" s="26" cm="1">
        <f t="array" aca="1" ref="C121" ca="1">IFERROR(((SUMPRODUCT($B$16:$K$16,1/(1+$A121)^(COLUMN($B$16:$K$16)-COLUMN($B$16)+1))+$B$24*(1-$E$8/C$119)/($A121-$E$8)/(1+$A121)^10)*(1+$A121)^0.5+$B$32+$B$33+$B$34+$B$35+$B$36+$B$37)/$B$39,"")</f>
        <v>16.737886868907289</v>
      </c>
      <c r="D121" s="26" cm="1">
        <f t="array" aca="1" ref="D121" ca="1">IFERROR(((SUMPRODUCT($B$16:$K$16,1/(1+$A121)^(COLUMN($B$16:$K$16)-COLUMN($B$16)+1))+$B$24*(1-$E$8/D$119)/($A121-$E$8)/(1+$A121)^10)*(1+$A121)^0.5+$B$32+$B$33+$B$34+$B$35+$B$36+$B$37)/$B$39,"")</f>
        <v>18.734625259619186</v>
      </c>
      <c r="E121" s="26" cm="1">
        <f t="array" aca="1" ref="E121" ca="1">IFERROR(((SUMPRODUCT($B$16:$K$16,1/(1+$A121)^(COLUMN($B$16:$K$16)-COLUMN($B$16)+1))+$B$24*(1-$E$8/E$119)/($A121-$E$8)/(1+$A121)^10)*(1+$A121)^0.5+$B$32+$B$33+$B$34+$B$35+$B$36+$B$37)/$B$39,"")</f>
        <v>20.065784186760453</v>
      </c>
      <c r="F121" s="26" cm="1">
        <f t="array" aca="1" ref="F121" ca="1">IFERROR(((SUMPRODUCT($B$16:$K$16,1/(1+$A121)^(COLUMN($B$16:$K$16)-COLUMN($B$16)+1))+$B$24*(1-$E$8/F$119)/($A121-$E$8)/(1+$A121)^10)*(1+$A121)^0.5+$B$32+$B$33+$B$34+$B$35+$B$36+$B$37)/$B$39,"")</f>
        <v>21.016611991861353</v>
      </c>
    </row>
    <row r="122" spans="1:6" x14ac:dyDescent="0.25">
      <c r="A122" s="3">
        <f ca="1">$B$12+0</f>
        <v>0.1211934192737834</v>
      </c>
      <c r="B122" s="26" cm="1">
        <f t="array" aca="1" ref="B122" ca="1">IFERROR(((SUMPRODUCT($B$16:$K$16,1/(1+$A122)^(COLUMN($B$16:$K$16)-COLUMN($B$16)+1))+$B$24*(1-$E$8/B$119)/($A122-$E$8)/(1+$A122)^10)*(1+$A122)^0.5+$B$32+$B$33+$B$34+$B$35+$B$36+$B$37)/$B$39,"")</f>
        <v>12.799395777224124</v>
      </c>
      <c r="C122" s="26" cm="1">
        <f t="array" aca="1" ref="C122" ca="1">IFERROR(((SUMPRODUCT($B$16:$K$16,1/(1+$A122)^(COLUMN($B$16:$K$16)-COLUMN($B$16)+1))+$B$24*(1-$E$8/C$119)/($A122-$E$8)/(1+$A122)^10)*(1+$A122)^0.5+$B$32+$B$33+$B$34+$B$35+$B$36+$B$37)/$B$39,"")</f>
        <v>15.537158888756803</v>
      </c>
      <c r="D122" s="235" cm="1">
        <f t="array" aca="1" ref="D122" ca="1">IFERROR(((SUMPRODUCT($B$16:$K$16,1/(1+$A122)^(COLUMN($B$16:$K$16)-COLUMN($B$16)+1))+$B$24*(1-$E$8/D$119)/($A122-$E$8)/(1+$A122)^10)*(1+$A122)^0.5+$B$32+$B$33+$B$34+$B$35+$B$36+$B$37)/$B$39,"")</f>
        <v>17.179816755676413</v>
      </c>
      <c r="E122" s="26" cm="1">
        <f t="array" aca="1" ref="E122" ca="1">IFERROR(((SUMPRODUCT($B$16:$K$16,1/(1+$A122)^(COLUMN($B$16:$K$16)-COLUMN($B$16)+1))+$B$24*(1-$E$8/E$119)/($A122-$E$8)/(1+$A122)^10)*(1+$A122)^0.5+$B$32+$B$33+$B$34+$B$35+$B$36+$B$37)/$B$39,"")</f>
        <v>18.274922000289479</v>
      </c>
      <c r="F122" s="26" cm="1">
        <f t="array" aca="1" ref="F122" ca="1">IFERROR(((SUMPRODUCT($B$16:$K$16,1/(1+$A122)^(COLUMN($B$16:$K$16)-COLUMN($B$16)+1))+$B$24*(1-$E$8/F$119)/($A122-$E$8)/(1+$A122)^10)*(1+$A122)^0.5+$B$32+$B$33+$B$34+$B$35+$B$36+$B$37)/$B$39,"")</f>
        <v>19.05714003215596</v>
      </c>
    </row>
    <row r="123" spans="1:6" x14ac:dyDescent="0.25">
      <c r="A123" s="3">
        <f ca="1">$B$12+0.0075</f>
        <v>0.12869341927378339</v>
      </c>
      <c r="B123" s="26" cm="1">
        <f t="array" aca="1" ref="B123" ca="1">IFERROR(((SUMPRODUCT($B$16:$K$16,1/(1+$A123)^(COLUMN($B$16:$K$16)-COLUMN($B$16)+1))+$B$24*(1-$E$8/B$119)/($A123-$E$8)/(1+$A123)^10)*(1+$A123)^0.5+$B$32+$B$33+$B$34+$B$35+$B$36+$B$37)/$B$39,"")</f>
        <v>12.310554818515042</v>
      </c>
      <c r="C123" s="26" cm="1">
        <f t="array" aca="1" ref="C123" ca="1">IFERROR(((SUMPRODUCT($B$16:$K$16,1/(1+$A123)^(COLUMN($B$16:$K$16)-COLUMN($B$16)+1))+$B$24*(1-$E$8/C$119)/($A123-$E$8)/(1+$A123)^10)*(1+$A123)^0.5+$B$32+$B$33+$B$34+$B$35+$B$36+$B$37)/$B$39,"")</f>
        <v>14.598497339752237</v>
      </c>
      <c r="D123" s="26" cm="1">
        <f t="array" aca="1" ref="D123" ca="1">IFERROR(((SUMPRODUCT($B$16:$K$16,1/(1+$A123)^(COLUMN($B$16:$K$16)-COLUMN($B$16)+1))+$B$24*(1-$E$8/D$119)/($A123-$E$8)/(1+$A123)^10)*(1+$A123)^0.5+$B$32+$B$33+$B$34+$B$35+$B$36+$B$37)/$B$39,"")</f>
        <v>15.971262852494553</v>
      </c>
      <c r="E123" s="26" cm="1">
        <f t="array" aca="1" ref="E123" ca="1">IFERROR(((SUMPRODUCT($B$16:$K$16,1/(1+$A123)^(COLUMN($B$16:$K$16)-COLUMN($B$16)+1))+$B$24*(1-$E$8/E$119)/($A123-$E$8)/(1+$A123)^10)*(1+$A123)^0.5+$B$32+$B$33+$B$34+$B$35+$B$36+$B$37)/$B$39,"")</f>
        <v>16.88643986098943</v>
      </c>
      <c r="F123" s="26" cm="1">
        <f t="array" aca="1" ref="F123" ca="1">IFERROR(((SUMPRODUCT($B$16:$K$16,1/(1+$A123)^(COLUMN($B$16:$K$16)-COLUMN($B$16)+1))+$B$24*(1-$E$8/F$119)/($A123-$E$8)/(1+$A123)^10)*(1+$A123)^0.5+$B$32+$B$33+$B$34+$B$35+$B$36+$B$37)/$B$39,"")</f>
        <v>17.540137724200054</v>
      </c>
    </row>
    <row r="124" spans="1:6" x14ac:dyDescent="0.25">
      <c r="A124" s="3">
        <f ca="1">$B$12+0.015</f>
        <v>0.13619341927378339</v>
      </c>
      <c r="B124" s="26" cm="1">
        <f t="array" aca="1" ref="B124" ca="1">IFERROR(((SUMPRODUCT($B$16:$K$16,1/(1+$A124)^(COLUMN($B$16:$K$16)-COLUMN($B$16)+1))+$B$24*(1-$E$8/B$119)/($A124-$E$8)/(1+$A124)^10)*(1+$A124)^0.5+$B$32+$B$33+$B$34+$B$35+$B$36+$B$37)/$B$39,"")</f>
        <v>11.908237652069026</v>
      </c>
      <c r="C124" s="26" cm="1">
        <f t="array" aca="1" ref="C124" ca="1">IFERROR(((SUMPRODUCT($B$16:$K$16,1/(1+$A124)^(COLUMN($B$16:$K$16)-COLUMN($B$16)+1))+$B$24*(1-$E$8/C$119)/($A124-$E$8)/(1+$A124)^10)*(1+$A124)^0.5+$B$32+$B$33+$B$34+$B$35+$B$36+$B$37)/$B$39,"")</f>
        <v>13.84435055194953</v>
      </c>
      <c r="D124" s="26" cm="1">
        <f t="array" aca="1" ref="D124" ca="1">IFERROR(((SUMPRODUCT($B$16:$K$16,1/(1+$A124)^(COLUMN($B$16:$K$16)-COLUMN($B$16)+1))+$B$24*(1-$E$8/D$119)/($A124-$E$8)/(1+$A124)^10)*(1+$A124)^0.5+$B$32+$B$33+$B$34+$B$35+$B$36+$B$37)/$B$39,"")</f>
        <v>15.006018291877833</v>
      </c>
      <c r="E124" s="26" cm="1">
        <f t="array" aca="1" ref="E124" ca="1">IFERROR(((SUMPRODUCT($B$16:$K$16,1/(1+$A124)^(COLUMN($B$16:$K$16)-COLUMN($B$16)+1))+$B$24*(1-$E$8/E$119)/($A124-$E$8)/(1+$A124)^10)*(1+$A124)^0.5+$B$32+$B$33+$B$34+$B$35+$B$36+$B$37)/$B$39,"")</f>
        <v>15.780463451830036</v>
      </c>
      <c r="F124" s="26" cm="1">
        <f t="array" aca="1" ref="F124" ca="1">IFERROR(((SUMPRODUCT($B$16:$K$16,1/(1+$A124)^(COLUMN($B$16:$K$16)-COLUMN($B$16)+1))+$B$24*(1-$E$8/F$119)/($A124-$E$8)/(1+$A124)^10)*(1+$A124)^0.5+$B$32+$B$33+$B$34+$B$35+$B$36+$B$37)/$B$39,"")</f>
        <v>16.333638566081611</v>
      </c>
    </row>
    <row r="127" spans="1:6" x14ac:dyDescent="0.25">
      <c r="A127" s="67" t="s">
        <v>1604</v>
      </c>
    </row>
    <row r="128" spans="1:6" x14ac:dyDescent="0.25">
      <c r="A128" t="s">
        <v>1605</v>
      </c>
      <c r="B128" s="28">
        <f>$B$22+-0.04</f>
        <v>2.4926015037436321E-2</v>
      </c>
      <c r="C128" s="28">
        <f>$B$22+-0.02</f>
        <v>4.4926015037436318E-2</v>
      </c>
      <c r="D128" s="28">
        <f>$B$22+0</f>
        <v>6.4926015037436322E-2</v>
      </c>
      <c r="E128" s="28">
        <f>$B$22+0.02</f>
        <v>8.4926015037436325E-2</v>
      </c>
      <c r="F128" s="28">
        <f>$B$22+0.04</f>
        <v>0.10492601503743632</v>
      </c>
    </row>
    <row r="129" spans="1:6" x14ac:dyDescent="0.25">
      <c r="A129" s="3">
        <f ca="1">$B$12+-0.015</f>
        <v>0.1061934192737834</v>
      </c>
      <c r="B129" s="26" cm="1">
        <f t="array" aca="1" ref="B129" ca="1">IFERROR(((SUMPRODUCT($B$16:$K$16,1/(1+$A129)^(COLUMN($B$16:$K$16)-COLUMN($B$16)+1))+($B$23*B$128*(1-'TSLA Forecast'!$B$2))*(1-$E$8/$E$9)/($A129-$E$8)/(1+$A129)^10)*(1+$A129)^0.5+$B$32+$B$33+$B$34+$B$35+$B$36+$B$37)/$B$39,"")</f>
        <v>14.641558727478552</v>
      </c>
      <c r="C129" s="26" cm="1">
        <f t="array" aca="1" ref="C129" ca="1">IFERROR(((SUMPRODUCT($B$16:$K$16,1/(1+$A129)^(COLUMN($B$16:$K$16)-COLUMN($B$16)+1))+($B$23*C$128*(1-'TSLA Forecast'!$B$2))*(1-$E$8/$E$9)/($A129-$E$8)/(1+$A129)^10)*(1+$A129)^0.5+$B$32+$B$33+$B$34+$B$35+$B$36+$B$37)/$B$39,"")</f>
        <v>17.723762244230304</v>
      </c>
      <c r="D129" s="26" cm="1">
        <f t="array" aca="1" ref="D129" ca="1">IFERROR(((SUMPRODUCT($B$16:$K$16,1/(1+$A129)^(COLUMN($B$16:$K$16)-COLUMN($B$16)+1))+($B$23*D$128*(1-'TSLA Forecast'!$B$2))*(1-$E$8/$E$9)/($A129-$E$8)/(1+$A129)^10)*(1+$A129)^0.5+$B$32+$B$33+$B$34+$B$35+$B$36+$B$37)/$B$39,"")</f>
        <v>20.805965760982062</v>
      </c>
      <c r="E129" s="26" cm="1">
        <f t="array" aca="1" ref="E129" ca="1">IFERROR(((SUMPRODUCT($B$16:$K$16,1/(1+$A129)^(COLUMN($B$16:$K$16)-COLUMN($B$16)+1))+($B$23*E$128*(1-'TSLA Forecast'!$B$2))*(1-$E$8/$E$9)/($A129-$E$8)/(1+$A129)^10)*(1+$A129)^0.5+$B$32+$B$33+$B$34+$B$35+$B$36+$B$37)/$B$39,"")</f>
        <v>23.888169277733816</v>
      </c>
      <c r="F129" s="26" cm="1">
        <f t="array" aca="1" ref="F129" ca="1">IFERROR(((SUMPRODUCT($B$16:$K$16,1/(1+$A129)^(COLUMN($B$16:$K$16)-COLUMN($B$16)+1))+($B$23*F$128*(1-'TSLA Forecast'!$B$2))*(1-$E$8/$E$9)/($A129-$E$8)/(1+$A129)^10)*(1+$A129)^0.5+$B$32+$B$33+$B$34+$B$35+$B$36+$B$37)/$B$39,"")</f>
        <v>26.97037279448557</v>
      </c>
    </row>
    <row r="130" spans="1:6" x14ac:dyDescent="0.25">
      <c r="A130" s="3">
        <f ca="1">$B$12+-0.0075</f>
        <v>0.1136934192737834</v>
      </c>
      <c r="B130" s="26" cm="1">
        <f t="array" aca="1" ref="B130" ca="1">IFERROR(((SUMPRODUCT($B$16:$K$16,1/(1+$A130)^(COLUMN($B$16:$K$16)-COLUMN($B$16)+1))+($B$23*B$128*(1-'TSLA Forecast'!$B$2))*(1-$E$8/$E$9)/($A130-$E$8)/(1+$A130)^10)*(1+$A130)^0.5+$B$32+$B$33+$B$34+$B$35+$B$36+$B$37)/$B$39,"")</f>
        <v>13.765551404147322</v>
      </c>
      <c r="C130" s="26" cm="1">
        <f t="array" aca="1" ref="C130" ca="1">IFERROR(((SUMPRODUCT($B$16:$K$16,1/(1+$A130)^(COLUMN($B$16:$K$16)-COLUMN($B$16)+1))+($B$23*C$128*(1-'TSLA Forecast'!$B$2))*(1-$E$8/$E$9)/($A130-$E$8)/(1+$A130)^10)*(1+$A130)^0.5+$B$32+$B$33+$B$34+$B$35+$B$36+$B$37)/$B$39,"")</f>
        <v>16.250088331883251</v>
      </c>
      <c r="D130" s="26" cm="1">
        <f t="array" aca="1" ref="D130" ca="1">IFERROR(((SUMPRODUCT($B$16:$K$16,1/(1+$A130)^(COLUMN($B$16:$K$16)-COLUMN($B$16)+1))+($B$23*D$128*(1-'TSLA Forecast'!$B$2))*(1-$E$8/$E$9)/($A130-$E$8)/(1+$A130)^10)*(1+$A130)^0.5+$B$32+$B$33+$B$34+$B$35+$B$36+$B$37)/$B$39,"")</f>
        <v>18.734625259619186</v>
      </c>
      <c r="E130" s="26" cm="1">
        <f t="array" aca="1" ref="E130" ca="1">IFERROR(((SUMPRODUCT($B$16:$K$16,1/(1+$A130)^(COLUMN($B$16:$K$16)-COLUMN($B$16)+1))+($B$23*E$128*(1-'TSLA Forecast'!$B$2))*(1-$E$8/$E$9)/($A130-$E$8)/(1+$A130)^10)*(1+$A130)^0.5+$B$32+$B$33+$B$34+$B$35+$B$36+$B$37)/$B$39,"")</f>
        <v>21.219162187355121</v>
      </c>
      <c r="F130" s="26" cm="1">
        <f t="array" aca="1" ref="F130" ca="1">IFERROR(((SUMPRODUCT($B$16:$K$16,1/(1+$A130)^(COLUMN($B$16:$K$16)-COLUMN($B$16)+1))+($B$23*F$128*(1-'TSLA Forecast'!$B$2))*(1-$E$8/$E$9)/($A130-$E$8)/(1+$A130)^10)*(1+$A130)^0.5+$B$32+$B$33+$B$34+$B$35+$B$36+$B$37)/$B$39,"")</f>
        <v>23.703699115091052</v>
      </c>
    </row>
    <row r="131" spans="1:6" x14ac:dyDescent="0.25">
      <c r="A131" s="3">
        <f ca="1">$B$12+0</f>
        <v>0.1211934192737834</v>
      </c>
      <c r="B131" s="26" cm="1">
        <f t="array" aca="1" ref="B131" ca="1">IFERROR(((SUMPRODUCT($B$16:$K$16,1/(1+$A131)^(COLUMN($B$16:$K$16)-COLUMN($B$16)+1))+($B$23*B$128*(1-'TSLA Forecast'!$B$2))*(1-$E$8/$E$9)/($A131-$E$8)/(1+$A131)^10)*(1+$A131)^0.5+$B$32+$B$33+$B$34+$B$35+$B$36+$B$37)/$B$39,"")</f>
        <v>13.091906041902215</v>
      </c>
      <c r="C131" s="26" cm="1">
        <f t="array" aca="1" ref="C131" ca="1">IFERROR(((SUMPRODUCT($B$16:$K$16,1/(1+$A131)^(COLUMN($B$16:$K$16)-COLUMN($B$16)+1))+($B$23*C$128*(1-'TSLA Forecast'!$B$2))*(1-$E$8/$E$9)/($A131-$E$8)/(1+$A131)^10)*(1+$A131)^0.5+$B$32+$B$33+$B$34+$B$35+$B$36+$B$37)/$B$39,"")</f>
        <v>15.135861398789311</v>
      </c>
      <c r="D131" s="235" cm="1">
        <f t="array" aca="1" ref="D131" ca="1">IFERROR(((SUMPRODUCT($B$16:$K$16,1/(1+$A131)^(COLUMN($B$16:$K$16)-COLUMN($B$16)+1))+($B$23*D$128*(1-'TSLA Forecast'!$B$2))*(1-$E$8/$E$9)/($A131-$E$8)/(1+$A131)^10)*(1+$A131)^0.5+$B$32+$B$33+$B$34+$B$35+$B$36+$B$37)/$B$39,"")</f>
        <v>17.179816755676413</v>
      </c>
      <c r="E131" s="26" cm="1">
        <f t="array" aca="1" ref="E131" ca="1">IFERROR(((SUMPRODUCT($B$16:$K$16,1/(1+$A131)^(COLUMN($B$16:$K$16)-COLUMN($B$16)+1))+($B$23*E$128*(1-'TSLA Forecast'!$B$2))*(1-$E$8/$E$9)/($A131-$E$8)/(1+$A131)^10)*(1+$A131)^0.5+$B$32+$B$33+$B$34+$B$35+$B$36+$B$37)/$B$39,"")</f>
        <v>19.223772112563509</v>
      </c>
      <c r="F131" s="26" cm="1">
        <f t="array" aca="1" ref="F131" ca="1">IFERROR(((SUMPRODUCT($B$16:$K$16,1/(1+$A131)^(COLUMN($B$16:$K$16)-COLUMN($B$16)+1))+($B$23*F$128*(1-'TSLA Forecast'!$B$2))*(1-$E$8/$E$9)/($A131-$E$8)/(1+$A131)^10)*(1+$A131)^0.5+$B$32+$B$33+$B$34+$B$35+$B$36+$B$37)/$B$39,"")</f>
        <v>21.267727469450609</v>
      </c>
    </row>
    <row r="132" spans="1:6" x14ac:dyDescent="0.25">
      <c r="A132" s="3">
        <f ca="1">$B$12+0.0075</f>
        <v>0.12869341927378339</v>
      </c>
      <c r="B132" s="26" cm="1">
        <f t="array" aca="1" ref="B132" ca="1">IFERROR(((SUMPRODUCT($B$16:$K$16,1/(1+$A132)^(COLUMN($B$16:$K$16)-COLUMN($B$16)+1))+($B$23*B$128*(1-'TSLA Forecast'!$B$2))*(1-$E$8/$E$9)/($A132-$E$8)/(1+$A132)^10)*(1+$A132)^0.5+$B$32+$B$33+$B$34+$B$35+$B$36+$B$37)/$B$39,"")</f>
        <v>12.555004993782648</v>
      </c>
      <c r="C132" s="26" cm="1">
        <f t="array" aca="1" ref="C132" ca="1">IFERROR(((SUMPRODUCT($B$16:$K$16,1/(1+$A132)^(COLUMN($B$16:$K$16)-COLUMN($B$16)+1))+($B$23*C$128*(1-'TSLA Forecast'!$B$2))*(1-$E$8/$E$9)/($A132-$E$8)/(1+$A132)^10)*(1+$A132)^0.5+$B$32+$B$33+$B$34+$B$35+$B$36+$B$37)/$B$39,"")</f>
        <v>14.263133923138598</v>
      </c>
      <c r="D132" s="26" cm="1">
        <f t="array" aca="1" ref="D132" ca="1">IFERROR(((SUMPRODUCT($B$16:$K$16,1/(1+$A132)^(COLUMN($B$16:$K$16)-COLUMN($B$16)+1))+($B$23*D$128*(1-'TSLA Forecast'!$B$2))*(1-$E$8/$E$9)/($A132-$E$8)/(1+$A132)^10)*(1+$A132)^0.5+$B$32+$B$33+$B$34+$B$35+$B$36+$B$37)/$B$39,"")</f>
        <v>15.971262852494553</v>
      </c>
      <c r="E132" s="26" cm="1">
        <f t="array" aca="1" ref="E132" ca="1">IFERROR(((SUMPRODUCT($B$16:$K$16,1/(1+$A132)^(COLUMN($B$16:$K$16)-COLUMN($B$16)+1))+($B$23*E$128*(1-'TSLA Forecast'!$B$2))*(1-$E$8/$E$9)/($A132-$E$8)/(1+$A132)^10)*(1+$A132)^0.5+$B$32+$B$33+$B$34+$B$35+$B$36+$B$37)/$B$39,"")</f>
        <v>17.679391781850502</v>
      </c>
      <c r="F132" s="26" cm="1">
        <f t="array" aca="1" ref="F132" ca="1">IFERROR(((SUMPRODUCT($B$16:$K$16,1/(1+$A132)^(COLUMN($B$16:$K$16)-COLUMN($B$16)+1))+($B$23*F$128*(1-'TSLA Forecast'!$B$2))*(1-$E$8/$E$9)/($A132-$E$8)/(1+$A132)^10)*(1+$A132)^0.5+$B$32+$B$33+$B$34+$B$35+$B$36+$B$37)/$B$39,"")</f>
        <v>19.387520711206456</v>
      </c>
    </row>
    <row r="133" spans="1:6" x14ac:dyDescent="0.25">
      <c r="A133" s="3">
        <f ca="1">$B$12+0.015</f>
        <v>0.13619341927378339</v>
      </c>
      <c r="B133" s="26" cm="1">
        <f t="array" aca="1" ref="B133" ca="1">IFERROR(((SUMPRODUCT($B$16:$K$16,1/(1+$A133)^(COLUMN($B$16:$K$16)-COLUMN($B$16)+1))+($B$23*B$128*(1-'TSLA Forecast'!$B$2))*(1-$E$8/$E$9)/($A133-$E$8)/(1+$A133)^10)*(1+$A133)^0.5+$B$32+$B$33+$B$34+$B$35+$B$36+$B$37)/$B$39,"")</f>
        <v>12.11509736699654</v>
      </c>
      <c r="C133" s="26" cm="1">
        <f t="array" aca="1" ref="C133" ca="1">IFERROR(((SUMPRODUCT($B$16:$K$16,1/(1+$A133)^(COLUMN($B$16:$K$16)-COLUMN($B$16)+1))+($B$23*C$128*(1-'TSLA Forecast'!$B$2))*(1-$E$8/$E$9)/($A133-$E$8)/(1+$A133)^10)*(1+$A133)^0.5+$B$32+$B$33+$B$34+$B$35+$B$36+$B$37)/$B$39,"")</f>
        <v>13.560557829437187</v>
      </c>
      <c r="D133" s="26" cm="1">
        <f t="array" aca="1" ref="D133" ca="1">IFERROR(((SUMPRODUCT($B$16:$K$16,1/(1+$A133)^(COLUMN($B$16:$K$16)-COLUMN($B$16)+1))+($B$23*D$128*(1-'TSLA Forecast'!$B$2))*(1-$E$8/$E$9)/($A133-$E$8)/(1+$A133)^10)*(1+$A133)^0.5+$B$32+$B$33+$B$34+$B$35+$B$36+$B$37)/$B$39,"")</f>
        <v>15.006018291877833</v>
      </c>
      <c r="E133" s="26" cm="1">
        <f t="array" aca="1" ref="E133" ca="1">IFERROR(((SUMPRODUCT($B$16:$K$16,1/(1+$A133)^(COLUMN($B$16:$K$16)-COLUMN($B$16)+1))+($B$23*E$128*(1-'TSLA Forecast'!$B$2))*(1-$E$8/$E$9)/($A133-$E$8)/(1+$A133)^10)*(1+$A133)^0.5+$B$32+$B$33+$B$34+$B$35+$B$36+$B$37)/$B$39,"")</f>
        <v>16.45147875431848</v>
      </c>
      <c r="F133" s="26" cm="1">
        <f t="array" aca="1" ref="F133" ca="1">IFERROR(((SUMPRODUCT($B$16:$K$16,1/(1+$A133)^(COLUMN($B$16:$K$16)-COLUMN($B$16)+1))+($B$23*F$128*(1-'TSLA Forecast'!$B$2))*(1-$E$8/$E$9)/($A133-$E$8)/(1+$A133)^10)*(1+$A133)^0.5+$B$32+$B$33+$B$34+$B$35+$B$36+$B$37)/$B$39,"")</f>
        <v>17.896939216759133</v>
      </c>
    </row>
    <row r="136" spans="1:6" x14ac:dyDescent="0.25">
      <c r="A136" s="233" t="s">
        <v>1606</v>
      </c>
    </row>
    <row r="137" spans="1:6" x14ac:dyDescent="0.25">
      <c r="A137" t="s">
        <v>569</v>
      </c>
      <c r="B137" s="28">
        <v>0</v>
      </c>
      <c r="C137" s="28">
        <v>0.05</v>
      </c>
      <c r="D137" s="28">
        <v>0.1</v>
      </c>
      <c r="E137" s="28">
        <v>0.15</v>
      </c>
      <c r="F137" s="28">
        <v>0.2</v>
      </c>
    </row>
    <row r="138" spans="1:6" x14ac:dyDescent="0.25">
      <c r="A138" t="s">
        <v>1607</v>
      </c>
      <c r="B138" s="165">
        <v>16.0086134518221</v>
      </c>
      <c r="C138" s="165">
        <v>15.6446967825689</v>
      </c>
      <c r="D138" s="165">
        <v>15.237790116245501</v>
      </c>
      <c r="E138" s="165">
        <v>14.783629998304701</v>
      </c>
      <c r="F138" s="165">
        <v>14.277628770820201</v>
      </c>
    </row>
    <row r="139" spans="1:6" x14ac:dyDescent="0.25">
      <c r="A139" s="234" t="s">
        <v>1608</v>
      </c>
    </row>
  </sheetData>
  <conditionalFormatting sqref="B71:F75">
    <cfRule type="colorScale" priority="1">
      <colorScale>
        <cfvo type="min"/>
        <cfvo type="percentile" val="50"/>
        <cfvo type="max"/>
        <color rgb="FFF8696B"/>
        <color rgb="FFFFEB84"/>
        <color rgb="FF63BE7B"/>
      </colorScale>
    </cfRule>
  </conditionalFormatting>
  <conditionalFormatting sqref="B120:F124">
    <cfRule type="colorScale" priority="2">
      <colorScale>
        <cfvo type="min"/>
        <cfvo type="percentile" val="50"/>
        <cfvo type="max"/>
        <color rgb="FFF8696B"/>
        <color rgb="FFFFEB84"/>
        <color rgb="FF63BE7B"/>
      </colorScale>
    </cfRule>
  </conditionalFormatting>
  <conditionalFormatting sqref="B129:F133">
    <cfRule type="colorScale" priority="3">
      <colorScale>
        <cfvo type="min"/>
        <cfvo type="percentile" val="50"/>
        <cfvo type="max"/>
        <color rgb="FFF8696B"/>
        <color rgb="FFFFEB84"/>
        <color rgb="FF63BE7B"/>
      </colorScale>
    </cfRule>
  </conditionalFormatting>
  <conditionalFormatting sqref="B138:F138">
    <cfRule type="colorScale" priority="4">
      <colorScale>
        <cfvo type="min"/>
        <cfvo type="percentile" val="50"/>
        <cfvo type="max"/>
        <color rgb="FFF8696B"/>
        <color rgb="FFFFEB84"/>
        <color rgb="FF63BE7B"/>
      </colorScale>
    </cfRule>
  </conditionalFormatting>
  <pageMargins left="0.7" right="0.7" top="0.75" bottom="0.75" header="0.3" footer="0.3"/>
  <drawing r:id="rId1"/>
  <legacyDrawing r:id="rId2"/>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ADA2C2-0C4E-4FC6-8739-9C929478C33A}">
  <sheetPr>
    <tabColor rgb="FF206060"/>
  </sheetPr>
  <dimension ref="A1:A3"/>
  <sheetViews>
    <sheetView workbookViewId="0">
      <selection activeCell="A107" sqref="A107"/>
    </sheetView>
  </sheetViews>
  <sheetFormatPr defaultRowHeight="15" x14ac:dyDescent="0.25"/>
  <cols>
    <col min="1" max="1" width="133.28515625" customWidth="1"/>
  </cols>
  <sheetData>
    <row r="1" spans="1:1" ht="26.25" x14ac:dyDescent="0.4">
      <c r="A1" s="108" t="s">
        <v>1231</v>
      </c>
    </row>
    <row r="3" spans="1:1" x14ac:dyDescent="0.25">
      <c r="A3" s="33" t="s">
        <v>1232</v>
      </c>
    </row>
  </sheetData>
  <pageMargins left="0.7" right="0.7" top="0.75" bottom="0.75" header="0.3" footer="0.3"/>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AEC1FD-59BB-4F2D-88EC-8E0C2AFF6E15}">
  <sheetPr>
    <tabColor rgb="FFB7DEDE"/>
  </sheetPr>
  <dimension ref="A1:S77"/>
  <sheetViews>
    <sheetView topLeftCell="M1" workbookViewId="0">
      <selection activeCell="T54" sqref="T54"/>
    </sheetView>
  </sheetViews>
  <sheetFormatPr defaultRowHeight="15" x14ac:dyDescent="0.25"/>
  <cols>
    <col min="1" max="1" width="47.5703125" customWidth="1"/>
    <col min="2" max="8" width="17.7109375" bestFit="1" customWidth="1"/>
    <col min="16" max="16" width="38.140625" customWidth="1"/>
    <col min="18" max="18" width="21" customWidth="1"/>
    <col min="19" max="19" width="80" customWidth="1"/>
  </cols>
  <sheetData>
    <row r="1" spans="1:19" ht="15.75" x14ac:dyDescent="0.25">
      <c r="A1" s="15" t="s">
        <v>760</v>
      </c>
    </row>
    <row r="2" spans="1:19" x14ac:dyDescent="0.25">
      <c r="A2" s="33" t="s">
        <v>761</v>
      </c>
    </row>
    <row r="4" spans="1:19" x14ac:dyDescent="0.25">
      <c r="A4" s="54" t="s">
        <v>289</v>
      </c>
      <c r="B4" s="54" t="s">
        <v>582</v>
      </c>
      <c r="C4" s="54" t="s">
        <v>638</v>
      </c>
      <c r="D4" s="54" t="s">
        <v>762</v>
      </c>
      <c r="E4" s="54" t="s">
        <v>31</v>
      </c>
      <c r="F4" s="54" t="s">
        <v>763</v>
      </c>
      <c r="G4" s="54" t="s">
        <v>764</v>
      </c>
      <c r="H4" s="54" t="s">
        <v>765</v>
      </c>
      <c r="I4" s="54" t="s">
        <v>766</v>
      </c>
      <c r="J4" s="54" t="s">
        <v>767</v>
      </c>
      <c r="L4" s="54" t="s">
        <v>785</v>
      </c>
      <c r="M4" s="54" t="s">
        <v>786</v>
      </c>
      <c r="N4" s="54" t="s">
        <v>787</v>
      </c>
      <c r="O4" s="54" t="s">
        <v>788</v>
      </c>
      <c r="P4" s="54" t="s">
        <v>1456</v>
      </c>
      <c r="R4" s="54" t="s">
        <v>1443</v>
      </c>
    </row>
    <row r="5" spans="1:19" x14ac:dyDescent="0.25">
      <c r="A5" s="114" t="str">
        <f>peer_fundamentals!A2</f>
        <v>AAPL</v>
      </c>
      <c r="B5" s="80">
        <f>peer_fundamentals!B2/1000000</f>
        <v>4594739.4457599996</v>
      </c>
      <c r="C5" s="80">
        <f>peer_fundamentals!T2/1000000</f>
        <v>133050</v>
      </c>
      <c r="D5" s="131">
        <f t="shared" ref="D5:D42" si="0">IFERROR(B5/C5,"")</f>
        <v>34.533930445396464</v>
      </c>
      <c r="E5" s="80">
        <f>peer_fundamentals!K2/1000000</f>
        <v>466822.98777599999</v>
      </c>
      <c r="F5" s="131">
        <f t="shared" ref="F5:F42" si="1">IFERROR(B5/E5,"")</f>
        <v>9.8425732366991667</v>
      </c>
      <c r="G5" s="132">
        <f>peer_fundamentals!I2</f>
        <v>32.936790000000002</v>
      </c>
      <c r="H5" s="132">
        <f>peer_fundamentals!H2</f>
        <v>35.973590000000002</v>
      </c>
      <c r="I5" s="113">
        <f>peer_fundamentals!U2</f>
        <v>1.4875100999999999</v>
      </c>
      <c r="J5" s="113">
        <f>peer_fundamentals!W2</f>
        <v>0.16400000000000001</v>
      </c>
      <c r="L5" s="133">
        <f t="shared" ref="L5:L42" si="2">IF(AND(ISNUMBER(C5),C5&gt;0,P5=1),1,0)</f>
        <v>1</v>
      </c>
      <c r="M5" s="131">
        <f t="shared" ref="M5:M42" si="3">IF(L5=1,D5,"")</f>
        <v>34.533930445396464</v>
      </c>
      <c r="N5" s="131">
        <f t="shared" ref="N5:N42" si="4">IF(L5=1,F5,"")</f>
        <v>9.8425732366991667</v>
      </c>
      <c r="O5" s="131">
        <f t="shared" ref="O5:O42" si="5">IF(AND(L5=1,ISNUMBER(G5),G5&gt;0),G5,"")</f>
        <v>32.936790000000002</v>
      </c>
      <c r="P5">
        <f t="shared" ref="P5:P42" si="6">IF(OR(NOT(ISNUMBER(B5)),NOT(ISNUMBER(C5)),B5&lt;=0),0,IF(OR(C5/B5&gt;0.25,COUNTIF($R$5:$R$12,A5)&gt;0),0,1))</f>
        <v>1</v>
      </c>
      <c r="R5" t="s">
        <v>652</v>
      </c>
      <c r="S5" s="66" t="s">
        <v>1444</v>
      </c>
    </row>
    <row r="6" spans="1:19" x14ac:dyDescent="0.25">
      <c r="A6" s="114" t="str">
        <f>peer_fundamentals!A3</f>
        <v>MSFT</v>
      </c>
      <c r="B6" s="80">
        <f>peer_fundamentals!B3/1000000</f>
        <v>3764668.5962240002</v>
      </c>
      <c r="C6" s="80">
        <f>peer_fundamentals!T3/1000000</f>
        <v>168985</v>
      </c>
      <c r="D6" s="131">
        <f t="shared" si="0"/>
        <v>22.278122887972305</v>
      </c>
      <c r="E6" s="80">
        <f>peer_fundamentals!K3/1000000</f>
        <v>331839.01286399999</v>
      </c>
      <c r="F6" s="131">
        <f t="shared" si="1"/>
        <v>11.344864377856927</v>
      </c>
      <c r="G6" s="132">
        <f>peer_fundamentals!I3</f>
        <v>21.299555000000002</v>
      </c>
      <c r="H6" s="132">
        <f>peer_fundamentals!H3</f>
        <v>27.854595</v>
      </c>
      <c r="I6" s="113">
        <f>peer_fundamentals!U3</f>
        <v>0.34039003000000001</v>
      </c>
      <c r="J6" s="113">
        <f>peer_fundamentals!W3</f>
        <v>0.17699999999999999</v>
      </c>
      <c r="L6" s="133">
        <f t="shared" si="2"/>
        <v>1</v>
      </c>
      <c r="M6" s="131">
        <f t="shared" si="3"/>
        <v>22.278122887972305</v>
      </c>
      <c r="N6" s="131">
        <f t="shared" si="4"/>
        <v>11.344864377856927</v>
      </c>
      <c r="O6" s="131">
        <f t="shared" si="5"/>
        <v>21.299555000000002</v>
      </c>
      <c r="P6">
        <f t="shared" si="6"/>
        <v>1</v>
      </c>
    </row>
    <row r="7" spans="1:19" x14ac:dyDescent="0.25">
      <c r="A7" s="114" t="str">
        <f>peer_fundamentals!A4</f>
        <v>DELL</v>
      </c>
      <c r="B7" s="80">
        <f>peer_fundamentals!B4/1000000</f>
        <v>314434.97779199999</v>
      </c>
      <c r="C7" s="80">
        <f>peer_fundamentals!T4/1000000</f>
        <v>8823</v>
      </c>
      <c r="D7" s="131">
        <f t="shared" si="0"/>
        <v>35.638102435906156</v>
      </c>
      <c r="E7" s="80">
        <f>peer_fundamentals!K4/1000000</f>
        <v>134001.99987199999</v>
      </c>
      <c r="F7" s="131">
        <f t="shared" si="1"/>
        <v>2.346494664947921</v>
      </c>
      <c r="G7" s="132">
        <f>peer_fundamentals!I4</f>
        <v>20.766945</v>
      </c>
      <c r="H7" s="132">
        <f>peer_fundamentals!H4</f>
        <v>36.099440000000001</v>
      </c>
      <c r="I7" s="113">
        <f>peer_fundamentals!U4</f>
        <v>0</v>
      </c>
      <c r="J7" s="113">
        <f>peer_fundamentals!W4</f>
        <v>0.875</v>
      </c>
      <c r="L7" s="133">
        <f t="shared" si="2"/>
        <v>1</v>
      </c>
      <c r="M7" s="131">
        <f t="shared" si="3"/>
        <v>35.638102435906156</v>
      </c>
      <c r="N7" s="131">
        <f t="shared" si="4"/>
        <v>2.346494664947921</v>
      </c>
      <c r="O7" s="131">
        <f t="shared" si="5"/>
        <v>20.766945</v>
      </c>
      <c r="P7">
        <f t="shared" si="6"/>
        <v>1</v>
      </c>
    </row>
    <row r="8" spans="1:19" x14ac:dyDescent="0.25">
      <c r="A8" s="114" t="str">
        <f>peer_fundamentals!A5</f>
        <v>HPQ</v>
      </c>
      <c r="B8" s="80">
        <f>peer_fundamentals!B5/1000000</f>
        <v>34642.407423999997</v>
      </c>
      <c r="C8" s="80">
        <f>peer_fundamentals!T5/1000000</f>
        <v>3223</v>
      </c>
      <c r="D8" s="131">
        <f t="shared" si="0"/>
        <v>10.748497494260006</v>
      </c>
      <c r="E8" s="80">
        <f>peer_fundamentals!K5/1000000</f>
        <v>57416.998912000003</v>
      </c>
      <c r="F8" s="131">
        <f t="shared" si="1"/>
        <v>0.60334758138603839</v>
      </c>
      <c r="G8" s="132">
        <f>peer_fundamentals!I5</f>
        <v>9.9847819999999992</v>
      </c>
      <c r="H8" s="132">
        <f>peer_fundamentals!H5</f>
        <v>11.129629</v>
      </c>
      <c r="I8" s="113">
        <f>peer_fundamentals!U5</f>
        <v>0</v>
      </c>
      <c r="J8" s="113">
        <f>peer_fundamentals!W5</f>
        <v>0.09</v>
      </c>
      <c r="L8" s="133">
        <f t="shared" si="2"/>
        <v>1</v>
      </c>
      <c r="M8" s="131">
        <f t="shared" si="3"/>
        <v>10.748497494260006</v>
      </c>
      <c r="N8" s="131">
        <f t="shared" si="4"/>
        <v>0.60334758138603839</v>
      </c>
      <c r="O8" s="131">
        <f t="shared" si="5"/>
        <v>9.9847819999999992</v>
      </c>
      <c r="P8">
        <f t="shared" si="6"/>
        <v>1</v>
      </c>
    </row>
    <row r="9" spans="1:19" x14ac:dyDescent="0.25">
      <c r="A9" s="114" t="str">
        <f>peer_fundamentals!A6</f>
        <v>SONY</v>
      </c>
      <c r="B9" s="80">
        <f>peer_fundamentals!B6/1000000</f>
        <v>244025.96659200001</v>
      </c>
      <c r="C9" s="80">
        <f>peer_fundamentals!T6/1000000</f>
        <v>1457949</v>
      </c>
      <c r="D9" s="131">
        <f t="shared" si="0"/>
        <v>0.16737620217991164</v>
      </c>
      <c r="E9" s="80">
        <f>peer_fundamentals!K6/1000000</f>
        <v>12695775.47776</v>
      </c>
      <c r="F9" s="131">
        <f t="shared" si="1"/>
        <v>1.9221036715675689E-2</v>
      </c>
      <c r="G9" s="132">
        <f>peer_fundamentals!I6</f>
        <v>19.714285</v>
      </c>
      <c r="H9" s="132">
        <f>peer_fundamentals!H6</f>
        <v>19.881354999999999</v>
      </c>
      <c r="I9" s="113">
        <f>peer_fundamentals!U6</f>
        <v>0.13159999</v>
      </c>
      <c r="J9" s="113">
        <f>peer_fundamentals!W6</f>
        <v>8.2000000000000003E-2</v>
      </c>
      <c r="L9" s="133">
        <f t="shared" si="2"/>
        <v>0</v>
      </c>
      <c r="M9" s="131" t="str">
        <f t="shared" si="3"/>
        <v/>
      </c>
      <c r="N9" s="131" t="str">
        <f t="shared" si="4"/>
        <v/>
      </c>
      <c r="O9" s="131" t="str">
        <f t="shared" si="5"/>
        <v/>
      </c>
      <c r="P9">
        <f t="shared" si="6"/>
        <v>0</v>
      </c>
    </row>
    <row r="10" spans="1:19" x14ac:dyDescent="0.25">
      <c r="A10" s="114" t="str">
        <f>peer_fundamentals!A7</f>
        <v>ORCL</v>
      </c>
      <c r="B10" s="80">
        <f>peer_fundamentals!B7/1000000</f>
        <v>564526.84185600001</v>
      </c>
      <c r="C10" s="80">
        <f>peer_fundamentals!T7/1000000</f>
        <v>24153</v>
      </c>
      <c r="D10" s="131">
        <f t="shared" si="0"/>
        <v>23.372949192895295</v>
      </c>
      <c r="E10" s="80">
        <f>peer_fundamentals!K7/1000000</f>
        <v>67356.999679999994</v>
      </c>
      <c r="F10" s="131">
        <f t="shared" si="1"/>
        <v>8.3811162097177316</v>
      </c>
      <c r="G10" s="132">
        <f>peer_fundamentals!I7</f>
        <v>13.500273999999999</v>
      </c>
      <c r="H10" s="132">
        <f>peer_fundamentals!H7</f>
        <v>25.174658000000001</v>
      </c>
      <c r="I10" s="113">
        <f>peer_fundamentals!U7</f>
        <v>0.53376000000000001</v>
      </c>
      <c r="J10" s="113">
        <f>peer_fundamentals!W7</f>
        <v>0.20599999999999999</v>
      </c>
      <c r="L10" s="133">
        <f t="shared" si="2"/>
        <v>1</v>
      </c>
      <c r="M10" s="131">
        <f t="shared" si="3"/>
        <v>23.372949192895295</v>
      </c>
      <c r="N10" s="131">
        <f t="shared" si="4"/>
        <v>8.3811162097177316</v>
      </c>
      <c r="O10" s="131">
        <f t="shared" si="5"/>
        <v>13.500273999999999</v>
      </c>
      <c r="P10">
        <f t="shared" si="6"/>
        <v>1</v>
      </c>
    </row>
    <row r="11" spans="1:19" x14ac:dyDescent="0.25">
      <c r="A11" s="114" t="str">
        <f>peer_fundamentals!A8</f>
        <v>CRM</v>
      </c>
      <c r="B11" s="80">
        <f>peer_fundamentals!B8/1000000</f>
        <v>188565.061632</v>
      </c>
      <c r="C11" s="80">
        <f>peer_fundamentals!T8/1000000</f>
        <v>8917</v>
      </c>
      <c r="D11" s="131">
        <f t="shared" si="0"/>
        <v>21.146693016933945</v>
      </c>
      <c r="E11" s="80">
        <f>peer_fundamentals!K8/1000000</f>
        <v>42829.000703999998</v>
      </c>
      <c r="F11" s="131">
        <f t="shared" si="1"/>
        <v>4.4027424999992828</v>
      </c>
      <c r="G11" s="132">
        <f>peer_fundamentals!I8</f>
        <v>12.424987</v>
      </c>
      <c r="H11" s="132">
        <f>peer_fundamentals!H8</f>
        <v>22.33372</v>
      </c>
      <c r="I11" s="113">
        <f>peer_fundamentals!U8</f>
        <v>0.16908000000000001</v>
      </c>
      <c r="J11" s="113">
        <f>peer_fundamentals!W8</f>
        <v>0.13300000000000001</v>
      </c>
      <c r="L11" s="133">
        <f t="shared" si="2"/>
        <v>1</v>
      </c>
      <c r="M11" s="131">
        <f t="shared" si="3"/>
        <v>21.146693016933945</v>
      </c>
      <c r="N11" s="131">
        <f t="shared" si="4"/>
        <v>4.4027424999992828</v>
      </c>
      <c r="O11" s="131">
        <f t="shared" si="5"/>
        <v>12.424987</v>
      </c>
      <c r="P11">
        <f t="shared" si="6"/>
        <v>1</v>
      </c>
    </row>
    <row r="12" spans="1:19" x14ac:dyDescent="0.25">
      <c r="A12" s="114" t="str">
        <f>peer_fundamentals!A9</f>
        <v>ADBE</v>
      </c>
      <c r="B12" s="80">
        <f>peer_fundamentals!B9/1000000</f>
        <v>106871.97184</v>
      </c>
      <c r="C12" s="80">
        <f>peer_fundamentals!T9/1000000</f>
        <v>8997</v>
      </c>
      <c r="D12" s="131">
        <f t="shared" si="0"/>
        <v>11.878623078804045</v>
      </c>
      <c r="E12" s="80">
        <f>peer_fundamentals!K9/1000000</f>
        <v>25198.000128</v>
      </c>
      <c r="F12" s="131">
        <f t="shared" si="1"/>
        <v>4.241287852096006</v>
      </c>
      <c r="G12" s="132">
        <f>peer_fundamentals!I9</f>
        <v>9.6486059999999991</v>
      </c>
      <c r="H12" s="132">
        <f>peer_fundamentals!H9</f>
        <v>15.172196</v>
      </c>
      <c r="I12" s="113">
        <f>peer_fundamentals!U9</f>
        <v>0.62953996999999995</v>
      </c>
      <c r="J12" s="113">
        <f>peer_fundamentals!W9</f>
        <v>0.127</v>
      </c>
      <c r="L12" s="133">
        <f t="shared" si="2"/>
        <v>1</v>
      </c>
      <c r="M12" s="131">
        <f t="shared" si="3"/>
        <v>11.878623078804045</v>
      </c>
      <c r="N12" s="131">
        <f t="shared" si="4"/>
        <v>4.241287852096006</v>
      </c>
      <c r="O12" s="131">
        <f t="shared" si="5"/>
        <v>9.6486059999999991</v>
      </c>
      <c r="P12">
        <f t="shared" si="6"/>
        <v>1</v>
      </c>
    </row>
    <row r="13" spans="1:19" x14ac:dyDescent="0.25">
      <c r="A13" s="114" t="str">
        <f>peer_fundamentals!A10</f>
        <v>NOW</v>
      </c>
      <c r="B13" s="80">
        <f>peer_fundamentals!B10/1000000</f>
        <v>132897.68550399999</v>
      </c>
      <c r="C13" s="80">
        <f>peer_fundamentals!T10/1000000</f>
        <v>2284</v>
      </c>
      <c r="D13" s="131">
        <f t="shared" si="0"/>
        <v>58.186377190893168</v>
      </c>
      <c r="E13" s="80">
        <f>peer_fundamentals!K10/1000000</f>
        <v>14732.000255999999</v>
      </c>
      <c r="F13" s="131">
        <f t="shared" si="1"/>
        <v>9.0210211237183398</v>
      </c>
      <c r="G13" s="132">
        <f>peer_fundamentals!I10</f>
        <v>24.945118000000001</v>
      </c>
      <c r="H13" s="132">
        <f>peer_fundamentals!H10</f>
        <v>78.049994999999996</v>
      </c>
      <c r="I13" s="113">
        <f>peer_fundamentals!U10</f>
        <v>0.14244000000000001</v>
      </c>
      <c r="J13" s="113">
        <f>peer_fundamentals!W10</f>
        <v>0.24</v>
      </c>
      <c r="L13" s="133">
        <f t="shared" si="2"/>
        <v>1</v>
      </c>
      <c r="M13" s="131">
        <f t="shared" si="3"/>
        <v>58.186377190893168</v>
      </c>
      <c r="N13" s="131">
        <f t="shared" si="4"/>
        <v>9.0210211237183398</v>
      </c>
      <c r="O13" s="131">
        <f t="shared" si="5"/>
        <v>24.945118000000001</v>
      </c>
      <c r="P13">
        <f t="shared" si="6"/>
        <v>1</v>
      </c>
    </row>
    <row r="14" spans="1:19" x14ac:dyDescent="0.25">
      <c r="A14" s="114" t="str">
        <f>peer_fundamentals!A11</f>
        <v>SAP</v>
      </c>
      <c r="B14" s="80">
        <f>peer_fundamentals!B11/1000000</f>
        <v>3350225.7479679999</v>
      </c>
      <c r="C14" s="80">
        <f>peer_fundamentals!T11/1000000</f>
        <v>10762</v>
      </c>
      <c r="D14" s="131">
        <f t="shared" si="0"/>
        <v>311.30140754209253</v>
      </c>
      <c r="E14" s="80">
        <f>peer_fundamentals!K11/1000000</f>
        <v>38192.001023999997</v>
      </c>
      <c r="F14" s="131">
        <f t="shared" si="1"/>
        <v>87.720613168781213</v>
      </c>
      <c r="G14" s="132">
        <f>peer_fundamentals!I11</f>
        <v>21.475425999999999</v>
      </c>
      <c r="H14" s="132">
        <f>peer_fundamentals!H11</f>
        <v>26.7393</v>
      </c>
      <c r="I14" s="113">
        <f>peer_fundamentals!U11</f>
        <v>0.18320998999999999</v>
      </c>
      <c r="J14" s="113">
        <f>peer_fundamentals!W11</f>
        <v>9.4E-2</v>
      </c>
      <c r="L14" s="133">
        <f t="shared" si="2"/>
        <v>0</v>
      </c>
      <c r="M14" s="131" t="str">
        <f t="shared" si="3"/>
        <v/>
      </c>
      <c r="N14" s="131" t="str">
        <f t="shared" si="4"/>
        <v/>
      </c>
      <c r="O14" s="131" t="str">
        <f t="shared" si="5"/>
        <v/>
      </c>
      <c r="P14">
        <f t="shared" si="6"/>
        <v>0</v>
      </c>
    </row>
    <row r="15" spans="1:19" x14ac:dyDescent="0.25">
      <c r="A15" s="114" t="str">
        <f>peer_fundamentals!A12</f>
        <v>IBM</v>
      </c>
      <c r="B15" s="80">
        <f>peer_fundamentals!B12/1000000</f>
        <v>280778.63731199998</v>
      </c>
      <c r="C15" s="80">
        <f>peer_fundamentals!T12/1000000</f>
        <v>12263</v>
      </c>
      <c r="D15" s="131">
        <f t="shared" si="0"/>
        <v>22.896406859006767</v>
      </c>
      <c r="E15" s="80">
        <f>peer_fundamentals!K12/1000000</f>
        <v>69094.998015999998</v>
      </c>
      <c r="F15" s="131">
        <f t="shared" si="1"/>
        <v>4.0636608347102259</v>
      </c>
      <c r="G15" s="132">
        <f>peer_fundamentals!I12</f>
        <v>18.009989999999998</v>
      </c>
      <c r="H15" s="132">
        <f>peer_fundamentals!H12</f>
        <v>21.054124999999999</v>
      </c>
      <c r="I15" s="113">
        <f>peer_fundamentals!U12</f>
        <v>0.34460997999999998</v>
      </c>
      <c r="J15" s="113">
        <f>peer_fundamentals!W12</f>
        <v>1.0999999999999999E-2</v>
      </c>
      <c r="L15" s="133">
        <f t="shared" si="2"/>
        <v>1</v>
      </c>
      <c r="M15" s="131">
        <f t="shared" si="3"/>
        <v>22.896406859006767</v>
      </c>
      <c r="N15" s="131">
        <f t="shared" si="4"/>
        <v>4.0636608347102259</v>
      </c>
      <c r="O15" s="131">
        <f t="shared" si="5"/>
        <v>18.009989999999998</v>
      </c>
      <c r="P15">
        <f t="shared" si="6"/>
        <v>1</v>
      </c>
    </row>
    <row r="16" spans="1:19" x14ac:dyDescent="0.25">
      <c r="A16" s="114" t="str">
        <f>peer_fundamentals!A13</f>
        <v>GOOGL</v>
      </c>
      <c r="B16" s="80">
        <f>peer_fundamentals!B13/1000000</f>
        <v>4229428.9367040005</v>
      </c>
      <c r="C16" s="80">
        <f>peer_fundamentals!T13/1000000</f>
        <v>159562</v>
      </c>
      <c r="D16" s="131">
        <f t="shared" si="0"/>
        <v>26.506492377282814</v>
      </c>
      <c r="E16" s="80">
        <f>peer_fundamentals!K13/1000000</f>
        <v>445865.984</v>
      </c>
      <c r="F16" s="131">
        <f t="shared" si="1"/>
        <v>9.4858748782773272</v>
      </c>
      <c r="G16" s="132">
        <f>peer_fundamentals!I13</f>
        <v>24.045721</v>
      </c>
      <c r="H16" s="132">
        <f>peer_fundamentals!H13</f>
        <v>17.759398000000001</v>
      </c>
      <c r="I16" s="113">
        <f>peer_fundamentals!U13</f>
        <v>0.48676000000000003</v>
      </c>
      <c r="J16" s="113">
        <f>peer_fundamentals!W13</f>
        <v>0.24199999999999999</v>
      </c>
      <c r="L16" s="133">
        <f t="shared" si="2"/>
        <v>1</v>
      </c>
      <c r="M16" s="131">
        <f t="shared" si="3"/>
        <v>26.506492377282814</v>
      </c>
      <c r="N16" s="131">
        <f t="shared" si="4"/>
        <v>9.4858748782773272</v>
      </c>
      <c r="O16" s="131">
        <f t="shared" si="5"/>
        <v>24.045721</v>
      </c>
      <c r="P16">
        <f t="shared" si="6"/>
        <v>1</v>
      </c>
    </row>
    <row r="17" spans="1:16" x14ac:dyDescent="0.25">
      <c r="A17" s="114" t="str">
        <f>peer_fundamentals!A14</f>
        <v>META</v>
      </c>
      <c r="B17" s="80">
        <f>peer_fundamentals!B14/1000000</f>
        <v>1530436.3868160001</v>
      </c>
      <c r="C17" s="80">
        <f>peer_fundamentals!T14/1000000</f>
        <v>87097</v>
      </c>
      <c r="D17" s="131">
        <f t="shared" si="0"/>
        <v>17.571631477731724</v>
      </c>
      <c r="E17" s="80">
        <f>peer_fundamentals!K14/1000000</f>
        <v>228246.99494400001</v>
      </c>
      <c r="F17" s="131">
        <f t="shared" si="1"/>
        <v>6.7051765005339501</v>
      </c>
      <c r="G17" s="132">
        <f>peer_fundamentals!I14</f>
        <v>16.851541999999998</v>
      </c>
      <c r="H17" s="132">
        <f>peer_fundamentals!H14</f>
        <v>22.318128999999999</v>
      </c>
      <c r="I17" s="113">
        <f>peer_fundamentals!U14</f>
        <v>0.29848000000000002</v>
      </c>
      <c r="J17" s="113">
        <f>peer_fundamentals!W14</f>
        <v>0.28000000000000003</v>
      </c>
      <c r="L17" s="133">
        <f t="shared" si="2"/>
        <v>1</v>
      </c>
      <c r="M17" s="131">
        <f t="shared" si="3"/>
        <v>17.571631477731724</v>
      </c>
      <c r="N17" s="131">
        <f t="shared" si="4"/>
        <v>6.7051765005339501</v>
      </c>
      <c r="O17" s="131">
        <f t="shared" si="5"/>
        <v>16.851541999999998</v>
      </c>
      <c r="P17">
        <f t="shared" si="6"/>
        <v>1</v>
      </c>
    </row>
    <row r="18" spans="1:16" x14ac:dyDescent="0.25">
      <c r="A18" s="114" t="str">
        <f>peer_fundamentals!A15</f>
        <v>TTD</v>
      </c>
      <c r="B18" s="80">
        <f>peer_fundamentals!B15/1000000</f>
        <v>5433.1238400000002</v>
      </c>
      <c r="C18" s="80">
        <f>peer_fundamentals!T15/1000000</f>
        <v>589.32100000000003</v>
      </c>
      <c r="D18" s="131">
        <f t="shared" si="0"/>
        <v>9.2192944761853042</v>
      </c>
      <c r="E18" s="80">
        <f>peer_fundamentals!K15/1000000</f>
        <v>2990.1381120000001</v>
      </c>
      <c r="F18" s="131">
        <f t="shared" si="1"/>
        <v>1.8170143439849242</v>
      </c>
      <c r="G18" s="132">
        <f>peer_fundamentals!I15</f>
        <v>13.864749</v>
      </c>
      <c r="H18" s="132">
        <f>peer_fundamentals!H15</f>
        <v>16.428571999999999</v>
      </c>
      <c r="I18" s="113">
        <f>peer_fundamentals!U15</f>
        <v>0.15440999999999999</v>
      </c>
      <c r="J18" s="113">
        <f>peer_fundamentals!W15</f>
        <v>0.03</v>
      </c>
      <c r="L18" s="133">
        <f t="shared" si="2"/>
        <v>1</v>
      </c>
      <c r="M18" s="131">
        <f t="shared" si="3"/>
        <v>9.2192944761853042</v>
      </c>
      <c r="N18" s="131">
        <f t="shared" si="4"/>
        <v>1.8170143439849242</v>
      </c>
      <c r="O18" s="131">
        <f t="shared" si="5"/>
        <v>13.864749</v>
      </c>
      <c r="P18">
        <f t="shared" si="6"/>
        <v>1</v>
      </c>
    </row>
    <row r="19" spans="1:16" x14ac:dyDescent="0.25">
      <c r="A19" s="114" t="str">
        <f>peer_fundamentals!A16</f>
        <v>PINS</v>
      </c>
      <c r="B19" s="80">
        <f>peer_fundamentals!B16/1000000</f>
        <v>13332.026368000001</v>
      </c>
      <c r="C19" s="80">
        <f>peer_fundamentals!T16/1000000</f>
        <v>319.88299999999998</v>
      </c>
      <c r="D19" s="131">
        <f t="shared" si="0"/>
        <v>41.677820853249472</v>
      </c>
      <c r="E19" s="80">
        <f>peer_fundamentals!K16/1000000</f>
        <v>4555.7201919999998</v>
      </c>
      <c r="F19" s="131">
        <f t="shared" si="1"/>
        <v>2.9264366129007429</v>
      </c>
      <c r="G19" s="132">
        <f>peer_fundamentals!I16</f>
        <v>9.9171200000000006</v>
      </c>
      <c r="H19" s="132">
        <f>peer_fundamentals!H16</f>
        <v>69.647059999999996</v>
      </c>
      <c r="I19" s="113">
        <f>peer_fundamentals!U16</f>
        <v>6.4610000000000001E-2</v>
      </c>
      <c r="J19" s="113">
        <f>peer_fundamentals!W16</f>
        <v>0.182</v>
      </c>
      <c r="L19" s="133">
        <f t="shared" si="2"/>
        <v>1</v>
      </c>
      <c r="M19" s="131">
        <f t="shared" si="3"/>
        <v>41.677820853249472</v>
      </c>
      <c r="N19" s="131">
        <f t="shared" si="4"/>
        <v>2.9264366129007429</v>
      </c>
      <c r="O19" s="131">
        <f t="shared" si="5"/>
        <v>9.9171200000000006</v>
      </c>
      <c r="P19">
        <f t="shared" si="6"/>
        <v>1</v>
      </c>
    </row>
    <row r="20" spans="1:16" x14ac:dyDescent="0.25">
      <c r="A20" s="114" t="str">
        <f>peer_fundamentals!A17</f>
        <v>SNAP</v>
      </c>
      <c r="B20" s="80">
        <f>peer_fundamentals!B17/1000000</f>
        <v>10580.072448000001</v>
      </c>
      <c r="C20" s="80">
        <f>peer_fundamentals!T17/1000000</f>
        <v>-329.13799999999998</v>
      </c>
      <c r="D20" s="131">
        <f t="shared" si="0"/>
        <v>-32.14479169223852</v>
      </c>
      <c r="E20" s="80">
        <f>peer_fundamentals!K17/1000000</f>
        <v>6351.0840319999998</v>
      </c>
      <c r="F20" s="131">
        <f t="shared" si="1"/>
        <v>1.6658687547971656</v>
      </c>
      <c r="G20" s="132">
        <f>peer_fundamentals!I17</f>
        <v>6.9116654000000004</v>
      </c>
      <c r="H20" s="132">
        <f>peer_fundamentals!H17</f>
        <v>0</v>
      </c>
      <c r="I20" s="113">
        <f>peer_fundamentals!U17</f>
        <v>-0.15576000000000001</v>
      </c>
      <c r="J20" s="113">
        <f>peer_fundamentals!W17</f>
        <v>0.189</v>
      </c>
      <c r="L20" s="133">
        <f t="shared" si="2"/>
        <v>0</v>
      </c>
      <c r="M20" s="131" t="str">
        <f t="shared" si="3"/>
        <v/>
      </c>
      <c r="N20" s="131" t="str">
        <f t="shared" si="4"/>
        <v/>
      </c>
      <c r="O20" s="131" t="str">
        <f t="shared" si="5"/>
        <v/>
      </c>
      <c r="P20">
        <f t="shared" si="6"/>
        <v>1</v>
      </c>
    </row>
    <row r="21" spans="1:16" x14ac:dyDescent="0.25">
      <c r="A21" s="114" t="str">
        <f>peer_fundamentals!A18</f>
        <v>AMZN</v>
      </c>
      <c r="B21" s="80">
        <f>peer_fundamentals!B18/1000000</f>
        <v>3089274.2410240001</v>
      </c>
      <c r="C21" s="80">
        <f>peer_fundamentals!T18/1000000</f>
        <v>99585</v>
      </c>
      <c r="D21" s="131">
        <f t="shared" si="0"/>
        <v>31.021481558708643</v>
      </c>
      <c r="E21" s="80">
        <f>peer_fundamentals!K18/1000000</f>
        <v>775680.03276800003</v>
      </c>
      <c r="F21" s="131">
        <f t="shared" si="1"/>
        <v>3.982665674659668</v>
      </c>
      <c r="G21" s="132">
        <f>peer_fundamentals!I18</f>
        <v>26.569765</v>
      </c>
      <c r="H21" s="132">
        <f>peer_fundamentals!H18</f>
        <v>22.082059999999998</v>
      </c>
      <c r="I21" s="113">
        <f>peer_fundamentals!U18</f>
        <v>0.30558002000000001</v>
      </c>
      <c r="J21" s="113">
        <f>peer_fundamentals!W18</f>
        <v>0.19600000000000001</v>
      </c>
      <c r="L21" s="133">
        <f t="shared" si="2"/>
        <v>1</v>
      </c>
      <c r="M21" s="131">
        <f t="shared" si="3"/>
        <v>31.021481558708643</v>
      </c>
      <c r="N21" s="131">
        <f t="shared" si="4"/>
        <v>3.982665674659668</v>
      </c>
      <c r="O21" s="131">
        <f t="shared" si="5"/>
        <v>26.569765</v>
      </c>
      <c r="P21">
        <f t="shared" si="6"/>
        <v>1</v>
      </c>
    </row>
    <row r="22" spans="1:16" x14ac:dyDescent="0.25">
      <c r="A22" s="114" t="str">
        <f>peer_fundamentals!A19</f>
        <v>WMT</v>
      </c>
      <c r="B22" s="80">
        <f>peer_fundamentals!B19/1000000</f>
        <v>961572.17587200005</v>
      </c>
      <c r="C22" s="80">
        <f>peer_fundamentals!T19/1000000</f>
        <v>32268</v>
      </c>
      <c r="D22" s="131">
        <f t="shared" si="0"/>
        <v>29.79955918780216</v>
      </c>
      <c r="E22" s="80">
        <f>peer_fundamentals!K19/1000000</f>
        <v>725304.99993599998</v>
      </c>
      <c r="F22" s="131">
        <f t="shared" si="1"/>
        <v>1.325748720823444</v>
      </c>
      <c r="G22" s="132">
        <f>peer_fundamentals!I19</f>
        <v>34.102271999999999</v>
      </c>
      <c r="H22" s="132">
        <f>peer_fundamentals!H19</f>
        <v>39.383803999999998</v>
      </c>
      <c r="I22" s="113">
        <f>peer_fundamentals!U19</f>
        <v>0.24132000000000001</v>
      </c>
      <c r="J22" s="113">
        <f>peer_fundamentals!W19</f>
        <v>7.2999999999999995E-2</v>
      </c>
      <c r="L22" s="133">
        <f t="shared" si="2"/>
        <v>1</v>
      </c>
      <c r="M22" s="131">
        <f t="shared" si="3"/>
        <v>29.79955918780216</v>
      </c>
      <c r="N22" s="131">
        <f t="shared" si="4"/>
        <v>1.325748720823444</v>
      </c>
      <c r="O22" s="131">
        <f t="shared" si="5"/>
        <v>34.102271999999999</v>
      </c>
      <c r="P22">
        <f t="shared" si="6"/>
        <v>1</v>
      </c>
    </row>
    <row r="23" spans="1:16" x14ac:dyDescent="0.25">
      <c r="A23" s="114" t="str">
        <f>peer_fundamentals!A20</f>
        <v>COST</v>
      </c>
      <c r="B23" s="80">
        <f>peer_fundamentals!B20/1000000</f>
        <v>418664.08755200001</v>
      </c>
      <c r="C23" s="80">
        <f>peer_fundamentals!T20/1000000</f>
        <v>10972</v>
      </c>
      <c r="D23" s="131">
        <f t="shared" si="0"/>
        <v>38.157499776886624</v>
      </c>
      <c r="E23" s="80">
        <f>peer_fundamentals!K20/1000000</f>
        <v>293586.99315200001</v>
      </c>
      <c r="F23" s="131">
        <f t="shared" si="1"/>
        <v>1.4260307756047057</v>
      </c>
      <c r="G23" s="132">
        <f>peer_fundamentals!I20</f>
        <v>41.830956</v>
      </c>
      <c r="H23" s="132">
        <f>peer_fundamentals!H20</f>
        <v>47.629147000000003</v>
      </c>
      <c r="I23" s="113">
        <f>peer_fundamentals!U20</f>
        <v>0.29152</v>
      </c>
      <c r="J23" s="113">
        <f>peer_fundamentals!W20</f>
        <v>0.215</v>
      </c>
      <c r="L23" s="133">
        <f t="shared" si="2"/>
        <v>1</v>
      </c>
      <c r="M23" s="131">
        <f t="shared" si="3"/>
        <v>38.157499776886624</v>
      </c>
      <c r="N23" s="131">
        <f t="shared" si="4"/>
        <v>1.4260307756047057</v>
      </c>
      <c r="O23" s="131">
        <f t="shared" si="5"/>
        <v>41.830956</v>
      </c>
      <c r="P23">
        <f t="shared" si="6"/>
        <v>1</v>
      </c>
    </row>
    <row r="24" spans="1:16" x14ac:dyDescent="0.25">
      <c r="A24" s="114" t="str">
        <f>peer_fundamentals!A21</f>
        <v>BABA</v>
      </c>
      <c r="B24" s="80">
        <f>peer_fundamentals!B21/1000000</f>
        <v>329961.04601599998</v>
      </c>
      <c r="C24" s="80">
        <f>peer_fundamentals!T21/1000000</f>
        <v>139180</v>
      </c>
      <c r="D24" s="131">
        <f t="shared" si="0"/>
        <v>2.3707504383963212</v>
      </c>
      <c r="E24" s="80">
        <f>peer_fundamentals!K21/1000000</f>
        <v>1023670.02624</v>
      </c>
      <c r="F24" s="131">
        <f t="shared" si="1"/>
        <v>0.3223314520871205</v>
      </c>
      <c r="G24" s="132">
        <f>peer_fundamentals!I21</f>
        <v>14.157659000000001</v>
      </c>
      <c r="H24" s="132">
        <f>peer_fundamentals!H21</f>
        <v>19.694786000000001</v>
      </c>
      <c r="I24" s="113">
        <f>peer_fundamentals!U21</f>
        <v>9.2159993999999995E-2</v>
      </c>
      <c r="J24" s="113">
        <f>peer_fundamentals!W21</f>
        <v>2.9000000000000001E-2</v>
      </c>
      <c r="L24" s="133">
        <f t="shared" si="2"/>
        <v>0</v>
      </c>
      <c r="M24" s="131" t="str">
        <f t="shared" si="3"/>
        <v/>
      </c>
      <c r="N24" s="131" t="str">
        <f t="shared" si="4"/>
        <v/>
      </c>
      <c r="O24" s="131" t="str">
        <f t="shared" si="5"/>
        <v/>
      </c>
      <c r="P24">
        <f t="shared" si="6"/>
        <v>0</v>
      </c>
    </row>
    <row r="25" spans="1:16" x14ac:dyDescent="0.25">
      <c r="A25" s="114" t="str">
        <f>peer_fundamentals!A22</f>
        <v>SHOP</v>
      </c>
      <c r="B25" s="80">
        <f>peer_fundamentals!B22/1000000</f>
        <v>190247.61651200001</v>
      </c>
      <c r="C25" s="80">
        <f>peer_fundamentals!T22/1000000</f>
        <v>1885</v>
      </c>
      <c r="D25" s="131">
        <f t="shared" si="0"/>
        <v>100.92711751299736</v>
      </c>
      <c r="E25" s="80">
        <f>peer_fundamentals!K22/1000000</f>
        <v>13269.000192</v>
      </c>
      <c r="F25" s="131">
        <f t="shared" si="1"/>
        <v>14.337750678962385</v>
      </c>
      <c r="G25" s="132">
        <f>peer_fundamentals!I22</f>
        <v>62.27505</v>
      </c>
      <c r="H25" s="132">
        <f>peer_fundamentals!H22</f>
        <v>101.72484</v>
      </c>
      <c r="I25" s="113">
        <f>peer_fundamentals!U22</f>
        <v>0.15543000000000001</v>
      </c>
      <c r="J25" s="113">
        <f>peer_fundamentals!W22</f>
        <v>0.33700000000000002</v>
      </c>
      <c r="L25" s="133">
        <f t="shared" si="2"/>
        <v>1</v>
      </c>
      <c r="M25" s="131">
        <f t="shared" si="3"/>
        <v>100.92711751299736</v>
      </c>
      <c r="N25" s="131">
        <f t="shared" si="4"/>
        <v>14.337750678962385</v>
      </c>
      <c r="O25" s="131">
        <f t="shared" si="5"/>
        <v>62.27505</v>
      </c>
      <c r="P25">
        <f t="shared" si="6"/>
        <v>1</v>
      </c>
    </row>
    <row r="26" spans="1:16" x14ac:dyDescent="0.25">
      <c r="A26" s="114" t="str">
        <f>peer_fundamentals!A23</f>
        <v>TGT</v>
      </c>
      <c r="B26" s="80">
        <f>peer_fundamentals!B23/1000000</f>
        <v>83730.407424000005</v>
      </c>
      <c r="C26" s="80">
        <f>peer_fundamentals!T23/1000000</f>
        <v>5212</v>
      </c>
      <c r="D26" s="131">
        <f t="shared" si="0"/>
        <v>16.064928515732923</v>
      </c>
      <c r="E26" s="80">
        <f>peer_fundamentals!K23/1000000</f>
        <v>106377.003008</v>
      </c>
      <c r="F26" s="131">
        <f t="shared" si="1"/>
        <v>0.78711004311432919</v>
      </c>
      <c r="G26" s="132">
        <f>peer_fundamentals!I23</f>
        <v>16.654077999999998</v>
      </c>
      <c r="H26" s="132">
        <f>peer_fundamentals!H23</f>
        <v>19.775428999999999</v>
      </c>
      <c r="I26" s="113">
        <f>peer_fundamentals!U23</f>
        <v>0.22015000000000001</v>
      </c>
      <c r="J26" s="113">
        <f>peer_fundamentals!W23</f>
        <v>6.7000000000000004E-2</v>
      </c>
      <c r="L26" s="133">
        <f t="shared" si="2"/>
        <v>1</v>
      </c>
      <c r="M26" s="131">
        <f t="shared" si="3"/>
        <v>16.064928515732923</v>
      </c>
      <c r="N26" s="131">
        <f t="shared" si="4"/>
        <v>0.78711004311432919</v>
      </c>
      <c r="O26" s="131">
        <f t="shared" si="5"/>
        <v>16.654077999999998</v>
      </c>
      <c r="P26">
        <f t="shared" si="6"/>
        <v>1</v>
      </c>
    </row>
    <row r="27" spans="1:16" x14ac:dyDescent="0.25">
      <c r="A27" s="114" t="str">
        <f>peer_fundamentals!A24</f>
        <v>EBAY</v>
      </c>
      <c r="B27" s="80">
        <f>peer_fundamentals!B24/1000000</f>
        <v>53662.101503999998</v>
      </c>
      <c r="C27" s="80">
        <f>peer_fundamentals!T24/1000000</f>
        <v>2553</v>
      </c>
      <c r="D27" s="131">
        <f t="shared" si="0"/>
        <v>21.019232864864865</v>
      </c>
      <c r="E27" s="80">
        <f>peer_fundamentals!K24/1000000</f>
        <v>12007.999487999999</v>
      </c>
      <c r="F27" s="131">
        <f t="shared" si="1"/>
        <v>4.4688627408442478</v>
      </c>
      <c r="G27" s="132">
        <f>peer_fundamentals!I24</f>
        <v>16.698080000000001</v>
      </c>
      <c r="H27" s="132">
        <f>peer_fundamentals!H24</f>
        <v>23.525210000000001</v>
      </c>
      <c r="I27" s="113">
        <f>peer_fundamentals!U24</f>
        <v>0.46611000000000002</v>
      </c>
      <c r="J27" s="113">
        <f>peer_fundamentals!W24</f>
        <v>0.14799999999999999</v>
      </c>
      <c r="L27" s="133">
        <f t="shared" si="2"/>
        <v>1</v>
      </c>
      <c r="M27" s="131">
        <f t="shared" si="3"/>
        <v>21.019232864864865</v>
      </c>
      <c r="N27" s="131">
        <f t="shared" si="4"/>
        <v>4.4688627408442478</v>
      </c>
      <c r="O27" s="131">
        <f t="shared" si="5"/>
        <v>16.698080000000001</v>
      </c>
      <c r="P27">
        <f t="shared" si="6"/>
        <v>1</v>
      </c>
    </row>
    <row r="28" spans="1:16" x14ac:dyDescent="0.25">
      <c r="A28" s="114" t="str">
        <f>peer_fundamentals!A25</f>
        <v>NVDA</v>
      </c>
      <c r="B28" s="80">
        <f>peer_fundamentals!B25/1000000</f>
        <v>5379473.8012159998</v>
      </c>
      <c r="C28" s="80">
        <f>peer_fundamentals!T25/1000000</f>
        <v>141709</v>
      </c>
      <c r="D28" s="131">
        <f t="shared" si="0"/>
        <v>37.961412480618733</v>
      </c>
      <c r="E28" s="80">
        <f>peer_fundamentals!K25/1000000</f>
        <v>253491.00339200001</v>
      </c>
      <c r="F28" s="131">
        <f t="shared" si="1"/>
        <v>21.221557093673848</v>
      </c>
      <c r="G28" s="132">
        <f>peer_fundamentals!I25</f>
        <v>17.374130000000001</v>
      </c>
      <c r="H28" s="132">
        <f>peer_fundamentals!H25</f>
        <v>34.244647999999998</v>
      </c>
      <c r="I28" s="113">
        <f>peer_fundamentals!U25</f>
        <v>1.1428799999999999</v>
      </c>
      <c r="J28" s="113">
        <f>peer_fundamentals!W25</f>
        <v>0.85199999999999998</v>
      </c>
      <c r="L28" s="133">
        <f t="shared" si="2"/>
        <v>1</v>
      </c>
      <c r="M28" s="131">
        <f t="shared" si="3"/>
        <v>37.961412480618733</v>
      </c>
      <c r="N28" s="131">
        <f t="shared" si="4"/>
        <v>21.221557093673848</v>
      </c>
      <c r="O28" s="131">
        <f t="shared" si="5"/>
        <v>17.374130000000001</v>
      </c>
      <c r="P28">
        <f t="shared" si="6"/>
        <v>1</v>
      </c>
    </row>
    <row r="29" spans="1:16" x14ac:dyDescent="0.25">
      <c r="A29" s="114" t="str">
        <f>peer_fundamentals!A26</f>
        <v>AMD</v>
      </c>
      <c r="B29" s="80">
        <f>peer_fundamentals!B26/1000000</f>
        <v>780238.12710399996</v>
      </c>
      <c r="C29" s="80">
        <f>peer_fundamentals!T26/1000000</f>
        <v>4271</v>
      </c>
      <c r="D29" s="131">
        <f t="shared" si="0"/>
        <v>182.68277384781081</v>
      </c>
      <c r="E29" s="80">
        <f>peer_fundamentals!K26/1000000</f>
        <v>41305.001984000002</v>
      </c>
      <c r="F29" s="131">
        <f t="shared" si="1"/>
        <v>18.889676543442238</v>
      </c>
      <c r="G29" s="132">
        <f>peer_fundamentals!I26</f>
        <v>31.265460999999998</v>
      </c>
      <c r="H29" s="132">
        <f>peer_fundamentals!H26</f>
        <v>123.30611399999999</v>
      </c>
      <c r="I29" s="113">
        <f>peer_fundamentals!U26</f>
        <v>0.10196</v>
      </c>
      <c r="J29" s="113">
        <f>peer_fundamentals!W26</f>
        <v>0.501</v>
      </c>
      <c r="L29" s="133">
        <f t="shared" si="2"/>
        <v>1</v>
      </c>
      <c r="M29" s="131">
        <f t="shared" si="3"/>
        <v>182.68277384781081</v>
      </c>
      <c r="N29" s="131">
        <f t="shared" si="4"/>
        <v>18.889676543442238</v>
      </c>
      <c r="O29" s="131">
        <f t="shared" si="5"/>
        <v>31.265460999999998</v>
      </c>
      <c r="P29">
        <f t="shared" si="6"/>
        <v>1</v>
      </c>
    </row>
    <row r="30" spans="1:16" x14ac:dyDescent="0.25">
      <c r="A30" s="114" t="str">
        <f>peer_fundamentals!A27</f>
        <v>AVGO</v>
      </c>
      <c r="B30" s="80">
        <f>peer_fundamentals!B27/1000000</f>
        <v>2080381.4686720001</v>
      </c>
      <c r="C30" s="80">
        <f>peer_fundamentals!T27/1000000</f>
        <v>25939</v>
      </c>
      <c r="D30" s="131">
        <f t="shared" si="0"/>
        <v>80.2028400737114</v>
      </c>
      <c r="E30" s="80">
        <f>peer_fundamentals!K27/1000000</f>
        <v>75464.998911999995</v>
      </c>
      <c r="F30" s="131">
        <f t="shared" si="1"/>
        <v>27.567501473072838</v>
      </c>
      <c r="G30" s="132">
        <f>peer_fundamentals!I27</f>
        <v>21.901973999999999</v>
      </c>
      <c r="H30" s="132">
        <f>peer_fundamentals!H27</f>
        <v>71.412360000000007</v>
      </c>
      <c r="I30" s="113">
        <f>peer_fundamentals!U27</f>
        <v>0.37280997999999999</v>
      </c>
      <c r="J30" s="113">
        <f>peer_fundamentals!W27</f>
        <v>0.47899999999999998</v>
      </c>
      <c r="L30" s="133">
        <f t="shared" si="2"/>
        <v>1</v>
      </c>
      <c r="M30" s="131">
        <f t="shared" si="3"/>
        <v>80.2028400737114</v>
      </c>
      <c r="N30" s="131">
        <f t="shared" si="4"/>
        <v>27.567501473072838</v>
      </c>
      <c r="O30" s="131">
        <f t="shared" si="5"/>
        <v>21.901973999999999</v>
      </c>
      <c r="P30">
        <f t="shared" si="6"/>
        <v>1</v>
      </c>
    </row>
    <row r="31" spans="1:16" x14ac:dyDescent="0.25">
      <c r="A31" s="114" t="str">
        <f>peer_fundamentals!A28</f>
        <v>TSM</v>
      </c>
      <c r="B31" s="80">
        <f>peer_fundamentals!B28/1000000</f>
        <v>14934351.020032</v>
      </c>
      <c r="C31" s="80">
        <f>peer_fundamentals!T28/1000000</f>
        <v>2054025.1</v>
      </c>
      <c r="D31" s="131">
        <f t="shared" si="0"/>
        <v>7.2707733805356121</v>
      </c>
      <c r="E31" s="80">
        <f>peer_fundamentals!K28/1000000</f>
        <v>4440492.3432959998</v>
      </c>
      <c r="F31" s="131">
        <f t="shared" si="1"/>
        <v>3.3632196309445335</v>
      </c>
      <c r="G31" s="132">
        <f>peer_fundamentals!I28</f>
        <v>19.439015999999999</v>
      </c>
      <c r="H31" s="132">
        <f>peer_fundamentals!H28</f>
        <v>36.91037</v>
      </c>
      <c r="I31" s="113">
        <f>peer_fundamentals!U28</f>
        <v>0.39969002999999997</v>
      </c>
      <c r="J31" s="113">
        <f>peer_fundamentals!W28</f>
        <v>0.36</v>
      </c>
      <c r="L31" s="133">
        <f t="shared" si="2"/>
        <v>1</v>
      </c>
      <c r="M31" s="131">
        <f t="shared" si="3"/>
        <v>7.2707733805356121</v>
      </c>
      <c r="N31" s="131">
        <f t="shared" si="4"/>
        <v>3.3632196309445335</v>
      </c>
      <c r="O31" s="131">
        <f t="shared" si="5"/>
        <v>19.439015999999999</v>
      </c>
      <c r="P31">
        <f t="shared" si="6"/>
        <v>1</v>
      </c>
    </row>
    <row r="32" spans="1:16" x14ac:dyDescent="0.25">
      <c r="A32" s="114" t="str">
        <f>peer_fundamentals!A29</f>
        <v>QCOM</v>
      </c>
      <c r="B32" s="80">
        <f>peer_fundamentals!B29/1000000</f>
        <v>183258.26764800001</v>
      </c>
      <c r="C32" s="80">
        <f>peer_fundamentals!T29/1000000</f>
        <v>13327</v>
      </c>
      <c r="D32" s="131">
        <f t="shared" si="0"/>
        <v>13.750901751932169</v>
      </c>
      <c r="E32" s="80">
        <f>peer_fundamentals!K29/1000000</f>
        <v>44068.999168000002</v>
      </c>
      <c r="F32" s="131">
        <f t="shared" si="1"/>
        <v>4.1584395177521998</v>
      </c>
      <c r="G32" s="132">
        <f>peer_fundamentals!I29</f>
        <v>16.352830000000001</v>
      </c>
      <c r="H32" s="132">
        <f>peer_fundamentals!H29</f>
        <v>19.184000000000001</v>
      </c>
      <c r="I32" s="113">
        <f>peer_fundamentals!U29</f>
        <v>0.33754002999999999</v>
      </c>
      <c r="J32" s="113">
        <f>peer_fundamentals!W29</f>
        <v>-0.04</v>
      </c>
      <c r="L32" s="133">
        <f t="shared" si="2"/>
        <v>1</v>
      </c>
      <c r="M32" s="131">
        <f t="shared" si="3"/>
        <v>13.750901751932169</v>
      </c>
      <c r="N32" s="131">
        <f t="shared" si="4"/>
        <v>4.1584395177521998</v>
      </c>
      <c r="O32" s="131">
        <f t="shared" si="5"/>
        <v>16.352830000000001</v>
      </c>
      <c r="P32">
        <f t="shared" si="6"/>
        <v>1</v>
      </c>
    </row>
    <row r="33" spans="1:16" x14ac:dyDescent="0.25">
      <c r="A33" s="114" t="str">
        <f>peer_fundamentals!A30</f>
        <v>MU</v>
      </c>
      <c r="B33" s="80">
        <f>peer_fundamentals!B30/1000000</f>
        <v>971475.51743999997</v>
      </c>
      <c r="C33" s="80">
        <f>peer_fundamentals!T30/1000000</f>
        <v>10131</v>
      </c>
      <c r="D33" s="131">
        <f t="shared" si="0"/>
        <v>95.891374734971862</v>
      </c>
      <c r="E33" s="80">
        <f>peer_fundamentals!K30/1000000</f>
        <v>90273.996799999994</v>
      </c>
      <c r="F33" s="131">
        <f t="shared" si="1"/>
        <v>10.761410282877828</v>
      </c>
      <c r="G33" s="132">
        <f>peer_fundamentals!I30</f>
        <v>5.6594569999999997</v>
      </c>
      <c r="H33" s="132">
        <f>peer_fundamentals!H30</f>
        <v>19.841059000000001</v>
      </c>
      <c r="I33" s="113">
        <f>peer_fundamentals!U30</f>
        <v>0.66637999999999997</v>
      </c>
      <c r="J33" s="113">
        <f>peer_fundamentals!W30</f>
        <v>3.4569999999999999</v>
      </c>
      <c r="L33" s="133">
        <f t="shared" si="2"/>
        <v>1</v>
      </c>
      <c r="M33" s="131">
        <f t="shared" si="3"/>
        <v>95.891374734971862</v>
      </c>
      <c r="N33" s="131">
        <f t="shared" si="4"/>
        <v>10.761410282877828</v>
      </c>
      <c r="O33" s="131">
        <f t="shared" si="5"/>
        <v>5.6594569999999997</v>
      </c>
      <c r="P33">
        <f t="shared" si="6"/>
        <v>1</v>
      </c>
    </row>
    <row r="34" spans="1:16" x14ac:dyDescent="0.25">
      <c r="A34" s="114" t="str">
        <f>peer_fundamentals!A31</f>
        <v>INTC</v>
      </c>
      <c r="B34" s="80">
        <f>peer_fundamentals!B31/1000000</f>
        <v>549133.61510399997</v>
      </c>
      <c r="C34" s="80">
        <f>peer_fundamentals!T31/1000000</f>
        <v>2648</v>
      </c>
      <c r="D34" s="131">
        <f t="shared" si="0"/>
        <v>207.37674286404834</v>
      </c>
      <c r="E34" s="80">
        <f>peer_fundamentals!K31/1000000</f>
        <v>57031.999488000001</v>
      </c>
      <c r="F34" s="131">
        <f t="shared" si="1"/>
        <v>9.6285176748807864</v>
      </c>
      <c r="G34" s="132">
        <f>peer_fundamentals!I31</f>
        <v>49.354008</v>
      </c>
      <c r="H34" s="132">
        <f>peer_fundamentals!H31</f>
        <v>0</v>
      </c>
      <c r="I34" s="113">
        <f>peer_fundamentals!U31</f>
        <v>-0.10715</v>
      </c>
      <c r="J34" s="113">
        <f>peer_fundamentals!W31</f>
        <v>0.254</v>
      </c>
      <c r="L34" s="133">
        <f t="shared" si="2"/>
        <v>1</v>
      </c>
      <c r="M34" s="131">
        <f t="shared" si="3"/>
        <v>207.37674286404834</v>
      </c>
      <c r="N34" s="131">
        <f t="shared" si="4"/>
        <v>9.6285176748807864</v>
      </c>
      <c r="O34" s="131">
        <f t="shared" si="5"/>
        <v>49.354008</v>
      </c>
      <c r="P34">
        <f t="shared" si="6"/>
        <v>1</v>
      </c>
    </row>
    <row r="35" spans="1:16" x14ac:dyDescent="0.25">
      <c r="A35" s="114" t="str">
        <f>peer_fundamentals!A32</f>
        <v>ARM</v>
      </c>
      <c r="B35" s="80">
        <f>peer_fundamentals!B32/1000000</f>
        <v>298381.77075199998</v>
      </c>
      <c r="C35" s="80">
        <f>peer_fundamentals!T32/1000000</f>
        <v>908</v>
      </c>
      <c r="D35" s="131">
        <f t="shared" si="0"/>
        <v>328.61428496916295</v>
      </c>
      <c r="E35" s="80">
        <f>peer_fundamentals!K32/1000000</f>
        <v>5155.9997439999997</v>
      </c>
      <c r="F35" s="131">
        <f t="shared" si="1"/>
        <v>57.870788511815718</v>
      </c>
      <c r="G35" s="132">
        <f>peer_fundamentals!I32</f>
        <v>92.064544999999995</v>
      </c>
      <c r="H35" s="132">
        <f>peer_fundamentals!H32</f>
        <v>285.42426</v>
      </c>
      <c r="I35" s="113">
        <f>peer_fundamentals!U32</f>
        <v>0.13352998999999999</v>
      </c>
      <c r="J35" s="113">
        <f>peer_fundamentals!W32</f>
        <v>0.224</v>
      </c>
      <c r="L35" s="133">
        <f t="shared" si="2"/>
        <v>1</v>
      </c>
      <c r="M35" s="131">
        <f t="shared" si="3"/>
        <v>328.61428496916295</v>
      </c>
      <c r="N35" s="131">
        <f t="shared" si="4"/>
        <v>57.870788511815718</v>
      </c>
      <c r="O35" s="131">
        <f t="shared" si="5"/>
        <v>92.064544999999995</v>
      </c>
      <c r="P35">
        <f t="shared" si="6"/>
        <v>1</v>
      </c>
    </row>
    <row r="36" spans="1:16" x14ac:dyDescent="0.25">
      <c r="A36" s="114" t="str">
        <f>peer_fundamentals!A33</f>
        <v>RDDT</v>
      </c>
      <c r="B36" s="80">
        <f>peer_fundamentals!B33/1000000</f>
        <v>28345.026559999998</v>
      </c>
      <c r="C36" s="80">
        <f>peer_fundamentals!T33/1000000</f>
        <v>441.98399999999998</v>
      </c>
      <c r="D36" s="131">
        <f t="shared" si="0"/>
        <v>64.13134086301767</v>
      </c>
      <c r="E36" s="80">
        <f>peer_fundamentals!K33/1000000</f>
        <v>2778.83392</v>
      </c>
      <c r="F36" s="131">
        <f t="shared" si="1"/>
        <v>10.2003312814031</v>
      </c>
      <c r="G36" s="132">
        <f>peer_fundamentals!I33</f>
        <v>16.791554999999999</v>
      </c>
      <c r="H36" s="132">
        <f>peer_fundamentals!H33</f>
        <v>37.604649999999999</v>
      </c>
      <c r="I36" s="113">
        <f>peer_fundamentals!U33</f>
        <v>0.30712</v>
      </c>
      <c r="J36" s="113">
        <f>peer_fundamentals!W33</f>
        <v>0.61099999999999999</v>
      </c>
      <c r="L36" s="133">
        <f t="shared" si="2"/>
        <v>1</v>
      </c>
      <c r="M36" s="131">
        <f t="shared" si="3"/>
        <v>64.13134086301767</v>
      </c>
      <c r="N36" s="131">
        <f t="shared" si="4"/>
        <v>10.2003312814031</v>
      </c>
      <c r="O36" s="131">
        <f t="shared" si="5"/>
        <v>16.791554999999999</v>
      </c>
      <c r="P36">
        <f t="shared" si="6"/>
        <v>1</v>
      </c>
    </row>
    <row r="37" spans="1:16" x14ac:dyDescent="0.25">
      <c r="A37" s="114" t="str">
        <f>peer_fundamentals!A34</f>
        <v>TSLA</v>
      </c>
      <c r="B37" s="80">
        <f>peer_fundamentals!B34/1000000</f>
        <v>1270959.3088</v>
      </c>
      <c r="C37" s="80">
        <f>peer_fundamentals!T34/1000000</f>
        <v>5616</v>
      </c>
      <c r="D37" s="131">
        <f t="shared" si="0"/>
        <v>226.31041823361824</v>
      </c>
      <c r="E37" s="80">
        <f>peer_fundamentals!K34/1000000</f>
        <v>103619.002368</v>
      </c>
      <c r="F37" s="131">
        <f t="shared" si="1"/>
        <v>12.265697215325654</v>
      </c>
      <c r="G37" s="132">
        <f>peer_fundamentals!I34</f>
        <v>148.06036</v>
      </c>
      <c r="H37" s="132">
        <f>peer_fundamentals!H34</f>
        <v>304.24072000000001</v>
      </c>
      <c r="I37" s="113">
        <f>peer_fundamentals!U34</f>
        <v>4.6669996999999998E-2</v>
      </c>
      <c r="J37" s="113">
        <f>peer_fundamentals!W34</f>
        <v>0.255</v>
      </c>
      <c r="L37" s="133">
        <f t="shared" si="2"/>
        <v>1</v>
      </c>
      <c r="M37" s="131">
        <f t="shared" si="3"/>
        <v>226.31041823361824</v>
      </c>
      <c r="N37" s="131">
        <f t="shared" si="4"/>
        <v>12.265697215325654</v>
      </c>
      <c r="O37" s="131">
        <f t="shared" si="5"/>
        <v>148.06036</v>
      </c>
      <c r="P37">
        <f t="shared" si="6"/>
        <v>1</v>
      </c>
    </row>
    <row r="38" spans="1:16" x14ac:dyDescent="0.25">
      <c r="A38" s="114" t="str">
        <f>peer_fundamentals!A35</f>
        <v>GM</v>
      </c>
      <c r="B38" s="80">
        <f>peer_fundamentals!B35/1000000</f>
        <v>182541.20550400001</v>
      </c>
      <c r="C38" s="80">
        <f>peer_fundamentals!T35/1000000</f>
        <v>3844</v>
      </c>
      <c r="D38" s="131">
        <f t="shared" si="0"/>
        <v>47.48730632258065</v>
      </c>
      <c r="E38" s="80">
        <f>peer_fundamentals!K35/1000000</f>
        <v>185527.99231999999</v>
      </c>
      <c r="F38" s="131">
        <f t="shared" si="1"/>
        <v>0.98390115271204814</v>
      </c>
      <c r="G38" s="132">
        <f>peer_fundamentals!I35</f>
        <v>5.9549794</v>
      </c>
      <c r="H38" s="132">
        <f>peer_fundamentals!H35</f>
        <v>39.098213000000001</v>
      </c>
      <c r="I38" s="113">
        <f>peer_fundamentals!U35</f>
        <v>3.1640000000000001E-2</v>
      </c>
      <c r="J38" s="113">
        <f>peer_fundamentals!W35</f>
        <v>1.9E-2</v>
      </c>
      <c r="L38" s="133">
        <f t="shared" si="2"/>
        <v>1</v>
      </c>
      <c r="M38" s="131">
        <f t="shared" si="3"/>
        <v>47.48730632258065</v>
      </c>
      <c r="N38" s="131">
        <f t="shared" si="4"/>
        <v>0.98390115271204814</v>
      </c>
      <c r="O38" s="131">
        <f t="shared" si="5"/>
        <v>5.9549794</v>
      </c>
      <c r="P38">
        <f t="shared" si="6"/>
        <v>1</v>
      </c>
    </row>
    <row r="39" spans="1:16" x14ac:dyDescent="0.25">
      <c r="A39" s="114" t="str">
        <f>peer_fundamentals!A36</f>
        <v>F</v>
      </c>
      <c r="B39" s="80">
        <f>peer_fundamentals!B36/1000000</f>
        <v>196958.58483199999</v>
      </c>
      <c r="C39" s="80">
        <f>peer_fundamentals!T36/1000000</f>
        <v>-10497</v>
      </c>
      <c r="D39" s="131">
        <f t="shared" si="0"/>
        <v>-18.763321409164522</v>
      </c>
      <c r="E39" s="80">
        <f>peer_fundamentals!K36/1000000</f>
        <v>187972.993024</v>
      </c>
      <c r="F39" s="131">
        <f t="shared" si="1"/>
        <v>1.0478025681426093</v>
      </c>
      <c r="G39" s="132">
        <f>peer_fundamentals!I36</f>
        <v>7.3416269999999999</v>
      </c>
      <c r="H39" s="132">
        <f>peer_fundamentals!H36</f>
        <v>0</v>
      </c>
      <c r="I39" s="113">
        <f>peer_fundamentals!U36</f>
        <v>-0.18251999999999999</v>
      </c>
      <c r="J39" s="113">
        <f>peer_fundamentals!W36</f>
        <v>-3.7999999999999999E-2</v>
      </c>
      <c r="L39" s="133">
        <f t="shared" si="2"/>
        <v>0</v>
      </c>
      <c r="M39" s="131" t="str">
        <f t="shared" si="3"/>
        <v/>
      </c>
      <c r="N39" s="131" t="str">
        <f t="shared" si="4"/>
        <v/>
      </c>
      <c r="O39" s="131" t="str">
        <f t="shared" si="5"/>
        <v/>
      </c>
      <c r="P39">
        <f t="shared" si="6"/>
        <v>1</v>
      </c>
    </row>
    <row r="40" spans="1:16" x14ac:dyDescent="0.25">
      <c r="A40" s="114" t="str">
        <f>peer_fundamentals!A37</f>
        <v>RIVN</v>
      </c>
      <c r="B40" s="80">
        <f>peer_fundamentals!B37/1000000</f>
        <v>23229.769727999999</v>
      </c>
      <c r="C40" s="80">
        <f>peer_fundamentals!T37/1000000</f>
        <v>-3346</v>
      </c>
      <c r="D40" s="131">
        <f t="shared" si="0"/>
        <v>-6.9425492313209798</v>
      </c>
      <c r="E40" s="80">
        <f>peer_fundamentals!K37/1000000</f>
        <v>5882.9998079999996</v>
      </c>
      <c r="F40" s="131">
        <f t="shared" si="1"/>
        <v>3.9486266337134652</v>
      </c>
      <c r="G40" s="132">
        <f>peer_fundamentals!I37</f>
        <v>-8.9551569999999998</v>
      </c>
      <c r="H40" s="132">
        <f>peer_fundamentals!H37</f>
        <v>0</v>
      </c>
      <c r="I40" s="113">
        <f>peer_fundamentals!U37</f>
        <v>-0.57523000000000002</v>
      </c>
      <c r="J40" s="113">
        <f>peer_fundamentals!W37</f>
        <v>0.27200000000000002</v>
      </c>
      <c r="L40" s="133">
        <f t="shared" si="2"/>
        <v>0</v>
      </c>
      <c r="M40" s="131" t="str">
        <f t="shared" si="3"/>
        <v/>
      </c>
      <c r="N40" s="131" t="str">
        <f t="shared" si="4"/>
        <v/>
      </c>
      <c r="O40" s="131" t="str">
        <f t="shared" si="5"/>
        <v/>
      </c>
      <c r="P40">
        <f t="shared" si="6"/>
        <v>1</v>
      </c>
    </row>
    <row r="41" spans="1:16" x14ac:dyDescent="0.25">
      <c r="A41" s="114" t="str">
        <f>peer_fundamentals!A38</f>
        <v>LCID</v>
      </c>
      <c r="B41" s="80">
        <f>peer_fundamentals!B38/1000000</f>
        <v>8575.8648319999993</v>
      </c>
      <c r="C41" s="80">
        <f>peer_fundamentals!T38/1000000</f>
        <v>-2605.2829999999999</v>
      </c>
      <c r="D41" s="131">
        <f t="shared" si="0"/>
        <v>-3.291721026851977</v>
      </c>
      <c r="E41" s="80">
        <f>peer_fundamentals!K38/1000000</f>
        <v>1547.1220479999999</v>
      </c>
      <c r="F41" s="131">
        <f t="shared" si="1"/>
        <v>5.5431081491510099</v>
      </c>
      <c r="G41" s="132">
        <f>peer_fundamentals!I38</f>
        <v>-1.3831040999999999</v>
      </c>
      <c r="H41" s="132">
        <f>peer_fundamentals!H38</f>
        <v>0</v>
      </c>
      <c r="I41" s="113">
        <f>peer_fundamentals!U38</f>
        <v>-1.2599199999999999</v>
      </c>
      <c r="J41" s="113">
        <f>peer_fundamentals!W38</f>
        <v>0.56200000000000006</v>
      </c>
      <c r="L41" s="133">
        <f t="shared" si="2"/>
        <v>0</v>
      </c>
      <c r="M41" s="131" t="str">
        <f t="shared" si="3"/>
        <v/>
      </c>
      <c r="N41" s="131" t="str">
        <f t="shared" si="4"/>
        <v/>
      </c>
      <c r="O41" s="131" t="str">
        <f t="shared" si="5"/>
        <v/>
      </c>
      <c r="P41">
        <f t="shared" si="6"/>
        <v>1</v>
      </c>
    </row>
    <row r="42" spans="1:16" x14ac:dyDescent="0.25">
      <c r="A42" s="114" t="str">
        <f>peer_fundamentals!A39</f>
        <v>STLA</v>
      </c>
      <c r="B42" s="80">
        <f>peer_fundamentals!B39/1000000</f>
        <v>36618.194944000003</v>
      </c>
      <c r="C42" s="80">
        <f>peer_fundamentals!T39/1000000</f>
        <v>-25129</v>
      </c>
      <c r="D42" s="131">
        <f t="shared" si="0"/>
        <v>-1.4572086013768952</v>
      </c>
      <c r="E42" s="80">
        <f>peer_fundamentals!K39/1000000</f>
        <v>160860.99558399999</v>
      </c>
      <c r="F42" s="131">
        <f t="shared" si="1"/>
        <v>0.22763874369332962</v>
      </c>
      <c r="G42" s="132">
        <f>peer_fundamentals!I39</f>
        <v>4.1186347000000003</v>
      </c>
      <c r="H42" s="132">
        <f>peer_fundamentals!H39</f>
        <v>0</v>
      </c>
      <c r="I42" s="113">
        <f>peer_fundamentals!U39</f>
        <v>-0.28693999999999997</v>
      </c>
      <c r="J42" s="113">
        <f>peer_fundamentals!W39</f>
        <v>0.13100000000000001</v>
      </c>
      <c r="L42" s="133">
        <f t="shared" si="2"/>
        <v>0</v>
      </c>
      <c r="M42" s="131" t="str">
        <f t="shared" si="3"/>
        <v/>
      </c>
      <c r="N42" s="131" t="str">
        <f t="shared" si="4"/>
        <v/>
      </c>
      <c r="O42" s="131" t="str">
        <f t="shared" si="5"/>
        <v/>
      </c>
      <c r="P42">
        <f t="shared" si="6"/>
        <v>1</v>
      </c>
    </row>
    <row r="44" spans="1:16" x14ac:dyDescent="0.25">
      <c r="A44" s="54" t="s">
        <v>768</v>
      </c>
      <c r="B44" s="54"/>
      <c r="C44" s="54"/>
      <c r="D44" s="54"/>
      <c r="E44" s="54"/>
      <c r="F44" s="54"/>
      <c r="G44" s="54"/>
      <c r="H44" s="54"/>
    </row>
    <row r="45" spans="1:16" x14ac:dyDescent="0.25">
      <c r="A45" s="9" t="s">
        <v>769</v>
      </c>
      <c r="B45" s="9" t="s">
        <v>296</v>
      </c>
      <c r="C45" s="9" t="s">
        <v>295</v>
      </c>
      <c r="D45" s="9" t="s">
        <v>308</v>
      </c>
      <c r="E45" s="9" t="s">
        <v>291</v>
      </c>
      <c r="F45" s="9" t="s">
        <v>294</v>
      </c>
      <c r="G45" s="9" t="s">
        <v>292</v>
      </c>
      <c r="H45" s="9" t="s">
        <v>293</v>
      </c>
    </row>
    <row r="46" spans="1:16" x14ac:dyDescent="0.25">
      <c r="A46" t="s">
        <v>789</v>
      </c>
      <c r="B46" s="133">
        <f>L7+L8+L15</f>
        <v>3</v>
      </c>
      <c r="C46" s="133">
        <f>L10+L11+L12+L13+L14</f>
        <v>4</v>
      </c>
      <c r="D46" s="133">
        <f>L17+L18+L19+L20</f>
        <v>3</v>
      </c>
      <c r="E46" s="133">
        <f>L22+L23+L24+L25+L26+L27</f>
        <v>5</v>
      </c>
      <c r="F46" s="133">
        <f>L29+L30+L31+L32+L33+L34+L35</f>
        <v>7</v>
      </c>
      <c r="G46" s="133">
        <f>L16+L18+L19+L20+L36</f>
        <v>4</v>
      </c>
      <c r="H46" s="133">
        <f>L38+L39+L40+L41+L42</f>
        <v>1</v>
      </c>
    </row>
    <row r="47" spans="1:16" x14ac:dyDescent="0.25">
      <c r="A47" t="s">
        <v>770</v>
      </c>
      <c r="B47" s="131">
        <f>IFERROR(MEDIAN(M7,M8,M15),"")</f>
        <v>22.896406859006767</v>
      </c>
      <c r="C47" s="131">
        <f>IFERROR(MEDIAN(M10,M11,M12,M13,M14),"")</f>
        <v>22.259821104914622</v>
      </c>
      <c r="D47" s="131">
        <f>IFERROR(MEDIAN(M17,M18,M19,M20),"")</f>
        <v>17.571631477731724</v>
      </c>
      <c r="E47" s="131">
        <f>IFERROR(MEDIAN(M22,M23,M24,M25,M26,M27),"")</f>
        <v>29.79955918780216</v>
      </c>
      <c r="F47" s="131">
        <f>IFERROR(MEDIAN(M29,M30,M31,M32,M33,M34,M35),"")</f>
        <v>95.891374734971862</v>
      </c>
      <c r="G47" s="131">
        <f>IFERROR(MEDIAN(M16,M18,M19,M20,M36),"")</f>
        <v>34.092156615266141</v>
      </c>
      <c r="H47" s="131">
        <f>IFERROR(MEDIAN(M38,M39,M40,M41,M42),"")</f>
        <v>47.48730632258065</v>
      </c>
    </row>
    <row r="48" spans="1:16" x14ac:dyDescent="0.25">
      <c r="A48" t="s">
        <v>771</v>
      </c>
      <c r="B48" s="131">
        <f>IFERROR(MEDIAN(N7,N8,N15),"")</f>
        <v>2.346494664947921</v>
      </c>
      <c r="C48" s="131">
        <f>IFERROR(MEDIAN(N10,N11,N12,N13,N14),"")</f>
        <v>6.3919293548585072</v>
      </c>
      <c r="D48" s="131">
        <f>IFERROR(MEDIAN(N17,N18,N19,N20),"")</f>
        <v>2.9264366129007429</v>
      </c>
      <c r="E48" s="131">
        <f>IFERROR(MEDIAN(N22,N23,N24,N25,N26,N27),"")</f>
        <v>1.4260307756047057</v>
      </c>
      <c r="F48" s="131">
        <f>IFERROR(MEDIAN(N29,N30,N31,N32,N33,N34,N35),"")</f>
        <v>10.761410282877828</v>
      </c>
      <c r="G48" s="131">
        <f>IFERROR(MEDIAN(N16,N18,N19,N20,N36),"")</f>
        <v>6.2061557455890348</v>
      </c>
      <c r="H48" s="131">
        <f>IFERROR(MEDIAN(N38,N39,N40,N41,N42),"")</f>
        <v>0.98390115271204814</v>
      </c>
    </row>
    <row r="49" spans="1:8" x14ac:dyDescent="0.25">
      <c r="A49" t="s">
        <v>772</v>
      </c>
      <c r="B49" s="131">
        <f>IFERROR(MEDIAN(O7,O8,O15),"")</f>
        <v>18.009989999999998</v>
      </c>
      <c r="C49" s="131">
        <f>IFERROR(MEDIAN(O10,O11,O12,O13,O14),"")</f>
        <v>12.9626305</v>
      </c>
      <c r="D49" s="131">
        <f>IFERROR(MEDIAN(O17,O18,O19,O20),"")</f>
        <v>13.864749</v>
      </c>
      <c r="E49" s="131">
        <f>IFERROR(MEDIAN(O22,O23,O24,O25,O26,O27),"")</f>
        <v>34.102271999999999</v>
      </c>
      <c r="F49" s="131">
        <f>IFERROR(MEDIAN(O29,O30,O31,O32,O33,O34,O35),"")</f>
        <v>21.901973999999999</v>
      </c>
      <c r="G49" s="131">
        <f>IFERROR(MEDIAN(O16,O18,O19,O20,O36),"")</f>
        <v>15.328151999999999</v>
      </c>
      <c r="H49" s="131">
        <f>IFERROR(MEDIAN(O38,O39,O40,O41,O42),"")</f>
        <v>5.9549794</v>
      </c>
    </row>
    <row r="50" spans="1:8" x14ac:dyDescent="0.25">
      <c r="A50" t="s">
        <v>773</v>
      </c>
      <c r="B50" s="134">
        <f>MEDIAN(I7,I8,I15)</f>
        <v>0</v>
      </c>
      <c r="C50" s="134">
        <f>MEDIAN(I10,I11,I12,I13,I14)</f>
        <v>0.18320998999999999</v>
      </c>
      <c r="D50" s="134">
        <f>MEDIAN(I17,I18,I19,I20)</f>
        <v>0.10951</v>
      </c>
      <c r="E50" s="134">
        <f>MEDIAN(I22,I23,I24,I25,I26,I27)</f>
        <v>0.23073500000000002</v>
      </c>
      <c r="F50" s="134">
        <f>MEDIAN(I29,I30,I31,I32,I33,I34,I35)</f>
        <v>0.33754002999999999</v>
      </c>
      <c r="G50" s="134">
        <f>MEDIAN(I16,I18,I19,I20,I36)</f>
        <v>0.15440999999999999</v>
      </c>
      <c r="H50" s="134">
        <f>MEDIAN(I38,I39,I40,I41,I42)</f>
        <v>-0.28693999999999997</v>
      </c>
    </row>
    <row r="51" spans="1:8" x14ac:dyDescent="0.25">
      <c r="A51" t="s">
        <v>774</v>
      </c>
      <c r="B51" s="134">
        <f>MEDIAN(J7,J8,J15)</f>
        <v>0.09</v>
      </c>
      <c r="C51" s="134">
        <f>MEDIAN(J10,J11,J12,J13,J14)</f>
        <v>0.13300000000000001</v>
      </c>
      <c r="D51" s="134">
        <f>MEDIAN(J17,J18,J19,J20)</f>
        <v>0.1855</v>
      </c>
      <c r="E51" s="134">
        <f>MEDIAN(J22,J23,J24,J25,J26,J27)</f>
        <v>0.11049999999999999</v>
      </c>
      <c r="F51" s="134">
        <f>MEDIAN(J29,J30,J31,J32,J33,J34,J35)</f>
        <v>0.36</v>
      </c>
      <c r="G51" s="134">
        <f>MEDIAN(J16,J18,J19,J20,J36)</f>
        <v>0.189</v>
      </c>
      <c r="H51" s="134">
        <f>MEDIAN(J38,J39,J40,J41,J42)</f>
        <v>0.13100000000000001</v>
      </c>
    </row>
    <row r="53" spans="1:8" x14ac:dyDescent="0.25">
      <c r="A53" s="54" t="s">
        <v>775</v>
      </c>
      <c r="B53" s="54"/>
      <c r="C53" s="54"/>
      <c r="D53" s="54"/>
      <c r="E53" s="54"/>
      <c r="F53" s="54"/>
      <c r="G53" s="54"/>
      <c r="H53" s="54"/>
    </row>
    <row r="54" spans="1:8" x14ac:dyDescent="0.25">
      <c r="A54" s="9" t="s">
        <v>769</v>
      </c>
      <c r="B54" s="9" t="s">
        <v>296</v>
      </c>
      <c r="C54" s="9" t="s">
        <v>295</v>
      </c>
      <c r="D54" s="9" t="s">
        <v>308</v>
      </c>
      <c r="E54" s="9" t="s">
        <v>291</v>
      </c>
      <c r="F54" s="9" t="s">
        <v>294</v>
      </c>
      <c r="G54" s="9" t="s">
        <v>292</v>
      </c>
      <c r="H54" s="9" t="s">
        <v>293</v>
      </c>
    </row>
    <row r="55" spans="1:8" x14ac:dyDescent="0.25">
      <c r="A55" t="s">
        <v>776</v>
      </c>
      <c r="B55" s="80">
        <f>'AAPL - Income Statement FY'!B25</f>
        <v>133050</v>
      </c>
      <c r="C55" s="80">
        <f>'MSFT - Income Statement FY'!B25</f>
        <v>128528</v>
      </c>
      <c r="D55" s="80">
        <f>'GOOGL - Income Statement FY'!B25</f>
        <v>129039</v>
      </c>
      <c r="E55" s="80">
        <f>'AMZN - Income Statement FY'!B25</f>
        <v>79975</v>
      </c>
      <c r="F55" s="80">
        <f>'NVDA - Income Statement FY'!B25</f>
        <v>130387</v>
      </c>
      <c r="G55" s="80">
        <f>'META - Income Statement FY'!B25</f>
        <v>83276</v>
      </c>
      <c r="H55" s="80">
        <f>'TSLA - Income Statement FY'!B25</f>
        <v>4355</v>
      </c>
    </row>
    <row r="56" spans="1:8" x14ac:dyDescent="0.25">
      <c r="A56" t="s">
        <v>777</v>
      </c>
      <c r="B56" s="135">
        <f t="shared" ref="B56:H56" si="7">B47*B55</f>
        <v>3046366.9325908502</v>
      </c>
      <c r="C56" s="135">
        <f t="shared" si="7"/>
        <v>2861010.2869724664</v>
      </c>
      <c r="D56" s="135">
        <f t="shared" si="7"/>
        <v>2267425.7542550238</v>
      </c>
      <c r="E56" s="135">
        <f t="shared" si="7"/>
        <v>2383219.7460444779</v>
      </c>
      <c r="F56" s="135">
        <f t="shared" si="7"/>
        <v>12502988.677568777</v>
      </c>
      <c r="G56" s="135">
        <f t="shared" si="7"/>
        <v>2839058.4342929032</v>
      </c>
      <c r="H56" s="135">
        <f t="shared" si="7"/>
        <v>206807.21903483872</v>
      </c>
    </row>
    <row r="57" spans="1:8" x14ac:dyDescent="0.25">
      <c r="A57" t="s">
        <v>778</v>
      </c>
      <c r="B57" s="80">
        <f>'AAPL - Income Statement FY'!B7</f>
        <v>416161</v>
      </c>
      <c r="C57" s="80">
        <f>'MSFT - Income Statement FY'!B7</f>
        <v>281724</v>
      </c>
      <c r="D57" s="80">
        <f>'GOOGL - Income Statement FY'!B7</f>
        <v>402836</v>
      </c>
      <c r="E57" s="80">
        <f>'AMZN - Income Statement FY'!B7</f>
        <v>716924</v>
      </c>
      <c r="F57" s="80">
        <f>'NVDA - Income Statement FY'!B7</f>
        <v>215938</v>
      </c>
      <c r="G57" s="80">
        <f>'META - Income Statement FY'!B7</f>
        <v>200966</v>
      </c>
      <c r="H57" s="80">
        <f>'TSLA - Income Statement FY'!B7</f>
        <v>94827</v>
      </c>
    </row>
    <row r="58" spans="1:8" x14ac:dyDescent="0.25">
      <c r="A58" t="s">
        <v>779</v>
      </c>
      <c r="B58" s="135">
        <f t="shared" ref="B58:H58" si="8">B48*B57</f>
        <v>976519.56625939172</v>
      </c>
      <c r="C58" s="135">
        <f t="shared" si="8"/>
        <v>1800759.905568158</v>
      </c>
      <c r="D58" s="135">
        <f t="shared" si="8"/>
        <v>1178874.0193944837</v>
      </c>
      <c r="E58" s="135">
        <f t="shared" si="8"/>
        <v>1022355.687769628</v>
      </c>
      <c r="F58" s="135">
        <f t="shared" si="8"/>
        <v>2323797.4136640723</v>
      </c>
      <c r="G58" s="135">
        <f t="shared" si="8"/>
        <v>1247226.2955680459</v>
      </c>
      <c r="H58" s="135">
        <f t="shared" si="8"/>
        <v>93300.394608225382</v>
      </c>
    </row>
    <row r="60" spans="1:8" x14ac:dyDescent="0.25">
      <c r="A60" t="s">
        <v>780</v>
      </c>
      <c r="B60" s="80">
        <f>B56+'AAPL DCF'!B32+'AAPL DCF'!B33+'AAPL DCF'!B34+'AAPL DCF'!B35+'AAPL DCF'!B36+'AAPL DCF'!B37</f>
        <v>3043343.71259085</v>
      </c>
      <c r="C60" s="80">
        <f>C56+'MSFT DCF'!B32+'MSFT DCF'!B33+'MSFT DCF'!B34+'MSFT DCF'!B35+'MSFT DCF'!B36+'MSFT DCF'!B37</f>
        <v>2831561.8069724664</v>
      </c>
      <c r="D60" s="80">
        <f>D56+'GOOGL DCF'!B32+'GOOGL DCF'!B33+'GOOGL DCF'!B34+'GOOGL DCF'!B35+'GOOGL DCF'!B36+'GOOGL DCF'!B37</f>
        <v>2346999.0342550236</v>
      </c>
      <c r="E60" s="80">
        <f>E56+'AMZN DCF'!B32+'AMZN DCF'!B33+'AMZN DCF'!B34+'AMZN DCF'!B35+'AMZN DCF'!B36+'AMZN DCF'!B37</f>
        <v>2220485.2660444779</v>
      </c>
      <c r="F60" s="80">
        <f>F56+'NVDA DCF'!B32+'NVDA DCF'!B33+'NVDA DCF'!B34+'NVDA DCF'!B35+'NVDA DCF'!B36+'NVDA DCF'!B37</f>
        <v>12557264.917568777</v>
      </c>
      <c r="G60" s="80">
        <f>G56+'META DCF'!B32+'META DCF'!B33+'META DCF'!B34+'META DCF'!B35+'META DCF'!B36+'META DCF'!B37</f>
        <v>2804264.1142929033</v>
      </c>
      <c r="H60" s="80">
        <f>H56+'TSLA DCF'!B32+'TSLA DCF'!B33+'TSLA DCF'!B34+'TSLA DCF'!B35+'TSLA DCF'!B36+'TSLA DCF'!B37</f>
        <v>234574.67903483871</v>
      </c>
    </row>
    <row r="61" spans="1:8" x14ac:dyDescent="0.25">
      <c r="A61" s="9" t="s">
        <v>781</v>
      </c>
      <c r="B61" s="136">
        <f ca="1">B60/'AAPL DCF'!B39</f>
        <v>208.53132636371828</v>
      </c>
      <c r="C61" s="136">
        <f ca="1">C60/'MSFT DCF'!B39</f>
        <v>381.32713584961999</v>
      </c>
      <c r="D61" s="136">
        <f ca="1">D60/'GOOGL DCF'!B39</f>
        <v>191.90507230212785</v>
      </c>
      <c r="E61" s="136">
        <f ca="1">E60/'AMZN DCF'!B39</f>
        <v>205.86143602812064</v>
      </c>
      <c r="F61" s="136">
        <f ca="1">F60/'NVDA DCF'!B39</f>
        <v>518.89524452763544</v>
      </c>
      <c r="G61" s="136">
        <f ca="1">G60/'META DCF'!B39</f>
        <v>1100.7880312324696</v>
      </c>
      <c r="H61" s="136">
        <f ca="1">H60/'TSLA DCF'!B39</f>
        <v>59.392806069870474</v>
      </c>
    </row>
    <row r="62" spans="1:8" x14ac:dyDescent="0.25">
      <c r="A62" t="s">
        <v>782</v>
      </c>
      <c r="B62" s="109">
        <f ca="1">(B58+'AAPL DCF'!B32+'AAPL DCF'!B33+'AAPL DCF'!B34+'AAPL DCF'!B35+'AAPL DCF'!B36+'AAPL DCF'!B37)/'AAPL DCF'!B39</f>
        <v>66.704422328585224</v>
      </c>
      <c r="C62" s="109">
        <f ca="1">(C58+'MSFT DCF'!B32+'MSFT DCF'!B33+'MSFT DCF'!B34+'MSFT DCF'!B35+'MSFT DCF'!B36+'MSFT DCF'!B37)/'MSFT DCF'!B39</f>
        <v>238.54295214265863</v>
      </c>
      <c r="D62" s="109">
        <f ca="1">(D58+'GOOGL DCF'!B32+'GOOGL DCF'!B33+'GOOGL DCF'!B34+'GOOGL DCF'!B35+'GOOGL DCF'!B36+'GOOGL DCF'!B37)/'GOOGL DCF'!B39</f>
        <v>102.89838915735761</v>
      </c>
      <c r="E62" s="109">
        <f ca="1">(E58+'AMZN DCF'!B32+'AMZN DCF'!B33+'AMZN DCF'!B34+'AMZN DCF'!B35+'AMZN DCF'!B36+'AMZN DCF'!B37)/'AMZN DCF'!B39</f>
        <v>79.695577799046006</v>
      </c>
      <c r="F62" s="109">
        <f ca="1">(F58+'NVDA DCF'!B32+'NVDA DCF'!B33+'NVDA DCF'!B34+'NVDA DCF'!B35+'NVDA DCF'!B36+'NVDA DCF'!B37)/'NVDA DCF'!B39</f>
        <v>98.267506349755067</v>
      </c>
      <c r="G62" s="109">
        <f ca="1">(G58+'META DCF'!B32+'META DCF'!B33+'META DCF'!B34+'META DCF'!B35+'META DCF'!B36+'META DCF'!B37)/'META DCF'!B39</f>
        <v>475.92899705360691</v>
      </c>
      <c r="H62" s="109">
        <f ca="1">(H58+'TSLA DCF'!B32+'TSLA DCF'!B33+'TSLA DCF'!B34+'TSLA DCF'!B35+'TSLA DCF'!B36+'TSLA DCF'!B37)/'TSLA DCF'!B39</f>
        <v>30.653605238328694</v>
      </c>
    </row>
    <row r="63" spans="1:8" x14ac:dyDescent="0.25">
      <c r="A63" t="s">
        <v>783</v>
      </c>
      <c r="B63" s="109">
        <f ca="1">'AAPL DCF'!B40</f>
        <v>207.92563678756198</v>
      </c>
      <c r="C63" s="109">
        <f ca="1">'MSFT DCF'!B40</f>
        <v>384.50796427769234</v>
      </c>
      <c r="D63" s="109">
        <f ca="1">'GOOGL DCF'!B40</f>
        <v>257.19016111234089</v>
      </c>
      <c r="E63" s="109">
        <f ca="1">'AMZN DCF'!B40</f>
        <v>83.042181223284743</v>
      </c>
      <c r="F63" s="109">
        <f ca="1">'NVDA DCF'!B40</f>
        <v>74.58221495405445</v>
      </c>
      <c r="G63" s="109">
        <f ca="1">'META DCF'!B40</f>
        <v>844.76424888156237</v>
      </c>
      <c r="H63" s="109">
        <f ca="1">'TSLA DCF'!B40</f>
        <v>17.179816755676413</v>
      </c>
    </row>
    <row r="64" spans="1:8" x14ac:dyDescent="0.25">
      <c r="A64" s="67" t="s">
        <v>1387</v>
      </c>
      <c r="B64" s="109">
        <f ca="1">'AAPL DCF'!B41</f>
        <v>305.93</v>
      </c>
      <c r="C64" s="109">
        <f ca="1">'MSFT DCF'!B41</f>
        <v>495.4</v>
      </c>
      <c r="D64" s="109">
        <f ca="1">'GOOGL DCF'!B41</f>
        <v>345.9</v>
      </c>
      <c r="E64" s="109">
        <f ca="1">'AMZN DCF'!B41</f>
        <v>262.64999999999998</v>
      </c>
      <c r="F64" s="109">
        <f ca="1">'NVDA DCF'!B41</f>
        <v>225.16</v>
      </c>
      <c r="G64" s="109">
        <f ca="1">'META DCF'!B41</f>
        <v>589.85</v>
      </c>
      <c r="H64" s="109">
        <f ca="1">'TSLA DCF'!B41</f>
        <v>342.27</v>
      </c>
    </row>
    <row r="65" spans="1:8" x14ac:dyDescent="0.25">
      <c r="A65" s="9" t="s">
        <v>1388</v>
      </c>
      <c r="B65" s="193">
        <f>'AAPL Forecast'!B32</f>
        <v>141766.18729827504</v>
      </c>
      <c r="C65" s="193">
        <f>'MSFT Forecast'!B32</f>
        <v>145781.15581927338</v>
      </c>
      <c r="D65" s="193">
        <f>'GOOGL Forecast'!B32</f>
        <v>144221.18179304243</v>
      </c>
      <c r="E65" s="193">
        <f>'AMZN Forecast'!B32</f>
        <v>92169.008411321556</v>
      </c>
      <c r="F65" s="193">
        <f>'NVDA Forecast'!B32</f>
        <v>162559.78349278859</v>
      </c>
      <c r="G65" s="193">
        <f>'META Forecast'!B32</f>
        <v>95316.78668862248</v>
      </c>
      <c r="H65" s="193">
        <f>'TSLA Forecast'!B32</f>
        <v>5230.03264900459</v>
      </c>
    </row>
    <row r="66" spans="1:8" x14ac:dyDescent="0.25">
      <c r="A66" t="s">
        <v>1389</v>
      </c>
      <c r="B66" s="135">
        <f ca="1">WACC!C34+WACC!C35+WACC!C36-'AAPL DCF'!B32-'AAPL DCF'!B33</f>
        <v>4446020.7073999997</v>
      </c>
      <c r="C66" s="135">
        <f ca="1">WACC!D34+WACC!D35+WACC!D36-'MSFT DCF'!B32-'MSFT DCF'!B33</f>
        <v>3686463.4729999998</v>
      </c>
      <c r="D66" s="135">
        <f ca="1">WACC!E34+WACC!E35+WACC!E36-'GOOGL DCF'!B32-'GOOGL DCF'!B33</f>
        <v>4107883.7199999997</v>
      </c>
      <c r="E66" s="135">
        <f ca="1">WACC!F34+WACC!F35+WACC!F36-'AMZN DCF'!B32-'AMZN DCF'!B33</f>
        <v>2978858.8014999996</v>
      </c>
      <c r="F66" s="135">
        <f ca="1">WACC!G34+WACC!G35+WACC!G36-'NVDA DCF'!B32-'NVDA DCF'!B33</f>
        <v>5379795.7599999998</v>
      </c>
      <c r="G66" s="135">
        <f ca="1">WACC!H34+WACC!H35+WACC!H36-'META DCF'!B32-'META DCF'!B33</f>
        <v>1482630.7341</v>
      </c>
      <c r="H66" s="135">
        <f ca="1">WACC!I34+WACC!I35+WACC!I36-'TSLA DCF'!B32-'TSLA DCF'!B33</f>
        <v>1317665.9916900001</v>
      </c>
    </row>
    <row r="67" spans="1:8" x14ac:dyDescent="0.25">
      <c r="A67" t="s">
        <v>1390</v>
      </c>
      <c r="B67" s="194">
        <f t="shared" ref="B67:H67" ca="1" si="9">IFERROR(B66/B65,"n/a")</f>
        <v>31.361644071344067</v>
      </c>
      <c r="C67" s="194">
        <f t="shared" ca="1" si="9"/>
        <v>25.287654308147701</v>
      </c>
      <c r="D67" s="194">
        <f t="shared" ca="1" si="9"/>
        <v>28.483220487645273</v>
      </c>
      <c r="E67" s="194">
        <f t="shared" ca="1" si="9"/>
        <v>32.319527494602973</v>
      </c>
      <c r="F67" s="194">
        <f t="shared" ca="1" si="9"/>
        <v>33.094260120238509</v>
      </c>
      <c r="G67" s="194">
        <f t="shared" ca="1" si="9"/>
        <v>15.554770419856954</v>
      </c>
      <c r="H67" s="194">
        <f t="shared" ca="1" si="9"/>
        <v>251.94221147754897</v>
      </c>
    </row>
    <row r="68" spans="1:8" x14ac:dyDescent="0.25">
      <c r="A68" t="s">
        <v>1391</v>
      </c>
      <c r="B68" s="194">
        <f t="shared" ref="B68:H68" ca="1" si="10">IFERROR(B66/B55,"n/a")</f>
        <v>33.416164655392706</v>
      </c>
      <c r="C68" s="194">
        <f t="shared" ca="1" si="10"/>
        <v>28.682181882546992</v>
      </c>
      <c r="D68" s="194">
        <f t="shared" ca="1" si="10"/>
        <v>31.83443548074613</v>
      </c>
      <c r="E68" s="194">
        <f t="shared" ca="1" si="10"/>
        <v>37.247374823382302</v>
      </c>
      <c r="F68" s="194">
        <f t="shared" ca="1" si="10"/>
        <v>41.260215819061713</v>
      </c>
      <c r="G68" s="194">
        <f t="shared" ca="1" si="10"/>
        <v>17.803817835871079</v>
      </c>
      <c r="H68" s="194">
        <f t="shared" ca="1" si="10"/>
        <v>302.56394757520093</v>
      </c>
    </row>
    <row r="69" spans="1:8" x14ac:dyDescent="0.25">
      <c r="A69" s="54" t="s">
        <v>1392</v>
      </c>
      <c r="B69" s="195">
        <f t="shared" ref="B69:H69" si="11">B47</f>
        <v>22.896406859006767</v>
      </c>
      <c r="C69" s="195">
        <f t="shared" si="11"/>
        <v>22.259821104914622</v>
      </c>
      <c r="D69" s="195">
        <f t="shared" si="11"/>
        <v>17.571631477731724</v>
      </c>
      <c r="E69" s="194">
        <f t="shared" si="11"/>
        <v>29.79955918780216</v>
      </c>
      <c r="F69" s="195">
        <f t="shared" si="11"/>
        <v>95.891374734971862</v>
      </c>
      <c r="G69" s="195">
        <f t="shared" si="11"/>
        <v>34.092156615266141</v>
      </c>
      <c r="H69" s="195">
        <f t="shared" si="11"/>
        <v>47.48730632258065</v>
      </c>
    </row>
    <row r="70" spans="1:8" x14ac:dyDescent="0.25">
      <c r="A70" s="9" t="s">
        <v>1393</v>
      </c>
      <c r="B70" s="196" t="s">
        <v>1394</v>
      </c>
      <c r="C70" s="196" t="s">
        <v>1394</v>
      </c>
      <c r="D70" s="196" t="s">
        <v>1394</v>
      </c>
      <c r="E70" s="196" t="s">
        <v>1394</v>
      </c>
      <c r="F70" s="196" t="s">
        <v>1394</v>
      </c>
      <c r="G70" s="196" t="s">
        <v>1394</v>
      </c>
      <c r="H70" s="196" t="s">
        <v>1394</v>
      </c>
    </row>
    <row r="71" spans="1:8" x14ac:dyDescent="0.25">
      <c r="A71" s="66" t="s">
        <v>1395</v>
      </c>
      <c r="B71" s="119">
        <f ca="1">B61</f>
        <v>208.53132636371828</v>
      </c>
      <c r="C71" s="119">
        <f ca="1">B63</f>
        <v>207.92563678756198</v>
      </c>
      <c r="D71" s="119">
        <f ca="1">B64</f>
        <v>305.93</v>
      </c>
    </row>
    <row r="72" spans="1:8" x14ac:dyDescent="0.25">
      <c r="A72" t="s">
        <v>295</v>
      </c>
      <c r="B72" s="119">
        <f ca="1">C61</f>
        <v>381.32713584961999</v>
      </c>
      <c r="C72" s="119">
        <f ca="1">C63</f>
        <v>384.50796427769234</v>
      </c>
      <c r="D72" s="119">
        <f ca="1">C64</f>
        <v>495.4</v>
      </c>
    </row>
    <row r="73" spans="1:8" x14ac:dyDescent="0.25">
      <c r="A73" t="s">
        <v>308</v>
      </c>
      <c r="B73" s="119">
        <f ca="1">D61</f>
        <v>191.90507230212785</v>
      </c>
      <c r="C73" s="119">
        <f ca="1">D63</f>
        <v>257.19016111234089</v>
      </c>
      <c r="D73" s="119">
        <f ca="1">D64</f>
        <v>345.9</v>
      </c>
    </row>
    <row r="74" spans="1:8" x14ac:dyDescent="0.25">
      <c r="A74" t="s">
        <v>291</v>
      </c>
      <c r="B74" s="119">
        <f ca="1">E61</f>
        <v>205.86143602812064</v>
      </c>
      <c r="C74" s="119">
        <f ca="1">E63</f>
        <v>83.042181223284743</v>
      </c>
      <c r="D74" s="119">
        <f ca="1">E64</f>
        <v>262.64999999999998</v>
      </c>
    </row>
    <row r="75" spans="1:8" x14ac:dyDescent="0.25">
      <c r="A75" t="s">
        <v>294</v>
      </c>
      <c r="B75" s="119">
        <f ca="1">F61</f>
        <v>518.89524452763544</v>
      </c>
      <c r="C75" s="119">
        <f ca="1">F63</f>
        <v>74.58221495405445</v>
      </c>
      <c r="D75" s="119">
        <f ca="1">F64</f>
        <v>225.16</v>
      </c>
    </row>
    <row r="76" spans="1:8" x14ac:dyDescent="0.25">
      <c r="A76" t="s">
        <v>292</v>
      </c>
      <c r="B76" s="119">
        <f ca="1">G61</f>
        <v>1100.7880312324696</v>
      </c>
      <c r="C76" s="119">
        <f ca="1">G63</f>
        <v>844.76424888156237</v>
      </c>
      <c r="D76" s="119">
        <f ca="1">G64</f>
        <v>589.85</v>
      </c>
    </row>
    <row r="77" spans="1:8" x14ac:dyDescent="0.25">
      <c r="A77" t="s">
        <v>293</v>
      </c>
      <c r="B77" s="119">
        <f ca="1">H61</f>
        <v>59.392806069870474</v>
      </c>
      <c r="C77" s="119">
        <f ca="1">H63</f>
        <v>17.179816755676413</v>
      </c>
      <c r="D77" s="119">
        <f ca="1">H64</f>
        <v>342.27</v>
      </c>
    </row>
  </sheetData>
  <pageMargins left="0.7" right="0.7" top="0.75" bottom="0.75" header="0.3" footer="0.3"/>
  <drawing r:id="rId1"/>
</worksheet>
</file>

<file path=xl/worksheets/sheet8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B6332A-519E-4F58-B7D1-5524E2175CEF}">
  <sheetPr>
    <tabColor rgb="FFB7DEDE"/>
  </sheetPr>
  <dimension ref="A1:K152"/>
  <sheetViews>
    <sheetView topLeftCell="A45" workbookViewId="0">
      <selection activeCell="D148" sqref="D148"/>
    </sheetView>
  </sheetViews>
  <sheetFormatPr defaultRowHeight="15" x14ac:dyDescent="0.25"/>
  <cols>
    <col min="1" max="1" width="61" customWidth="1"/>
    <col min="2" max="11" width="16.7109375" customWidth="1"/>
  </cols>
  <sheetData>
    <row r="1" spans="1:2" ht="21" x14ac:dyDescent="0.35">
      <c r="A1" s="65" t="s">
        <v>1024</v>
      </c>
    </row>
    <row r="2" spans="1:2" x14ac:dyDescent="0.25">
      <c r="A2" s="66" t="s">
        <v>1025</v>
      </c>
    </row>
    <row r="4" spans="1:2" x14ac:dyDescent="0.25">
      <c r="A4" s="67" t="s">
        <v>1026</v>
      </c>
    </row>
    <row r="5" spans="1:2" x14ac:dyDescent="0.25">
      <c r="A5" t="s">
        <v>1027</v>
      </c>
      <c r="B5" s="80">
        <f>'NVDA - Income Statement FY'!B7</f>
        <v>215938</v>
      </c>
    </row>
    <row r="6" spans="1:2" x14ac:dyDescent="0.25">
      <c r="A6" t="s">
        <v>1028</v>
      </c>
      <c r="B6" s="80">
        <f>'NVDA - Income Statement FY'!B25</f>
        <v>130387</v>
      </c>
    </row>
    <row r="7" spans="1:2" x14ac:dyDescent="0.25">
      <c r="A7" t="s">
        <v>1029</v>
      </c>
      <c r="B7" s="134">
        <f>B6/B5</f>
        <v>0.60381683631412719</v>
      </c>
    </row>
    <row r="8" spans="1:2" x14ac:dyDescent="0.25">
      <c r="A8" t="s">
        <v>1030</v>
      </c>
      <c r="B8" s="80">
        <f>'NVDA - Reconciliation FY'!B32</f>
        <v>88216.760000000009</v>
      </c>
    </row>
    <row r="9" spans="1:2" x14ac:dyDescent="0.25">
      <c r="A9" t="s">
        <v>314</v>
      </c>
      <c r="B9" s="138">
        <f>B5/B8</f>
        <v>2.4478115042991826</v>
      </c>
    </row>
    <row r="10" spans="1:2" x14ac:dyDescent="0.25">
      <c r="A10" t="s">
        <v>1031</v>
      </c>
      <c r="B10" s="134">
        <f>B7*(1-B12)*B9</f>
        <v>1.1676435407512131</v>
      </c>
    </row>
    <row r="11" spans="1:2" x14ac:dyDescent="0.25">
      <c r="A11" t="s">
        <v>334</v>
      </c>
      <c r="B11" s="113">
        <f ca="1">WACC!G48</f>
        <v>0.14967436549682989</v>
      </c>
    </row>
    <row r="12" spans="1:2" x14ac:dyDescent="0.25">
      <c r="A12" t="s">
        <v>337</v>
      </c>
      <c r="B12" s="113">
        <f>'Valuation Dashboard'!B12</f>
        <v>0.21</v>
      </c>
    </row>
    <row r="13" spans="1:2" x14ac:dyDescent="0.25">
      <c r="A13" t="s">
        <v>586</v>
      </c>
      <c r="B13" s="80">
        <f ca="1">WACC!G33</f>
        <v>24200</v>
      </c>
    </row>
    <row r="14" spans="1:2" x14ac:dyDescent="0.25">
      <c r="A14" t="s">
        <v>588</v>
      </c>
      <c r="B14" s="81">
        <f ca="1">WACC!G32</f>
        <v>225.16</v>
      </c>
    </row>
    <row r="15" spans="1:2" x14ac:dyDescent="0.25">
      <c r="A15" t="s">
        <v>1032</v>
      </c>
      <c r="B15" s="79">
        <f>'NVDA DCF'!E8</f>
        <v>6.0300000000000006E-2</v>
      </c>
    </row>
    <row r="17" spans="1:11" x14ac:dyDescent="0.25">
      <c r="A17" s="67" t="s">
        <v>1033</v>
      </c>
    </row>
    <row r="18" spans="1:11" x14ac:dyDescent="0.25">
      <c r="A18" t="s">
        <v>1034</v>
      </c>
      <c r="B18" s="77" t="s">
        <v>1042</v>
      </c>
      <c r="C18" s="77" t="s">
        <v>1043</v>
      </c>
      <c r="D18" s="77" t="s">
        <v>1044</v>
      </c>
      <c r="E18" s="77" t="s">
        <v>1045</v>
      </c>
    </row>
    <row r="19" spans="1:11" x14ac:dyDescent="0.25">
      <c r="A19" t="s">
        <v>1035</v>
      </c>
      <c r="B19" s="62" t="s">
        <v>1046</v>
      </c>
      <c r="C19" s="62" t="s">
        <v>1006</v>
      </c>
      <c r="D19" s="62" t="s">
        <v>1047</v>
      </c>
      <c r="E19" s="62" t="s">
        <v>1048</v>
      </c>
    </row>
    <row r="20" spans="1:11" x14ac:dyDescent="0.25">
      <c r="A20" t="s">
        <v>1445</v>
      </c>
      <c r="B20" s="128">
        <v>2500000</v>
      </c>
      <c r="C20" s="128">
        <v>1800000</v>
      </c>
      <c r="D20" s="128">
        <v>1400000</v>
      </c>
      <c r="E20" s="128">
        <v>1000000</v>
      </c>
    </row>
    <row r="21" spans="1:11" x14ac:dyDescent="0.25">
      <c r="A21" t="s">
        <v>1446</v>
      </c>
      <c r="B21" s="70">
        <v>0.44</v>
      </c>
      <c r="C21" s="70">
        <v>0.35</v>
      </c>
      <c r="D21" s="70">
        <v>0.3</v>
      </c>
      <c r="E21" s="70">
        <v>0.24</v>
      </c>
    </row>
    <row r="22" spans="1:11" x14ac:dyDescent="0.25">
      <c r="A22" t="s">
        <v>1036</v>
      </c>
      <c r="B22" s="135">
        <f>B20*B21</f>
        <v>1100000</v>
      </c>
      <c r="C22" s="135">
        <f>C20*C21</f>
        <v>630000</v>
      </c>
      <c r="D22" s="135">
        <f>D20*D21</f>
        <v>420000</v>
      </c>
      <c r="E22" s="135">
        <f>E20*E21</f>
        <v>240000</v>
      </c>
    </row>
    <row r="23" spans="1:11" x14ac:dyDescent="0.25">
      <c r="A23" t="s">
        <v>1037</v>
      </c>
      <c r="B23" s="134">
        <f>(B22/$B$5)^(1/10)-1</f>
        <v>0.17681002947271551</v>
      </c>
      <c r="C23" s="134">
        <f>(C22/$B$5)^(1/10)-1</f>
        <v>0.1130153335735451</v>
      </c>
      <c r="D23" s="134">
        <f>(D22/$B$5)^(1/10)-1</f>
        <v>6.8789113668084267E-2</v>
      </c>
      <c r="E23" s="134">
        <f>(E22/$B$5)^(1/10)-1</f>
        <v>1.0620763509864073E-2</v>
      </c>
    </row>
    <row r="24" spans="1:11" x14ac:dyDescent="0.25">
      <c r="A24" t="s">
        <v>1038</v>
      </c>
      <c r="B24" s="70">
        <v>0.55000000000000004</v>
      </c>
      <c r="C24" s="70">
        <v>0.45</v>
      </c>
      <c r="D24" s="70">
        <v>0.35</v>
      </c>
      <c r="E24" s="70">
        <v>0.25</v>
      </c>
    </row>
    <row r="25" spans="1:11" x14ac:dyDescent="0.25">
      <c r="A25" t="s">
        <v>1039</v>
      </c>
      <c r="B25" s="71">
        <v>2.5</v>
      </c>
      <c r="C25" s="71">
        <v>2.2999999999999998</v>
      </c>
      <c r="D25" s="71">
        <v>2</v>
      </c>
      <c r="E25" s="71">
        <v>1.8</v>
      </c>
    </row>
    <row r="26" spans="1:11" x14ac:dyDescent="0.25">
      <c r="A26" t="s">
        <v>1040</v>
      </c>
      <c r="B26" s="134">
        <f>B24*(1-$B$12)*B25</f>
        <v>1.0862500000000002</v>
      </c>
      <c r="C26" s="134">
        <f>C24*(1-$B$12)*C25</f>
        <v>0.81764999999999999</v>
      </c>
      <c r="D26" s="134">
        <f>D24*(1-$B$12)*D25</f>
        <v>0.55299999999999994</v>
      </c>
      <c r="E26" s="134">
        <f>E24*(1-$B$12)*E25</f>
        <v>0.35550000000000004</v>
      </c>
    </row>
    <row r="27" spans="1:11" x14ac:dyDescent="0.25">
      <c r="A27" t="s">
        <v>820</v>
      </c>
      <c r="B27" s="97">
        <v>0.15</v>
      </c>
      <c r="C27" s="97">
        <v>0.4</v>
      </c>
      <c r="D27" s="97">
        <v>0.3</v>
      </c>
      <c r="E27" s="97">
        <v>0.15</v>
      </c>
    </row>
    <row r="28" spans="1:11" x14ac:dyDescent="0.25">
      <c r="A28" t="s">
        <v>1041</v>
      </c>
      <c r="B28" s="139">
        <f>SUM(B27:E27)</f>
        <v>1</v>
      </c>
      <c r="C28" s="139" t="str">
        <f>IF(ABS(B28-1)&lt;0.0001,"OK","must sum to 100%")</f>
        <v>OK</v>
      </c>
      <c r="D28" s="95"/>
      <c r="E28" s="95"/>
    </row>
    <row r="30" spans="1:11" x14ac:dyDescent="0.25">
      <c r="A30" s="99" t="s">
        <v>1049</v>
      </c>
    </row>
    <row r="31" spans="1:11" x14ac:dyDescent="0.25">
      <c r="A31" t="s">
        <v>573</v>
      </c>
      <c r="B31" s="190">
        <v>1</v>
      </c>
      <c r="C31" s="190">
        <v>2</v>
      </c>
      <c r="D31" s="190">
        <v>3</v>
      </c>
      <c r="E31" s="190">
        <v>4</v>
      </c>
      <c r="F31" s="190">
        <v>5</v>
      </c>
      <c r="G31" s="190">
        <v>6</v>
      </c>
      <c r="H31" s="190">
        <v>7</v>
      </c>
      <c r="I31" s="190">
        <v>8</v>
      </c>
      <c r="J31" s="190">
        <v>9</v>
      </c>
      <c r="K31" s="190">
        <v>10</v>
      </c>
    </row>
    <row r="32" spans="1:11" x14ac:dyDescent="0.25">
      <c r="A32" t="s">
        <v>31</v>
      </c>
      <c r="B32" s="135">
        <f>$B$5*(1+$B$23)^1</f>
        <v>254118.00414427923</v>
      </c>
      <c r="C32" s="135">
        <f>$B$5*(1+$B$23)^2</f>
        <v>299048.61594657687</v>
      </c>
      <c r="D32" s="135">
        <f>$B$5*(1+$B$23)^3</f>
        <v>351923.41054586595</v>
      </c>
      <c r="E32" s="135">
        <f>$B$5*(1+$B$23)^4</f>
        <v>414146.99913661904</v>
      </c>
      <c r="F32" s="135">
        <f>$B$5*(1+$B$23)^5</f>
        <v>487372.34226000129</v>
      </c>
      <c r="G32" s="135">
        <f>$B$5*(1+$B$23)^6</f>
        <v>573544.66045917862</v>
      </c>
      <c r="H32" s="135">
        <f>$B$5*(1+$B$23)^7</f>
        <v>674953.10877888452</v>
      </c>
      <c r="I32" s="135">
        <f>$B$5*(1+$B$23)^8</f>
        <v>794291.5878347801</v>
      </c>
      <c r="J32" s="135">
        <f>$B$5*(1+$B$23)^9</f>
        <v>934730.30688977765</v>
      </c>
      <c r="K32" s="135">
        <f>$B$5*(1+$B$23)^10</f>
        <v>1099999.9999999995</v>
      </c>
    </row>
    <row r="33" spans="1:11" x14ac:dyDescent="0.25">
      <c r="A33" t="s">
        <v>1029</v>
      </c>
      <c r="B33" s="134">
        <f>$B$7+($B$24-$B$7)*1/10</f>
        <v>0.59843515268271452</v>
      </c>
      <c r="C33" s="134">
        <f>$B$7+($B$24-$B$7)*2/10</f>
        <v>0.59305346905130174</v>
      </c>
      <c r="D33" s="134">
        <f>$B$7+($B$24-$B$7)*3/10</f>
        <v>0.58767178541988907</v>
      </c>
      <c r="E33" s="134">
        <f>$B$7+($B$24-$B$7)*4/10</f>
        <v>0.58229010178847629</v>
      </c>
      <c r="F33" s="134">
        <f>$B$7+($B$24-$B$7)*5/10</f>
        <v>0.57690841815706362</v>
      </c>
      <c r="G33" s="134">
        <f>$B$7+($B$24-$B$7)*6/10</f>
        <v>0.57152673452565095</v>
      </c>
      <c r="H33" s="134">
        <f>$B$7+($B$24-$B$7)*7/10</f>
        <v>0.56614505089423817</v>
      </c>
      <c r="I33" s="134">
        <f>$B$7+($B$24-$B$7)*8/10</f>
        <v>0.5607633672628255</v>
      </c>
      <c r="J33" s="134">
        <f>$B$7+($B$24-$B$7)*9/10</f>
        <v>0.55538168363141271</v>
      </c>
      <c r="K33" s="134">
        <f>$B$7+($B$24-$B$7)*10/10</f>
        <v>0.55000000000000004</v>
      </c>
    </row>
    <row r="34" spans="1:11" x14ac:dyDescent="0.25">
      <c r="A34" t="s">
        <v>638</v>
      </c>
      <c r="B34" s="135">
        <f t="shared" ref="B34:K34" si="0">B32*B33</f>
        <v>152073.14660950843</v>
      </c>
      <c r="C34" s="135">
        <f t="shared" si="0"/>
        <v>177351.81910210784</v>
      </c>
      <c r="D34" s="135">
        <f t="shared" si="0"/>
        <v>206815.45900654566</v>
      </c>
      <c r="E34" s="135">
        <f t="shared" si="0"/>
        <v>241153.6982826539</v>
      </c>
      <c r="F34" s="135">
        <f t="shared" si="0"/>
        <v>281169.20702672034</v>
      </c>
      <c r="G34" s="135">
        <f t="shared" si="0"/>
        <v>327796.10689685761</v>
      </c>
      <c r="H34" s="135">
        <f t="shared" si="0"/>
        <v>382121.36212084582</v>
      </c>
      <c r="I34" s="135">
        <f t="shared" si="0"/>
        <v>445409.62538276758</v>
      </c>
      <c r="J34" s="135">
        <f t="shared" si="0"/>
        <v>519132.09158175183</v>
      </c>
      <c r="K34" s="135">
        <f t="shared" si="0"/>
        <v>604999.99999999977</v>
      </c>
    </row>
    <row r="35" spans="1:11" x14ac:dyDescent="0.25">
      <c r="A35" t="s">
        <v>259</v>
      </c>
      <c r="B35" s="135">
        <f t="shared" ref="B35:K35" si="1">B34*(1-$B$12)</f>
        <v>120137.78582151167</v>
      </c>
      <c r="C35" s="135">
        <f t="shared" si="1"/>
        <v>140107.93709066519</v>
      </c>
      <c r="D35" s="135">
        <f t="shared" si="1"/>
        <v>163384.21261517107</v>
      </c>
      <c r="E35" s="135">
        <f t="shared" si="1"/>
        <v>190511.42164329661</v>
      </c>
      <c r="F35" s="135">
        <f t="shared" si="1"/>
        <v>222123.67355110907</v>
      </c>
      <c r="G35" s="135">
        <f t="shared" si="1"/>
        <v>258958.92444851753</v>
      </c>
      <c r="H35" s="135">
        <f t="shared" si="1"/>
        <v>301875.8760754682</v>
      </c>
      <c r="I35" s="135">
        <f t="shared" si="1"/>
        <v>351873.60405238642</v>
      </c>
      <c r="J35" s="135">
        <f t="shared" si="1"/>
        <v>410114.35234958393</v>
      </c>
      <c r="K35" s="135">
        <f t="shared" si="1"/>
        <v>477949.99999999983</v>
      </c>
    </row>
    <row r="36" spans="1:11" x14ac:dyDescent="0.25">
      <c r="A36" t="s">
        <v>279</v>
      </c>
      <c r="B36" s="138">
        <f>$B$9+($B$25-$B$9)*1/10</f>
        <v>2.4530303538692642</v>
      </c>
      <c r="C36" s="138">
        <f>$B$9+($B$25-$B$9)*2/10</f>
        <v>2.4582492034393462</v>
      </c>
      <c r="D36" s="138">
        <f>$B$9+($B$25-$B$9)*3/10</f>
        <v>2.4634680530094277</v>
      </c>
      <c r="E36" s="138">
        <f>$B$9+($B$25-$B$9)*4/10</f>
        <v>2.4686869025795097</v>
      </c>
      <c r="F36" s="138">
        <f>$B$9+($B$25-$B$9)*5/10</f>
        <v>2.4739057521495913</v>
      </c>
      <c r="G36" s="138">
        <f>$B$9+($B$25-$B$9)*6/10</f>
        <v>2.4791246017196729</v>
      </c>
      <c r="H36" s="138">
        <f>$B$9+($B$25-$B$9)*7/10</f>
        <v>2.4843434512897549</v>
      </c>
      <c r="I36" s="138">
        <f>$B$9+($B$25-$B$9)*8/10</f>
        <v>2.4895623008598364</v>
      </c>
      <c r="J36" s="138">
        <f>$B$9+($B$25-$B$9)*9/10</f>
        <v>2.4947811504299184</v>
      </c>
      <c r="K36" s="138">
        <f>$B$9+($B$25-$B$9)*10/10</f>
        <v>2.5</v>
      </c>
    </row>
    <row r="37" spans="1:11" x14ac:dyDescent="0.25">
      <c r="A37" t="s">
        <v>541</v>
      </c>
      <c r="B37" s="135">
        <f t="shared" ref="B37:K37" si="2">B32/B36</f>
        <v>103593.50170430978</v>
      </c>
      <c r="C37" s="135">
        <f t="shared" si="2"/>
        <v>121651.05780495191</v>
      </c>
      <c r="D37" s="135">
        <f t="shared" si="2"/>
        <v>142856.90050493996</v>
      </c>
      <c r="E37" s="135">
        <f t="shared" si="2"/>
        <v>167760.03417196422</v>
      </c>
      <c r="F37" s="135">
        <f t="shared" si="2"/>
        <v>197005.21809956606</v>
      </c>
      <c r="G37" s="135">
        <f t="shared" si="2"/>
        <v>231349.67079159027</v>
      </c>
      <c r="H37" s="135">
        <f t="shared" si="2"/>
        <v>271682.68881199998</v>
      </c>
      <c r="I37" s="135">
        <f t="shared" si="2"/>
        <v>319048.68882391514</v>
      </c>
      <c r="J37" s="135">
        <f t="shared" si="2"/>
        <v>374674.27021752921</v>
      </c>
      <c r="K37" s="135">
        <f t="shared" si="2"/>
        <v>439999.99999999983</v>
      </c>
    </row>
    <row r="38" spans="1:11" x14ac:dyDescent="0.25">
      <c r="A38" t="s">
        <v>604</v>
      </c>
      <c r="B38" s="135">
        <f>B37-$B$8</f>
        <v>15376.741704309767</v>
      </c>
      <c r="C38" s="135">
        <f t="shared" ref="C38:K38" si="3">C37-B37</f>
        <v>18057.556100642134</v>
      </c>
      <c r="D38" s="135">
        <f t="shared" si="3"/>
        <v>21205.842699988047</v>
      </c>
      <c r="E38" s="135">
        <f t="shared" si="3"/>
        <v>24903.13366702426</v>
      </c>
      <c r="F38" s="135">
        <f t="shared" si="3"/>
        <v>29245.183927601844</v>
      </c>
      <c r="G38" s="135">
        <f t="shared" si="3"/>
        <v>34344.452692024206</v>
      </c>
      <c r="H38" s="135">
        <f t="shared" si="3"/>
        <v>40333.018020409712</v>
      </c>
      <c r="I38" s="135">
        <f t="shared" si="3"/>
        <v>47366.000011915166</v>
      </c>
      <c r="J38" s="135">
        <f t="shared" si="3"/>
        <v>55625.581393614062</v>
      </c>
      <c r="K38" s="135">
        <f t="shared" si="3"/>
        <v>65325.729782470618</v>
      </c>
    </row>
    <row r="39" spans="1:11" x14ac:dyDescent="0.25">
      <c r="A39" t="s">
        <v>270</v>
      </c>
      <c r="B39" s="135">
        <f t="shared" ref="B39:K39" si="4">B35-B38</f>
        <v>104761.04411720191</v>
      </c>
      <c r="C39" s="135">
        <f t="shared" si="4"/>
        <v>122050.38099002306</v>
      </c>
      <c r="D39" s="135">
        <f t="shared" si="4"/>
        <v>142178.36991518302</v>
      </c>
      <c r="E39" s="135">
        <f t="shared" si="4"/>
        <v>165608.28797627235</v>
      </c>
      <c r="F39" s="135">
        <f t="shared" si="4"/>
        <v>192878.48962350722</v>
      </c>
      <c r="G39" s="135">
        <f t="shared" si="4"/>
        <v>224614.47175649332</v>
      </c>
      <c r="H39" s="135">
        <f t="shared" si="4"/>
        <v>261542.85805505849</v>
      </c>
      <c r="I39" s="135">
        <f t="shared" si="4"/>
        <v>304507.60404047125</v>
      </c>
      <c r="J39" s="135">
        <f t="shared" si="4"/>
        <v>354488.77095596987</v>
      </c>
      <c r="K39" s="135">
        <f t="shared" si="4"/>
        <v>412624.27021752921</v>
      </c>
    </row>
    <row r="40" spans="1:11" x14ac:dyDescent="0.25">
      <c r="A40" t="s">
        <v>574</v>
      </c>
      <c r="B40" s="140">
        <f ca="1">1/(1+$B$11)^1</f>
        <v>0.86981151360007214</v>
      </c>
      <c r="C40" s="140">
        <f ca="1">1/(1+$B$11)^2</f>
        <v>0.75657206919124842</v>
      </c>
      <c r="D40" s="140">
        <f ca="1">1/(1+$B$11)^3</f>
        <v>0.65807509665077824</v>
      </c>
      <c r="E40" s="140">
        <f ca="1">1/(1+$B$11)^4</f>
        <v>0.57240129588032718</v>
      </c>
      <c r="F40" s="140">
        <f ca="1">1/(1+$B$11)^5</f>
        <v>0.49788123755631009</v>
      </c>
      <c r="G40" s="140">
        <f ca="1">1/(1+$B$11)^6</f>
        <v>0.4330628328319312</v>
      </c>
      <c r="H40" s="140">
        <f ca="1">1/(1+$B$11)^7</f>
        <v>0.37668303810947701</v>
      </c>
      <c r="I40" s="140">
        <f ca="1">1/(1+$B$11)^8</f>
        <v>0.32764324352547786</v>
      </c>
      <c r="J40" s="140">
        <f ca="1">1/(1+$B$11)^9</f>
        <v>0.28498786557173289</v>
      </c>
      <c r="K40" s="140">
        <f ca="1">1/(1+$B$11)^10</f>
        <v>0.24788572671060288</v>
      </c>
    </row>
    <row r="41" spans="1:11" x14ac:dyDescent="0.25">
      <c r="A41" t="s">
        <v>575</v>
      </c>
      <c r="B41" s="135">
        <f t="shared" ref="B41:K41" ca="1" si="5">B39*B40</f>
        <v>91122.362349907329</v>
      </c>
      <c r="C41" s="135">
        <f t="shared" ca="1" si="5"/>
        <v>92339.909291201955</v>
      </c>
      <c r="D41" s="135">
        <f t="shared" ca="1" si="5"/>
        <v>93564.044523584162</v>
      </c>
      <c r="E41" s="135">
        <f t="shared" ca="1" si="5"/>
        <v>94794.398646140704</v>
      </c>
      <c r="F41" s="135">
        <f t="shared" ca="1" si="5"/>
        <v>96030.581111743682</v>
      </c>
      <c r="G41" s="135">
        <f t="shared" ca="1" si="5"/>
        <v>97272.179433914804</v>
      </c>
      <c r="H41" s="135">
        <f t="shared" ca="1" si="5"/>
        <v>98518.758368015129</v>
      </c>
      <c r="I41" s="135">
        <f t="shared" ca="1" si="5"/>
        <v>99769.859065991914</v>
      </c>
      <c r="J41" s="135">
        <f t="shared" ca="1" si="5"/>
        <v>101024.99820388875</v>
      </c>
      <c r="K41" s="135">
        <f t="shared" ca="1" si="5"/>
        <v>102283.6670813044</v>
      </c>
    </row>
    <row r="44" spans="1:11" x14ac:dyDescent="0.25">
      <c r="A44" s="99" t="s">
        <v>1050</v>
      </c>
    </row>
    <row r="45" spans="1:11" x14ac:dyDescent="0.25">
      <c r="A45" t="s">
        <v>573</v>
      </c>
      <c r="B45" s="68">
        <v>1</v>
      </c>
      <c r="C45" s="68">
        <v>2</v>
      </c>
      <c r="D45" s="68">
        <v>3</v>
      </c>
      <c r="E45" s="68">
        <v>4</v>
      </c>
      <c r="F45" s="68">
        <v>5</v>
      </c>
      <c r="G45" s="68">
        <v>6</v>
      </c>
      <c r="H45" s="68">
        <v>7</v>
      </c>
      <c r="I45" s="68">
        <v>8</v>
      </c>
      <c r="J45" s="68">
        <v>9</v>
      </c>
      <c r="K45" s="68">
        <v>10</v>
      </c>
    </row>
    <row r="46" spans="1:11" x14ac:dyDescent="0.25">
      <c r="A46" t="s">
        <v>31</v>
      </c>
      <c r="B46" s="135">
        <f>$B$5*(1+$C$23)^1</f>
        <v>240342.30510120417</v>
      </c>
      <c r="C46" s="135">
        <f>$B$5*(1+$C$23)^2</f>
        <v>267504.67088405153</v>
      </c>
      <c r="D46" s="135">
        <f>$B$5*(1+$C$23)^3</f>
        <v>297736.80049649399</v>
      </c>
      <c r="E46" s="135">
        <f>$B$5*(1+$C$23)^4</f>
        <v>331385.62432172534</v>
      </c>
      <c r="F46" s="135">
        <f>$B$5*(1+$C$23)^5</f>
        <v>368837.28119592264</v>
      </c>
      <c r="G46" s="135">
        <f>$B$5*(1+$C$23)^6</f>
        <v>410521.54956463928</v>
      </c>
      <c r="H46" s="135">
        <f>$B$5*(1+$C$23)^7</f>
        <v>456916.77942781564</v>
      </c>
      <c r="I46" s="135">
        <f>$B$5*(1+$C$23)^8</f>
        <v>508555.38167020009</v>
      </c>
      <c r="J46" s="135">
        <f>$B$5*(1+$C$23)^9</f>
        <v>566029.93777027924</v>
      </c>
      <c r="K46" s="135">
        <f>$B$5*(1+$C$23)^10</f>
        <v>630000.00000000047</v>
      </c>
    </row>
    <row r="47" spans="1:11" x14ac:dyDescent="0.25">
      <c r="A47" t="s">
        <v>1029</v>
      </c>
      <c r="B47" s="134">
        <f>$B$7+($C$24-$B$7)*1/10</f>
        <v>0.58843515268271451</v>
      </c>
      <c r="C47" s="134">
        <f>$B$7+($C$24-$B$7)*2/10</f>
        <v>0.57305346905130172</v>
      </c>
      <c r="D47" s="134">
        <f>$B$7+($C$24-$B$7)*3/10</f>
        <v>0.55767178541988904</v>
      </c>
      <c r="E47" s="134">
        <f>$B$7+($C$24-$B$7)*4/10</f>
        <v>0.54229010178847636</v>
      </c>
      <c r="F47" s="134">
        <f>$B$7+($C$24-$B$7)*5/10</f>
        <v>0.52690841815706357</v>
      </c>
      <c r="G47" s="134">
        <f>$B$7+($C$24-$B$7)*6/10</f>
        <v>0.51152673452565089</v>
      </c>
      <c r="H47" s="134">
        <f>$B$7+($C$24-$B$7)*7/10</f>
        <v>0.49614505089423816</v>
      </c>
      <c r="I47" s="134">
        <f>$B$7+($C$24-$B$7)*8/10</f>
        <v>0.48076336726282543</v>
      </c>
      <c r="J47" s="134">
        <f>$B$7+($C$24-$B$7)*9/10</f>
        <v>0.46538168363141275</v>
      </c>
      <c r="K47" s="134">
        <f>$B$7+($C$24-$B$7)*10/10</f>
        <v>0.45</v>
      </c>
    </row>
    <row r="48" spans="1:11" x14ac:dyDescent="0.25">
      <c r="A48" t="s">
        <v>638</v>
      </c>
      <c r="B48" s="135">
        <f t="shared" ref="B48:K48" si="6">B46*B47</f>
        <v>141425.86099834263</v>
      </c>
      <c r="C48" s="135">
        <f t="shared" si="6"/>
        <v>153294.47963753247</v>
      </c>
      <c r="D48" s="135">
        <f t="shared" si="6"/>
        <v>166039.4131180851</v>
      </c>
      <c r="E48" s="135">
        <f t="shared" si="6"/>
        <v>179707.14394466623</v>
      </c>
      <c r="F48" s="135">
        <f t="shared" si="6"/>
        <v>194343.46839229565</v>
      </c>
      <c r="G48" s="135">
        <f t="shared" si="6"/>
        <v>209992.74770121009</v>
      </c>
      <c r="H48" s="135">
        <f t="shared" si="6"/>
        <v>226696.99878364499</v>
      </c>
      <c r="I48" s="135">
        <f t="shared" si="6"/>
        <v>244494.79773139677</v>
      </c>
      <c r="J48" s="135">
        <f t="shared" si="6"/>
        <v>263419.96542531636</v>
      </c>
      <c r="K48" s="135">
        <f t="shared" si="6"/>
        <v>283500.00000000023</v>
      </c>
    </row>
    <row r="49" spans="1:11" x14ac:dyDescent="0.25">
      <c r="A49" t="s">
        <v>259</v>
      </c>
      <c r="B49" s="135">
        <f t="shared" ref="B49:K49" si="7">B48*(1-$B$12)</f>
        <v>111726.43018869068</v>
      </c>
      <c r="C49" s="135">
        <f t="shared" si="7"/>
        <v>121102.63891365065</v>
      </c>
      <c r="D49" s="135">
        <f t="shared" si="7"/>
        <v>131171.13636328722</v>
      </c>
      <c r="E49" s="135">
        <f t="shared" si="7"/>
        <v>141968.64371628631</v>
      </c>
      <c r="F49" s="135">
        <f t="shared" si="7"/>
        <v>153531.34002991355</v>
      </c>
      <c r="G49" s="135">
        <f t="shared" si="7"/>
        <v>165894.27068395598</v>
      </c>
      <c r="H49" s="135">
        <f t="shared" si="7"/>
        <v>179090.62903907956</v>
      </c>
      <c r="I49" s="135">
        <f t="shared" si="7"/>
        <v>193150.89020780346</v>
      </c>
      <c r="J49" s="135">
        <f t="shared" si="7"/>
        <v>208101.77268599992</v>
      </c>
      <c r="K49" s="135">
        <f t="shared" si="7"/>
        <v>223965.0000000002</v>
      </c>
    </row>
    <row r="50" spans="1:11" x14ac:dyDescent="0.25">
      <c r="A50" t="s">
        <v>279</v>
      </c>
      <c r="B50" s="138">
        <f>$B$9+($C$25-$B$9)*1/10</f>
        <v>2.4330303538692641</v>
      </c>
      <c r="C50" s="138">
        <f>$B$9+($C$25-$B$9)*2/10</f>
        <v>2.4182492034393461</v>
      </c>
      <c r="D50" s="138">
        <f>$B$9+($C$25-$B$9)*3/10</f>
        <v>2.4034680530094277</v>
      </c>
      <c r="E50" s="138">
        <f>$B$9+($C$25-$B$9)*4/10</f>
        <v>2.3886869025795097</v>
      </c>
      <c r="F50" s="138">
        <f>$B$9+($C$25-$B$9)*5/10</f>
        <v>2.3739057521495912</v>
      </c>
      <c r="G50" s="138">
        <f>$B$9+($C$25-$B$9)*6/10</f>
        <v>2.3591246017196728</v>
      </c>
      <c r="H50" s="138">
        <f>$B$9+($C$25-$B$9)*7/10</f>
        <v>2.3443434512897547</v>
      </c>
      <c r="I50" s="138">
        <f>$B$9+($C$25-$B$9)*8/10</f>
        <v>2.3295623008598363</v>
      </c>
      <c r="J50" s="138">
        <f>$B$9+($C$25-$B$9)*9/10</f>
        <v>2.3147811504299183</v>
      </c>
      <c r="K50" s="138">
        <f>$B$9+($C$25-$B$9)*10/10</f>
        <v>2.2999999999999998</v>
      </c>
    </row>
    <row r="51" spans="1:11" x14ac:dyDescent="0.25">
      <c r="A51" t="s">
        <v>541</v>
      </c>
      <c r="B51" s="135">
        <f t="shared" ref="B51:K51" si="8">B46/B50</f>
        <v>98783.110008876887</v>
      </c>
      <c r="C51" s="135">
        <f t="shared" si="8"/>
        <v>110619.14979795879</v>
      </c>
      <c r="D51" s="135">
        <f t="shared" si="8"/>
        <v>123877.99376974956</v>
      </c>
      <c r="E51" s="135">
        <f t="shared" si="8"/>
        <v>138731.29373458977</v>
      </c>
      <c r="F51" s="135">
        <f t="shared" si="8"/>
        <v>155371.49310242728</v>
      </c>
      <c r="G51" s="135">
        <f t="shared" si="8"/>
        <v>174014.35653945178</v>
      </c>
      <c r="H51" s="135">
        <f t="shared" si="8"/>
        <v>194901.80893778175</v>
      </c>
      <c r="I51" s="135">
        <f t="shared" si="8"/>
        <v>218305.12173144863</v>
      </c>
      <c r="J51" s="135">
        <f t="shared" si="8"/>
        <v>244528.48929807122</v>
      </c>
      <c r="K51" s="135">
        <f t="shared" si="8"/>
        <v>273913.0434782611</v>
      </c>
    </row>
    <row r="52" spans="1:11" x14ac:dyDescent="0.25">
      <c r="A52" t="s">
        <v>604</v>
      </c>
      <c r="B52" s="135">
        <f>B51-$B$8</f>
        <v>10566.350008876878</v>
      </c>
      <c r="C52" s="135">
        <f t="shared" ref="C52:K52" si="9">C51-B51</f>
        <v>11836.0397890819</v>
      </c>
      <c r="D52" s="135">
        <f t="shared" si="9"/>
        <v>13258.843971790775</v>
      </c>
      <c r="E52" s="135">
        <f t="shared" si="9"/>
        <v>14853.299964840204</v>
      </c>
      <c r="F52" s="135">
        <f t="shared" si="9"/>
        <v>16640.199367837515</v>
      </c>
      <c r="G52" s="135">
        <f t="shared" si="9"/>
        <v>18642.863437024498</v>
      </c>
      <c r="H52" s="135">
        <f t="shared" si="9"/>
        <v>20887.452398329973</v>
      </c>
      <c r="I52" s="135">
        <f t="shared" si="9"/>
        <v>23403.312793666875</v>
      </c>
      <c r="J52" s="135">
        <f t="shared" si="9"/>
        <v>26223.36756662259</v>
      </c>
      <c r="K52" s="135">
        <f t="shared" si="9"/>
        <v>29384.55418018988</v>
      </c>
    </row>
    <row r="53" spans="1:11" x14ac:dyDescent="0.25">
      <c r="A53" t="s">
        <v>270</v>
      </c>
      <c r="B53" s="135">
        <f t="shared" ref="B53:K53" si="10">B49-B52</f>
        <v>101160.0801798138</v>
      </c>
      <c r="C53" s="135">
        <f t="shared" si="10"/>
        <v>109266.59912456875</v>
      </c>
      <c r="D53" s="135">
        <f t="shared" si="10"/>
        <v>117912.29239149645</v>
      </c>
      <c r="E53" s="135">
        <f t="shared" si="10"/>
        <v>127115.34375144611</v>
      </c>
      <c r="F53" s="135">
        <f t="shared" si="10"/>
        <v>136891.14066207604</v>
      </c>
      <c r="G53" s="135">
        <f t="shared" si="10"/>
        <v>147251.40724693149</v>
      </c>
      <c r="H53" s="135">
        <f t="shared" si="10"/>
        <v>158203.17664074959</v>
      </c>
      <c r="I53" s="135">
        <f t="shared" si="10"/>
        <v>169747.57741413658</v>
      </c>
      <c r="J53" s="135">
        <f t="shared" si="10"/>
        <v>181878.40511937733</v>
      </c>
      <c r="K53" s="135">
        <f t="shared" si="10"/>
        <v>194580.44581981032</v>
      </c>
    </row>
    <row r="54" spans="1:11" x14ac:dyDescent="0.25">
      <c r="A54" t="s">
        <v>574</v>
      </c>
      <c r="B54" s="140">
        <f ca="1">1/(1+$B$11)^1</f>
        <v>0.86981151360007214</v>
      </c>
      <c r="C54" s="140">
        <f ca="1">1/(1+$B$11)^2</f>
        <v>0.75657206919124842</v>
      </c>
      <c r="D54" s="140">
        <f ca="1">1/(1+$B$11)^3</f>
        <v>0.65807509665077824</v>
      </c>
      <c r="E54" s="140">
        <f ca="1">1/(1+$B$11)^4</f>
        <v>0.57240129588032718</v>
      </c>
      <c r="F54" s="140">
        <f ca="1">1/(1+$B$11)^5</f>
        <v>0.49788123755631009</v>
      </c>
      <c r="G54" s="140">
        <f ca="1">1/(1+$B$11)^6</f>
        <v>0.4330628328319312</v>
      </c>
      <c r="H54" s="140">
        <f ca="1">1/(1+$B$11)^7</f>
        <v>0.37668303810947701</v>
      </c>
      <c r="I54" s="140">
        <f ca="1">1/(1+$B$11)^8</f>
        <v>0.32764324352547786</v>
      </c>
      <c r="J54" s="140">
        <f ca="1">1/(1+$B$11)^9</f>
        <v>0.28498786557173289</v>
      </c>
      <c r="K54" s="140">
        <f ca="1">1/(1+$B$11)^10</f>
        <v>0.24788572671060288</v>
      </c>
    </row>
    <row r="55" spans="1:11" x14ac:dyDescent="0.25">
      <c r="A55" t="s">
        <v>575</v>
      </c>
      <c r="B55" s="135">
        <f t="shared" ref="B55:K55" ca="1" si="11">B53*B54</f>
        <v>87990.202457108491</v>
      </c>
      <c r="C55" s="135">
        <f t="shared" ca="1" si="11"/>
        <v>82668.056993165636</v>
      </c>
      <c r="D55" s="135">
        <f t="shared" ca="1" si="11"/>
        <v>77595.143211848845</v>
      </c>
      <c r="E55" s="135">
        <f t="shared" ca="1" si="11"/>
        <v>72760.987489601001</v>
      </c>
      <c r="F55" s="135">
        <f t="shared" ca="1" si="11"/>
        <v>68155.530523329333</v>
      </c>
      <c r="G55" s="135">
        <f t="shared" ca="1" si="11"/>
        <v>63769.111560844511</v>
      </c>
      <c r="H55" s="135">
        <f t="shared" ca="1" si="11"/>
        <v>59592.453215607798</v>
      </c>
      <c r="I55" s="135">
        <f t="shared" ca="1" si="11"/>
        <v>55616.646844559858</v>
      </c>
      <c r="J55" s="135">
        <f t="shared" ca="1" si="11"/>
        <v>51833.138468562283</v>
      </c>
      <c r="K55" s="135">
        <f t="shared" ca="1" si="11"/>
        <v>48233.715215716773</v>
      </c>
    </row>
    <row r="58" spans="1:11" x14ac:dyDescent="0.25">
      <c r="A58" s="99" t="s">
        <v>1051</v>
      </c>
    </row>
    <row r="59" spans="1:11" x14ac:dyDescent="0.25">
      <c r="A59" t="s">
        <v>573</v>
      </c>
      <c r="B59" s="68">
        <v>1</v>
      </c>
      <c r="C59" s="68">
        <v>2</v>
      </c>
      <c r="D59" s="68">
        <v>3</v>
      </c>
      <c r="E59" s="68">
        <v>4</v>
      </c>
      <c r="F59" s="68">
        <v>5</v>
      </c>
      <c r="G59" s="68">
        <v>6</v>
      </c>
      <c r="H59" s="68">
        <v>7</v>
      </c>
      <c r="I59" s="68">
        <v>8</v>
      </c>
      <c r="J59" s="68">
        <v>9</v>
      </c>
      <c r="K59" s="68">
        <v>10</v>
      </c>
    </row>
    <row r="60" spans="1:11" x14ac:dyDescent="0.25">
      <c r="A60" t="s">
        <v>31</v>
      </c>
      <c r="B60" s="135">
        <f>$B$5*(1+$D$23)^1</f>
        <v>230792.18362725878</v>
      </c>
      <c r="C60" s="135">
        <f>$B$5*(1+$D$23)^2</f>
        <v>246668.17338049968</v>
      </c>
      <c r="D60" s="135">
        <f>$B$5*(1+$D$23)^3</f>
        <v>263636.25839746959</v>
      </c>
      <c r="E60" s="135">
        <f>$B$5*(1+$D$23)^4</f>
        <v>281771.56294340157</v>
      </c>
      <c r="F60" s="135">
        <f>$B$5*(1+$D$23)^5</f>
        <v>301154.37901514902</v>
      </c>
      <c r="G60" s="135">
        <f>$B$5*(1+$D$23)^6</f>
        <v>321870.52182486345</v>
      </c>
      <c r="H60" s="135">
        <f>$B$5*(1+$D$23)^7</f>
        <v>344011.70973707951</v>
      </c>
      <c r="I60" s="135">
        <f>$B$5*(1+$D$23)^8</f>
        <v>367675.97034133557</v>
      </c>
      <c r="J60" s="135">
        <f>$B$5*(1+$D$23)^9</f>
        <v>392968.07445816888</v>
      </c>
      <c r="K60" s="135">
        <f>$B$5*(1+$D$23)^10</f>
        <v>420000.00000000006</v>
      </c>
    </row>
    <row r="61" spans="1:11" x14ac:dyDescent="0.25">
      <c r="A61" t="s">
        <v>1029</v>
      </c>
      <c r="B61" s="134">
        <f>$B$7+($D$24-$B$7)*1/10</f>
        <v>0.5784351526827145</v>
      </c>
      <c r="C61" s="134">
        <f>$B$7+($D$24-$B$7)*2/10</f>
        <v>0.5530534690513017</v>
      </c>
      <c r="D61" s="134">
        <f>$B$7+($D$24-$B$7)*3/10</f>
        <v>0.52767178541988902</v>
      </c>
      <c r="E61" s="134">
        <f>$B$7+($D$24-$B$7)*4/10</f>
        <v>0.50229010178847633</v>
      </c>
      <c r="F61" s="134">
        <f>$B$7+($D$24-$B$7)*5/10</f>
        <v>0.47690841815706358</v>
      </c>
      <c r="G61" s="134">
        <f>$B$7+($D$24-$B$7)*6/10</f>
        <v>0.45152673452565084</v>
      </c>
      <c r="H61" s="134">
        <f>$B$7+($D$24-$B$7)*7/10</f>
        <v>0.42614505089423815</v>
      </c>
      <c r="I61" s="134">
        <f>$B$7+($D$24-$B$7)*8/10</f>
        <v>0.40076336726282541</v>
      </c>
      <c r="J61" s="134">
        <f>$B$7+($D$24-$B$7)*9/10</f>
        <v>0.37538168363141267</v>
      </c>
      <c r="K61" s="134">
        <f>$B$7+($D$24-$B$7)*10/10</f>
        <v>0.35</v>
      </c>
    </row>
    <row r="62" spans="1:11" x14ac:dyDescent="0.25">
      <c r="A62" t="s">
        <v>638</v>
      </c>
      <c r="B62" s="135">
        <f t="shared" ref="B62:K62" si="12">B60*B61</f>
        <v>133498.31197441052</v>
      </c>
      <c r="C62" s="135">
        <f t="shared" si="12"/>
        <v>136420.68899263331</v>
      </c>
      <c r="D62" s="135">
        <f t="shared" si="12"/>
        <v>139113.41517001198</v>
      </c>
      <c r="E62" s="135">
        <f t="shared" si="12"/>
        <v>141531.06703193925</v>
      </c>
      <c r="F62" s="135">
        <f t="shared" si="12"/>
        <v>143623.05851718751</v>
      </c>
      <c r="G62" s="135">
        <f t="shared" si="12"/>
        <v>145333.14565964782</v>
      </c>
      <c r="H62" s="135">
        <f t="shared" si="12"/>
        <v>146598.88755412164</v>
      </c>
      <c r="I62" s="135">
        <f t="shared" si="12"/>
        <v>147351.05993562037</v>
      </c>
      <c r="J62" s="135">
        <f t="shared" si="12"/>
        <v>147513.01740350176</v>
      </c>
      <c r="K62" s="135">
        <f t="shared" si="12"/>
        <v>147000</v>
      </c>
    </row>
    <row r="63" spans="1:11" x14ac:dyDescent="0.25">
      <c r="A63" t="s">
        <v>259</v>
      </c>
      <c r="B63" s="135">
        <f t="shared" ref="B63:K63" si="13">B62*(1-$B$12)</f>
        <v>105463.66645978432</v>
      </c>
      <c r="C63" s="135">
        <f t="shared" si="13"/>
        <v>107772.34430418033</v>
      </c>
      <c r="D63" s="135">
        <f t="shared" si="13"/>
        <v>109899.59798430947</v>
      </c>
      <c r="E63" s="135">
        <f t="shared" si="13"/>
        <v>111809.54295523201</v>
      </c>
      <c r="F63" s="135">
        <f t="shared" si="13"/>
        <v>113462.21622857814</v>
      </c>
      <c r="G63" s="135">
        <f t="shared" si="13"/>
        <v>114813.18507112178</v>
      </c>
      <c r="H63" s="135">
        <f t="shared" si="13"/>
        <v>115813.12116775611</v>
      </c>
      <c r="I63" s="135">
        <f t="shared" si="13"/>
        <v>116407.3373491401</v>
      </c>
      <c r="J63" s="135">
        <f t="shared" si="13"/>
        <v>116535.28374876639</v>
      </c>
      <c r="K63" s="135">
        <f t="shared" si="13"/>
        <v>116130</v>
      </c>
    </row>
    <row r="64" spans="1:11" x14ac:dyDescent="0.25">
      <c r="A64" t="s">
        <v>279</v>
      </c>
      <c r="B64" s="138">
        <f>$B$9+($D$25-$B$9)*1/10</f>
        <v>2.4030303538692643</v>
      </c>
      <c r="C64" s="138">
        <f>$B$9+($D$25-$B$9)*2/10</f>
        <v>2.3582492034393461</v>
      </c>
      <c r="D64" s="138">
        <f>$B$9+($D$25-$B$9)*3/10</f>
        <v>2.3134680530094278</v>
      </c>
      <c r="E64" s="138">
        <f>$B$9+($D$25-$B$9)*4/10</f>
        <v>2.2686869025795096</v>
      </c>
      <c r="F64" s="138">
        <f>$B$9+($D$25-$B$9)*5/10</f>
        <v>2.2239057521495913</v>
      </c>
      <c r="G64" s="138">
        <f>$B$9+($D$25-$B$9)*6/10</f>
        <v>2.179124601719673</v>
      </c>
      <c r="H64" s="138">
        <f>$B$9+($D$25-$B$9)*7/10</f>
        <v>2.1343434512897548</v>
      </c>
      <c r="I64" s="138">
        <f>$B$9+($D$25-$B$9)*8/10</f>
        <v>2.0895623008598365</v>
      </c>
      <c r="J64" s="138">
        <f>$B$9+($D$25-$B$9)*9/10</f>
        <v>2.0447811504299183</v>
      </c>
      <c r="K64" s="138">
        <f>$B$9+($D$25-$B$9)*10/10</f>
        <v>2</v>
      </c>
    </row>
    <row r="65" spans="1:11" x14ac:dyDescent="0.25">
      <c r="A65" t="s">
        <v>541</v>
      </c>
      <c r="B65" s="135">
        <f t="shared" ref="B65:K65" si="14">B60/B64</f>
        <v>96042.142478827343</v>
      </c>
      <c r="C65" s="135">
        <f t="shared" si="14"/>
        <v>104598.00983744675</v>
      </c>
      <c r="D65" s="135">
        <f t="shared" si="14"/>
        <v>113957.16403108473</v>
      </c>
      <c r="E65" s="135">
        <f t="shared" si="14"/>
        <v>124200.28635199759</v>
      </c>
      <c r="F65" s="135">
        <f t="shared" si="14"/>
        <v>135416.88029002942</v>
      </c>
      <c r="G65" s="135">
        <f t="shared" si="14"/>
        <v>147706.3411476594</v>
      </c>
      <c r="H65" s="135">
        <f t="shared" si="14"/>
        <v>161179.17176319391</v>
      </c>
      <c r="I65" s="135">
        <f t="shared" si="14"/>
        <v>175958.36706569607</v>
      </c>
      <c r="J65" s="135">
        <f t="shared" si="14"/>
        <v>192180.99422304766</v>
      </c>
      <c r="K65" s="135">
        <f t="shared" si="14"/>
        <v>210000.00000000003</v>
      </c>
    </row>
    <row r="66" spans="1:11" x14ac:dyDescent="0.25">
      <c r="A66" t="s">
        <v>604</v>
      </c>
      <c r="B66" s="135">
        <f>B65-$B$8</f>
        <v>7825.3824788273341</v>
      </c>
      <c r="C66" s="135">
        <f t="shared" ref="C66:K66" si="15">C65-B65</f>
        <v>8555.8673586194054</v>
      </c>
      <c r="D66" s="135">
        <f t="shared" si="15"/>
        <v>9359.1541936379799</v>
      </c>
      <c r="E66" s="135">
        <f t="shared" si="15"/>
        <v>10243.122320912866</v>
      </c>
      <c r="F66" s="135">
        <f t="shared" si="15"/>
        <v>11216.59393803183</v>
      </c>
      <c r="G66" s="135">
        <f t="shared" si="15"/>
        <v>12289.46085762998</v>
      </c>
      <c r="H66" s="135">
        <f t="shared" si="15"/>
        <v>13472.830615534505</v>
      </c>
      <c r="I66" s="135">
        <f t="shared" si="15"/>
        <v>14779.195302502165</v>
      </c>
      <c r="J66" s="135">
        <f t="shared" si="15"/>
        <v>16222.627157351584</v>
      </c>
      <c r="K66" s="135">
        <f t="shared" si="15"/>
        <v>17819.00577695237</v>
      </c>
    </row>
    <row r="67" spans="1:11" x14ac:dyDescent="0.25">
      <c r="A67" t="s">
        <v>270</v>
      </c>
      <c r="B67" s="135">
        <f t="shared" ref="B67:K67" si="16">B63-B66</f>
        <v>97638.283980956985</v>
      </c>
      <c r="C67" s="135">
        <f t="shared" si="16"/>
        <v>99216.47694556092</v>
      </c>
      <c r="D67" s="135">
        <f t="shared" si="16"/>
        <v>100540.44379067149</v>
      </c>
      <c r="E67" s="135">
        <f t="shared" si="16"/>
        <v>101566.42063431915</v>
      </c>
      <c r="F67" s="135">
        <f t="shared" si="16"/>
        <v>102245.62229054631</v>
      </c>
      <c r="G67" s="135">
        <f t="shared" si="16"/>
        <v>102523.72421349181</v>
      </c>
      <c r="H67" s="135">
        <f t="shared" si="16"/>
        <v>102340.2905522216</v>
      </c>
      <c r="I67" s="135">
        <f t="shared" si="16"/>
        <v>101628.14204663793</v>
      </c>
      <c r="J67" s="135">
        <f t="shared" si="16"/>
        <v>100312.65659141481</v>
      </c>
      <c r="K67" s="135">
        <f t="shared" si="16"/>
        <v>98310.99422304763</v>
      </c>
    </row>
    <row r="68" spans="1:11" x14ac:dyDescent="0.25">
      <c r="A68" t="s">
        <v>574</v>
      </c>
      <c r="B68" s="140">
        <f ca="1">1/(1+$B$11)^1</f>
        <v>0.86981151360007214</v>
      </c>
      <c r="C68" s="140">
        <f ca="1">1/(1+$B$11)^2</f>
        <v>0.75657206919124842</v>
      </c>
      <c r="D68" s="140">
        <f ca="1">1/(1+$B$11)^3</f>
        <v>0.65807509665077824</v>
      </c>
      <c r="E68" s="140">
        <f ca="1">1/(1+$B$11)^4</f>
        <v>0.57240129588032718</v>
      </c>
      <c r="F68" s="140">
        <f ca="1">1/(1+$B$11)^5</f>
        <v>0.49788123755631009</v>
      </c>
      <c r="G68" s="140">
        <f ca="1">1/(1+$B$11)^6</f>
        <v>0.4330628328319312</v>
      </c>
      <c r="H68" s="140">
        <f ca="1">1/(1+$B$11)^7</f>
        <v>0.37668303810947701</v>
      </c>
      <c r="I68" s="140">
        <f ca="1">1/(1+$B$11)^8</f>
        <v>0.32764324352547786</v>
      </c>
      <c r="J68" s="140">
        <f ca="1">1/(1+$B$11)^9</f>
        <v>0.28498786557173289</v>
      </c>
      <c r="K68" s="140">
        <f ca="1">1/(1+$B$11)^10</f>
        <v>0.24788572671060288</v>
      </c>
    </row>
    <row r="69" spans="1:11" x14ac:dyDescent="0.25">
      <c r="A69" t="s">
        <v>575</v>
      </c>
      <c r="B69" s="135">
        <f t="shared" ref="B69:K69" ca="1" si="17">B67*B68</f>
        <v>84926.903574789874</v>
      </c>
      <c r="C69" s="135">
        <f t="shared" ca="1" si="17"/>
        <v>75064.415260568814</v>
      </c>
      <c r="D69" s="135">
        <f t="shared" ca="1" si="17"/>
        <v>66163.162264858271</v>
      </c>
      <c r="E69" s="135">
        <f t="shared" ca="1" si="17"/>
        <v>58136.750789010679</v>
      </c>
      <c r="F69" s="135">
        <f t="shared" ca="1" si="17"/>
        <v>50906.176960732242</v>
      </c>
      <c r="G69" s="135">
        <f t="shared" ca="1" si="17"/>
        <v>44399.214440374417</v>
      </c>
      <c r="H69" s="135">
        <f t="shared" ca="1" si="17"/>
        <v>38549.85156621744</v>
      </c>
      <c r="I69" s="135">
        <f t="shared" ca="1" si="17"/>
        <v>33297.774093628446</v>
      </c>
      <c r="J69" s="135">
        <f t="shared" ca="1" si="17"/>
        <v>28587.889891817529</v>
      </c>
      <c r="K69" s="135">
        <f t="shared" ca="1" si="17"/>
        <v>24369.892246622043</v>
      </c>
    </row>
    <row r="72" spans="1:11" x14ac:dyDescent="0.25">
      <c r="A72" s="99" t="s">
        <v>1052</v>
      </c>
    </row>
    <row r="73" spans="1:11" x14ac:dyDescent="0.25">
      <c r="A73" t="s">
        <v>573</v>
      </c>
      <c r="B73" s="68">
        <v>1</v>
      </c>
      <c r="C73" s="68">
        <v>2</v>
      </c>
      <c r="D73" s="68">
        <v>3</v>
      </c>
      <c r="E73" s="68">
        <v>4</v>
      </c>
      <c r="F73" s="68">
        <v>5</v>
      </c>
      <c r="G73" s="68">
        <v>6</v>
      </c>
      <c r="H73" s="68">
        <v>7</v>
      </c>
      <c r="I73" s="68">
        <v>8</v>
      </c>
      <c r="J73" s="68">
        <v>9</v>
      </c>
      <c r="K73" s="68">
        <v>10</v>
      </c>
    </row>
    <row r="74" spans="1:11" x14ac:dyDescent="0.25">
      <c r="A74" t="s">
        <v>31</v>
      </c>
      <c r="B74" s="135">
        <f>$B$5*(1+$E$23)^1</f>
        <v>218231.42643079304</v>
      </c>
      <c r="C74" s="135">
        <f>$B$5*(1+$E$23)^2</f>
        <v>220549.21080133476</v>
      </c>
      <c r="D74" s="135">
        <f>$B$5*(1+$E$23)^3</f>
        <v>222891.61181154288</v>
      </c>
      <c r="E74" s="135">
        <f>$B$5*(1+$E$23)^4</f>
        <v>225258.89090892574</v>
      </c>
      <c r="F74" s="135">
        <f>$B$5*(1+$E$23)^5</f>
        <v>227651.31231776369</v>
      </c>
      <c r="G74" s="135">
        <f>$B$5*(1+$E$23)^6</f>
        <v>230069.14306860085</v>
      </c>
      <c r="H74" s="135">
        <f>$B$5*(1+$E$23)^7</f>
        <v>232512.65302804951</v>
      </c>
      <c r="I74" s="135">
        <f>$B$5*(1+$E$23)^8</f>
        <v>234982.11492891156</v>
      </c>
      <c r="J74" s="135">
        <f>$B$5*(1+$E$23)^9</f>
        <v>237477.80440061921</v>
      </c>
      <c r="K74" s="135">
        <f>$B$5*(1+$E$23)^10</f>
        <v>239999.99999999994</v>
      </c>
    </row>
    <row r="75" spans="1:11" x14ac:dyDescent="0.25">
      <c r="A75" t="s">
        <v>1029</v>
      </c>
      <c r="B75" s="134">
        <f>$B$7+($E$24-$B$7)*1/10</f>
        <v>0.5684351526827145</v>
      </c>
      <c r="C75" s="134">
        <f>$B$7+($E$24-$B$7)*2/10</f>
        <v>0.5330534690513018</v>
      </c>
      <c r="D75" s="134">
        <f>$B$7+($E$24-$B$7)*3/10</f>
        <v>0.49767178541988905</v>
      </c>
      <c r="E75" s="134">
        <f>$B$7+($E$24-$B$7)*4/10</f>
        <v>0.46229010178847629</v>
      </c>
      <c r="F75" s="134">
        <f>$B$7+($E$24-$B$7)*5/10</f>
        <v>0.4269084181570636</v>
      </c>
      <c r="G75" s="134">
        <f>$B$7+($E$24-$B$7)*6/10</f>
        <v>0.3915267345256509</v>
      </c>
      <c r="H75" s="134">
        <f>$B$7+($E$24-$B$7)*7/10</f>
        <v>0.3561450508942382</v>
      </c>
      <c r="I75" s="134">
        <f>$B$7+($E$24-$B$7)*8/10</f>
        <v>0.32076336726282545</v>
      </c>
      <c r="J75" s="134">
        <f>$B$7+($E$24-$B$7)*9/10</f>
        <v>0.2853816836314127</v>
      </c>
      <c r="K75" s="134">
        <f>$B$7+($E$24-$B$7)*10/10</f>
        <v>0.25</v>
      </c>
    </row>
    <row r="76" spans="1:11" x14ac:dyDescent="0.25">
      <c r="A76" t="s">
        <v>638</v>
      </c>
      <c r="B76" s="135">
        <f t="shared" ref="B76:K76" si="18">B74*B75</f>
        <v>124050.41420335442</v>
      </c>
      <c r="C76" s="135">
        <f t="shared" si="18"/>
        <v>117564.52191417833</v>
      </c>
      <c r="D76" s="135">
        <f t="shared" si="18"/>
        <v>110926.86640536737</v>
      </c>
      <c r="E76" s="135">
        <f t="shared" si="18"/>
        <v>104134.95560704656</v>
      </c>
      <c r="F76" s="135">
        <f t="shared" si="18"/>
        <v>97186.261632956142</v>
      </c>
      <c r="G76" s="135">
        <f t="shared" si="18"/>
        <v>90078.220300764078</v>
      </c>
      <c r="H76" s="135">
        <f t="shared" si="18"/>
        <v>82808.230646229043</v>
      </c>
      <c r="I76" s="135">
        <f t="shared" si="18"/>
        <v>75373.654431137911</v>
      </c>
      <c r="J76" s="135">
        <f t="shared" si="18"/>
        <v>67771.815644940012</v>
      </c>
      <c r="K76" s="135">
        <f t="shared" si="18"/>
        <v>59999.999999999985</v>
      </c>
    </row>
    <row r="77" spans="1:11" x14ac:dyDescent="0.25">
      <c r="A77" t="s">
        <v>259</v>
      </c>
      <c r="B77" s="135">
        <f t="shared" ref="B77:K77" si="19">B76*(1-$B$12)</f>
        <v>97999.827220649997</v>
      </c>
      <c r="C77" s="135">
        <f t="shared" si="19"/>
        <v>92875.972312200887</v>
      </c>
      <c r="D77" s="135">
        <f t="shared" si="19"/>
        <v>87632.224460240221</v>
      </c>
      <c r="E77" s="135">
        <f t="shared" si="19"/>
        <v>82266.614929566786</v>
      </c>
      <c r="F77" s="135">
        <f t="shared" si="19"/>
        <v>76777.146690035355</v>
      </c>
      <c r="G77" s="135">
        <f t="shared" si="19"/>
        <v>71161.794037603628</v>
      </c>
      <c r="H77" s="135">
        <f t="shared" si="19"/>
        <v>65418.50221052095</v>
      </c>
      <c r="I77" s="135">
        <f t="shared" si="19"/>
        <v>59545.187000598955</v>
      </c>
      <c r="J77" s="135">
        <f t="shared" si="19"/>
        <v>53539.73435950261</v>
      </c>
      <c r="K77" s="135">
        <f t="shared" si="19"/>
        <v>47399.999999999993</v>
      </c>
    </row>
    <row r="78" spans="1:11" x14ac:dyDescent="0.25">
      <c r="A78" t="s">
        <v>279</v>
      </c>
      <c r="B78" s="138">
        <f>$B$9+($E$25-$B$9)*1/10</f>
        <v>2.3830303538692643</v>
      </c>
      <c r="C78" s="138">
        <f>$B$9+($E$25-$B$9)*2/10</f>
        <v>2.318249203439346</v>
      </c>
      <c r="D78" s="138">
        <f>$B$9+($E$25-$B$9)*3/10</f>
        <v>2.2534680530094278</v>
      </c>
      <c r="E78" s="138">
        <f>$B$9+($E$25-$B$9)*4/10</f>
        <v>2.1886869025795095</v>
      </c>
      <c r="F78" s="138">
        <f>$B$9+($E$25-$B$9)*5/10</f>
        <v>2.1239057521495912</v>
      </c>
      <c r="G78" s="138">
        <f>$B$9+($E$25-$B$9)*6/10</f>
        <v>2.0591246017196729</v>
      </c>
      <c r="H78" s="138">
        <f>$B$9+($E$25-$B$9)*7/10</f>
        <v>1.9943434512897549</v>
      </c>
      <c r="I78" s="138">
        <f>$B$9+($E$25-$B$9)*8/10</f>
        <v>1.9295623008598366</v>
      </c>
      <c r="J78" s="138">
        <f>$B$9+($E$25-$B$9)*9/10</f>
        <v>1.8647811504299183</v>
      </c>
      <c r="K78" s="138">
        <f>$B$9+($E$25-$B$9)*10/10</f>
        <v>1.8</v>
      </c>
    </row>
    <row r="79" spans="1:11" x14ac:dyDescent="0.25">
      <c r="A79" t="s">
        <v>541</v>
      </c>
      <c r="B79" s="135">
        <f t="shared" ref="B79:K79" si="20">B74/B78</f>
        <v>91577.275159947647</v>
      </c>
      <c r="C79" s="135">
        <f t="shared" si="20"/>
        <v>95136.10981689491</v>
      </c>
      <c r="D79" s="135">
        <f t="shared" si="20"/>
        <v>98910.482229326008</v>
      </c>
      <c r="E79" s="135">
        <f t="shared" si="20"/>
        <v>102919.65042758903</v>
      </c>
      <c r="F79" s="135">
        <f t="shared" si="20"/>
        <v>107185.22330256853</v>
      </c>
      <c r="G79" s="135">
        <f t="shared" si="20"/>
        <v>111731.53041659508</v>
      </c>
      <c r="H79" s="135">
        <f t="shared" si="20"/>
        <v>116586.06388868581</v>
      </c>
      <c r="I79" s="135">
        <f t="shared" si="20"/>
        <v>121780.0092923668</v>
      </c>
      <c r="J79" s="135">
        <f t="shared" si="20"/>
        <v>127348.88721170824</v>
      </c>
      <c r="K79" s="135">
        <f t="shared" si="20"/>
        <v>133333.33333333328</v>
      </c>
    </row>
    <row r="80" spans="1:11" x14ac:dyDescent="0.25">
      <c r="A80" t="s">
        <v>604</v>
      </c>
      <c r="B80" s="135">
        <f>B79-$B$8</f>
        <v>3360.5151599476376</v>
      </c>
      <c r="C80" s="135">
        <f t="shared" ref="C80:K80" si="21">C79-B79</f>
        <v>3558.8346569472633</v>
      </c>
      <c r="D80" s="135">
        <f t="shared" si="21"/>
        <v>3774.3724124310975</v>
      </c>
      <c r="E80" s="135">
        <f t="shared" si="21"/>
        <v>4009.1681982630253</v>
      </c>
      <c r="F80" s="135">
        <f t="shared" si="21"/>
        <v>4265.5728749794944</v>
      </c>
      <c r="G80" s="135">
        <f t="shared" si="21"/>
        <v>4546.3071140265529</v>
      </c>
      <c r="H80" s="135">
        <f t="shared" si="21"/>
        <v>4854.5334720907267</v>
      </c>
      <c r="I80" s="135">
        <f t="shared" si="21"/>
        <v>5193.9454036809911</v>
      </c>
      <c r="J80" s="135">
        <f t="shared" si="21"/>
        <v>5568.8779193414375</v>
      </c>
      <c r="K80" s="135">
        <f t="shared" si="21"/>
        <v>5984.4461216250493</v>
      </c>
    </row>
    <row r="81" spans="1:11" x14ac:dyDescent="0.25">
      <c r="A81" t="s">
        <v>270</v>
      </c>
      <c r="B81" s="135">
        <f t="shared" ref="B81:K81" si="22">B77-B80</f>
        <v>94639.312060702359</v>
      </c>
      <c r="C81" s="135">
        <f t="shared" si="22"/>
        <v>89317.137655253624</v>
      </c>
      <c r="D81" s="135">
        <f t="shared" si="22"/>
        <v>83857.852047809123</v>
      </c>
      <c r="E81" s="135">
        <f t="shared" si="22"/>
        <v>78257.44673130376</v>
      </c>
      <c r="F81" s="135">
        <f t="shared" si="22"/>
        <v>72511.573815055861</v>
      </c>
      <c r="G81" s="135">
        <f t="shared" si="22"/>
        <v>66615.486923577075</v>
      </c>
      <c r="H81" s="135">
        <f t="shared" si="22"/>
        <v>60563.968738430223</v>
      </c>
      <c r="I81" s="135">
        <f t="shared" si="22"/>
        <v>54351.241596917964</v>
      </c>
      <c r="J81" s="135">
        <f t="shared" si="22"/>
        <v>47970.856440161173</v>
      </c>
      <c r="K81" s="135">
        <f t="shared" si="22"/>
        <v>41415.553878374943</v>
      </c>
    </row>
    <row r="82" spans="1:11" x14ac:dyDescent="0.25">
      <c r="A82" t="s">
        <v>574</v>
      </c>
      <c r="B82" s="140">
        <f ca="1">1/(1+$B$11)^1</f>
        <v>0.86981151360007214</v>
      </c>
      <c r="C82" s="140">
        <f ca="1">1/(1+$B$11)^2</f>
        <v>0.75657206919124842</v>
      </c>
      <c r="D82" s="140">
        <f ca="1">1/(1+$B$11)^3</f>
        <v>0.65807509665077824</v>
      </c>
      <c r="E82" s="140">
        <f ca="1">1/(1+$B$11)^4</f>
        <v>0.57240129588032718</v>
      </c>
      <c r="F82" s="140">
        <f ca="1">1/(1+$B$11)^5</f>
        <v>0.49788123755631009</v>
      </c>
      <c r="G82" s="140">
        <f ca="1">1/(1+$B$11)^6</f>
        <v>0.4330628328319312</v>
      </c>
      <c r="H82" s="140">
        <f ca="1">1/(1+$B$11)^7</f>
        <v>0.37668303810947701</v>
      </c>
      <c r="I82" s="140">
        <f ca="1">1/(1+$B$11)^8</f>
        <v>0.32764324352547786</v>
      </c>
      <c r="J82" s="140">
        <f ca="1">1/(1+$B$11)^9</f>
        <v>0.28498786557173289</v>
      </c>
      <c r="K82" s="140">
        <f ca="1">1/(1+$B$11)^10</f>
        <v>0.24788572671060288</v>
      </c>
    </row>
    <row r="83" spans="1:11" x14ac:dyDescent="0.25">
      <c r="A83" t="s">
        <v>575</v>
      </c>
      <c r="B83" s="135">
        <f t="shared" ref="B83:K83" ca="1" si="23">B81*B82</f>
        <v>82318.363269589085</v>
      </c>
      <c r="C83" s="135">
        <f t="shared" ca="1" si="23"/>
        <v>67574.851650074808</v>
      </c>
      <c r="D83" s="135">
        <f t="shared" ca="1" si="23"/>
        <v>55184.764091288649</v>
      </c>
      <c r="E83" s="135">
        <f t="shared" ca="1" si="23"/>
        <v>44794.663921283944</v>
      </c>
      <c r="F83" s="135">
        <f t="shared" ca="1" si="23"/>
        <v>36102.15210819574</v>
      </c>
      <c r="G83" s="135">
        <f t="shared" ca="1" si="23"/>
        <v>28848.691477602759</v>
      </c>
      <c r="H83" s="135">
        <f t="shared" ca="1" si="23"/>
        <v>22813.419744359286</v>
      </c>
      <c r="I83" s="135">
        <f t="shared" ca="1" si="23"/>
        <v>17807.817086451076</v>
      </c>
      <c r="J83" s="135">
        <f t="shared" ca="1" si="23"/>
        <v>13671.11198652955</v>
      </c>
      <c r="K83" s="135">
        <f t="shared" ca="1" si="23"/>
        <v>10266.3246702631</v>
      </c>
    </row>
    <row r="86" spans="1:11" x14ac:dyDescent="0.25">
      <c r="A86" s="67" t="s">
        <v>1053</v>
      </c>
    </row>
    <row r="87" spans="1:11" x14ac:dyDescent="0.25">
      <c r="A87" t="s">
        <v>1034</v>
      </c>
      <c r="B87" s="141" t="str">
        <f>B18</f>
        <v>A</v>
      </c>
      <c r="C87" s="141" t="str">
        <f>C18</f>
        <v>B</v>
      </c>
      <c r="D87" s="141" t="str">
        <f>D18</f>
        <v>C</v>
      </c>
      <c r="E87" s="141" t="str">
        <f>E18</f>
        <v>D</v>
      </c>
    </row>
    <row r="88" spans="1:11" x14ac:dyDescent="0.25">
      <c r="A88" t="s">
        <v>1054</v>
      </c>
      <c r="B88" s="135">
        <f ca="1">SUM(B41:K41)</f>
        <v>966720.75807569292</v>
      </c>
      <c r="C88" s="135">
        <f ca="1">SUM(B55:K55)</f>
        <v>668214.98598034447</v>
      </c>
      <c r="D88" s="135">
        <f ca="1">SUM(B69:K69)</f>
        <v>504402.03108861978</v>
      </c>
      <c r="E88" s="135">
        <f ca="1">SUM(B83:K83)</f>
        <v>379382.16000563803</v>
      </c>
    </row>
    <row r="89" spans="1:11" x14ac:dyDescent="0.25">
      <c r="A89" t="s">
        <v>1055</v>
      </c>
      <c r="B89" s="135">
        <f>K35*(1+$B$15)</f>
        <v>506770.38499999983</v>
      </c>
      <c r="C89" s="135">
        <f>K49*(1+$B$15)</f>
        <v>237470.08950000023</v>
      </c>
      <c r="D89" s="135">
        <f>K63*(1+$B$15)</f>
        <v>123132.639</v>
      </c>
      <c r="E89" s="135">
        <f>K77*(1+$B$15)</f>
        <v>50258.219999999994</v>
      </c>
    </row>
    <row r="90" spans="1:11" x14ac:dyDescent="0.25">
      <c r="A90" t="s">
        <v>1056</v>
      </c>
      <c r="B90" s="135">
        <f ca="1">B89*(1-$B$15/B26)/($B$11-$B$15)</f>
        <v>5355433.8846408622</v>
      </c>
      <c r="C90" s="135">
        <f ca="1">C89*(1-$B$15/C26)/($B$11-$B$15)</f>
        <v>2461076.6104717366</v>
      </c>
      <c r="D90" s="135">
        <f ca="1">D89*(1-$B$15/D26)/($B$11-$B$15)</f>
        <v>1227489.1070850878</v>
      </c>
      <c r="E90" s="135">
        <f ca="1">E89*(1-$B$15/E26)/($B$11-$B$15)</f>
        <v>466950.53741646186</v>
      </c>
    </row>
    <row r="91" spans="1:11" x14ac:dyDescent="0.25">
      <c r="A91" t="s">
        <v>580</v>
      </c>
      <c r="B91" s="135">
        <f ca="1">B90/(1+$B$11)^10</f>
        <v>1327535.6203447871</v>
      </c>
      <c r="C91" s="135">
        <f ca="1">C90/(1+$B$11)^10</f>
        <v>610065.76407725376</v>
      </c>
      <c r="D91" s="135">
        <f ca="1">D90/(1+$B$11)^10</f>
        <v>304277.02933913603</v>
      </c>
      <c r="E91" s="135">
        <f ca="1">E90/(1+$B$11)^10</f>
        <v>115750.37330538621</v>
      </c>
    </row>
    <row r="92" spans="1:11" x14ac:dyDescent="0.25">
      <c r="A92" t="s">
        <v>1057</v>
      </c>
      <c r="B92" s="135">
        <f ca="1">(B88+B91)*(1+$B$11)^0.5</f>
        <v>2459967.5131240212</v>
      </c>
      <c r="C92" s="135">
        <f ca="1">(C88+C91)*(1+$B$11)^0.5</f>
        <v>1370609.295181911</v>
      </c>
      <c r="D92" s="135">
        <f ca="1">(D88+D91)*(1+$B$11)^0.5</f>
        <v>867088.89028588892</v>
      </c>
      <c r="E92" s="135">
        <f ca="1">(E88+E91)*(1+$B$11)^0.5</f>
        <v>530895.30799276964</v>
      </c>
    </row>
    <row r="93" spans="1:11" x14ac:dyDescent="0.25">
      <c r="A93" t="s">
        <v>607</v>
      </c>
      <c r="B93" s="134">
        <f ca="1">B91/(B88+B91)</f>
        <v>0.57863438141937373</v>
      </c>
      <c r="C93" s="134">
        <f ca="1">C91/(C88+C91)</f>
        <v>0.47725490980738366</v>
      </c>
      <c r="D93" s="134">
        <f ca="1">D91/(D88+D91)</f>
        <v>0.37626426134761892</v>
      </c>
      <c r="E93" s="134">
        <f ca="1">E91/(E88+E91)</f>
        <v>0.23377654570857301</v>
      </c>
    </row>
    <row r="94" spans="1:11" x14ac:dyDescent="0.25">
      <c r="A94" t="s">
        <v>832</v>
      </c>
      <c r="B94" s="80">
        <f>'NVDA DCF'!$B$32</f>
        <v>6286.24</v>
      </c>
      <c r="C94" s="80">
        <f>'NVDA DCF'!$B$32</f>
        <v>6286.24</v>
      </c>
      <c r="D94" s="80">
        <f>'NVDA DCF'!$B$32</f>
        <v>6286.24</v>
      </c>
      <c r="E94" s="80">
        <f>'NVDA DCF'!$B$32</f>
        <v>6286.24</v>
      </c>
    </row>
    <row r="95" spans="1:11" x14ac:dyDescent="0.25">
      <c r="A95" t="s">
        <v>833</v>
      </c>
      <c r="B95" s="80">
        <f>'NVDA DCF'!$B$33</f>
        <v>74201.999999999985</v>
      </c>
      <c r="C95" s="80">
        <f>'NVDA DCF'!$B$33</f>
        <v>74201.999999999985</v>
      </c>
      <c r="D95" s="80">
        <f>'NVDA DCF'!$B$33</f>
        <v>74201.999999999985</v>
      </c>
      <c r="E95" s="80">
        <f>'NVDA DCF'!$B$33</f>
        <v>74201.999999999985</v>
      </c>
    </row>
    <row r="96" spans="1:11" x14ac:dyDescent="0.25">
      <c r="A96" t="s">
        <v>583</v>
      </c>
      <c r="B96" s="80">
        <f>'NVDA DCF'!$B$34</f>
        <v>-8468</v>
      </c>
      <c r="C96" s="80">
        <f>'NVDA DCF'!$B$34</f>
        <v>-8468</v>
      </c>
      <c r="D96" s="80">
        <f>'NVDA DCF'!$B$34</f>
        <v>-8468</v>
      </c>
      <c r="E96" s="80">
        <f>'NVDA DCF'!$B$34</f>
        <v>-8468</v>
      </c>
    </row>
    <row r="97" spans="1:5" x14ac:dyDescent="0.25">
      <c r="A97" t="s">
        <v>911</v>
      </c>
      <c r="B97" s="80">
        <f>'NVDA DCF'!$B$35</f>
        <v>-2944</v>
      </c>
      <c r="C97" s="80">
        <f>'NVDA DCF'!$B$35</f>
        <v>-2944</v>
      </c>
      <c r="D97" s="80">
        <f>'NVDA DCF'!$B$35</f>
        <v>-2944</v>
      </c>
      <c r="E97" s="80">
        <f>'NVDA DCF'!$B$35</f>
        <v>-2944</v>
      </c>
    </row>
    <row r="98" spans="1:5" x14ac:dyDescent="0.25">
      <c r="A98" t="s">
        <v>584</v>
      </c>
      <c r="B98" s="80">
        <f>'NVDA DCF'!$B$36</f>
        <v>0</v>
      </c>
      <c r="C98" s="80">
        <f>'NVDA DCF'!$B$36</f>
        <v>0</v>
      </c>
      <c r="D98" s="80">
        <f>'NVDA DCF'!$B$36</f>
        <v>0</v>
      </c>
      <c r="E98" s="80">
        <f>'NVDA DCF'!$B$36</f>
        <v>0</v>
      </c>
    </row>
    <row r="99" spans="1:5" x14ac:dyDescent="0.25">
      <c r="A99" t="s">
        <v>1058</v>
      </c>
      <c r="B99" s="80">
        <f>'NVDA DCF'!$B$37</f>
        <v>-14800</v>
      </c>
      <c r="C99" s="80">
        <f>'NVDA DCF'!$B$37</f>
        <v>-14800</v>
      </c>
      <c r="D99" s="80">
        <f>'NVDA DCF'!$B$37</f>
        <v>-14800</v>
      </c>
      <c r="E99" s="80">
        <f>'NVDA DCF'!$B$37</f>
        <v>-14800</v>
      </c>
    </row>
    <row r="100" spans="1:5" x14ac:dyDescent="0.25">
      <c r="A100" t="s">
        <v>585</v>
      </c>
      <c r="B100" s="135">
        <f ca="1">B92+SUM(B94:B99)</f>
        <v>2514243.753124021</v>
      </c>
      <c r="C100" s="135">
        <f ca="1">C92+SUM(C94:C99)</f>
        <v>1424885.535181911</v>
      </c>
      <c r="D100" s="135">
        <f ca="1">D92+SUM(D94:D99)</f>
        <v>921365.13028588891</v>
      </c>
      <c r="E100" s="135">
        <f ca="1">E92+SUM(E94:E99)</f>
        <v>585171.54799276963</v>
      </c>
    </row>
    <row r="101" spans="1:5" x14ac:dyDescent="0.25">
      <c r="A101" t="s">
        <v>587</v>
      </c>
      <c r="B101" s="142">
        <f ca="1">B100/$B$13</f>
        <v>103.89436996380252</v>
      </c>
      <c r="C101" s="142">
        <f ca="1">C100/$B$13</f>
        <v>58.879567569500452</v>
      </c>
      <c r="D101" s="142">
        <f ca="1">D100/$B$13</f>
        <v>38.072939268011936</v>
      </c>
      <c r="E101" s="142">
        <f ca="1">E100/$B$13</f>
        <v>24.180642479040067</v>
      </c>
    </row>
    <row r="102" spans="1:5" x14ac:dyDescent="0.25">
      <c r="A102" t="s">
        <v>820</v>
      </c>
      <c r="B102" s="139">
        <f>B27</f>
        <v>0.15</v>
      </c>
      <c r="C102" s="139">
        <f>C27</f>
        <v>0.4</v>
      </c>
      <c r="D102" s="139">
        <f>D27</f>
        <v>0.3</v>
      </c>
      <c r="E102" s="139">
        <f>E27</f>
        <v>0.15</v>
      </c>
    </row>
    <row r="103" spans="1:5" x14ac:dyDescent="0.25">
      <c r="A103" t="s">
        <v>1059</v>
      </c>
      <c r="B103" s="143">
        <f ca="1">B101*B102</f>
        <v>15.584155494570377</v>
      </c>
      <c r="C103" s="143">
        <f ca="1">C101*C102</f>
        <v>23.551827027800183</v>
      </c>
      <c r="D103" s="143">
        <f ca="1">D101*D102</f>
        <v>11.421881780403581</v>
      </c>
      <c r="E103" s="143">
        <f ca="1">E101*E102</f>
        <v>3.6270963718560099</v>
      </c>
    </row>
    <row r="105" spans="1:5" x14ac:dyDescent="0.25">
      <c r="A105" s="67" t="s">
        <v>1060</v>
      </c>
    </row>
    <row r="106" spans="1:5" x14ac:dyDescent="0.25">
      <c r="A106" t="s">
        <v>1061</v>
      </c>
      <c r="B106" s="142">
        <f ca="1">SUM(B103:E103)</f>
        <v>54.184960674630155</v>
      </c>
    </row>
    <row r="107" spans="1:5" x14ac:dyDescent="0.25">
      <c r="A107" t="s">
        <v>588</v>
      </c>
      <c r="B107" s="143">
        <f ca="1">$B$14</f>
        <v>225.16</v>
      </c>
    </row>
    <row r="108" spans="1:5" x14ac:dyDescent="0.25">
      <c r="A108" t="s">
        <v>1009</v>
      </c>
      <c r="B108" s="144">
        <f ca="1">B106/B107-1</f>
        <v>-0.75934908209881791</v>
      </c>
    </row>
    <row r="109" spans="1:5" x14ac:dyDescent="0.25">
      <c r="A109" t="s">
        <v>1062</v>
      </c>
      <c r="B109" s="81">
        <f ca="1">'NVDA DCF'!B40</f>
        <v>74.58221495405445</v>
      </c>
    </row>
    <row r="110" spans="1:5" x14ac:dyDescent="0.25">
      <c r="A110" t="s">
        <v>1063</v>
      </c>
      <c r="B110" s="144">
        <f ca="1">B106/B109-1</f>
        <v>-0.2734868398852166</v>
      </c>
    </row>
    <row r="112" spans="1:5" x14ac:dyDescent="0.25">
      <c r="A112" s="67" t="s">
        <v>1064</v>
      </c>
    </row>
    <row r="113" spans="1:6" x14ac:dyDescent="0.25">
      <c r="A113" t="s">
        <v>1065</v>
      </c>
      <c r="B113" s="135">
        <f ca="1">$B$14*$B$13</f>
        <v>5448872</v>
      </c>
    </row>
    <row r="114" spans="1:6" x14ac:dyDescent="0.25">
      <c r="A114" t="s">
        <v>1066</v>
      </c>
      <c r="B114" s="135">
        <f ca="1">B100</f>
        <v>2514243.753124021</v>
      </c>
    </row>
    <row r="115" spans="1:6" x14ac:dyDescent="0.25">
      <c r="A115" t="s">
        <v>1067</v>
      </c>
      <c r="B115" s="138">
        <f ca="1">B113/B114</f>
        <v>2.1672011686335577</v>
      </c>
    </row>
    <row r="116" spans="1:6" x14ac:dyDescent="0.25">
      <c r="A116" t="s">
        <v>1068</v>
      </c>
      <c r="B116" s="145">
        <f ca="1">B22*B115</f>
        <v>2383921.2854969134</v>
      </c>
    </row>
    <row r="117" spans="1:6" x14ac:dyDescent="0.25">
      <c r="A117" t="s">
        <v>1069</v>
      </c>
      <c r="B117" s="146">
        <f ca="1">B116/$B$20</f>
        <v>0.95356851419876532</v>
      </c>
    </row>
    <row r="120" spans="1:6" x14ac:dyDescent="0.25">
      <c r="A120" s="94" t="s">
        <v>1070</v>
      </c>
    </row>
    <row r="121" spans="1:6" x14ac:dyDescent="0.25">
      <c r="A121" t="s">
        <v>1034</v>
      </c>
      <c r="B121" t="s">
        <v>1071</v>
      </c>
      <c r="C121" t="s">
        <v>1072</v>
      </c>
      <c r="D121" t="s">
        <v>1073</v>
      </c>
      <c r="E121" t="s">
        <v>1074</v>
      </c>
      <c r="F121" t="s">
        <v>1075</v>
      </c>
    </row>
    <row r="122" spans="1:6" x14ac:dyDescent="0.25">
      <c r="A122" t="s">
        <v>587</v>
      </c>
      <c r="B122" s="143">
        <f ca="1">B101</f>
        <v>103.89436996380252</v>
      </c>
      <c r="C122" s="143">
        <f ca="1">C101</f>
        <v>58.879567569500452</v>
      </c>
      <c r="D122" s="143">
        <f ca="1">D101</f>
        <v>38.072939268011936</v>
      </c>
      <c r="E122" s="143">
        <f ca="1">E101</f>
        <v>24.180642479040067</v>
      </c>
      <c r="F122" s="143">
        <f ca="1">B106</f>
        <v>54.184960674630155</v>
      </c>
    </row>
    <row r="123" spans="1:6" x14ac:dyDescent="0.25">
      <c r="A123" t="s">
        <v>588</v>
      </c>
      <c r="B123" s="143">
        <f ca="1">$B$14</f>
        <v>225.16</v>
      </c>
      <c r="C123" s="143">
        <f ca="1">$B$14</f>
        <v>225.16</v>
      </c>
      <c r="D123" s="143">
        <f ca="1">$B$14</f>
        <v>225.16</v>
      </c>
      <c r="E123" s="143">
        <f ca="1">$B$14</f>
        <v>225.16</v>
      </c>
      <c r="F123" s="143">
        <f ca="1">$B$14</f>
        <v>225.16</v>
      </c>
    </row>
    <row r="148" spans="1:2" x14ac:dyDescent="0.25">
      <c r="A148" s="67" t="s">
        <v>1448</v>
      </c>
    </row>
    <row r="149" spans="1:2" x14ac:dyDescent="0.25">
      <c r="A149" t="s">
        <v>1449</v>
      </c>
      <c r="B149" s="128">
        <v>600000</v>
      </c>
    </row>
    <row r="150" spans="1:2" x14ac:dyDescent="0.25">
      <c r="A150" t="s">
        <v>1450</v>
      </c>
      <c r="B150" s="35">
        <f>$B$5</f>
        <v>215938</v>
      </c>
    </row>
    <row r="151" spans="1:2" x14ac:dyDescent="0.25">
      <c r="A151" t="s">
        <v>1447</v>
      </c>
      <c r="B151" s="28">
        <f>B150/B149</f>
        <v>0.35989666666666664</v>
      </c>
    </row>
    <row r="152" spans="1:2" x14ac:dyDescent="0.25">
      <c r="A152" s="66" t="s">
        <v>1451</v>
      </c>
    </row>
  </sheetData>
  <pageMargins left="0.7" right="0.7" top="0.75" bottom="0.75" header="0.3" footer="0.3"/>
  <drawing r:id="rId1"/>
  <legacyDrawing r:id="rId2"/>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CEA9CA-4BEE-409F-96CA-09A275607724}">
  <sheetPr>
    <tabColor rgb="FFB7DEDE"/>
  </sheetPr>
  <dimension ref="A1:I36"/>
  <sheetViews>
    <sheetView workbookViewId="0"/>
  </sheetViews>
  <sheetFormatPr defaultRowHeight="15" x14ac:dyDescent="0.25"/>
  <cols>
    <col min="1" max="1" width="57.140625" customWidth="1"/>
  </cols>
  <sheetData>
    <row r="1" spans="1:9" ht="15.75" x14ac:dyDescent="0.25">
      <c r="A1" s="15" t="s">
        <v>795</v>
      </c>
    </row>
    <row r="2" spans="1:9" x14ac:dyDescent="0.25">
      <c r="A2" s="33" t="s">
        <v>796</v>
      </c>
    </row>
    <row r="4" spans="1:9" x14ac:dyDescent="0.25">
      <c r="A4" s="54" t="s">
        <v>797</v>
      </c>
      <c r="B4" s="54"/>
      <c r="C4" s="54"/>
      <c r="D4" s="54"/>
      <c r="E4" s="54"/>
      <c r="F4" s="54"/>
      <c r="G4" s="54"/>
      <c r="H4" s="54"/>
      <c r="I4" s="54"/>
    </row>
    <row r="5" spans="1:9" x14ac:dyDescent="0.25">
      <c r="A5" t="s">
        <v>798</v>
      </c>
      <c r="B5" s="109">
        <f ca="1">'TSLA DCF'!B31</f>
        <v>40085.033727931506</v>
      </c>
    </row>
    <row r="6" spans="1:9" x14ac:dyDescent="0.25">
      <c r="A6" t="s">
        <v>799</v>
      </c>
      <c r="B6" s="109">
        <f ca="1">'TSLA DCF'!B38</f>
        <v>67852.493727931505</v>
      </c>
    </row>
    <row r="7" spans="1:9" x14ac:dyDescent="0.25">
      <c r="A7" t="s">
        <v>800</v>
      </c>
      <c r="B7" s="109">
        <f ca="1">'TSLA DCF'!B40</f>
        <v>17.179816755676413</v>
      </c>
    </row>
    <row r="8" spans="1:9" x14ac:dyDescent="0.25">
      <c r="A8" t="s">
        <v>790</v>
      </c>
      <c r="B8" s="109">
        <f ca="1">'TSLA DCF'!B41</f>
        <v>342.27</v>
      </c>
    </row>
    <row r="9" spans="1:9" x14ac:dyDescent="0.25">
      <c r="A9" t="s">
        <v>586</v>
      </c>
      <c r="B9" s="109">
        <f ca="1">'TSLA DCF'!B39</f>
        <v>3949.547</v>
      </c>
    </row>
    <row r="10" spans="1:9" x14ac:dyDescent="0.25">
      <c r="A10" t="s">
        <v>801</v>
      </c>
      <c r="B10" s="119">
        <f ca="1">B8*B9</f>
        <v>1351811.45169</v>
      </c>
    </row>
    <row r="11" spans="1:9" x14ac:dyDescent="0.25">
      <c r="A11" s="9" t="s">
        <v>802</v>
      </c>
      <c r="B11" s="147">
        <f ca="1">B10-B6</f>
        <v>1283958.9579620685</v>
      </c>
      <c r="C11" s="9"/>
      <c r="D11" s="9"/>
      <c r="E11" s="9"/>
      <c r="F11" s="9"/>
      <c r="G11" s="9"/>
      <c r="H11" s="9"/>
      <c r="I11" s="9"/>
    </row>
    <row r="13" spans="1:9" x14ac:dyDescent="0.25">
      <c r="A13" s="54" t="s">
        <v>803</v>
      </c>
      <c r="B13" s="54"/>
      <c r="C13" s="54"/>
      <c r="D13" s="54"/>
      <c r="E13" s="54"/>
      <c r="F13" s="54"/>
      <c r="G13" s="54"/>
      <c r="H13" s="54"/>
      <c r="I13" s="54"/>
    </row>
    <row r="14" spans="1:9" x14ac:dyDescent="0.25">
      <c r="A14" t="s">
        <v>334</v>
      </c>
      <c r="B14" s="113">
        <f ca="1">'TSLA DCF'!B12</f>
        <v>0.1211934192737834</v>
      </c>
    </row>
    <row r="15" spans="1:9" x14ac:dyDescent="0.25">
      <c r="A15" t="s">
        <v>804</v>
      </c>
      <c r="B15" s="113">
        <f>'TSLA DCF'!E8</f>
        <v>6.0300000000000006E-2</v>
      </c>
    </row>
    <row r="16" spans="1:9" x14ac:dyDescent="0.25">
      <c r="A16" t="s">
        <v>337</v>
      </c>
      <c r="B16" s="113">
        <f>'TSLA Forecast'!B2</f>
        <v>0.21</v>
      </c>
    </row>
    <row r="18" spans="1:9" x14ac:dyDescent="0.25">
      <c r="A18" s="54" t="s">
        <v>805</v>
      </c>
      <c r="B18" s="54"/>
      <c r="C18" s="54"/>
      <c r="D18" s="54"/>
      <c r="E18" s="54"/>
      <c r="F18" s="54"/>
      <c r="G18" s="54"/>
      <c r="H18" s="54"/>
      <c r="I18" s="54"/>
    </row>
    <row r="19" spans="1:9" x14ac:dyDescent="0.25">
      <c r="A19" s="9" t="s">
        <v>806</v>
      </c>
      <c r="B19" s="9" t="s">
        <v>820</v>
      </c>
      <c r="C19" s="9" t="s">
        <v>821</v>
      </c>
      <c r="D19" s="9" t="s">
        <v>320</v>
      </c>
      <c r="E19" s="9" t="s">
        <v>822</v>
      </c>
      <c r="F19" s="9" t="s">
        <v>823</v>
      </c>
      <c r="G19" s="9" t="s">
        <v>824</v>
      </c>
      <c r="H19" s="9" t="s">
        <v>825</v>
      </c>
      <c r="I19" s="9" t="s">
        <v>826</v>
      </c>
    </row>
    <row r="20" spans="1:9" x14ac:dyDescent="0.25">
      <c r="A20" t="s">
        <v>807</v>
      </c>
      <c r="B20" s="31">
        <v>0.15</v>
      </c>
      <c r="C20" s="61">
        <v>150000</v>
      </c>
      <c r="D20" s="31">
        <v>0.25</v>
      </c>
      <c r="E20" s="50">
        <v>10</v>
      </c>
      <c r="F20" s="135">
        <f>C20*D20*(1-$B$16)</f>
        <v>29625</v>
      </c>
      <c r="G20" s="135">
        <f ca="1">F20/($B$14-$B$15)</f>
        <v>486505.77276343771</v>
      </c>
      <c r="H20" s="135">
        <f ca="1">G20/(1+$B$14)^E20</f>
        <v>154982.47688094934</v>
      </c>
      <c r="I20" s="135">
        <f ca="1">B20*H20</f>
        <v>23247.371532142399</v>
      </c>
    </row>
    <row r="21" spans="1:9" x14ac:dyDescent="0.25">
      <c r="A21" t="s">
        <v>808</v>
      </c>
      <c r="B21" s="31">
        <v>0.4</v>
      </c>
      <c r="C21" s="61">
        <v>80000</v>
      </c>
      <c r="D21" s="31">
        <v>0.15</v>
      </c>
      <c r="E21" s="50">
        <v>10</v>
      </c>
      <c r="F21" s="135">
        <f>C21*D21*(1-$B$16)</f>
        <v>9480</v>
      </c>
      <c r="G21" s="135">
        <f ca="1">F21/($B$14-$B$15)</f>
        <v>155681.84728430008</v>
      </c>
      <c r="H21" s="135">
        <f ca="1">G21/(1+$B$14)^E21</f>
        <v>49594.392601903797</v>
      </c>
      <c r="I21" s="135">
        <f ca="1">B21*H21</f>
        <v>19837.75704076152</v>
      </c>
    </row>
    <row r="22" spans="1:9" x14ac:dyDescent="0.25">
      <c r="A22" t="s">
        <v>809</v>
      </c>
      <c r="B22" s="31">
        <v>0.1</v>
      </c>
      <c r="C22" s="61">
        <v>100000</v>
      </c>
      <c r="D22" s="31">
        <v>0.2</v>
      </c>
      <c r="E22" s="50">
        <v>15</v>
      </c>
      <c r="F22" s="135">
        <f>C22*D22*(1-$B$16)</f>
        <v>15800</v>
      </c>
      <c r="G22" s="135">
        <f ca="1">F22/($B$14-$B$15)</f>
        <v>259469.74547383343</v>
      </c>
      <c r="H22" s="135">
        <f ca="1">G22/(1+$B$14)^E22</f>
        <v>46652.89783752364</v>
      </c>
      <c r="I22" s="135">
        <f ca="1">B22*H22</f>
        <v>4665.2897837523642</v>
      </c>
    </row>
    <row r="23" spans="1:9" x14ac:dyDescent="0.25">
      <c r="A23" t="s">
        <v>810</v>
      </c>
      <c r="B23" s="134">
        <f>SUM(B20:B22)</f>
        <v>0.65</v>
      </c>
      <c r="C23" s="35"/>
      <c r="D23" s="28"/>
      <c r="E23" s="59"/>
      <c r="F23" s="35"/>
      <c r="G23" s="35"/>
      <c r="H23" s="135">
        <f ca="1">SUM(H20:H22)</f>
        <v>251229.76732037676</v>
      </c>
      <c r="I23" s="135">
        <f ca="1">SUM(I20:I22)</f>
        <v>47750.418356656286</v>
      </c>
    </row>
    <row r="25" spans="1:9" x14ac:dyDescent="0.25">
      <c r="A25" s="54" t="s">
        <v>811</v>
      </c>
      <c r="B25" s="54"/>
      <c r="C25" s="54"/>
      <c r="D25" s="54"/>
      <c r="E25" s="54"/>
      <c r="F25" s="54"/>
      <c r="G25" s="54"/>
      <c r="H25" s="54"/>
      <c r="I25" s="54"/>
    </row>
    <row r="26" spans="1:9" x14ac:dyDescent="0.25">
      <c r="A26" t="s">
        <v>812</v>
      </c>
      <c r="B26" s="119">
        <f ca="1">B6</f>
        <v>67852.493727931505</v>
      </c>
    </row>
    <row r="27" spans="1:9" x14ac:dyDescent="0.25">
      <c r="A27" t="s">
        <v>813</v>
      </c>
      <c r="B27" s="119">
        <f ca="1">I23</f>
        <v>47750.418356656286</v>
      </c>
    </row>
    <row r="28" spans="1:9" x14ac:dyDescent="0.25">
      <c r="A28" s="9" t="s">
        <v>814</v>
      </c>
      <c r="B28" s="147">
        <f ca="1">B26+B27</f>
        <v>115602.91208458779</v>
      </c>
      <c r="C28" s="9"/>
      <c r="D28" s="9"/>
      <c r="E28" s="9"/>
      <c r="F28" s="9"/>
      <c r="G28" s="9"/>
      <c r="H28" s="9"/>
      <c r="I28" s="9"/>
    </row>
    <row r="29" spans="1:9" x14ac:dyDescent="0.25">
      <c r="A29" s="9" t="s">
        <v>815</v>
      </c>
      <c r="B29" s="147">
        <f ca="1">B28/B9</f>
        <v>29.269916799214641</v>
      </c>
      <c r="C29" s="9"/>
      <c r="D29" s="9"/>
      <c r="E29" s="9"/>
      <c r="F29" s="9"/>
      <c r="G29" s="9"/>
      <c r="H29" s="9"/>
      <c r="I29" s="9"/>
    </row>
    <row r="30" spans="1:9" x14ac:dyDescent="0.25">
      <c r="A30" t="s">
        <v>790</v>
      </c>
      <c r="B30" s="119">
        <f ca="1">B8</f>
        <v>342.27</v>
      </c>
    </row>
    <row r="31" spans="1:9" x14ac:dyDescent="0.25">
      <c r="A31" t="s">
        <v>589</v>
      </c>
      <c r="B31" s="134">
        <f ca="1">B29/B30-1</f>
        <v>-0.91448296140703356</v>
      </c>
    </row>
    <row r="33" spans="1:9" x14ac:dyDescent="0.25">
      <c r="A33" s="54" t="s">
        <v>816</v>
      </c>
      <c r="B33" s="54"/>
      <c r="C33" s="54"/>
      <c r="D33" s="54"/>
      <c r="E33" s="54"/>
      <c r="F33" s="54"/>
      <c r="G33" s="54"/>
      <c r="H33" s="54"/>
      <c r="I33" s="54"/>
    </row>
    <row r="34" spans="1:9" x14ac:dyDescent="0.25">
      <c r="A34" t="s">
        <v>817</v>
      </c>
      <c r="B34" s="119">
        <f ca="1">B11</f>
        <v>1283958.9579620685</v>
      </c>
    </row>
    <row r="35" spans="1:9" x14ac:dyDescent="0.25">
      <c r="A35" t="s">
        <v>818</v>
      </c>
      <c r="B35" s="119">
        <f ca="1">H23</f>
        <v>251229.76732037676</v>
      </c>
    </row>
    <row r="36" spans="1:9" x14ac:dyDescent="0.25">
      <c r="A36" s="9" t="s">
        <v>819</v>
      </c>
      <c r="B36" s="137">
        <f ca="1">IFERROR(B34/B35,"")</f>
        <v>5.1106959643230505</v>
      </c>
      <c r="C36" s="9"/>
      <c r="D36" s="9"/>
      <c r="E36" s="9"/>
      <c r="F36" s="9"/>
      <c r="G36" s="9"/>
      <c r="H36" s="9"/>
      <c r="I36" s="9"/>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3A2AD7E2-6236-4A85-AC4A-6CF701C6D1FA}">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88</vt:i4>
      </vt:variant>
      <vt:variant>
        <vt:lpstr>Named Ranges</vt:lpstr>
      </vt:variant>
      <vt:variant>
        <vt:i4>2</vt:i4>
      </vt:variant>
    </vt:vector>
  </HeadingPairs>
  <TitlesOfParts>
    <vt:vector size="90" baseType="lpstr">
      <vt:lpstr>Valuation Dashboard</vt:lpstr>
      <vt:lpstr>Summary 1-page</vt:lpstr>
      <vt:lpstr>Introduction</vt:lpstr>
      <vt:lpstr>Checks &amp; Methodology --&gt;&gt;</vt:lpstr>
      <vt:lpstr>Ch 11 Checks</vt:lpstr>
      <vt:lpstr>Methodology Checklist</vt:lpstr>
      <vt:lpstr>Raw Data --&gt;&gt;</vt:lpstr>
      <vt:lpstr>Ticker Sheet</vt:lpstr>
      <vt:lpstr>peer_fundamentals</vt:lpstr>
      <vt:lpstr>peer_capital_structure</vt:lpstr>
      <vt:lpstr>peer_prices_monthly</vt:lpstr>
      <vt:lpstr>mag7_leases_fy2019_fy2026</vt:lpstr>
      <vt:lpstr>Financial Statement Data --&gt;&gt;</vt:lpstr>
      <vt:lpstr>AAPL - Income Statement FY</vt:lpstr>
      <vt:lpstr>AAPL - Balance Sheet FY</vt:lpstr>
      <vt:lpstr>AAPL - Cash Flow FY</vt:lpstr>
      <vt:lpstr>AAPL - Key Metrics FY</vt:lpstr>
      <vt:lpstr>AAPL - Financial Growth FY</vt:lpstr>
      <vt:lpstr>MSFT - Income Statement FY</vt:lpstr>
      <vt:lpstr>MSFT - Balance Sheet FY</vt:lpstr>
      <vt:lpstr>MSFT - Cash Flow FY</vt:lpstr>
      <vt:lpstr>MSFT - Key Metrics FY</vt:lpstr>
      <vt:lpstr>MSFT - Financial Growth FY</vt:lpstr>
      <vt:lpstr>GOOGL - Income Statement FY</vt:lpstr>
      <vt:lpstr>GOOGL - Balance Sheet FY</vt:lpstr>
      <vt:lpstr>GOOGL - Cash Flow FY</vt:lpstr>
      <vt:lpstr>GOOGL - Key Metrics FY</vt:lpstr>
      <vt:lpstr>GOOGL - Financial Growth FY</vt:lpstr>
      <vt:lpstr>AMZN - Income Statement FY</vt:lpstr>
      <vt:lpstr>AMZN - Balance Sheet FY</vt:lpstr>
      <vt:lpstr>AMZN - Cash Flow FY</vt:lpstr>
      <vt:lpstr>AMZN - Key Metrics FY</vt:lpstr>
      <vt:lpstr>AMZN - Financial Growth FY</vt:lpstr>
      <vt:lpstr>NVDA - Income Statement FY</vt:lpstr>
      <vt:lpstr>NVDA - Balance Sheet FY</vt:lpstr>
      <vt:lpstr>NVDA - Cash Flow FY</vt:lpstr>
      <vt:lpstr>NVDA - Key Metrics FY</vt:lpstr>
      <vt:lpstr>NVDA - Financial Growth FY</vt:lpstr>
      <vt:lpstr>META - Income Statement FY</vt:lpstr>
      <vt:lpstr>META - Balance Sheet FY</vt:lpstr>
      <vt:lpstr>META - Cash Flow FY</vt:lpstr>
      <vt:lpstr>META - Key Metrics FY</vt:lpstr>
      <vt:lpstr>META - Financial Growth FY</vt:lpstr>
      <vt:lpstr>TSLA - Income Statement FY</vt:lpstr>
      <vt:lpstr>TSLA - Balance Sheet FY</vt:lpstr>
      <vt:lpstr>TSLA - Cash Flow FY</vt:lpstr>
      <vt:lpstr>TSLA - Key Metrics FY</vt:lpstr>
      <vt:lpstr>TSLA - Financial Growth FY</vt:lpstr>
      <vt:lpstr>Reorganised Statements --&gt;&gt;</vt:lpstr>
      <vt:lpstr>AAPL - Reconciliation FY</vt:lpstr>
      <vt:lpstr>MSFT - Reconciliation FY</vt:lpstr>
      <vt:lpstr>GOOGL - Reconciliation FY</vt:lpstr>
      <vt:lpstr>AMZN - Reconciliation FY</vt:lpstr>
      <vt:lpstr>NVDA - Reconciliation FY</vt:lpstr>
      <vt:lpstr>META - Reconciliation FY</vt:lpstr>
      <vt:lpstr>TSLA - Reconciliation FY</vt:lpstr>
      <vt:lpstr>Cost of Capital --&gt;&gt;</vt:lpstr>
      <vt:lpstr>Peer Betas</vt:lpstr>
      <vt:lpstr>WACC</vt:lpstr>
      <vt:lpstr>Debt Schedule</vt:lpstr>
      <vt:lpstr>Revenue Drivers &amp; Forecast</vt:lpstr>
      <vt:lpstr>AAPL Rev Drivers &amp; Forecast</vt:lpstr>
      <vt:lpstr>MSFT Rev Drivers &amp; Forecast</vt:lpstr>
      <vt:lpstr>GOOGL Rev Drivers &amp; Forecast</vt:lpstr>
      <vt:lpstr>AMZN Rev Drivers &amp; Forecast</vt:lpstr>
      <vt:lpstr>NVDA Rev Drivers &amp; Forecast</vt:lpstr>
      <vt:lpstr>META Rev Drivers &amp; Forecast</vt:lpstr>
      <vt:lpstr>TSLA Rev Drivers &amp; Forecast</vt:lpstr>
      <vt:lpstr>Financial Forecast</vt:lpstr>
      <vt:lpstr>AAPL Forecast</vt:lpstr>
      <vt:lpstr>MSFT Forecast</vt:lpstr>
      <vt:lpstr>GOOGL Forecast</vt:lpstr>
      <vt:lpstr>AMZN Forecast</vt:lpstr>
      <vt:lpstr>NVDA Forecast</vt:lpstr>
      <vt:lpstr>META Forecast</vt:lpstr>
      <vt:lpstr>TSLA Forecast</vt:lpstr>
      <vt:lpstr>DCF Valuation</vt:lpstr>
      <vt:lpstr>AAPL DCF</vt:lpstr>
      <vt:lpstr>MSFT DCF</vt:lpstr>
      <vt:lpstr>GOOGL DCF</vt:lpstr>
      <vt:lpstr>AMZN DCF</vt:lpstr>
      <vt:lpstr>NVDA DCF</vt:lpstr>
      <vt:lpstr>META DCF</vt:lpstr>
      <vt:lpstr>TSLA DCF</vt:lpstr>
      <vt:lpstr>Multiples &amp; Special --&gt;&gt;</vt:lpstr>
      <vt:lpstr>Multiples</vt:lpstr>
      <vt:lpstr>NVDA High-Growth Ch23</vt:lpstr>
      <vt:lpstr>TSLA Flexibility</vt:lpstr>
      <vt:lpstr>'Summary 1-page'!Print_Area</vt:lpstr>
      <vt:lpstr>'Summary 1-page'!Print_Titles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Casper Brink Rasmussen</dc:creator>
  <cp:lastModifiedBy>Casper Brink Rasmussen</cp:lastModifiedBy>
  <dcterms:created xsi:type="dcterms:W3CDTF">2026-08-03T22:09:51Z</dcterms:created>
  <dcterms:modified xsi:type="dcterms:W3CDTF">2026-08-16T18:59:00Z</dcterms:modified>
</cp:coreProperties>
</file>